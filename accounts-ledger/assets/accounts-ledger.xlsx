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اقرأني" sheetId="1" state="visible" r:id="rId1"/>
    <sheet name="الأصناف" sheetId="2" state="visible" r:id="rId2"/>
    <sheet name="المبيعات" sheetId="3" state="visible" r:id="rId3"/>
    <sheet name="المصروفات" sheetId="4" state="visible" r:id="rId4"/>
    <sheet name="الملخص" sheetId="5" state="visible" r:id="rId5"/>
    <sheet name="العملاء" sheetId="6" state="visible" r:id="rId6"/>
    <sheet name="الإيصال" sheetId="7" state="visible" r:id="rId7"/>
    <sheet name="الرسوم" sheetId="8" state="visible" r:id="rId8"/>
  </sheets>
  <definedNames>
    <definedName name="_xlnm.Print_Area" localSheetId="6">'الإيصال'!$A$1:$F$26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b val="1"/>
    </font>
    <font>
      <color rgb="009AA5B1"/>
    </font>
    <font>
      <b val="1"/>
      <color rgb="001F3A5F"/>
      <sz val="18"/>
    </font>
    <font>
      <b val="1"/>
      <sz val="14"/>
    </font>
    <font>
      <b val="1"/>
      <sz val="13"/>
    </font>
    <font>
      <color rgb="006B7280"/>
      <sz val="9"/>
    </font>
    <font>
      <b val="1"/>
      <color rgb="001F3A5F"/>
      <sz val="16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8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 wrapText="1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2" borderId="0" pivotButton="0" quotePrefix="0" xfId="0"/>
    <xf numFmtId="164" fontId="0" fillId="3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164" fontId="0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1" fillId="2" borderId="0" applyAlignment="1" pivotButton="0" quotePrefix="0" xfId="0">
      <alignment horizontal="center"/>
    </xf>
    <xf numFmtId="0" fontId="6" fillId="0" borderId="0" pivotButton="0" quotePrefix="0" xfId="0"/>
    <xf numFmtId="4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3">
    <dxf>
      <font>
        <b val="1"/>
        <color rgb="00B3261E"/>
      </font>
      <fill>
        <patternFill patternType="solid">
          <fgColor rgb="00FDE2E1"/>
        </patternFill>
      </fill>
    </dxf>
    <dxf>
      <font>
        <b val="1"/>
        <color rgb="00B3261E"/>
      </font>
    </dxf>
    <dxf>
      <fill>
        <patternFill patternType="solid">
          <f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المبيعات وصافي الربح شهريًا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'الملخص'!B1</f>
            </strRef>
          </tx>
          <spPr>
            <a:ln>
              <a:prstDash val="solid"/>
            </a:ln>
          </spPr>
          <cat>
            <numRef>
              <f>'الملخص'!$A$2:$A$13</f>
            </numRef>
          </cat>
          <val>
            <numRef>
              <f>'الملخص'!$B$2:$B$13</f>
            </numRef>
          </val>
        </ser>
        <ser>
          <idx val="1"/>
          <order val="1"/>
          <tx>
            <strRef>
              <f>'الملخص'!E1</f>
            </strRef>
          </tx>
          <spPr>
            <a:ln>
              <a:prstDash val="solid"/>
            </a:ln>
          </spPr>
          <cat>
            <numRef>
              <f>'الملخص'!$A$2:$A$13</f>
            </numRef>
          </cat>
          <val>
            <numRef>
              <f>'الملخص'!$E$2:$E$13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الكميات المباعة حسب الصنف</a:t>
            </a:r>
          </a:p>
        </rich>
      </tx>
    </title>
    <plotArea>
      <pieChart>
        <varyColors val="1"/>
        <ser>
          <idx val="0"/>
          <order val="0"/>
          <tx>
            <strRef>
              <f>'الأصناف'!F1</f>
            </strRef>
          </tx>
          <spPr>
            <a:ln>
              <a:prstDash val="solid"/>
            </a:ln>
          </spPr>
          <cat>
            <numRef>
              <f>'الأصناف'!$B$2:$B$6</f>
            </numRef>
          </cat>
          <val>
            <numRef>
              <f>'الأصناف'!$F$2:$F$6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21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دفتر المتجر الصغير: المخزون + المبيعات + المصروفات + ملخص شهري</t>
        </is>
      </c>
    </row>
    <row r="2">
      <c r="A2" s="2" t="inlineStr"/>
    </row>
    <row r="3">
      <c r="A3" s="2" t="inlineStr">
        <is>
          <t>١. الخلايا الصفراء فقط للكتابة. الباقي معادلات تحسب وحدها.</t>
        </is>
      </c>
    </row>
    <row r="4">
      <c r="A4" s="2" t="inlineStr">
        <is>
          <t>٢. الأصناف: أضف كل صنف بكود فريد وسعر البيع والتكلفة والكمية الافتتاحية. عمود «تنبيه» يظهر «اطلب الآن» إذا وصل المتبقي لحد إعادة الطلب.</t>
        </is>
      </c>
    </row>
    <row r="5">
      <c r="A5" s="2" t="inlineStr">
        <is>
          <t>٣. المبيعات: سطر لكل صنف في الإيصال. اختر الكود من القائمة، ويظهر اسم الصنف والسعر والإجمالي والربح تلقائيًا. الإيصال بأكثر من صنف = عدة أسطر بنفس الرقم.</t>
        </is>
      </c>
    </row>
    <row r="6">
      <c r="A6" s="2" t="inlineStr">
        <is>
          <t>٤. المصروفات: الإيجار والشحن والتسويق وغيرها.</t>
        </is>
      </c>
    </row>
    <row r="7">
      <c r="A7" s="2" t="inlineStr">
        <is>
          <t>٥. الملخص: اكتب السنة في الخلية I1 فيظهر لكل شهر المبيعات والربح والمصروفات وصافي الربح وعدد الإيصالات.</t>
        </is>
      </c>
    </row>
    <row r="8">
      <c r="A8" s="2" t="inlineStr">
        <is>
          <t>٦. البيانات الموجودة مثال فقط. امسح الأسطر الصفراء (لا تمسح الأعمدة الرمادية) وابدأ ببياناتك.</t>
        </is>
      </c>
    </row>
    <row r="9">
      <c r="A9" s="2" t="inlineStr"/>
    </row>
    <row r="10">
      <c r="A10" s="2" t="inlineStr">
        <is>
          <t>يعمل على Excel و Google Sheets و LibreOffice. يغطي ٢٠٠٠ سطر في كل ورقة.</t>
        </is>
      </c>
    </row>
    <row r="11">
      <c r="A11" s="2" t="inlineStr">
        <is>
          <t>ملاحظة: هذا دفتر متابعة داخلي، وليس فاتورة ضريبية ولا فوترة إلكترونية معتمدة من هيئة الزكاة والضريبة والجمارك.</t>
        </is>
      </c>
    </row>
    <row r="12">
      <c r="A12" t="inlineStr"/>
    </row>
    <row r="13">
      <c r="A13" t="inlineStr">
        <is>
          <t>نسخة الباقة: العملاء (إجمالي مشترياتهم وما تبقى عليهم من الآجل)، الإيصال (اكتب رقم الإيصال في C3 واطبع)، الرسوم (مبيعات وأرباح كل شهر).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2" customWidth="1" min="4" max="4"/>
    <col width="16" customWidth="1" min="5" max="5"/>
    <col width="10" customWidth="1" min="6" max="6"/>
    <col width="10" customWidth="1" min="7" max="7"/>
    <col width="15" customWidth="1" min="8" max="8"/>
    <col width="12" customWidth="1" min="9" max="9"/>
  </cols>
  <sheetData>
    <row r="1" ht="26" customHeight="1">
      <c r="A1" s="3" t="inlineStr">
        <is>
          <t>الكود</t>
        </is>
      </c>
      <c r="B1" s="3" t="inlineStr">
        <is>
          <t>الصنف</t>
        </is>
      </c>
      <c r="C1" s="3" t="inlineStr">
        <is>
          <t>سعر البيع</t>
        </is>
      </c>
      <c r="D1" s="3" t="inlineStr">
        <is>
          <t>التكلفة</t>
        </is>
      </c>
      <c r="E1" s="3" t="inlineStr">
        <is>
          <t>الكمية الافتتاحية</t>
        </is>
      </c>
      <c r="F1" s="3" t="inlineStr">
        <is>
          <t>المباع</t>
        </is>
      </c>
      <c r="G1" s="3" t="inlineStr">
        <is>
          <t>المتبقي</t>
        </is>
      </c>
      <c r="H1" s="3" t="inlineStr">
        <is>
          <t>حد إعادة الطلب</t>
        </is>
      </c>
      <c r="I1" s="3" t="inlineStr">
        <is>
          <t>تنبيه</t>
        </is>
      </c>
    </row>
    <row r="2">
      <c r="A2" s="4" t="inlineStr">
        <is>
          <t>P001</t>
        </is>
      </c>
      <c r="B2" s="4" t="inlineStr">
        <is>
          <t>قهوة عربية 250غ</t>
        </is>
      </c>
      <c r="C2" s="4" t="n">
        <v>35</v>
      </c>
      <c r="D2" s="4" t="n">
        <v>22</v>
      </c>
      <c r="E2" s="4" t="n">
        <v>40</v>
      </c>
      <c r="F2">
        <f>IF(A2="","",SUMIFS(المبيعات!$F$2:$F$2000,المبيعات!$D$2:$D$2000,A2))</f>
        <v/>
      </c>
      <c r="G2">
        <f>IF(A2="","",E2-F2)</f>
        <v/>
      </c>
      <c r="H2" s="4" t="n">
        <v>8</v>
      </c>
      <c r="I2">
        <f>IF(OR(A2="",H2=""),"",IF(G2&lt;=H2,"اطلب الآن",""))</f>
        <v/>
      </c>
    </row>
    <row r="3">
      <c r="A3" s="4" t="inlineStr">
        <is>
          <t>P002</t>
        </is>
      </c>
      <c r="B3" s="4" t="inlineStr">
        <is>
          <t>تمر سكري 1كغ</t>
        </is>
      </c>
      <c r="C3" s="4" t="n">
        <v>45</v>
      </c>
      <c r="D3" s="4" t="n">
        <v>30</v>
      </c>
      <c r="E3" s="4" t="n">
        <v>25</v>
      </c>
      <c r="F3">
        <f>IF(A3="","",SUMIFS(المبيعات!$F$2:$F$2000,المبيعات!$D$2:$D$2000,A3))</f>
        <v/>
      </c>
      <c r="G3">
        <f>IF(A3="","",E3-F3)</f>
        <v/>
      </c>
      <c r="H3" s="4" t="n">
        <v>5</v>
      </c>
      <c r="I3">
        <f>IF(OR(A3="",H3=""),"",IF(G3&lt;=H3,"اطلب الآن",""))</f>
        <v/>
      </c>
    </row>
    <row r="4">
      <c r="A4" s="4" t="inlineStr">
        <is>
          <t>P003</t>
        </is>
      </c>
      <c r="B4" s="4" t="inlineStr">
        <is>
          <t>هيل 100غ</t>
        </is>
      </c>
      <c r="C4" s="4" t="n">
        <v>28</v>
      </c>
      <c r="D4" s="4" t="n">
        <v>18</v>
      </c>
      <c r="E4" s="4" t="n">
        <v>30</v>
      </c>
      <c r="F4">
        <f>IF(A4="","",SUMIFS(المبيعات!$F$2:$F$2000,المبيعات!$D$2:$D$2000,A4))</f>
        <v/>
      </c>
      <c r="G4">
        <f>IF(A4="","",E4-F4)</f>
        <v/>
      </c>
      <c r="H4" s="4" t="n">
        <v>6</v>
      </c>
      <c r="I4">
        <f>IF(OR(A4="",H4=""),"",IF(G4&lt;=H4,"اطلب الآن",""))</f>
        <v/>
      </c>
    </row>
    <row r="5">
      <c r="A5" s="4" t="inlineStr">
        <is>
          <t>P004</t>
        </is>
      </c>
      <c r="B5" s="4" t="inlineStr">
        <is>
          <t>بخور معمول</t>
        </is>
      </c>
      <c r="C5" s="4" t="n">
        <v>60</v>
      </c>
      <c r="D5" s="4" t="n">
        <v>38</v>
      </c>
      <c r="E5" s="4" t="n">
        <v>12</v>
      </c>
      <c r="F5">
        <f>IF(A5="","",SUMIFS(المبيعات!$F$2:$F$2000,المبيعات!$D$2:$D$2000,A5))</f>
        <v/>
      </c>
      <c r="G5">
        <f>IF(A5="","",E5-F5)</f>
        <v/>
      </c>
      <c r="H5" s="4" t="n">
        <v>4</v>
      </c>
      <c r="I5">
        <f>IF(OR(A5="",H5=""),"",IF(G5&lt;=H5,"اطلب الآن",""))</f>
        <v/>
      </c>
    </row>
    <row r="6">
      <c r="A6" s="4" t="inlineStr">
        <is>
          <t>P005</t>
        </is>
      </c>
      <c r="B6" s="4" t="inlineStr">
        <is>
          <t>دلة ستيل</t>
        </is>
      </c>
      <c r="C6" s="4" t="n">
        <v>90</v>
      </c>
      <c r="D6" s="4" t="n">
        <v>55</v>
      </c>
      <c r="E6" s="4" t="n">
        <v>6</v>
      </c>
      <c r="F6">
        <f>IF(A6="","",SUMIFS(المبيعات!$F$2:$F$2000,المبيعات!$D$2:$D$2000,A6))</f>
        <v/>
      </c>
      <c r="G6">
        <f>IF(A6="","",E6-F6)</f>
        <v/>
      </c>
      <c r="H6" s="4" t="n">
        <v>2</v>
      </c>
      <c r="I6">
        <f>IF(OR(A6="",H6=""),"",IF(G6&lt;=H6,"اطلب الآن",""))</f>
        <v/>
      </c>
    </row>
    <row r="7">
      <c r="A7" s="4" t="n"/>
      <c r="B7" s="4" t="n"/>
      <c r="C7" s="4" t="n"/>
      <c r="D7" s="4" t="n"/>
      <c r="E7" s="4" t="n"/>
      <c r="F7">
        <f>IF(A7="","",SUMIFS(المبيعات!$F$2:$F$2000,المبيعات!$D$2:$D$2000,A7))</f>
        <v/>
      </c>
      <c r="G7">
        <f>IF(A7="","",E7-F7)</f>
        <v/>
      </c>
      <c r="H7" s="4" t="n"/>
      <c r="I7">
        <f>IF(OR(A7="",H7=""),"",IF(G7&lt;=H7,"اطلب الآن",""))</f>
        <v/>
      </c>
    </row>
    <row r="8">
      <c r="A8" s="4" t="n"/>
      <c r="B8" s="4" t="n"/>
      <c r="C8" s="4" t="n"/>
      <c r="D8" s="4" t="n"/>
      <c r="E8" s="4" t="n"/>
      <c r="F8">
        <f>IF(A8="","",SUMIFS(المبيعات!$F$2:$F$2000,المبيعات!$D$2:$D$2000,A8))</f>
        <v/>
      </c>
      <c r="G8">
        <f>IF(A8="","",E8-F8)</f>
        <v/>
      </c>
      <c r="H8" s="4" t="n"/>
      <c r="I8">
        <f>IF(OR(A8="",H8=""),"",IF(G8&lt;=H8,"اطلب الآن",""))</f>
        <v/>
      </c>
    </row>
    <row r="9">
      <c r="A9" s="4" t="n"/>
      <c r="B9" s="4" t="n"/>
      <c r="C9" s="4" t="n"/>
      <c r="D9" s="4" t="n"/>
      <c r="E9" s="4" t="n"/>
      <c r="F9">
        <f>IF(A9="","",SUMIFS(المبيعات!$F$2:$F$2000,المبيعات!$D$2:$D$2000,A9))</f>
        <v/>
      </c>
      <c r="G9">
        <f>IF(A9="","",E9-F9)</f>
        <v/>
      </c>
      <c r="H9" s="4" t="n"/>
      <c r="I9">
        <f>IF(OR(A9="",H9=""),"",IF(G9&lt;=H9,"اطلب الآن",""))</f>
        <v/>
      </c>
    </row>
    <row r="10">
      <c r="A10" s="4" t="n"/>
      <c r="B10" s="4" t="n"/>
      <c r="C10" s="4" t="n"/>
      <c r="D10" s="4" t="n"/>
      <c r="E10" s="4" t="n"/>
      <c r="F10">
        <f>IF(A10="","",SUMIFS(المبيعات!$F$2:$F$2000,المبيعات!$D$2:$D$2000,A10))</f>
        <v/>
      </c>
      <c r="G10">
        <f>IF(A10="","",E10-F10)</f>
        <v/>
      </c>
      <c r="H10" s="4" t="n"/>
      <c r="I10">
        <f>IF(OR(A10="",H10=""),"",IF(G10&lt;=H10,"اطلب الآن",""))</f>
        <v/>
      </c>
    </row>
    <row r="11">
      <c r="A11" s="4" t="n"/>
      <c r="B11" s="4" t="n"/>
      <c r="C11" s="4" t="n"/>
      <c r="D11" s="4" t="n"/>
      <c r="E11" s="4" t="n"/>
      <c r="F11">
        <f>IF(A11="","",SUMIFS(المبيعات!$F$2:$F$2000,المبيعات!$D$2:$D$2000,A11))</f>
        <v/>
      </c>
      <c r="G11">
        <f>IF(A11="","",E11-F11)</f>
        <v/>
      </c>
      <c r="H11" s="4" t="n"/>
      <c r="I11">
        <f>IF(OR(A11="",H11=""),"",IF(G11&lt;=H11,"اطلب الآن",""))</f>
        <v/>
      </c>
    </row>
    <row r="12">
      <c r="A12" s="4" t="n"/>
      <c r="B12" s="4" t="n"/>
      <c r="C12" s="4" t="n"/>
      <c r="D12" s="4" t="n"/>
      <c r="E12" s="4" t="n"/>
      <c r="F12">
        <f>IF(A12="","",SUMIFS(المبيعات!$F$2:$F$2000,المبيعات!$D$2:$D$2000,A12))</f>
        <v/>
      </c>
      <c r="G12">
        <f>IF(A12="","",E12-F12)</f>
        <v/>
      </c>
      <c r="H12" s="4" t="n"/>
      <c r="I12">
        <f>IF(OR(A12="",H12=""),"",IF(G12&lt;=H12,"اطلب الآن",""))</f>
        <v/>
      </c>
    </row>
    <row r="13">
      <c r="A13" s="4" t="n"/>
      <c r="B13" s="4" t="n"/>
      <c r="C13" s="4" t="n"/>
      <c r="D13" s="4" t="n"/>
      <c r="E13" s="4" t="n"/>
      <c r="F13">
        <f>IF(A13="","",SUMIFS(المبيعات!$F$2:$F$2000,المبيعات!$D$2:$D$2000,A13))</f>
        <v/>
      </c>
      <c r="G13">
        <f>IF(A13="","",E13-F13)</f>
        <v/>
      </c>
      <c r="H13" s="4" t="n"/>
      <c r="I13">
        <f>IF(OR(A13="",H13=""),"",IF(G13&lt;=H13,"اطلب الآن",""))</f>
        <v/>
      </c>
    </row>
    <row r="14">
      <c r="A14" s="4" t="n"/>
      <c r="B14" s="4" t="n"/>
      <c r="C14" s="4" t="n"/>
      <c r="D14" s="4" t="n"/>
      <c r="E14" s="4" t="n"/>
      <c r="F14">
        <f>IF(A14="","",SUMIFS(المبيعات!$F$2:$F$2000,المبيعات!$D$2:$D$2000,A14))</f>
        <v/>
      </c>
      <c r="G14">
        <f>IF(A14="","",E14-F14)</f>
        <v/>
      </c>
      <c r="H14" s="4" t="n"/>
      <c r="I14">
        <f>IF(OR(A14="",H14=""),"",IF(G14&lt;=H14,"اطلب الآن",""))</f>
        <v/>
      </c>
    </row>
    <row r="15">
      <c r="A15" s="4" t="n"/>
      <c r="B15" s="4" t="n"/>
      <c r="C15" s="4" t="n"/>
      <c r="D15" s="4" t="n"/>
      <c r="E15" s="4" t="n"/>
      <c r="F15">
        <f>IF(A15="","",SUMIFS(المبيعات!$F$2:$F$2000,المبيعات!$D$2:$D$2000,A15))</f>
        <v/>
      </c>
      <c r="G15">
        <f>IF(A15="","",E15-F15)</f>
        <v/>
      </c>
      <c r="H15" s="4" t="n"/>
      <c r="I15">
        <f>IF(OR(A15="",H15=""),"",IF(G15&lt;=H15,"اطلب الآن",""))</f>
        <v/>
      </c>
    </row>
    <row r="16">
      <c r="A16" s="4" t="n"/>
      <c r="B16" s="4" t="n"/>
      <c r="C16" s="4" t="n"/>
      <c r="D16" s="4" t="n"/>
      <c r="E16" s="4" t="n"/>
      <c r="F16">
        <f>IF(A16="","",SUMIFS(المبيعات!$F$2:$F$2000,المبيعات!$D$2:$D$2000,A16))</f>
        <v/>
      </c>
      <c r="G16">
        <f>IF(A16="","",E16-F16)</f>
        <v/>
      </c>
      <c r="H16" s="4" t="n"/>
      <c r="I16">
        <f>IF(OR(A16="",H16=""),"",IF(G16&lt;=H16,"اطلب الآن",""))</f>
        <v/>
      </c>
    </row>
    <row r="17">
      <c r="A17" s="4" t="n"/>
      <c r="B17" s="4" t="n"/>
      <c r="C17" s="4" t="n"/>
      <c r="D17" s="4" t="n"/>
      <c r="E17" s="4" t="n"/>
      <c r="F17">
        <f>IF(A17="","",SUMIFS(المبيعات!$F$2:$F$2000,المبيعات!$D$2:$D$2000,A17))</f>
        <v/>
      </c>
      <c r="G17">
        <f>IF(A17="","",E17-F17)</f>
        <v/>
      </c>
      <c r="H17" s="4" t="n"/>
      <c r="I17">
        <f>IF(OR(A17="",H17=""),"",IF(G17&lt;=H17,"اطلب الآن",""))</f>
        <v/>
      </c>
    </row>
    <row r="18">
      <c r="A18" s="4" t="n"/>
      <c r="B18" s="4" t="n"/>
      <c r="C18" s="4" t="n"/>
      <c r="D18" s="4" t="n"/>
      <c r="E18" s="4" t="n"/>
      <c r="F18">
        <f>IF(A18="","",SUMIFS(المبيعات!$F$2:$F$2000,المبيعات!$D$2:$D$2000,A18))</f>
        <v/>
      </c>
      <c r="G18">
        <f>IF(A18="","",E18-F18)</f>
        <v/>
      </c>
      <c r="H18" s="4" t="n"/>
      <c r="I18">
        <f>IF(OR(A18="",H18=""),"",IF(G18&lt;=H18,"اطلب الآن",""))</f>
        <v/>
      </c>
    </row>
    <row r="19">
      <c r="A19" s="4" t="n"/>
      <c r="B19" s="4" t="n"/>
      <c r="C19" s="4" t="n"/>
      <c r="D19" s="4" t="n"/>
      <c r="E19" s="4" t="n"/>
      <c r="F19">
        <f>IF(A19="","",SUMIFS(المبيعات!$F$2:$F$2000,المبيعات!$D$2:$D$2000,A19))</f>
        <v/>
      </c>
      <c r="G19">
        <f>IF(A19="","",E19-F19)</f>
        <v/>
      </c>
      <c r="H19" s="4" t="n"/>
      <c r="I19">
        <f>IF(OR(A19="",H19=""),"",IF(G19&lt;=H19,"اطلب الآن",""))</f>
        <v/>
      </c>
    </row>
    <row r="20">
      <c r="A20" s="4" t="n"/>
      <c r="B20" s="4" t="n"/>
      <c r="C20" s="4" t="n"/>
      <c r="D20" s="4" t="n"/>
      <c r="E20" s="4" t="n"/>
      <c r="F20">
        <f>IF(A20="","",SUMIFS(المبيعات!$F$2:$F$2000,المبيعات!$D$2:$D$2000,A20))</f>
        <v/>
      </c>
      <c r="G20">
        <f>IF(A20="","",E20-F20)</f>
        <v/>
      </c>
      <c r="H20" s="4" t="n"/>
      <c r="I20">
        <f>IF(OR(A20="",H20=""),"",IF(G20&lt;=H20,"اطلب الآن",""))</f>
        <v/>
      </c>
    </row>
    <row r="21">
      <c r="A21" s="4" t="n"/>
      <c r="B21" s="4" t="n"/>
      <c r="C21" s="4" t="n"/>
      <c r="D21" s="4" t="n"/>
      <c r="E21" s="4" t="n"/>
      <c r="F21">
        <f>IF(A21="","",SUMIFS(المبيعات!$F$2:$F$2000,المبيعات!$D$2:$D$2000,A21))</f>
        <v/>
      </c>
      <c r="G21">
        <f>IF(A21="","",E21-F21)</f>
        <v/>
      </c>
      <c r="H21" s="4" t="n"/>
      <c r="I21">
        <f>IF(OR(A21="",H21=""),"",IF(G21&lt;=H21,"اطلب الآن",""))</f>
        <v/>
      </c>
    </row>
    <row r="22">
      <c r="A22" s="4" t="n"/>
      <c r="B22" s="4" t="n"/>
      <c r="C22" s="4" t="n"/>
      <c r="D22" s="4" t="n"/>
      <c r="E22" s="4" t="n"/>
      <c r="F22">
        <f>IF(A22="","",SUMIFS(المبيعات!$F$2:$F$2000,المبيعات!$D$2:$D$2000,A22))</f>
        <v/>
      </c>
      <c r="G22">
        <f>IF(A22="","",E22-F22)</f>
        <v/>
      </c>
      <c r="H22" s="4" t="n"/>
      <c r="I22">
        <f>IF(OR(A22="",H22=""),"",IF(G22&lt;=H22,"اطلب الآن",""))</f>
        <v/>
      </c>
    </row>
    <row r="23">
      <c r="A23" s="4" t="n"/>
      <c r="B23" s="4" t="n"/>
      <c r="C23" s="4" t="n"/>
      <c r="D23" s="4" t="n"/>
      <c r="E23" s="4" t="n"/>
      <c r="F23">
        <f>IF(A23="","",SUMIFS(المبيعات!$F$2:$F$2000,المبيعات!$D$2:$D$2000,A23))</f>
        <v/>
      </c>
      <c r="G23">
        <f>IF(A23="","",E23-F23)</f>
        <v/>
      </c>
      <c r="H23" s="4" t="n"/>
      <c r="I23">
        <f>IF(OR(A23="",H23=""),"",IF(G23&lt;=H23,"اطلب الآن",""))</f>
        <v/>
      </c>
    </row>
    <row r="24">
      <c r="A24" s="4" t="n"/>
      <c r="B24" s="4" t="n"/>
      <c r="C24" s="4" t="n"/>
      <c r="D24" s="4" t="n"/>
      <c r="E24" s="4" t="n"/>
      <c r="F24">
        <f>IF(A24="","",SUMIFS(المبيعات!$F$2:$F$2000,المبيعات!$D$2:$D$2000,A24))</f>
        <v/>
      </c>
      <c r="G24">
        <f>IF(A24="","",E24-F24)</f>
        <v/>
      </c>
      <c r="H24" s="4" t="n"/>
      <c r="I24">
        <f>IF(OR(A24="",H24=""),"",IF(G24&lt;=H24,"اطلب الآن",""))</f>
        <v/>
      </c>
    </row>
    <row r="25">
      <c r="A25" s="4" t="n"/>
      <c r="B25" s="4" t="n"/>
      <c r="C25" s="4" t="n"/>
      <c r="D25" s="4" t="n"/>
      <c r="E25" s="4" t="n"/>
      <c r="F25">
        <f>IF(A25="","",SUMIFS(المبيعات!$F$2:$F$2000,المبيعات!$D$2:$D$2000,A25))</f>
        <v/>
      </c>
      <c r="G25">
        <f>IF(A25="","",E25-F25)</f>
        <v/>
      </c>
      <c r="H25" s="4" t="n"/>
      <c r="I25">
        <f>IF(OR(A25="",H25=""),"",IF(G25&lt;=H25,"اطلب الآن",""))</f>
        <v/>
      </c>
    </row>
    <row r="26">
      <c r="A26" s="4" t="n"/>
      <c r="B26" s="4" t="n"/>
      <c r="C26" s="4" t="n"/>
      <c r="D26" s="4" t="n"/>
      <c r="E26" s="4" t="n"/>
      <c r="F26">
        <f>IF(A26="","",SUMIFS(المبيعات!$F$2:$F$2000,المبيعات!$D$2:$D$2000,A26))</f>
        <v/>
      </c>
      <c r="G26">
        <f>IF(A26="","",E26-F26)</f>
        <v/>
      </c>
      <c r="H26" s="4" t="n"/>
      <c r="I26">
        <f>IF(OR(A26="",H26=""),"",IF(G26&lt;=H26,"اطلب الآن",""))</f>
        <v/>
      </c>
    </row>
    <row r="27">
      <c r="A27" s="4" t="n"/>
      <c r="B27" s="4" t="n"/>
      <c r="C27" s="4" t="n"/>
      <c r="D27" s="4" t="n"/>
      <c r="E27" s="4" t="n"/>
      <c r="F27">
        <f>IF(A27="","",SUMIFS(المبيعات!$F$2:$F$2000,المبيعات!$D$2:$D$2000,A27))</f>
        <v/>
      </c>
      <c r="G27">
        <f>IF(A27="","",E27-F27)</f>
        <v/>
      </c>
      <c r="H27" s="4" t="n"/>
      <c r="I27">
        <f>IF(OR(A27="",H27=""),"",IF(G27&lt;=H27,"اطلب الآن",""))</f>
        <v/>
      </c>
    </row>
    <row r="28">
      <c r="A28" s="4" t="n"/>
      <c r="B28" s="4" t="n"/>
      <c r="C28" s="4" t="n"/>
      <c r="D28" s="4" t="n"/>
      <c r="E28" s="4" t="n"/>
      <c r="F28">
        <f>IF(A28="","",SUMIFS(المبيعات!$F$2:$F$2000,المبيعات!$D$2:$D$2000,A28))</f>
        <v/>
      </c>
      <c r="G28">
        <f>IF(A28="","",E28-F28)</f>
        <v/>
      </c>
      <c r="H28" s="4" t="n"/>
      <c r="I28">
        <f>IF(OR(A28="",H28=""),"",IF(G28&lt;=H28,"اطلب الآن",""))</f>
        <v/>
      </c>
    </row>
    <row r="29">
      <c r="A29" s="4" t="n"/>
      <c r="B29" s="4" t="n"/>
      <c r="C29" s="4" t="n"/>
      <c r="D29" s="4" t="n"/>
      <c r="E29" s="4" t="n"/>
      <c r="F29">
        <f>IF(A29="","",SUMIFS(المبيعات!$F$2:$F$2000,المبيعات!$D$2:$D$2000,A29))</f>
        <v/>
      </c>
      <c r="G29">
        <f>IF(A29="","",E29-F29)</f>
        <v/>
      </c>
      <c r="H29" s="4" t="n"/>
      <c r="I29">
        <f>IF(OR(A29="",H29=""),"",IF(G29&lt;=H29,"اطلب الآن",""))</f>
        <v/>
      </c>
    </row>
    <row r="30">
      <c r="A30" s="4" t="n"/>
      <c r="B30" s="4" t="n"/>
      <c r="C30" s="4" t="n"/>
      <c r="D30" s="4" t="n"/>
      <c r="E30" s="4" t="n"/>
      <c r="F30">
        <f>IF(A30="","",SUMIFS(المبيعات!$F$2:$F$2000,المبيعات!$D$2:$D$2000,A30))</f>
        <v/>
      </c>
      <c r="G30">
        <f>IF(A30="","",E30-F30)</f>
        <v/>
      </c>
      <c r="H30" s="4" t="n"/>
      <c r="I30">
        <f>IF(OR(A30="",H30=""),"",IF(G30&lt;=H30,"اطلب الآن",""))</f>
        <v/>
      </c>
    </row>
    <row r="31">
      <c r="A31" s="4" t="n"/>
      <c r="B31" s="4" t="n"/>
      <c r="C31" s="4" t="n"/>
      <c r="D31" s="4" t="n"/>
      <c r="E31" s="4" t="n"/>
      <c r="F31">
        <f>IF(A31="","",SUMIFS(المبيعات!$F$2:$F$2000,المبيعات!$D$2:$D$2000,A31))</f>
        <v/>
      </c>
      <c r="G31">
        <f>IF(A31="","",E31-F31)</f>
        <v/>
      </c>
      <c r="H31" s="4" t="n"/>
      <c r="I31">
        <f>IF(OR(A31="",H31=""),"",IF(G31&lt;=H31,"اطلب الآن",""))</f>
        <v/>
      </c>
    </row>
    <row r="32">
      <c r="A32" s="4" t="n"/>
      <c r="B32" s="4" t="n"/>
      <c r="C32" s="4" t="n"/>
      <c r="D32" s="4" t="n"/>
      <c r="E32" s="4" t="n"/>
      <c r="F32">
        <f>IF(A32="","",SUMIFS(المبيعات!$F$2:$F$2000,المبيعات!$D$2:$D$2000,A32))</f>
        <v/>
      </c>
      <c r="G32">
        <f>IF(A32="","",E32-F32)</f>
        <v/>
      </c>
      <c r="H32" s="4" t="n"/>
      <c r="I32">
        <f>IF(OR(A32="",H32=""),"",IF(G32&lt;=H32,"اطلب الآن",""))</f>
        <v/>
      </c>
    </row>
    <row r="33">
      <c r="A33" s="4" t="n"/>
      <c r="B33" s="4" t="n"/>
      <c r="C33" s="4" t="n"/>
      <c r="D33" s="4" t="n"/>
      <c r="E33" s="4" t="n"/>
      <c r="F33">
        <f>IF(A33="","",SUMIFS(المبيعات!$F$2:$F$2000,المبيعات!$D$2:$D$2000,A33))</f>
        <v/>
      </c>
      <c r="G33">
        <f>IF(A33="","",E33-F33)</f>
        <v/>
      </c>
      <c r="H33" s="4" t="n"/>
      <c r="I33">
        <f>IF(OR(A33="",H33=""),"",IF(G33&lt;=H33,"اطلب الآن",""))</f>
        <v/>
      </c>
    </row>
    <row r="34">
      <c r="A34" s="4" t="n"/>
      <c r="B34" s="4" t="n"/>
      <c r="C34" s="4" t="n"/>
      <c r="D34" s="4" t="n"/>
      <c r="E34" s="4" t="n"/>
      <c r="F34">
        <f>IF(A34="","",SUMIFS(المبيعات!$F$2:$F$2000,المبيعات!$D$2:$D$2000,A34))</f>
        <v/>
      </c>
      <c r="G34">
        <f>IF(A34="","",E34-F34)</f>
        <v/>
      </c>
      <c r="H34" s="4" t="n"/>
      <c r="I34">
        <f>IF(OR(A34="",H34=""),"",IF(G34&lt;=H34,"اطلب الآن",""))</f>
        <v/>
      </c>
    </row>
    <row r="35">
      <c r="A35" s="4" t="n"/>
      <c r="B35" s="4" t="n"/>
      <c r="C35" s="4" t="n"/>
      <c r="D35" s="4" t="n"/>
      <c r="E35" s="4" t="n"/>
      <c r="F35">
        <f>IF(A35="","",SUMIFS(المبيعات!$F$2:$F$2000,المبيعات!$D$2:$D$2000,A35))</f>
        <v/>
      </c>
      <c r="G35">
        <f>IF(A35="","",E35-F35)</f>
        <v/>
      </c>
      <c r="H35" s="4" t="n"/>
      <c r="I35">
        <f>IF(OR(A35="",H35=""),"",IF(G35&lt;=H35,"اطلب الآن",""))</f>
        <v/>
      </c>
    </row>
    <row r="36">
      <c r="A36" s="4" t="n"/>
      <c r="B36" s="4" t="n"/>
      <c r="C36" s="4" t="n"/>
      <c r="D36" s="4" t="n"/>
      <c r="E36" s="4" t="n"/>
      <c r="F36">
        <f>IF(A36="","",SUMIFS(المبيعات!$F$2:$F$2000,المبيعات!$D$2:$D$2000,A36))</f>
        <v/>
      </c>
      <c r="G36">
        <f>IF(A36="","",E36-F36)</f>
        <v/>
      </c>
      <c r="H36" s="4" t="n"/>
      <c r="I36">
        <f>IF(OR(A36="",H36=""),"",IF(G36&lt;=H36,"اطلب الآن",""))</f>
        <v/>
      </c>
    </row>
    <row r="37">
      <c r="A37" s="4" t="n"/>
      <c r="B37" s="4" t="n"/>
      <c r="C37" s="4" t="n"/>
      <c r="D37" s="4" t="n"/>
      <c r="E37" s="4" t="n"/>
      <c r="F37">
        <f>IF(A37="","",SUMIFS(المبيعات!$F$2:$F$2000,المبيعات!$D$2:$D$2000,A37))</f>
        <v/>
      </c>
      <c r="G37">
        <f>IF(A37="","",E37-F37)</f>
        <v/>
      </c>
      <c r="H37" s="4" t="n"/>
      <c r="I37">
        <f>IF(OR(A37="",H37=""),"",IF(G37&lt;=H37,"اطلب الآن",""))</f>
        <v/>
      </c>
    </row>
    <row r="38">
      <c r="A38" s="4" t="n"/>
      <c r="B38" s="4" t="n"/>
      <c r="C38" s="4" t="n"/>
      <c r="D38" s="4" t="n"/>
      <c r="E38" s="4" t="n"/>
      <c r="F38">
        <f>IF(A38="","",SUMIFS(المبيعات!$F$2:$F$2000,المبيعات!$D$2:$D$2000,A38))</f>
        <v/>
      </c>
      <c r="G38">
        <f>IF(A38="","",E38-F38)</f>
        <v/>
      </c>
      <c r="H38" s="4" t="n"/>
      <c r="I38">
        <f>IF(OR(A38="",H38=""),"",IF(G38&lt;=H38,"اطلب الآن",""))</f>
        <v/>
      </c>
    </row>
    <row r="39">
      <c r="A39" s="4" t="n"/>
      <c r="B39" s="4" t="n"/>
      <c r="C39" s="4" t="n"/>
      <c r="D39" s="4" t="n"/>
      <c r="E39" s="4" t="n"/>
      <c r="F39">
        <f>IF(A39="","",SUMIFS(المبيعات!$F$2:$F$2000,المبيعات!$D$2:$D$2000,A39))</f>
        <v/>
      </c>
      <c r="G39">
        <f>IF(A39="","",E39-F39)</f>
        <v/>
      </c>
      <c r="H39" s="4" t="n"/>
      <c r="I39">
        <f>IF(OR(A39="",H39=""),"",IF(G39&lt;=H39,"اطلب الآن",""))</f>
        <v/>
      </c>
    </row>
    <row r="40">
      <c r="A40" s="4" t="n"/>
      <c r="B40" s="4" t="n"/>
      <c r="C40" s="4" t="n"/>
      <c r="D40" s="4" t="n"/>
      <c r="E40" s="4" t="n"/>
      <c r="F40">
        <f>IF(A40="","",SUMIFS(المبيعات!$F$2:$F$2000,المبيعات!$D$2:$D$2000,A40))</f>
        <v/>
      </c>
      <c r="G40">
        <f>IF(A40="","",E40-F40)</f>
        <v/>
      </c>
      <c r="H40" s="4" t="n"/>
      <c r="I40">
        <f>IF(OR(A40="",H40=""),"",IF(G40&lt;=H40,"اطلب الآن",""))</f>
        <v/>
      </c>
    </row>
    <row r="41">
      <c r="A41" s="4" t="n"/>
      <c r="B41" s="4" t="n"/>
      <c r="C41" s="4" t="n"/>
      <c r="D41" s="4" t="n"/>
      <c r="E41" s="4" t="n"/>
      <c r="F41">
        <f>IF(A41="","",SUMIFS(المبيعات!$F$2:$F$2000,المبيعات!$D$2:$D$2000,A41))</f>
        <v/>
      </c>
      <c r="G41">
        <f>IF(A41="","",E41-F41)</f>
        <v/>
      </c>
      <c r="H41" s="4" t="n"/>
      <c r="I41">
        <f>IF(OR(A41="",H41=""),"",IF(G41&lt;=H41,"اطلب الآن",""))</f>
        <v/>
      </c>
    </row>
    <row r="42">
      <c r="A42" s="4" t="n"/>
      <c r="B42" s="4" t="n"/>
      <c r="C42" s="4" t="n"/>
      <c r="D42" s="4" t="n"/>
      <c r="E42" s="4" t="n"/>
      <c r="F42">
        <f>IF(A42="","",SUMIFS(المبيعات!$F$2:$F$2000,المبيعات!$D$2:$D$2000,A42))</f>
        <v/>
      </c>
      <c r="G42">
        <f>IF(A42="","",E42-F42)</f>
        <v/>
      </c>
      <c r="H42" s="4" t="n"/>
      <c r="I42">
        <f>IF(OR(A42="",H42=""),"",IF(G42&lt;=H42,"اطلب الآن",""))</f>
        <v/>
      </c>
    </row>
    <row r="43">
      <c r="A43" s="4" t="n"/>
      <c r="B43" s="4" t="n"/>
      <c r="C43" s="4" t="n"/>
      <c r="D43" s="4" t="n"/>
      <c r="E43" s="4" t="n"/>
      <c r="F43">
        <f>IF(A43="","",SUMIFS(المبيعات!$F$2:$F$2000,المبيعات!$D$2:$D$2000,A43))</f>
        <v/>
      </c>
      <c r="G43">
        <f>IF(A43="","",E43-F43)</f>
        <v/>
      </c>
      <c r="H43" s="4" t="n"/>
      <c r="I43">
        <f>IF(OR(A43="",H43=""),"",IF(G43&lt;=H43,"اطلب الآن",""))</f>
        <v/>
      </c>
    </row>
    <row r="44">
      <c r="A44" s="4" t="n"/>
      <c r="B44" s="4" t="n"/>
      <c r="C44" s="4" t="n"/>
      <c r="D44" s="4" t="n"/>
      <c r="E44" s="4" t="n"/>
      <c r="F44">
        <f>IF(A44="","",SUMIFS(المبيعات!$F$2:$F$2000,المبيعات!$D$2:$D$2000,A44))</f>
        <v/>
      </c>
      <c r="G44">
        <f>IF(A44="","",E44-F44)</f>
        <v/>
      </c>
      <c r="H44" s="4" t="n"/>
      <c r="I44">
        <f>IF(OR(A44="",H44=""),"",IF(G44&lt;=H44,"اطلب الآن",""))</f>
        <v/>
      </c>
    </row>
    <row r="45">
      <c r="A45" s="4" t="n"/>
      <c r="B45" s="4" t="n"/>
      <c r="C45" s="4" t="n"/>
      <c r="D45" s="4" t="n"/>
      <c r="E45" s="4" t="n"/>
      <c r="F45">
        <f>IF(A45="","",SUMIFS(المبيعات!$F$2:$F$2000,المبيعات!$D$2:$D$2000,A45))</f>
        <v/>
      </c>
      <c r="G45">
        <f>IF(A45="","",E45-F45)</f>
        <v/>
      </c>
      <c r="H45" s="4" t="n"/>
      <c r="I45">
        <f>IF(OR(A45="",H45=""),"",IF(G45&lt;=H45,"اطلب الآن",""))</f>
        <v/>
      </c>
    </row>
    <row r="46">
      <c r="A46" s="4" t="n"/>
      <c r="B46" s="4" t="n"/>
      <c r="C46" s="4" t="n"/>
      <c r="D46" s="4" t="n"/>
      <c r="E46" s="4" t="n"/>
      <c r="F46">
        <f>IF(A46="","",SUMIFS(المبيعات!$F$2:$F$2000,المبيعات!$D$2:$D$2000,A46))</f>
        <v/>
      </c>
      <c r="G46">
        <f>IF(A46="","",E46-F46)</f>
        <v/>
      </c>
      <c r="H46" s="4" t="n"/>
      <c r="I46">
        <f>IF(OR(A46="",H46=""),"",IF(G46&lt;=H46,"اطلب الآن",""))</f>
        <v/>
      </c>
    </row>
    <row r="47">
      <c r="A47" s="4" t="n"/>
      <c r="B47" s="4" t="n"/>
      <c r="C47" s="4" t="n"/>
      <c r="D47" s="4" t="n"/>
      <c r="E47" s="4" t="n"/>
      <c r="F47">
        <f>IF(A47="","",SUMIFS(المبيعات!$F$2:$F$2000,المبيعات!$D$2:$D$2000,A47))</f>
        <v/>
      </c>
      <c r="G47">
        <f>IF(A47="","",E47-F47)</f>
        <v/>
      </c>
      <c r="H47" s="4" t="n"/>
      <c r="I47">
        <f>IF(OR(A47="",H47=""),"",IF(G47&lt;=H47,"اطلب الآن",""))</f>
        <v/>
      </c>
    </row>
    <row r="48">
      <c r="A48" s="4" t="n"/>
      <c r="B48" s="4" t="n"/>
      <c r="C48" s="4" t="n"/>
      <c r="D48" s="4" t="n"/>
      <c r="E48" s="4" t="n"/>
      <c r="F48">
        <f>IF(A48="","",SUMIFS(المبيعات!$F$2:$F$2000,المبيعات!$D$2:$D$2000,A48))</f>
        <v/>
      </c>
      <c r="G48">
        <f>IF(A48="","",E48-F48)</f>
        <v/>
      </c>
      <c r="H48" s="4" t="n"/>
      <c r="I48">
        <f>IF(OR(A48="",H48=""),"",IF(G48&lt;=H48,"اطلب الآن",""))</f>
        <v/>
      </c>
    </row>
    <row r="49">
      <c r="A49" s="4" t="n"/>
      <c r="B49" s="4" t="n"/>
      <c r="C49" s="4" t="n"/>
      <c r="D49" s="4" t="n"/>
      <c r="E49" s="4" t="n"/>
      <c r="F49">
        <f>IF(A49="","",SUMIFS(المبيعات!$F$2:$F$2000,المبيعات!$D$2:$D$2000,A49))</f>
        <v/>
      </c>
      <c r="G49">
        <f>IF(A49="","",E49-F49)</f>
        <v/>
      </c>
      <c r="H49" s="4" t="n"/>
      <c r="I49">
        <f>IF(OR(A49="",H49=""),"",IF(G49&lt;=H49,"اطلب الآن",""))</f>
        <v/>
      </c>
    </row>
    <row r="50">
      <c r="A50" s="4" t="n"/>
      <c r="B50" s="4" t="n"/>
      <c r="C50" s="4" t="n"/>
      <c r="D50" s="4" t="n"/>
      <c r="E50" s="4" t="n"/>
      <c r="F50">
        <f>IF(A50="","",SUMIFS(المبيعات!$F$2:$F$2000,المبيعات!$D$2:$D$2000,A50))</f>
        <v/>
      </c>
      <c r="G50">
        <f>IF(A50="","",E50-F50)</f>
        <v/>
      </c>
      <c r="H50" s="4" t="n"/>
      <c r="I50">
        <f>IF(OR(A50="",H50=""),"",IF(G50&lt;=H50,"اطلب الآن",""))</f>
        <v/>
      </c>
    </row>
    <row r="51">
      <c r="A51" s="4" t="n"/>
      <c r="B51" s="4" t="n"/>
      <c r="C51" s="4" t="n"/>
      <c r="D51" s="4" t="n"/>
      <c r="E51" s="4" t="n"/>
      <c r="F51">
        <f>IF(A51="","",SUMIFS(المبيعات!$F$2:$F$2000,المبيعات!$D$2:$D$2000,A51))</f>
        <v/>
      </c>
      <c r="G51">
        <f>IF(A51="","",E51-F51)</f>
        <v/>
      </c>
      <c r="H51" s="4" t="n"/>
      <c r="I51">
        <f>IF(OR(A51="",H51=""),"",IF(G51&lt;=H51,"اطلب الآن",""))</f>
        <v/>
      </c>
    </row>
    <row r="52">
      <c r="A52" s="4" t="n"/>
      <c r="B52" s="4" t="n"/>
      <c r="C52" s="4" t="n"/>
      <c r="D52" s="4" t="n"/>
      <c r="E52" s="4" t="n"/>
      <c r="F52">
        <f>IF(A52="","",SUMIFS(المبيعات!$F$2:$F$2000,المبيعات!$D$2:$D$2000,A52))</f>
        <v/>
      </c>
      <c r="G52">
        <f>IF(A52="","",E52-F52)</f>
        <v/>
      </c>
      <c r="H52" s="4" t="n"/>
      <c r="I52">
        <f>IF(OR(A52="",H52=""),"",IF(G52&lt;=H52,"اطلب الآن",""))</f>
        <v/>
      </c>
    </row>
    <row r="53">
      <c r="A53" s="4" t="n"/>
      <c r="B53" s="4" t="n"/>
      <c r="C53" s="4" t="n"/>
      <c r="D53" s="4" t="n"/>
      <c r="E53" s="4" t="n"/>
      <c r="F53">
        <f>IF(A53="","",SUMIFS(المبيعات!$F$2:$F$2000,المبيعات!$D$2:$D$2000,A53))</f>
        <v/>
      </c>
      <c r="G53">
        <f>IF(A53="","",E53-F53)</f>
        <v/>
      </c>
      <c r="H53" s="4" t="n"/>
      <c r="I53">
        <f>IF(OR(A53="",H53=""),"",IF(G53&lt;=H53,"اطلب الآن",""))</f>
        <v/>
      </c>
    </row>
    <row r="54">
      <c r="A54" s="4" t="n"/>
      <c r="B54" s="4" t="n"/>
      <c r="C54" s="4" t="n"/>
      <c r="D54" s="4" t="n"/>
      <c r="E54" s="4" t="n"/>
      <c r="F54">
        <f>IF(A54="","",SUMIFS(المبيعات!$F$2:$F$2000,المبيعات!$D$2:$D$2000,A54))</f>
        <v/>
      </c>
      <c r="G54">
        <f>IF(A54="","",E54-F54)</f>
        <v/>
      </c>
      <c r="H54" s="4" t="n"/>
      <c r="I54">
        <f>IF(OR(A54="",H54=""),"",IF(G54&lt;=H54,"اطلب الآن",""))</f>
        <v/>
      </c>
    </row>
    <row r="55">
      <c r="A55" s="4" t="n"/>
      <c r="B55" s="4" t="n"/>
      <c r="C55" s="4" t="n"/>
      <c r="D55" s="4" t="n"/>
      <c r="E55" s="4" t="n"/>
      <c r="F55">
        <f>IF(A55="","",SUMIFS(المبيعات!$F$2:$F$2000,المبيعات!$D$2:$D$2000,A55))</f>
        <v/>
      </c>
      <c r="G55">
        <f>IF(A55="","",E55-F55)</f>
        <v/>
      </c>
      <c r="H55" s="4" t="n"/>
      <c r="I55">
        <f>IF(OR(A55="",H55=""),"",IF(G55&lt;=H55,"اطلب الآن",""))</f>
        <v/>
      </c>
    </row>
    <row r="56">
      <c r="A56" s="4" t="n"/>
      <c r="B56" s="4" t="n"/>
      <c r="C56" s="4" t="n"/>
      <c r="D56" s="4" t="n"/>
      <c r="E56" s="4" t="n"/>
      <c r="F56">
        <f>IF(A56="","",SUMIFS(المبيعات!$F$2:$F$2000,المبيعات!$D$2:$D$2000,A56))</f>
        <v/>
      </c>
      <c r="G56">
        <f>IF(A56="","",E56-F56)</f>
        <v/>
      </c>
      <c r="H56" s="4" t="n"/>
      <c r="I56">
        <f>IF(OR(A56="",H56=""),"",IF(G56&lt;=H56,"اطلب الآن",""))</f>
        <v/>
      </c>
    </row>
    <row r="57">
      <c r="A57" s="4" t="n"/>
      <c r="B57" s="4" t="n"/>
      <c r="C57" s="4" t="n"/>
      <c r="D57" s="4" t="n"/>
      <c r="E57" s="4" t="n"/>
      <c r="F57">
        <f>IF(A57="","",SUMIFS(المبيعات!$F$2:$F$2000,المبيعات!$D$2:$D$2000,A57))</f>
        <v/>
      </c>
      <c r="G57">
        <f>IF(A57="","",E57-F57)</f>
        <v/>
      </c>
      <c r="H57" s="4" t="n"/>
      <c r="I57">
        <f>IF(OR(A57="",H57=""),"",IF(G57&lt;=H57,"اطلب الآن",""))</f>
        <v/>
      </c>
    </row>
    <row r="58">
      <c r="A58" s="4" t="n"/>
      <c r="B58" s="4" t="n"/>
      <c r="C58" s="4" t="n"/>
      <c r="D58" s="4" t="n"/>
      <c r="E58" s="4" t="n"/>
      <c r="F58">
        <f>IF(A58="","",SUMIFS(المبيعات!$F$2:$F$2000,المبيعات!$D$2:$D$2000,A58))</f>
        <v/>
      </c>
      <c r="G58">
        <f>IF(A58="","",E58-F58)</f>
        <v/>
      </c>
      <c r="H58" s="4" t="n"/>
      <c r="I58">
        <f>IF(OR(A58="",H58=""),"",IF(G58&lt;=H58,"اطلب الآن",""))</f>
        <v/>
      </c>
    </row>
    <row r="59">
      <c r="A59" s="4" t="n"/>
      <c r="B59" s="4" t="n"/>
      <c r="C59" s="4" t="n"/>
      <c r="D59" s="4" t="n"/>
      <c r="E59" s="4" t="n"/>
      <c r="F59">
        <f>IF(A59="","",SUMIFS(المبيعات!$F$2:$F$2000,المبيعات!$D$2:$D$2000,A59))</f>
        <v/>
      </c>
      <c r="G59">
        <f>IF(A59="","",E59-F59)</f>
        <v/>
      </c>
      <c r="H59" s="4" t="n"/>
      <c r="I59">
        <f>IF(OR(A59="",H59=""),"",IF(G59&lt;=H59,"اطلب الآن",""))</f>
        <v/>
      </c>
    </row>
    <row r="60">
      <c r="A60" s="4" t="n"/>
      <c r="B60" s="4" t="n"/>
      <c r="C60" s="4" t="n"/>
      <c r="D60" s="4" t="n"/>
      <c r="E60" s="4" t="n"/>
      <c r="F60">
        <f>IF(A60="","",SUMIFS(المبيعات!$F$2:$F$2000,المبيعات!$D$2:$D$2000,A60))</f>
        <v/>
      </c>
      <c r="G60">
        <f>IF(A60="","",E60-F60)</f>
        <v/>
      </c>
      <c r="H60" s="4" t="n"/>
      <c r="I60">
        <f>IF(OR(A60="",H60=""),"",IF(G60&lt;=H60,"اطلب الآن",""))</f>
        <v/>
      </c>
    </row>
    <row r="61">
      <c r="A61" s="4" t="n"/>
      <c r="B61" s="4" t="n"/>
      <c r="C61" s="4" t="n"/>
      <c r="D61" s="4" t="n"/>
      <c r="E61" s="4" t="n"/>
      <c r="F61">
        <f>IF(A61="","",SUMIFS(المبيعات!$F$2:$F$2000,المبيعات!$D$2:$D$2000,A61))</f>
        <v/>
      </c>
      <c r="G61">
        <f>IF(A61="","",E61-F61)</f>
        <v/>
      </c>
      <c r="H61" s="4" t="n"/>
      <c r="I61">
        <f>IF(OR(A61="",H61=""),"",IF(G61&lt;=H61,"اطلب الآن",""))</f>
        <v/>
      </c>
    </row>
    <row r="62">
      <c r="A62" s="4" t="n"/>
      <c r="B62" s="4" t="n"/>
      <c r="C62" s="4" t="n"/>
      <c r="D62" s="4" t="n"/>
      <c r="E62" s="4" t="n"/>
      <c r="F62">
        <f>IF(A62="","",SUMIFS(المبيعات!$F$2:$F$2000,المبيعات!$D$2:$D$2000,A62))</f>
        <v/>
      </c>
      <c r="G62">
        <f>IF(A62="","",E62-F62)</f>
        <v/>
      </c>
      <c r="H62" s="4" t="n"/>
      <c r="I62">
        <f>IF(OR(A62="",H62=""),"",IF(G62&lt;=H62,"اطلب الآن",""))</f>
        <v/>
      </c>
    </row>
    <row r="63">
      <c r="A63" s="4" t="n"/>
      <c r="B63" s="4" t="n"/>
      <c r="C63" s="4" t="n"/>
      <c r="D63" s="4" t="n"/>
      <c r="E63" s="4" t="n"/>
      <c r="F63">
        <f>IF(A63="","",SUMIFS(المبيعات!$F$2:$F$2000,المبيعات!$D$2:$D$2000,A63))</f>
        <v/>
      </c>
      <c r="G63">
        <f>IF(A63="","",E63-F63)</f>
        <v/>
      </c>
      <c r="H63" s="4" t="n"/>
      <c r="I63">
        <f>IF(OR(A63="",H63=""),"",IF(G63&lt;=H63,"اطلب الآن",""))</f>
        <v/>
      </c>
    </row>
    <row r="64">
      <c r="A64" s="4" t="n"/>
      <c r="B64" s="4" t="n"/>
      <c r="C64" s="4" t="n"/>
      <c r="D64" s="4" t="n"/>
      <c r="E64" s="4" t="n"/>
      <c r="F64">
        <f>IF(A64="","",SUMIFS(المبيعات!$F$2:$F$2000,المبيعات!$D$2:$D$2000,A64))</f>
        <v/>
      </c>
      <c r="G64">
        <f>IF(A64="","",E64-F64)</f>
        <v/>
      </c>
      <c r="H64" s="4" t="n"/>
      <c r="I64">
        <f>IF(OR(A64="",H64=""),"",IF(G64&lt;=H64,"اطلب الآن",""))</f>
        <v/>
      </c>
    </row>
    <row r="65">
      <c r="A65" s="4" t="n"/>
      <c r="B65" s="4" t="n"/>
      <c r="C65" s="4" t="n"/>
      <c r="D65" s="4" t="n"/>
      <c r="E65" s="4" t="n"/>
      <c r="F65">
        <f>IF(A65="","",SUMIFS(المبيعات!$F$2:$F$2000,المبيعات!$D$2:$D$2000,A65))</f>
        <v/>
      </c>
      <c r="G65">
        <f>IF(A65="","",E65-F65)</f>
        <v/>
      </c>
      <c r="H65" s="4" t="n"/>
      <c r="I65">
        <f>IF(OR(A65="",H65=""),"",IF(G65&lt;=H65,"اطلب الآن",""))</f>
        <v/>
      </c>
    </row>
    <row r="66">
      <c r="A66" s="4" t="n"/>
      <c r="B66" s="4" t="n"/>
      <c r="C66" s="4" t="n"/>
      <c r="D66" s="4" t="n"/>
      <c r="E66" s="4" t="n"/>
      <c r="F66">
        <f>IF(A66="","",SUMIFS(المبيعات!$F$2:$F$2000,المبيعات!$D$2:$D$2000,A66))</f>
        <v/>
      </c>
      <c r="G66">
        <f>IF(A66="","",E66-F66)</f>
        <v/>
      </c>
      <c r="H66" s="4" t="n"/>
      <c r="I66">
        <f>IF(OR(A66="",H66=""),"",IF(G66&lt;=H66,"اطلب الآن",""))</f>
        <v/>
      </c>
    </row>
    <row r="67">
      <c r="A67" s="4" t="n"/>
      <c r="B67" s="4" t="n"/>
      <c r="C67" s="4" t="n"/>
      <c r="D67" s="4" t="n"/>
      <c r="E67" s="4" t="n"/>
      <c r="F67">
        <f>IF(A67="","",SUMIFS(المبيعات!$F$2:$F$2000,المبيعات!$D$2:$D$2000,A67))</f>
        <v/>
      </c>
      <c r="G67">
        <f>IF(A67="","",E67-F67)</f>
        <v/>
      </c>
      <c r="H67" s="4" t="n"/>
      <c r="I67">
        <f>IF(OR(A67="",H67=""),"",IF(G67&lt;=H67,"اطلب الآن",""))</f>
        <v/>
      </c>
    </row>
    <row r="68">
      <c r="A68" s="4" t="n"/>
      <c r="B68" s="4" t="n"/>
      <c r="C68" s="4" t="n"/>
      <c r="D68" s="4" t="n"/>
      <c r="E68" s="4" t="n"/>
      <c r="F68">
        <f>IF(A68="","",SUMIFS(المبيعات!$F$2:$F$2000,المبيعات!$D$2:$D$2000,A68))</f>
        <v/>
      </c>
      <c r="G68">
        <f>IF(A68="","",E68-F68)</f>
        <v/>
      </c>
      <c r="H68" s="4" t="n"/>
      <c r="I68">
        <f>IF(OR(A68="",H68=""),"",IF(G68&lt;=H68,"اطلب الآن",""))</f>
        <v/>
      </c>
    </row>
    <row r="69">
      <c r="A69" s="4" t="n"/>
      <c r="B69" s="4" t="n"/>
      <c r="C69" s="4" t="n"/>
      <c r="D69" s="4" t="n"/>
      <c r="E69" s="4" t="n"/>
      <c r="F69">
        <f>IF(A69="","",SUMIFS(المبيعات!$F$2:$F$2000,المبيعات!$D$2:$D$2000,A69))</f>
        <v/>
      </c>
      <c r="G69">
        <f>IF(A69="","",E69-F69)</f>
        <v/>
      </c>
      <c r="H69" s="4" t="n"/>
      <c r="I69">
        <f>IF(OR(A69="",H69=""),"",IF(G69&lt;=H69,"اطلب الآن",""))</f>
        <v/>
      </c>
    </row>
    <row r="70">
      <c r="A70" s="4" t="n"/>
      <c r="B70" s="4" t="n"/>
      <c r="C70" s="4" t="n"/>
      <c r="D70" s="4" t="n"/>
      <c r="E70" s="4" t="n"/>
      <c r="F70">
        <f>IF(A70="","",SUMIFS(المبيعات!$F$2:$F$2000,المبيعات!$D$2:$D$2000,A70))</f>
        <v/>
      </c>
      <c r="G70">
        <f>IF(A70="","",E70-F70)</f>
        <v/>
      </c>
      <c r="H70" s="4" t="n"/>
      <c r="I70">
        <f>IF(OR(A70="",H70=""),"",IF(G70&lt;=H70,"اطلب الآن",""))</f>
        <v/>
      </c>
    </row>
    <row r="71">
      <c r="A71" s="4" t="n"/>
      <c r="B71" s="4" t="n"/>
      <c r="C71" s="4" t="n"/>
      <c r="D71" s="4" t="n"/>
      <c r="E71" s="4" t="n"/>
      <c r="F71">
        <f>IF(A71="","",SUMIFS(المبيعات!$F$2:$F$2000,المبيعات!$D$2:$D$2000,A71))</f>
        <v/>
      </c>
      <c r="G71">
        <f>IF(A71="","",E71-F71)</f>
        <v/>
      </c>
      <c r="H71" s="4" t="n"/>
      <c r="I71">
        <f>IF(OR(A71="",H71=""),"",IF(G71&lt;=H71,"اطلب الآن",""))</f>
        <v/>
      </c>
    </row>
    <row r="72">
      <c r="A72" s="4" t="n"/>
      <c r="B72" s="4" t="n"/>
      <c r="C72" s="4" t="n"/>
      <c r="D72" s="4" t="n"/>
      <c r="E72" s="4" t="n"/>
      <c r="F72">
        <f>IF(A72="","",SUMIFS(المبيعات!$F$2:$F$2000,المبيعات!$D$2:$D$2000,A72))</f>
        <v/>
      </c>
      <c r="G72">
        <f>IF(A72="","",E72-F72)</f>
        <v/>
      </c>
      <c r="H72" s="4" t="n"/>
      <c r="I72">
        <f>IF(OR(A72="",H72=""),"",IF(G72&lt;=H72,"اطلب الآن",""))</f>
        <v/>
      </c>
    </row>
    <row r="73">
      <c r="A73" s="4" t="n"/>
      <c r="B73" s="4" t="n"/>
      <c r="C73" s="4" t="n"/>
      <c r="D73" s="4" t="n"/>
      <c r="E73" s="4" t="n"/>
      <c r="F73">
        <f>IF(A73="","",SUMIFS(المبيعات!$F$2:$F$2000,المبيعات!$D$2:$D$2000,A73))</f>
        <v/>
      </c>
      <c r="G73">
        <f>IF(A73="","",E73-F73)</f>
        <v/>
      </c>
      <c r="H73" s="4" t="n"/>
      <c r="I73">
        <f>IF(OR(A73="",H73=""),"",IF(G73&lt;=H73,"اطلب الآن",""))</f>
        <v/>
      </c>
    </row>
    <row r="74">
      <c r="A74" s="4" t="n"/>
      <c r="B74" s="4" t="n"/>
      <c r="C74" s="4" t="n"/>
      <c r="D74" s="4" t="n"/>
      <c r="E74" s="4" t="n"/>
      <c r="F74">
        <f>IF(A74="","",SUMIFS(المبيعات!$F$2:$F$2000,المبيعات!$D$2:$D$2000,A74))</f>
        <v/>
      </c>
      <c r="G74">
        <f>IF(A74="","",E74-F74)</f>
        <v/>
      </c>
      <c r="H74" s="4" t="n"/>
      <c r="I74">
        <f>IF(OR(A74="",H74=""),"",IF(G74&lt;=H74,"اطلب الآن",""))</f>
        <v/>
      </c>
    </row>
    <row r="75">
      <c r="A75" s="4" t="n"/>
      <c r="B75" s="4" t="n"/>
      <c r="C75" s="4" t="n"/>
      <c r="D75" s="4" t="n"/>
      <c r="E75" s="4" t="n"/>
      <c r="F75">
        <f>IF(A75="","",SUMIFS(المبيعات!$F$2:$F$2000,المبيعات!$D$2:$D$2000,A75))</f>
        <v/>
      </c>
      <c r="G75">
        <f>IF(A75="","",E75-F75)</f>
        <v/>
      </c>
      <c r="H75" s="4" t="n"/>
      <c r="I75">
        <f>IF(OR(A75="",H75=""),"",IF(G75&lt;=H75,"اطلب الآن",""))</f>
        <v/>
      </c>
    </row>
    <row r="76">
      <c r="A76" s="4" t="n"/>
      <c r="B76" s="4" t="n"/>
      <c r="C76" s="4" t="n"/>
      <c r="D76" s="4" t="n"/>
      <c r="E76" s="4" t="n"/>
      <c r="F76">
        <f>IF(A76="","",SUMIFS(المبيعات!$F$2:$F$2000,المبيعات!$D$2:$D$2000,A76))</f>
        <v/>
      </c>
      <c r="G76">
        <f>IF(A76="","",E76-F76)</f>
        <v/>
      </c>
      <c r="H76" s="4" t="n"/>
      <c r="I76">
        <f>IF(OR(A76="",H76=""),"",IF(G76&lt;=H76,"اطلب الآن",""))</f>
        <v/>
      </c>
    </row>
    <row r="77">
      <c r="A77" s="4" t="n"/>
      <c r="B77" s="4" t="n"/>
      <c r="C77" s="4" t="n"/>
      <c r="D77" s="4" t="n"/>
      <c r="E77" s="4" t="n"/>
      <c r="F77">
        <f>IF(A77="","",SUMIFS(المبيعات!$F$2:$F$2000,المبيعات!$D$2:$D$2000,A77))</f>
        <v/>
      </c>
      <c r="G77">
        <f>IF(A77="","",E77-F77)</f>
        <v/>
      </c>
      <c r="H77" s="4" t="n"/>
      <c r="I77">
        <f>IF(OR(A77="",H77=""),"",IF(G77&lt;=H77,"اطلب الآن",""))</f>
        <v/>
      </c>
    </row>
    <row r="78">
      <c r="A78" s="4" t="n"/>
      <c r="B78" s="4" t="n"/>
      <c r="C78" s="4" t="n"/>
      <c r="D78" s="4" t="n"/>
      <c r="E78" s="4" t="n"/>
      <c r="F78">
        <f>IF(A78="","",SUMIFS(المبيعات!$F$2:$F$2000,المبيعات!$D$2:$D$2000,A78))</f>
        <v/>
      </c>
      <c r="G78">
        <f>IF(A78="","",E78-F78)</f>
        <v/>
      </c>
      <c r="H78" s="4" t="n"/>
      <c r="I78">
        <f>IF(OR(A78="",H78=""),"",IF(G78&lt;=H78,"اطلب الآن",""))</f>
        <v/>
      </c>
    </row>
    <row r="79">
      <c r="A79" s="4" t="n"/>
      <c r="B79" s="4" t="n"/>
      <c r="C79" s="4" t="n"/>
      <c r="D79" s="4" t="n"/>
      <c r="E79" s="4" t="n"/>
      <c r="F79">
        <f>IF(A79="","",SUMIFS(المبيعات!$F$2:$F$2000,المبيعات!$D$2:$D$2000,A79))</f>
        <v/>
      </c>
      <c r="G79">
        <f>IF(A79="","",E79-F79)</f>
        <v/>
      </c>
      <c r="H79" s="4" t="n"/>
      <c r="I79">
        <f>IF(OR(A79="",H79=""),"",IF(G79&lt;=H79,"اطلب الآن",""))</f>
        <v/>
      </c>
    </row>
    <row r="80">
      <c r="A80" s="4" t="n"/>
      <c r="B80" s="4" t="n"/>
      <c r="C80" s="4" t="n"/>
      <c r="D80" s="4" t="n"/>
      <c r="E80" s="4" t="n"/>
      <c r="F80">
        <f>IF(A80="","",SUMIFS(المبيعات!$F$2:$F$2000,المبيعات!$D$2:$D$2000,A80))</f>
        <v/>
      </c>
      <c r="G80">
        <f>IF(A80="","",E80-F80)</f>
        <v/>
      </c>
      <c r="H80" s="4" t="n"/>
      <c r="I80">
        <f>IF(OR(A80="",H80=""),"",IF(G80&lt;=H80,"اطلب الآن",""))</f>
        <v/>
      </c>
    </row>
    <row r="81">
      <c r="A81" s="4" t="n"/>
      <c r="B81" s="4" t="n"/>
      <c r="C81" s="4" t="n"/>
      <c r="D81" s="4" t="n"/>
      <c r="E81" s="4" t="n"/>
      <c r="F81">
        <f>IF(A81="","",SUMIFS(المبيعات!$F$2:$F$2000,المبيعات!$D$2:$D$2000,A81))</f>
        <v/>
      </c>
      <c r="G81">
        <f>IF(A81="","",E81-F81)</f>
        <v/>
      </c>
      <c r="H81" s="4" t="n"/>
      <c r="I81">
        <f>IF(OR(A81="",H81=""),"",IF(G81&lt;=H81,"اطلب الآن",""))</f>
        <v/>
      </c>
    </row>
    <row r="82">
      <c r="A82" s="4" t="n"/>
      <c r="B82" s="4" t="n"/>
      <c r="C82" s="4" t="n"/>
      <c r="D82" s="4" t="n"/>
      <c r="E82" s="4" t="n"/>
      <c r="F82">
        <f>IF(A82="","",SUMIFS(المبيعات!$F$2:$F$2000,المبيعات!$D$2:$D$2000,A82))</f>
        <v/>
      </c>
      <c r="G82">
        <f>IF(A82="","",E82-F82)</f>
        <v/>
      </c>
      <c r="H82" s="4" t="n"/>
      <c r="I82">
        <f>IF(OR(A82="",H82=""),"",IF(G82&lt;=H82,"اطلب الآن",""))</f>
        <v/>
      </c>
    </row>
    <row r="83">
      <c r="A83" s="4" t="n"/>
      <c r="B83" s="4" t="n"/>
      <c r="C83" s="4" t="n"/>
      <c r="D83" s="4" t="n"/>
      <c r="E83" s="4" t="n"/>
      <c r="F83">
        <f>IF(A83="","",SUMIFS(المبيعات!$F$2:$F$2000,المبيعات!$D$2:$D$2000,A83))</f>
        <v/>
      </c>
      <c r="G83">
        <f>IF(A83="","",E83-F83)</f>
        <v/>
      </c>
      <c r="H83" s="4" t="n"/>
      <c r="I83">
        <f>IF(OR(A83="",H83=""),"",IF(G83&lt;=H83,"اطلب الآن",""))</f>
        <v/>
      </c>
    </row>
    <row r="84">
      <c r="A84" s="4" t="n"/>
      <c r="B84" s="4" t="n"/>
      <c r="C84" s="4" t="n"/>
      <c r="D84" s="4" t="n"/>
      <c r="E84" s="4" t="n"/>
      <c r="F84">
        <f>IF(A84="","",SUMIFS(المبيعات!$F$2:$F$2000,المبيعات!$D$2:$D$2000,A84))</f>
        <v/>
      </c>
      <c r="G84">
        <f>IF(A84="","",E84-F84)</f>
        <v/>
      </c>
      <c r="H84" s="4" t="n"/>
      <c r="I84">
        <f>IF(OR(A84="",H84=""),"",IF(G84&lt;=H84,"اطلب الآن",""))</f>
        <v/>
      </c>
    </row>
    <row r="85">
      <c r="A85" s="4" t="n"/>
      <c r="B85" s="4" t="n"/>
      <c r="C85" s="4" t="n"/>
      <c r="D85" s="4" t="n"/>
      <c r="E85" s="4" t="n"/>
      <c r="F85">
        <f>IF(A85="","",SUMIFS(المبيعات!$F$2:$F$2000,المبيعات!$D$2:$D$2000,A85))</f>
        <v/>
      </c>
      <c r="G85">
        <f>IF(A85="","",E85-F85)</f>
        <v/>
      </c>
      <c r="H85" s="4" t="n"/>
      <c r="I85">
        <f>IF(OR(A85="",H85=""),"",IF(G85&lt;=H85,"اطلب الآن",""))</f>
        <v/>
      </c>
    </row>
    <row r="86">
      <c r="A86" s="4" t="n"/>
      <c r="B86" s="4" t="n"/>
      <c r="C86" s="4" t="n"/>
      <c r="D86" s="4" t="n"/>
      <c r="E86" s="4" t="n"/>
      <c r="F86">
        <f>IF(A86="","",SUMIFS(المبيعات!$F$2:$F$2000,المبيعات!$D$2:$D$2000,A86))</f>
        <v/>
      </c>
      <c r="G86">
        <f>IF(A86="","",E86-F86)</f>
        <v/>
      </c>
      <c r="H86" s="4" t="n"/>
      <c r="I86">
        <f>IF(OR(A86="",H86=""),"",IF(G86&lt;=H86,"اطلب الآن",""))</f>
        <v/>
      </c>
    </row>
    <row r="87">
      <c r="A87" s="4" t="n"/>
      <c r="B87" s="4" t="n"/>
      <c r="C87" s="4" t="n"/>
      <c r="D87" s="4" t="n"/>
      <c r="E87" s="4" t="n"/>
      <c r="F87">
        <f>IF(A87="","",SUMIFS(المبيعات!$F$2:$F$2000,المبيعات!$D$2:$D$2000,A87))</f>
        <v/>
      </c>
      <c r="G87">
        <f>IF(A87="","",E87-F87)</f>
        <v/>
      </c>
      <c r="H87" s="4" t="n"/>
      <c r="I87">
        <f>IF(OR(A87="",H87=""),"",IF(G87&lt;=H87,"اطلب الآن",""))</f>
        <v/>
      </c>
    </row>
    <row r="88">
      <c r="A88" s="4" t="n"/>
      <c r="B88" s="4" t="n"/>
      <c r="C88" s="4" t="n"/>
      <c r="D88" s="4" t="n"/>
      <c r="E88" s="4" t="n"/>
      <c r="F88">
        <f>IF(A88="","",SUMIFS(المبيعات!$F$2:$F$2000,المبيعات!$D$2:$D$2000,A88))</f>
        <v/>
      </c>
      <c r="G88">
        <f>IF(A88="","",E88-F88)</f>
        <v/>
      </c>
      <c r="H88" s="4" t="n"/>
      <c r="I88">
        <f>IF(OR(A88="",H88=""),"",IF(G88&lt;=H88,"اطلب الآن",""))</f>
        <v/>
      </c>
    </row>
    <row r="89">
      <c r="A89" s="4" t="n"/>
      <c r="B89" s="4" t="n"/>
      <c r="C89" s="4" t="n"/>
      <c r="D89" s="4" t="n"/>
      <c r="E89" s="4" t="n"/>
      <c r="F89">
        <f>IF(A89="","",SUMIFS(المبيعات!$F$2:$F$2000,المبيعات!$D$2:$D$2000,A89))</f>
        <v/>
      </c>
      <c r="G89">
        <f>IF(A89="","",E89-F89)</f>
        <v/>
      </c>
      <c r="H89" s="4" t="n"/>
      <c r="I89">
        <f>IF(OR(A89="",H89=""),"",IF(G89&lt;=H89,"اطلب الآن",""))</f>
        <v/>
      </c>
    </row>
    <row r="90">
      <c r="A90" s="4" t="n"/>
      <c r="B90" s="4" t="n"/>
      <c r="C90" s="4" t="n"/>
      <c r="D90" s="4" t="n"/>
      <c r="E90" s="4" t="n"/>
      <c r="F90">
        <f>IF(A90="","",SUMIFS(المبيعات!$F$2:$F$2000,المبيعات!$D$2:$D$2000,A90))</f>
        <v/>
      </c>
      <c r="G90">
        <f>IF(A90="","",E90-F90)</f>
        <v/>
      </c>
      <c r="H90" s="4" t="n"/>
      <c r="I90">
        <f>IF(OR(A90="",H90=""),"",IF(G90&lt;=H90,"اطلب الآن",""))</f>
        <v/>
      </c>
    </row>
    <row r="91">
      <c r="A91" s="4" t="n"/>
      <c r="B91" s="4" t="n"/>
      <c r="C91" s="4" t="n"/>
      <c r="D91" s="4" t="n"/>
      <c r="E91" s="4" t="n"/>
      <c r="F91">
        <f>IF(A91="","",SUMIFS(المبيعات!$F$2:$F$2000,المبيعات!$D$2:$D$2000,A91))</f>
        <v/>
      </c>
      <c r="G91">
        <f>IF(A91="","",E91-F91)</f>
        <v/>
      </c>
      <c r="H91" s="4" t="n"/>
      <c r="I91">
        <f>IF(OR(A91="",H91=""),"",IF(G91&lt;=H91,"اطلب الآن",""))</f>
        <v/>
      </c>
    </row>
    <row r="92">
      <c r="A92" s="4" t="n"/>
      <c r="B92" s="4" t="n"/>
      <c r="C92" s="4" t="n"/>
      <c r="D92" s="4" t="n"/>
      <c r="E92" s="4" t="n"/>
      <c r="F92">
        <f>IF(A92="","",SUMIFS(المبيعات!$F$2:$F$2000,المبيعات!$D$2:$D$2000,A92))</f>
        <v/>
      </c>
      <c r="G92">
        <f>IF(A92="","",E92-F92)</f>
        <v/>
      </c>
      <c r="H92" s="4" t="n"/>
      <c r="I92">
        <f>IF(OR(A92="",H92=""),"",IF(G92&lt;=H92,"اطلب الآن",""))</f>
        <v/>
      </c>
    </row>
    <row r="93">
      <c r="A93" s="4" t="n"/>
      <c r="B93" s="4" t="n"/>
      <c r="C93" s="4" t="n"/>
      <c r="D93" s="4" t="n"/>
      <c r="E93" s="4" t="n"/>
      <c r="F93">
        <f>IF(A93="","",SUMIFS(المبيعات!$F$2:$F$2000,المبيعات!$D$2:$D$2000,A93))</f>
        <v/>
      </c>
      <c r="G93">
        <f>IF(A93="","",E93-F93)</f>
        <v/>
      </c>
      <c r="H93" s="4" t="n"/>
      <c r="I93">
        <f>IF(OR(A93="",H93=""),"",IF(G93&lt;=H93,"اطلب الآن",""))</f>
        <v/>
      </c>
    </row>
    <row r="94">
      <c r="A94" s="4" t="n"/>
      <c r="B94" s="4" t="n"/>
      <c r="C94" s="4" t="n"/>
      <c r="D94" s="4" t="n"/>
      <c r="E94" s="4" t="n"/>
      <c r="F94">
        <f>IF(A94="","",SUMIFS(المبيعات!$F$2:$F$2000,المبيعات!$D$2:$D$2000,A94))</f>
        <v/>
      </c>
      <c r="G94">
        <f>IF(A94="","",E94-F94)</f>
        <v/>
      </c>
      <c r="H94" s="4" t="n"/>
      <c r="I94">
        <f>IF(OR(A94="",H94=""),"",IF(G94&lt;=H94,"اطلب الآن",""))</f>
        <v/>
      </c>
    </row>
    <row r="95">
      <c r="A95" s="4" t="n"/>
      <c r="B95" s="4" t="n"/>
      <c r="C95" s="4" t="n"/>
      <c r="D95" s="4" t="n"/>
      <c r="E95" s="4" t="n"/>
      <c r="F95">
        <f>IF(A95="","",SUMIFS(المبيعات!$F$2:$F$2000,المبيعات!$D$2:$D$2000,A95))</f>
        <v/>
      </c>
      <c r="G95">
        <f>IF(A95="","",E95-F95)</f>
        <v/>
      </c>
      <c r="H95" s="4" t="n"/>
      <c r="I95">
        <f>IF(OR(A95="",H95=""),"",IF(G95&lt;=H95,"اطلب الآن",""))</f>
        <v/>
      </c>
    </row>
    <row r="96">
      <c r="A96" s="4" t="n"/>
      <c r="B96" s="4" t="n"/>
      <c r="C96" s="4" t="n"/>
      <c r="D96" s="4" t="n"/>
      <c r="E96" s="4" t="n"/>
      <c r="F96">
        <f>IF(A96="","",SUMIFS(المبيعات!$F$2:$F$2000,المبيعات!$D$2:$D$2000,A96))</f>
        <v/>
      </c>
      <c r="G96">
        <f>IF(A96="","",E96-F96)</f>
        <v/>
      </c>
      <c r="H96" s="4" t="n"/>
      <c r="I96">
        <f>IF(OR(A96="",H96=""),"",IF(G96&lt;=H96,"اطلب الآن",""))</f>
        <v/>
      </c>
    </row>
    <row r="97">
      <c r="A97" s="4" t="n"/>
      <c r="B97" s="4" t="n"/>
      <c r="C97" s="4" t="n"/>
      <c r="D97" s="4" t="n"/>
      <c r="E97" s="4" t="n"/>
      <c r="F97">
        <f>IF(A97="","",SUMIFS(المبيعات!$F$2:$F$2000,المبيعات!$D$2:$D$2000,A97))</f>
        <v/>
      </c>
      <c r="G97">
        <f>IF(A97="","",E97-F97)</f>
        <v/>
      </c>
      <c r="H97" s="4" t="n"/>
      <c r="I97">
        <f>IF(OR(A97="",H97=""),"",IF(G97&lt;=H97,"اطلب الآن",""))</f>
        <v/>
      </c>
    </row>
    <row r="98">
      <c r="A98" s="4" t="n"/>
      <c r="B98" s="4" t="n"/>
      <c r="C98" s="4" t="n"/>
      <c r="D98" s="4" t="n"/>
      <c r="E98" s="4" t="n"/>
      <c r="F98">
        <f>IF(A98="","",SUMIFS(المبيعات!$F$2:$F$2000,المبيعات!$D$2:$D$2000,A98))</f>
        <v/>
      </c>
      <c r="G98">
        <f>IF(A98="","",E98-F98)</f>
        <v/>
      </c>
      <c r="H98" s="4" t="n"/>
      <c r="I98">
        <f>IF(OR(A98="",H98=""),"",IF(G98&lt;=H98,"اطلب الآن",""))</f>
        <v/>
      </c>
    </row>
    <row r="99">
      <c r="A99" s="4" t="n"/>
      <c r="B99" s="4" t="n"/>
      <c r="C99" s="4" t="n"/>
      <c r="D99" s="4" t="n"/>
      <c r="E99" s="4" t="n"/>
      <c r="F99">
        <f>IF(A99="","",SUMIFS(المبيعات!$F$2:$F$2000,المبيعات!$D$2:$D$2000,A99))</f>
        <v/>
      </c>
      <c r="G99">
        <f>IF(A99="","",E99-F99)</f>
        <v/>
      </c>
      <c r="H99" s="4" t="n"/>
      <c r="I99">
        <f>IF(OR(A99="",H99=""),"",IF(G99&lt;=H99,"اطلب الآن",""))</f>
        <v/>
      </c>
    </row>
    <row r="100">
      <c r="A100" s="4" t="n"/>
      <c r="B100" s="4" t="n"/>
      <c r="C100" s="4" t="n"/>
      <c r="D100" s="4" t="n"/>
      <c r="E100" s="4" t="n"/>
      <c r="F100">
        <f>IF(A100="","",SUMIFS(المبيعات!$F$2:$F$2000,المبيعات!$D$2:$D$2000,A100))</f>
        <v/>
      </c>
      <c r="G100">
        <f>IF(A100="","",E100-F100)</f>
        <v/>
      </c>
      <c r="H100" s="4" t="n"/>
      <c r="I100">
        <f>IF(OR(A100="",H100=""),"",IF(G100&lt;=H100,"اطلب الآن",""))</f>
        <v/>
      </c>
    </row>
    <row r="101">
      <c r="A101" s="4" t="n"/>
      <c r="B101" s="4" t="n"/>
      <c r="C101" s="4" t="n"/>
      <c r="D101" s="4" t="n"/>
      <c r="E101" s="4" t="n"/>
      <c r="F101">
        <f>IF(A101="","",SUMIFS(المبيعات!$F$2:$F$2000,المبيعات!$D$2:$D$2000,A101))</f>
        <v/>
      </c>
      <c r="G101">
        <f>IF(A101="","",E101-F101)</f>
        <v/>
      </c>
      <c r="H101" s="4" t="n"/>
      <c r="I101">
        <f>IF(OR(A101="",H101=""),"",IF(G101&lt;=H101,"اطلب الآن",""))</f>
        <v/>
      </c>
    </row>
    <row r="102">
      <c r="A102" s="4" t="n"/>
      <c r="B102" s="4" t="n"/>
      <c r="C102" s="4" t="n"/>
      <c r="D102" s="4" t="n"/>
      <c r="E102" s="4" t="n"/>
      <c r="F102">
        <f>IF(A102="","",SUMIFS(المبيعات!$F$2:$F$2000,المبيعات!$D$2:$D$2000,A102))</f>
        <v/>
      </c>
      <c r="G102">
        <f>IF(A102="","",E102-F102)</f>
        <v/>
      </c>
      <c r="H102" s="4" t="n"/>
      <c r="I102">
        <f>IF(OR(A102="",H102=""),"",IF(G102&lt;=H102,"اطلب الآن",""))</f>
        <v/>
      </c>
    </row>
    <row r="103">
      <c r="A103" s="4" t="n"/>
      <c r="B103" s="4" t="n"/>
      <c r="C103" s="4" t="n"/>
      <c r="D103" s="4" t="n"/>
      <c r="E103" s="4" t="n"/>
      <c r="F103">
        <f>IF(A103="","",SUMIFS(المبيعات!$F$2:$F$2000,المبيعات!$D$2:$D$2000,A103))</f>
        <v/>
      </c>
      <c r="G103">
        <f>IF(A103="","",E103-F103)</f>
        <v/>
      </c>
      <c r="H103" s="4" t="n"/>
      <c r="I103">
        <f>IF(OR(A103="",H103=""),"",IF(G103&lt;=H103,"اطلب الآن",""))</f>
        <v/>
      </c>
    </row>
    <row r="104">
      <c r="A104" s="4" t="n"/>
      <c r="B104" s="4" t="n"/>
      <c r="C104" s="4" t="n"/>
      <c r="D104" s="4" t="n"/>
      <c r="E104" s="4" t="n"/>
      <c r="F104">
        <f>IF(A104="","",SUMIFS(المبيعات!$F$2:$F$2000,المبيعات!$D$2:$D$2000,A104))</f>
        <v/>
      </c>
      <c r="G104">
        <f>IF(A104="","",E104-F104)</f>
        <v/>
      </c>
      <c r="H104" s="4" t="n"/>
      <c r="I104">
        <f>IF(OR(A104="",H104=""),"",IF(G104&lt;=H104,"اطلب الآن",""))</f>
        <v/>
      </c>
    </row>
    <row r="105">
      <c r="A105" s="4" t="n"/>
      <c r="B105" s="4" t="n"/>
      <c r="C105" s="4" t="n"/>
      <c r="D105" s="4" t="n"/>
      <c r="E105" s="4" t="n"/>
      <c r="F105">
        <f>IF(A105="","",SUMIFS(المبيعات!$F$2:$F$2000,المبيعات!$D$2:$D$2000,A105))</f>
        <v/>
      </c>
      <c r="G105">
        <f>IF(A105="","",E105-F105)</f>
        <v/>
      </c>
      <c r="H105" s="4" t="n"/>
      <c r="I105">
        <f>IF(OR(A105="",H105=""),"",IF(G105&lt;=H105,"اطلب الآن",""))</f>
        <v/>
      </c>
    </row>
    <row r="106">
      <c r="A106" s="4" t="n"/>
      <c r="B106" s="4" t="n"/>
      <c r="C106" s="4" t="n"/>
      <c r="D106" s="4" t="n"/>
      <c r="E106" s="4" t="n"/>
      <c r="F106">
        <f>IF(A106="","",SUMIFS(المبيعات!$F$2:$F$2000,المبيعات!$D$2:$D$2000,A106))</f>
        <v/>
      </c>
      <c r="G106">
        <f>IF(A106="","",E106-F106)</f>
        <v/>
      </c>
      <c r="H106" s="4" t="n"/>
      <c r="I106">
        <f>IF(OR(A106="",H106=""),"",IF(G106&lt;=H106,"اطلب الآن",""))</f>
        <v/>
      </c>
    </row>
    <row r="107">
      <c r="A107" s="4" t="n"/>
      <c r="B107" s="4" t="n"/>
      <c r="C107" s="4" t="n"/>
      <c r="D107" s="4" t="n"/>
      <c r="E107" s="4" t="n"/>
      <c r="F107">
        <f>IF(A107="","",SUMIFS(المبيعات!$F$2:$F$2000,المبيعات!$D$2:$D$2000,A107))</f>
        <v/>
      </c>
      <c r="G107">
        <f>IF(A107="","",E107-F107)</f>
        <v/>
      </c>
      <c r="H107" s="4" t="n"/>
      <c r="I107">
        <f>IF(OR(A107="",H107=""),"",IF(G107&lt;=H107,"اطلب الآن",""))</f>
        <v/>
      </c>
    </row>
    <row r="108">
      <c r="A108" s="4" t="n"/>
      <c r="B108" s="4" t="n"/>
      <c r="C108" s="4" t="n"/>
      <c r="D108" s="4" t="n"/>
      <c r="E108" s="4" t="n"/>
      <c r="F108">
        <f>IF(A108="","",SUMIFS(المبيعات!$F$2:$F$2000,المبيعات!$D$2:$D$2000,A108))</f>
        <v/>
      </c>
      <c r="G108">
        <f>IF(A108="","",E108-F108)</f>
        <v/>
      </c>
      <c r="H108" s="4" t="n"/>
      <c r="I108">
        <f>IF(OR(A108="",H108=""),"",IF(G108&lt;=H108,"اطلب الآن",""))</f>
        <v/>
      </c>
    </row>
    <row r="109">
      <c r="A109" s="4" t="n"/>
      <c r="B109" s="4" t="n"/>
      <c r="C109" s="4" t="n"/>
      <c r="D109" s="4" t="n"/>
      <c r="E109" s="4" t="n"/>
      <c r="F109">
        <f>IF(A109="","",SUMIFS(المبيعات!$F$2:$F$2000,المبيعات!$D$2:$D$2000,A109))</f>
        <v/>
      </c>
      <c r="G109">
        <f>IF(A109="","",E109-F109)</f>
        <v/>
      </c>
      <c r="H109" s="4" t="n"/>
      <c r="I109">
        <f>IF(OR(A109="",H109=""),"",IF(G109&lt;=H109,"اطلب الآن",""))</f>
        <v/>
      </c>
    </row>
    <row r="110">
      <c r="A110" s="4" t="n"/>
      <c r="B110" s="4" t="n"/>
      <c r="C110" s="4" t="n"/>
      <c r="D110" s="4" t="n"/>
      <c r="E110" s="4" t="n"/>
      <c r="F110">
        <f>IF(A110="","",SUMIFS(المبيعات!$F$2:$F$2000,المبيعات!$D$2:$D$2000,A110))</f>
        <v/>
      </c>
      <c r="G110">
        <f>IF(A110="","",E110-F110)</f>
        <v/>
      </c>
      <c r="H110" s="4" t="n"/>
      <c r="I110">
        <f>IF(OR(A110="",H110=""),"",IF(G110&lt;=H110,"اطلب الآن",""))</f>
        <v/>
      </c>
    </row>
    <row r="111">
      <c r="A111" s="4" t="n"/>
      <c r="B111" s="4" t="n"/>
      <c r="C111" s="4" t="n"/>
      <c r="D111" s="4" t="n"/>
      <c r="E111" s="4" t="n"/>
      <c r="F111">
        <f>IF(A111="","",SUMIFS(المبيعات!$F$2:$F$2000,المبيعات!$D$2:$D$2000,A111))</f>
        <v/>
      </c>
      <c r="G111">
        <f>IF(A111="","",E111-F111)</f>
        <v/>
      </c>
      <c r="H111" s="4" t="n"/>
      <c r="I111">
        <f>IF(OR(A111="",H111=""),"",IF(G111&lt;=H111,"اطلب الآن",""))</f>
        <v/>
      </c>
    </row>
    <row r="112">
      <c r="A112" s="4" t="n"/>
      <c r="B112" s="4" t="n"/>
      <c r="C112" s="4" t="n"/>
      <c r="D112" s="4" t="n"/>
      <c r="E112" s="4" t="n"/>
      <c r="F112">
        <f>IF(A112="","",SUMIFS(المبيعات!$F$2:$F$2000,المبيعات!$D$2:$D$2000,A112))</f>
        <v/>
      </c>
      <c r="G112">
        <f>IF(A112="","",E112-F112)</f>
        <v/>
      </c>
      <c r="H112" s="4" t="n"/>
      <c r="I112">
        <f>IF(OR(A112="",H112=""),"",IF(G112&lt;=H112,"اطلب الآن",""))</f>
        <v/>
      </c>
    </row>
    <row r="113">
      <c r="A113" s="4" t="n"/>
      <c r="B113" s="4" t="n"/>
      <c r="C113" s="4" t="n"/>
      <c r="D113" s="4" t="n"/>
      <c r="E113" s="4" t="n"/>
      <c r="F113">
        <f>IF(A113="","",SUMIFS(المبيعات!$F$2:$F$2000,المبيعات!$D$2:$D$2000,A113))</f>
        <v/>
      </c>
      <c r="G113">
        <f>IF(A113="","",E113-F113)</f>
        <v/>
      </c>
      <c r="H113" s="4" t="n"/>
      <c r="I113">
        <f>IF(OR(A113="",H113=""),"",IF(G113&lt;=H113,"اطلب الآن",""))</f>
        <v/>
      </c>
    </row>
    <row r="114">
      <c r="A114" s="4" t="n"/>
      <c r="B114" s="4" t="n"/>
      <c r="C114" s="4" t="n"/>
      <c r="D114" s="4" t="n"/>
      <c r="E114" s="4" t="n"/>
      <c r="F114">
        <f>IF(A114="","",SUMIFS(المبيعات!$F$2:$F$2000,المبيعات!$D$2:$D$2000,A114))</f>
        <v/>
      </c>
      <c r="G114">
        <f>IF(A114="","",E114-F114)</f>
        <v/>
      </c>
      <c r="H114" s="4" t="n"/>
      <c r="I114">
        <f>IF(OR(A114="",H114=""),"",IF(G114&lt;=H114,"اطلب الآن",""))</f>
        <v/>
      </c>
    </row>
    <row r="115">
      <c r="A115" s="4" t="n"/>
      <c r="B115" s="4" t="n"/>
      <c r="C115" s="4" t="n"/>
      <c r="D115" s="4" t="n"/>
      <c r="E115" s="4" t="n"/>
      <c r="F115">
        <f>IF(A115="","",SUMIFS(المبيعات!$F$2:$F$2000,المبيعات!$D$2:$D$2000,A115))</f>
        <v/>
      </c>
      <c r="G115">
        <f>IF(A115="","",E115-F115)</f>
        <v/>
      </c>
      <c r="H115" s="4" t="n"/>
      <c r="I115">
        <f>IF(OR(A115="",H115=""),"",IF(G115&lt;=H115,"اطلب الآن",""))</f>
        <v/>
      </c>
    </row>
    <row r="116">
      <c r="A116" s="4" t="n"/>
      <c r="B116" s="4" t="n"/>
      <c r="C116" s="4" t="n"/>
      <c r="D116" s="4" t="n"/>
      <c r="E116" s="4" t="n"/>
      <c r="F116">
        <f>IF(A116="","",SUMIFS(المبيعات!$F$2:$F$2000,المبيعات!$D$2:$D$2000,A116))</f>
        <v/>
      </c>
      <c r="G116">
        <f>IF(A116="","",E116-F116)</f>
        <v/>
      </c>
      <c r="H116" s="4" t="n"/>
      <c r="I116">
        <f>IF(OR(A116="",H116=""),"",IF(G116&lt;=H116,"اطلب الآن",""))</f>
        <v/>
      </c>
    </row>
    <row r="117">
      <c r="A117" s="4" t="n"/>
      <c r="B117" s="4" t="n"/>
      <c r="C117" s="4" t="n"/>
      <c r="D117" s="4" t="n"/>
      <c r="E117" s="4" t="n"/>
      <c r="F117">
        <f>IF(A117="","",SUMIFS(المبيعات!$F$2:$F$2000,المبيعات!$D$2:$D$2000,A117))</f>
        <v/>
      </c>
      <c r="G117">
        <f>IF(A117="","",E117-F117)</f>
        <v/>
      </c>
      <c r="H117" s="4" t="n"/>
      <c r="I117">
        <f>IF(OR(A117="",H117=""),"",IF(G117&lt;=H117,"اطلب الآن",""))</f>
        <v/>
      </c>
    </row>
    <row r="118">
      <c r="A118" s="4" t="n"/>
      <c r="B118" s="4" t="n"/>
      <c r="C118" s="4" t="n"/>
      <c r="D118" s="4" t="n"/>
      <c r="E118" s="4" t="n"/>
      <c r="F118">
        <f>IF(A118="","",SUMIFS(المبيعات!$F$2:$F$2000,المبيعات!$D$2:$D$2000,A118))</f>
        <v/>
      </c>
      <c r="G118">
        <f>IF(A118="","",E118-F118)</f>
        <v/>
      </c>
      <c r="H118" s="4" t="n"/>
      <c r="I118">
        <f>IF(OR(A118="",H118=""),"",IF(G118&lt;=H118,"اطلب الآن",""))</f>
        <v/>
      </c>
    </row>
    <row r="119">
      <c r="A119" s="4" t="n"/>
      <c r="B119" s="4" t="n"/>
      <c r="C119" s="4" t="n"/>
      <c r="D119" s="4" t="n"/>
      <c r="E119" s="4" t="n"/>
      <c r="F119">
        <f>IF(A119="","",SUMIFS(المبيعات!$F$2:$F$2000,المبيعات!$D$2:$D$2000,A119))</f>
        <v/>
      </c>
      <c r="G119">
        <f>IF(A119="","",E119-F119)</f>
        <v/>
      </c>
      <c r="H119" s="4" t="n"/>
      <c r="I119">
        <f>IF(OR(A119="",H119=""),"",IF(G119&lt;=H119,"اطلب الآن",""))</f>
        <v/>
      </c>
    </row>
    <row r="120">
      <c r="A120" s="4" t="n"/>
      <c r="B120" s="4" t="n"/>
      <c r="C120" s="4" t="n"/>
      <c r="D120" s="4" t="n"/>
      <c r="E120" s="4" t="n"/>
      <c r="F120">
        <f>IF(A120="","",SUMIFS(المبيعات!$F$2:$F$2000,المبيعات!$D$2:$D$2000,A120))</f>
        <v/>
      </c>
      <c r="G120">
        <f>IF(A120="","",E120-F120)</f>
        <v/>
      </c>
      <c r="H120" s="4" t="n"/>
      <c r="I120">
        <f>IF(OR(A120="",H120=""),"",IF(G120&lt;=H120,"اطلب الآن",""))</f>
        <v/>
      </c>
    </row>
    <row r="121">
      <c r="A121" s="4" t="n"/>
      <c r="B121" s="4" t="n"/>
      <c r="C121" s="4" t="n"/>
      <c r="D121" s="4" t="n"/>
      <c r="E121" s="4" t="n"/>
      <c r="F121">
        <f>IF(A121="","",SUMIFS(المبيعات!$F$2:$F$2000,المبيعات!$D$2:$D$2000,A121))</f>
        <v/>
      </c>
      <c r="G121">
        <f>IF(A121="","",E121-F121)</f>
        <v/>
      </c>
      <c r="H121" s="4" t="n"/>
      <c r="I121">
        <f>IF(OR(A121="",H121=""),"",IF(G121&lt;=H121,"اطلب الآن",""))</f>
        <v/>
      </c>
    </row>
    <row r="122">
      <c r="A122" s="4" t="n"/>
      <c r="B122" s="4" t="n"/>
      <c r="C122" s="4" t="n"/>
      <c r="D122" s="4" t="n"/>
      <c r="E122" s="4" t="n"/>
      <c r="F122">
        <f>IF(A122="","",SUMIFS(المبيعات!$F$2:$F$2000,المبيعات!$D$2:$D$2000,A122))</f>
        <v/>
      </c>
      <c r="G122">
        <f>IF(A122="","",E122-F122)</f>
        <v/>
      </c>
      <c r="H122" s="4" t="n"/>
      <c r="I122">
        <f>IF(OR(A122="",H122=""),"",IF(G122&lt;=H122,"اطلب الآن",""))</f>
        <v/>
      </c>
    </row>
    <row r="123">
      <c r="A123" s="4" t="n"/>
      <c r="B123" s="4" t="n"/>
      <c r="C123" s="4" t="n"/>
      <c r="D123" s="4" t="n"/>
      <c r="E123" s="4" t="n"/>
      <c r="F123">
        <f>IF(A123="","",SUMIFS(المبيعات!$F$2:$F$2000,المبيعات!$D$2:$D$2000,A123))</f>
        <v/>
      </c>
      <c r="G123">
        <f>IF(A123="","",E123-F123)</f>
        <v/>
      </c>
      <c r="H123" s="4" t="n"/>
      <c r="I123">
        <f>IF(OR(A123="",H123=""),"",IF(G123&lt;=H123,"اطلب الآن",""))</f>
        <v/>
      </c>
    </row>
    <row r="124">
      <c r="A124" s="4" t="n"/>
      <c r="B124" s="4" t="n"/>
      <c r="C124" s="4" t="n"/>
      <c r="D124" s="4" t="n"/>
      <c r="E124" s="4" t="n"/>
      <c r="F124">
        <f>IF(A124="","",SUMIFS(المبيعات!$F$2:$F$2000,المبيعات!$D$2:$D$2000,A124))</f>
        <v/>
      </c>
      <c r="G124">
        <f>IF(A124="","",E124-F124)</f>
        <v/>
      </c>
      <c r="H124" s="4" t="n"/>
      <c r="I124">
        <f>IF(OR(A124="",H124=""),"",IF(G124&lt;=H124,"اطلب الآن",""))</f>
        <v/>
      </c>
    </row>
    <row r="125">
      <c r="A125" s="4" t="n"/>
      <c r="B125" s="4" t="n"/>
      <c r="C125" s="4" t="n"/>
      <c r="D125" s="4" t="n"/>
      <c r="E125" s="4" t="n"/>
      <c r="F125">
        <f>IF(A125="","",SUMIFS(المبيعات!$F$2:$F$2000,المبيعات!$D$2:$D$2000,A125))</f>
        <v/>
      </c>
      <c r="G125">
        <f>IF(A125="","",E125-F125)</f>
        <v/>
      </c>
      <c r="H125" s="4" t="n"/>
      <c r="I125">
        <f>IF(OR(A125="",H125=""),"",IF(G125&lt;=H125,"اطلب الآن",""))</f>
        <v/>
      </c>
    </row>
    <row r="126">
      <c r="A126" s="4" t="n"/>
      <c r="B126" s="4" t="n"/>
      <c r="C126" s="4" t="n"/>
      <c r="D126" s="4" t="n"/>
      <c r="E126" s="4" t="n"/>
      <c r="F126">
        <f>IF(A126="","",SUMIFS(المبيعات!$F$2:$F$2000,المبيعات!$D$2:$D$2000,A126))</f>
        <v/>
      </c>
      <c r="G126">
        <f>IF(A126="","",E126-F126)</f>
        <v/>
      </c>
      <c r="H126" s="4" t="n"/>
      <c r="I126">
        <f>IF(OR(A126="",H126=""),"",IF(G126&lt;=H126,"اطلب الآن",""))</f>
        <v/>
      </c>
    </row>
    <row r="127">
      <c r="A127" s="4" t="n"/>
      <c r="B127" s="4" t="n"/>
      <c r="C127" s="4" t="n"/>
      <c r="D127" s="4" t="n"/>
      <c r="E127" s="4" t="n"/>
      <c r="F127">
        <f>IF(A127="","",SUMIFS(المبيعات!$F$2:$F$2000,المبيعات!$D$2:$D$2000,A127))</f>
        <v/>
      </c>
      <c r="G127">
        <f>IF(A127="","",E127-F127)</f>
        <v/>
      </c>
      <c r="H127" s="4" t="n"/>
      <c r="I127">
        <f>IF(OR(A127="",H127=""),"",IF(G127&lt;=H127,"اطلب الآن",""))</f>
        <v/>
      </c>
    </row>
    <row r="128">
      <c r="A128" s="4" t="n"/>
      <c r="B128" s="4" t="n"/>
      <c r="C128" s="4" t="n"/>
      <c r="D128" s="4" t="n"/>
      <c r="E128" s="4" t="n"/>
      <c r="F128">
        <f>IF(A128="","",SUMIFS(المبيعات!$F$2:$F$2000,المبيعات!$D$2:$D$2000,A128))</f>
        <v/>
      </c>
      <c r="G128">
        <f>IF(A128="","",E128-F128)</f>
        <v/>
      </c>
      <c r="H128" s="4" t="n"/>
      <c r="I128">
        <f>IF(OR(A128="",H128=""),"",IF(G128&lt;=H128,"اطلب الآن",""))</f>
        <v/>
      </c>
    </row>
    <row r="129">
      <c r="A129" s="4" t="n"/>
      <c r="B129" s="4" t="n"/>
      <c r="C129" s="4" t="n"/>
      <c r="D129" s="4" t="n"/>
      <c r="E129" s="4" t="n"/>
      <c r="F129">
        <f>IF(A129="","",SUMIFS(المبيعات!$F$2:$F$2000,المبيعات!$D$2:$D$2000,A129))</f>
        <v/>
      </c>
      <c r="G129">
        <f>IF(A129="","",E129-F129)</f>
        <v/>
      </c>
      <c r="H129" s="4" t="n"/>
      <c r="I129">
        <f>IF(OR(A129="",H129=""),"",IF(G129&lt;=H129,"اطلب الآن",""))</f>
        <v/>
      </c>
    </row>
    <row r="130">
      <c r="A130" s="4" t="n"/>
      <c r="B130" s="4" t="n"/>
      <c r="C130" s="4" t="n"/>
      <c r="D130" s="4" t="n"/>
      <c r="E130" s="4" t="n"/>
      <c r="F130">
        <f>IF(A130="","",SUMIFS(المبيعات!$F$2:$F$2000,المبيعات!$D$2:$D$2000,A130))</f>
        <v/>
      </c>
      <c r="G130">
        <f>IF(A130="","",E130-F130)</f>
        <v/>
      </c>
      <c r="H130" s="4" t="n"/>
      <c r="I130">
        <f>IF(OR(A130="",H130=""),"",IF(G130&lt;=H130,"اطلب الآن",""))</f>
        <v/>
      </c>
    </row>
    <row r="131">
      <c r="A131" s="4" t="n"/>
      <c r="B131" s="4" t="n"/>
      <c r="C131" s="4" t="n"/>
      <c r="D131" s="4" t="n"/>
      <c r="E131" s="4" t="n"/>
      <c r="F131">
        <f>IF(A131="","",SUMIFS(المبيعات!$F$2:$F$2000,المبيعات!$D$2:$D$2000,A131))</f>
        <v/>
      </c>
      <c r="G131">
        <f>IF(A131="","",E131-F131)</f>
        <v/>
      </c>
      <c r="H131" s="4" t="n"/>
      <c r="I131">
        <f>IF(OR(A131="",H131=""),"",IF(G131&lt;=H131,"اطلب الآن",""))</f>
        <v/>
      </c>
    </row>
    <row r="132">
      <c r="A132" s="4" t="n"/>
      <c r="B132" s="4" t="n"/>
      <c r="C132" s="4" t="n"/>
      <c r="D132" s="4" t="n"/>
      <c r="E132" s="4" t="n"/>
      <c r="F132">
        <f>IF(A132="","",SUMIFS(المبيعات!$F$2:$F$2000,المبيعات!$D$2:$D$2000,A132))</f>
        <v/>
      </c>
      <c r="G132">
        <f>IF(A132="","",E132-F132)</f>
        <v/>
      </c>
      <c r="H132" s="4" t="n"/>
      <c r="I132">
        <f>IF(OR(A132="",H132=""),"",IF(G132&lt;=H132,"اطلب الآن",""))</f>
        <v/>
      </c>
    </row>
    <row r="133">
      <c r="A133" s="4" t="n"/>
      <c r="B133" s="4" t="n"/>
      <c r="C133" s="4" t="n"/>
      <c r="D133" s="4" t="n"/>
      <c r="E133" s="4" t="n"/>
      <c r="F133">
        <f>IF(A133="","",SUMIFS(المبيعات!$F$2:$F$2000,المبيعات!$D$2:$D$2000,A133))</f>
        <v/>
      </c>
      <c r="G133">
        <f>IF(A133="","",E133-F133)</f>
        <v/>
      </c>
      <c r="H133" s="4" t="n"/>
      <c r="I133">
        <f>IF(OR(A133="",H133=""),"",IF(G133&lt;=H133,"اطلب الآن",""))</f>
        <v/>
      </c>
    </row>
    <row r="134">
      <c r="A134" s="4" t="n"/>
      <c r="B134" s="4" t="n"/>
      <c r="C134" s="4" t="n"/>
      <c r="D134" s="4" t="n"/>
      <c r="E134" s="4" t="n"/>
      <c r="F134">
        <f>IF(A134="","",SUMIFS(المبيعات!$F$2:$F$2000,المبيعات!$D$2:$D$2000,A134))</f>
        <v/>
      </c>
      <c r="G134">
        <f>IF(A134="","",E134-F134)</f>
        <v/>
      </c>
      <c r="H134" s="4" t="n"/>
      <c r="I134">
        <f>IF(OR(A134="",H134=""),"",IF(G134&lt;=H134,"اطلب الآن",""))</f>
        <v/>
      </c>
    </row>
    <row r="135">
      <c r="A135" s="4" t="n"/>
      <c r="B135" s="4" t="n"/>
      <c r="C135" s="4" t="n"/>
      <c r="D135" s="4" t="n"/>
      <c r="E135" s="4" t="n"/>
      <c r="F135">
        <f>IF(A135="","",SUMIFS(المبيعات!$F$2:$F$2000,المبيعات!$D$2:$D$2000,A135))</f>
        <v/>
      </c>
      <c r="G135">
        <f>IF(A135="","",E135-F135)</f>
        <v/>
      </c>
      <c r="H135" s="4" t="n"/>
      <c r="I135">
        <f>IF(OR(A135="",H135=""),"",IF(G135&lt;=H135,"اطلب الآن",""))</f>
        <v/>
      </c>
    </row>
    <row r="136">
      <c r="A136" s="4" t="n"/>
      <c r="B136" s="4" t="n"/>
      <c r="C136" s="4" t="n"/>
      <c r="D136" s="4" t="n"/>
      <c r="E136" s="4" t="n"/>
      <c r="F136">
        <f>IF(A136="","",SUMIFS(المبيعات!$F$2:$F$2000,المبيعات!$D$2:$D$2000,A136))</f>
        <v/>
      </c>
      <c r="G136">
        <f>IF(A136="","",E136-F136)</f>
        <v/>
      </c>
      <c r="H136" s="4" t="n"/>
      <c r="I136">
        <f>IF(OR(A136="",H136=""),"",IF(G136&lt;=H136,"اطلب الآن",""))</f>
        <v/>
      </c>
    </row>
    <row r="137">
      <c r="A137" s="4" t="n"/>
      <c r="B137" s="4" t="n"/>
      <c r="C137" s="4" t="n"/>
      <c r="D137" s="4" t="n"/>
      <c r="E137" s="4" t="n"/>
      <c r="F137">
        <f>IF(A137="","",SUMIFS(المبيعات!$F$2:$F$2000,المبيعات!$D$2:$D$2000,A137))</f>
        <v/>
      </c>
      <c r="G137">
        <f>IF(A137="","",E137-F137)</f>
        <v/>
      </c>
      <c r="H137" s="4" t="n"/>
      <c r="I137">
        <f>IF(OR(A137="",H137=""),"",IF(G137&lt;=H137,"اطلب الآن",""))</f>
        <v/>
      </c>
    </row>
    <row r="138">
      <c r="A138" s="4" t="n"/>
      <c r="B138" s="4" t="n"/>
      <c r="C138" s="4" t="n"/>
      <c r="D138" s="4" t="n"/>
      <c r="E138" s="4" t="n"/>
      <c r="F138">
        <f>IF(A138="","",SUMIFS(المبيعات!$F$2:$F$2000,المبيعات!$D$2:$D$2000,A138))</f>
        <v/>
      </c>
      <c r="G138">
        <f>IF(A138="","",E138-F138)</f>
        <v/>
      </c>
      <c r="H138" s="4" t="n"/>
      <c r="I138">
        <f>IF(OR(A138="",H138=""),"",IF(G138&lt;=H138,"اطلب الآن",""))</f>
        <v/>
      </c>
    </row>
    <row r="139">
      <c r="A139" s="4" t="n"/>
      <c r="B139" s="4" t="n"/>
      <c r="C139" s="4" t="n"/>
      <c r="D139" s="4" t="n"/>
      <c r="E139" s="4" t="n"/>
      <c r="F139">
        <f>IF(A139="","",SUMIFS(المبيعات!$F$2:$F$2000,المبيعات!$D$2:$D$2000,A139))</f>
        <v/>
      </c>
      <c r="G139">
        <f>IF(A139="","",E139-F139)</f>
        <v/>
      </c>
      <c r="H139" s="4" t="n"/>
      <c r="I139">
        <f>IF(OR(A139="",H139=""),"",IF(G139&lt;=H139,"اطلب الآن",""))</f>
        <v/>
      </c>
    </row>
    <row r="140">
      <c r="A140" s="4" t="n"/>
      <c r="B140" s="4" t="n"/>
      <c r="C140" s="4" t="n"/>
      <c r="D140" s="4" t="n"/>
      <c r="E140" s="4" t="n"/>
      <c r="F140">
        <f>IF(A140="","",SUMIFS(المبيعات!$F$2:$F$2000,المبيعات!$D$2:$D$2000,A140))</f>
        <v/>
      </c>
      <c r="G140">
        <f>IF(A140="","",E140-F140)</f>
        <v/>
      </c>
      <c r="H140" s="4" t="n"/>
      <c r="I140">
        <f>IF(OR(A140="",H140=""),"",IF(G140&lt;=H140,"اطلب الآن",""))</f>
        <v/>
      </c>
    </row>
    <row r="141">
      <c r="A141" s="4" t="n"/>
      <c r="B141" s="4" t="n"/>
      <c r="C141" s="4" t="n"/>
      <c r="D141" s="4" t="n"/>
      <c r="E141" s="4" t="n"/>
      <c r="F141">
        <f>IF(A141="","",SUMIFS(المبيعات!$F$2:$F$2000,المبيعات!$D$2:$D$2000,A141))</f>
        <v/>
      </c>
      <c r="G141">
        <f>IF(A141="","",E141-F141)</f>
        <v/>
      </c>
      <c r="H141" s="4" t="n"/>
      <c r="I141">
        <f>IF(OR(A141="",H141=""),"",IF(G141&lt;=H141,"اطلب الآن",""))</f>
        <v/>
      </c>
    </row>
    <row r="142">
      <c r="A142" s="4" t="n"/>
      <c r="B142" s="4" t="n"/>
      <c r="C142" s="4" t="n"/>
      <c r="D142" s="4" t="n"/>
      <c r="E142" s="4" t="n"/>
      <c r="F142">
        <f>IF(A142="","",SUMIFS(المبيعات!$F$2:$F$2000,المبيعات!$D$2:$D$2000,A142))</f>
        <v/>
      </c>
      <c r="G142">
        <f>IF(A142="","",E142-F142)</f>
        <v/>
      </c>
      <c r="H142" s="4" t="n"/>
      <c r="I142">
        <f>IF(OR(A142="",H142=""),"",IF(G142&lt;=H142,"اطلب الآن",""))</f>
        <v/>
      </c>
    </row>
    <row r="143">
      <c r="A143" s="4" t="n"/>
      <c r="B143" s="4" t="n"/>
      <c r="C143" s="4" t="n"/>
      <c r="D143" s="4" t="n"/>
      <c r="E143" s="4" t="n"/>
      <c r="F143">
        <f>IF(A143="","",SUMIFS(المبيعات!$F$2:$F$2000,المبيعات!$D$2:$D$2000,A143))</f>
        <v/>
      </c>
      <c r="G143">
        <f>IF(A143="","",E143-F143)</f>
        <v/>
      </c>
      <c r="H143" s="4" t="n"/>
      <c r="I143">
        <f>IF(OR(A143="",H143=""),"",IF(G143&lt;=H143,"اطلب الآن",""))</f>
        <v/>
      </c>
    </row>
    <row r="144">
      <c r="A144" s="4" t="n"/>
      <c r="B144" s="4" t="n"/>
      <c r="C144" s="4" t="n"/>
      <c r="D144" s="4" t="n"/>
      <c r="E144" s="4" t="n"/>
      <c r="F144">
        <f>IF(A144="","",SUMIFS(المبيعات!$F$2:$F$2000,المبيعات!$D$2:$D$2000,A144))</f>
        <v/>
      </c>
      <c r="G144">
        <f>IF(A144="","",E144-F144)</f>
        <v/>
      </c>
      <c r="H144" s="4" t="n"/>
      <c r="I144">
        <f>IF(OR(A144="",H144=""),"",IF(G144&lt;=H144,"اطلب الآن",""))</f>
        <v/>
      </c>
    </row>
    <row r="145">
      <c r="A145" s="4" t="n"/>
      <c r="B145" s="4" t="n"/>
      <c r="C145" s="4" t="n"/>
      <c r="D145" s="4" t="n"/>
      <c r="E145" s="4" t="n"/>
      <c r="F145">
        <f>IF(A145="","",SUMIFS(المبيعات!$F$2:$F$2000,المبيعات!$D$2:$D$2000,A145))</f>
        <v/>
      </c>
      <c r="G145">
        <f>IF(A145="","",E145-F145)</f>
        <v/>
      </c>
      <c r="H145" s="4" t="n"/>
      <c r="I145">
        <f>IF(OR(A145="",H145=""),"",IF(G145&lt;=H145,"اطلب الآن",""))</f>
        <v/>
      </c>
    </row>
    <row r="146">
      <c r="A146" s="4" t="n"/>
      <c r="B146" s="4" t="n"/>
      <c r="C146" s="4" t="n"/>
      <c r="D146" s="4" t="n"/>
      <c r="E146" s="4" t="n"/>
      <c r="F146">
        <f>IF(A146="","",SUMIFS(المبيعات!$F$2:$F$2000,المبيعات!$D$2:$D$2000,A146))</f>
        <v/>
      </c>
      <c r="G146">
        <f>IF(A146="","",E146-F146)</f>
        <v/>
      </c>
      <c r="H146" s="4" t="n"/>
      <c r="I146">
        <f>IF(OR(A146="",H146=""),"",IF(G146&lt;=H146,"اطلب الآن",""))</f>
        <v/>
      </c>
    </row>
    <row r="147">
      <c r="A147" s="4" t="n"/>
      <c r="B147" s="4" t="n"/>
      <c r="C147" s="4" t="n"/>
      <c r="D147" s="4" t="n"/>
      <c r="E147" s="4" t="n"/>
      <c r="F147">
        <f>IF(A147="","",SUMIFS(المبيعات!$F$2:$F$2000,المبيعات!$D$2:$D$2000,A147))</f>
        <v/>
      </c>
      <c r="G147">
        <f>IF(A147="","",E147-F147)</f>
        <v/>
      </c>
      <c r="H147" s="4" t="n"/>
      <c r="I147">
        <f>IF(OR(A147="",H147=""),"",IF(G147&lt;=H147,"اطلب الآن",""))</f>
        <v/>
      </c>
    </row>
    <row r="148">
      <c r="A148" s="4" t="n"/>
      <c r="B148" s="4" t="n"/>
      <c r="C148" s="4" t="n"/>
      <c r="D148" s="4" t="n"/>
      <c r="E148" s="4" t="n"/>
      <c r="F148">
        <f>IF(A148="","",SUMIFS(المبيعات!$F$2:$F$2000,المبيعات!$D$2:$D$2000,A148))</f>
        <v/>
      </c>
      <c r="G148">
        <f>IF(A148="","",E148-F148)</f>
        <v/>
      </c>
      <c r="H148" s="4" t="n"/>
      <c r="I148">
        <f>IF(OR(A148="",H148=""),"",IF(G148&lt;=H148,"اطلب الآن",""))</f>
        <v/>
      </c>
    </row>
    <row r="149">
      <c r="A149" s="4" t="n"/>
      <c r="B149" s="4" t="n"/>
      <c r="C149" s="4" t="n"/>
      <c r="D149" s="4" t="n"/>
      <c r="E149" s="4" t="n"/>
      <c r="F149">
        <f>IF(A149="","",SUMIFS(المبيعات!$F$2:$F$2000,المبيعات!$D$2:$D$2000,A149))</f>
        <v/>
      </c>
      <c r="G149">
        <f>IF(A149="","",E149-F149)</f>
        <v/>
      </c>
      <c r="H149" s="4" t="n"/>
      <c r="I149">
        <f>IF(OR(A149="",H149=""),"",IF(G149&lt;=H149,"اطلب الآن",""))</f>
        <v/>
      </c>
    </row>
    <row r="150">
      <c r="A150" s="4" t="n"/>
      <c r="B150" s="4" t="n"/>
      <c r="C150" s="4" t="n"/>
      <c r="D150" s="4" t="n"/>
      <c r="E150" s="4" t="n"/>
      <c r="F150">
        <f>IF(A150="","",SUMIFS(المبيعات!$F$2:$F$2000,المبيعات!$D$2:$D$2000,A150))</f>
        <v/>
      </c>
      <c r="G150">
        <f>IF(A150="","",E150-F150)</f>
        <v/>
      </c>
      <c r="H150" s="4" t="n"/>
      <c r="I150">
        <f>IF(OR(A150="",H150=""),"",IF(G150&lt;=H150,"اطلب الآن",""))</f>
        <v/>
      </c>
    </row>
    <row r="151">
      <c r="A151" s="4" t="n"/>
      <c r="B151" s="4" t="n"/>
      <c r="C151" s="4" t="n"/>
      <c r="D151" s="4" t="n"/>
      <c r="E151" s="4" t="n"/>
      <c r="F151">
        <f>IF(A151="","",SUMIFS(المبيعات!$F$2:$F$2000,المبيعات!$D$2:$D$2000,A151))</f>
        <v/>
      </c>
      <c r="G151">
        <f>IF(A151="","",E151-F151)</f>
        <v/>
      </c>
      <c r="H151" s="4" t="n"/>
      <c r="I151">
        <f>IF(OR(A151="",H151=""),"",IF(G151&lt;=H151,"اطلب الآن",""))</f>
        <v/>
      </c>
    </row>
    <row r="152">
      <c r="A152" s="4" t="n"/>
      <c r="B152" s="4" t="n"/>
      <c r="C152" s="4" t="n"/>
      <c r="D152" s="4" t="n"/>
      <c r="E152" s="4" t="n"/>
      <c r="F152">
        <f>IF(A152="","",SUMIFS(المبيعات!$F$2:$F$2000,المبيعات!$D$2:$D$2000,A152))</f>
        <v/>
      </c>
      <c r="G152">
        <f>IF(A152="","",E152-F152)</f>
        <v/>
      </c>
      <c r="H152" s="4" t="n"/>
      <c r="I152">
        <f>IF(OR(A152="",H152=""),"",IF(G152&lt;=H152,"اطلب الآن",""))</f>
        <v/>
      </c>
    </row>
    <row r="153">
      <c r="A153" s="4" t="n"/>
      <c r="B153" s="4" t="n"/>
      <c r="C153" s="4" t="n"/>
      <c r="D153" s="4" t="n"/>
      <c r="E153" s="4" t="n"/>
      <c r="F153">
        <f>IF(A153="","",SUMIFS(المبيعات!$F$2:$F$2000,المبيعات!$D$2:$D$2000,A153))</f>
        <v/>
      </c>
      <c r="G153">
        <f>IF(A153="","",E153-F153)</f>
        <v/>
      </c>
      <c r="H153" s="4" t="n"/>
      <c r="I153">
        <f>IF(OR(A153="",H153=""),"",IF(G153&lt;=H153,"اطلب الآن",""))</f>
        <v/>
      </c>
    </row>
    <row r="154">
      <c r="A154" s="4" t="n"/>
      <c r="B154" s="4" t="n"/>
      <c r="C154" s="4" t="n"/>
      <c r="D154" s="4" t="n"/>
      <c r="E154" s="4" t="n"/>
      <c r="F154">
        <f>IF(A154="","",SUMIFS(المبيعات!$F$2:$F$2000,المبيعات!$D$2:$D$2000,A154))</f>
        <v/>
      </c>
      <c r="G154">
        <f>IF(A154="","",E154-F154)</f>
        <v/>
      </c>
      <c r="H154" s="4" t="n"/>
      <c r="I154">
        <f>IF(OR(A154="",H154=""),"",IF(G154&lt;=H154,"اطلب الآن",""))</f>
        <v/>
      </c>
    </row>
    <row r="155">
      <c r="A155" s="4" t="n"/>
      <c r="B155" s="4" t="n"/>
      <c r="C155" s="4" t="n"/>
      <c r="D155" s="4" t="n"/>
      <c r="E155" s="4" t="n"/>
      <c r="F155">
        <f>IF(A155="","",SUMIFS(المبيعات!$F$2:$F$2000,المبيعات!$D$2:$D$2000,A155))</f>
        <v/>
      </c>
      <c r="G155">
        <f>IF(A155="","",E155-F155)</f>
        <v/>
      </c>
      <c r="H155" s="4" t="n"/>
      <c r="I155">
        <f>IF(OR(A155="",H155=""),"",IF(G155&lt;=H155,"اطلب الآن",""))</f>
        <v/>
      </c>
    </row>
    <row r="156">
      <c r="A156" s="4" t="n"/>
      <c r="B156" s="4" t="n"/>
      <c r="C156" s="4" t="n"/>
      <c r="D156" s="4" t="n"/>
      <c r="E156" s="4" t="n"/>
      <c r="F156">
        <f>IF(A156="","",SUMIFS(المبيعات!$F$2:$F$2000,المبيعات!$D$2:$D$2000,A156))</f>
        <v/>
      </c>
      <c r="G156">
        <f>IF(A156="","",E156-F156)</f>
        <v/>
      </c>
      <c r="H156" s="4" t="n"/>
      <c r="I156">
        <f>IF(OR(A156="",H156=""),"",IF(G156&lt;=H156,"اطلب الآن",""))</f>
        <v/>
      </c>
    </row>
    <row r="157">
      <c r="A157" s="4" t="n"/>
      <c r="B157" s="4" t="n"/>
      <c r="C157" s="4" t="n"/>
      <c r="D157" s="4" t="n"/>
      <c r="E157" s="4" t="n"/>
      <c r="F157">
        <f>IF(A157="","",SUMIFS(المبيعات!$F$2:$F$2000,المبيعات!$D$2:$D$2000,A157))</f>
        <v/>
      </c>
      <c r="G157">
        <f>IF(A157="","",E157-F157)</f>
        <v/>
      </c>
      <c r="H157" s="4" t="n"/>
      <c r="I157">
        <f>IF(OR(A157="",H157=""),"",IF(G157&lt;=H157,"اطلب الآن",""))</f>
        <v/>
      </c>
    </row>
    <row r="158">
      <c r="A158" s="4" t="n"/>
      <c r="B158" s="4" t="n"/>
      <c r="C158" s="4" t="n"/>
      <c r="D158" s="4" t="n"/>
      <c r="E158" s="4" t="n"/>
      <c r="F158">
        <f>IF(A158="","",SUMIFS(المبيعات!$F$2:$F$2000,المبيعات!$D$2:$D$2000,A158))</f>
        <v/>
      </c>
      <c r="G158">
        <f>IF(A158="","",E158-F158)</f>
        <v/>
      </c>
      <c r="H158" s="4" t="n"/>
      <c r="I158">
        <f>IF(OR(A158="",H158=""),"",IF(G158&lt;=H158,"اطلب الآن",""))</f>
        <v/>
      </c>
    </row>
    <row r="159">
      <c r="A159" s="4" t="n"/>
      <c r="B159" s="4" t="n"/>
      <c r="C159" s="4" t="n"/>
      <c r="D159" s="4" t="n"/>
      <c r="E159" s="4" t="n"/>
      <c r="F159">
        <f>IF(A159="","",SUMIFS(المبيعات!$F$2:$F$2000,المبيعات!$D$2:$D$2000,A159))</f>
        <v/>
      </c>
      <c r="G159">
        <f>IF(A159="","",E159-F159)</f>
        <v/>
      </c>
      <c r="H159" s="4" t="n"/>
      <c r="I159">
        <f>IF(OR(A159="",H159=""),"",IF(G159&lt;=H159,"اطلب الآن",""))</f>
        <v/>
      </c>
    </row>
    <row r="160">
      <c r="A160" s="4" t="n"/>
      <c r="B160" s="4" t="n"/>
      <c r="C160" s="4" t="n"/>
      <c r="D160" s="4" t="n"/>
      <c r="E160" s="4" t="n"/>
      <c r="F160">
        <f>IF(A160="","",SUMIFS(المبيعات!$F$2:$F$2000,المبيعات!$D$2:$D$2000,A160))</f>
        <v/>
      </c>
      <c r="G160">
        <f>IF(A160="","",E160-F160)</f>
        <v/>
      </c>
      <c r="H160" s="4" t="n"/>
      <c r="I160">
        <f>IF(OR(A160="",H160=""),"",IF(G160&lt;=H160,"اطلب الآن",""))</f>
        <v/>
      </c>
    </row>
    <row r="161">
      <c r="A161" s="4" t="n"/>
      <c r="B161" s="4" t="n"/>
      <c r="C161" s="4" t="n"/>
      <c r="D161" s="4" t="n"/>
      <c r="E161" s="4" t="n"/>
      <c r="F161">
        <f>IF(A161="","",SUMIFS(المبيعات!$F$2:$F$2000,المبيعات!$D$2:$D$2000,A161))</f>
        <v/>
      </c>
      <c r="G161">
        <f>IF(A161="","",E161-F161)</f>
        <v/>
      </c>
      <c r="H161" s="4" t="n"/>
      <c r="I161">
        <f>IF(OR(A161="",H161=""),"",IF(G161&lt;=H161,"اطلب الآن",""))</f>
        <v/>
      </c>
    </row>
    <row r="162">
      <c r="A162" s="4" t="n"/>
      <c r="B162" s="4" t="n"/>
      <c r="C162" s="4" t="n"/>
      <c r="D162" s="4" t="n"/>
      <c r="E162" s="4" t="n"/>
      <c r="F162">
        <f>IF(A162="","",SUMIFS(المبيعات!$F$2:$F$2000,المبيعات!$D$2:$D$2000,A162))</f>
        <v/>
      </c>
      <c r="G162">
        <f>IF(A162="","",E162-F162)</f>
        <v/>
      </c>
      <c r="H162" s="4" t="n"/>
      <c r="I162">
        <f>IF(OR(A162="",H162=""),"",IF(G162&lt;=H162,"اطلب الآن",""))</f>
        <v/>
      </c>
    </row>
    <row r="163">
      <c r="A163" s="4" t="n"/>
      <c r="B163" s="4" t="n"/>
      <c r="C163" s="4" t="n"/>
      <c r="D163" s="4" t="n"/>
      <c r="E163" s="4" t="n"/>
      <c r="F163">
        <f>IF(A163="","",SUMIFS(المبيعات!$F$2:$F$2000,المبيعات!$D$2:$D$2000,A163))</f>
        <v/>
      </c>
      <c r="G163">
        <f>IF(A163="","",E163-F163)</f>
        <v/>
      </c>
      <c r="H163" s="4" t="n"/>
      <c r="I163">
        <f>IF(OR(A163="",H163=""),"",IF(G163&lt;=H163,"اطلب الآن",""))</f>
        <v/>
      </c>
    </row>
    <row r="164">
      <c r="A164" s="4" t="n"/>
      <c r="B164" s="4" t="n"/>
      <c r="C164" s="4" t="n"/>
      <c r="D164" s="4" t="n"/>
      <c r="E164" s="4" t="n"/>
      <c r="F164">
        <f>IF(A164="","",SUMIFS(المبيعات!$F$2:$F$2000,المبيعات!$D$2:$D$2000,A164))</f>
        <v/>
      </c>
      <c r="G164">
        <f>IF(A164="","",E164-F164)</f>
        <v/>
      </c>
      <c r="H164" s="4" t="n"/>
      <c r="I164">
        <f>IF(OR(A164="",H164=""),"",IF(G164&lt;=H164,"اطلب الآن",""))</f>
        <v/>
      </c>
    </row>
    <row r="165">
      <c r="A165" s="4" t="n"/>
      <c r="B165" s="4" t="n"/>
      <c r="C165" s="4" t="n"/>
      <c r="D165" s="4" t="n"/>
      <c r="E165" s="4" t="n"/>
      <c r="F165">
        <f>IF(A165="","",SUMIFS(المبيعات!$F$2:$F$2000,المبيعات!$D$2:$D$2000,A165))</f>
        <v/>
      </c>
      <c r="G165">
        <f>IF(A165="","",E165-F165)</f>
        <v/>
      </c>
      <c r="H165" s="4" t="n"/>
      <c r="I165">
        <f>IF(OR(A165="",H165=""),"",IF(G165&lt;=H165,"اطلب الآن",""))</f>
        <v/>
      </c>
    </row>
    <row r="166">
      <c r="A166" s="4" t="n"/>
      <c r="B166" s="4" t="n"/>
      <c r="C166" s="4" t="n"/>
      <c r="D166" s="4" t="n"/>
      <c r="E166" s="4" t="n"/>
      <c r="F166">
        <f>IF(A166="","",SUMIFS(المبيعات!$F$2:$F$2000,المبيعات!$D$2:$D$2000,A166))</f>
        <v/>
      </c>
      <c r="G166">
        <f>IF(A166="","",E166-F166)</f>
        <v/>
      </c>
      <c r="H166" s="4" t="n"/>
      <c r="I166">
        <f>IF(OR(A166="",H166=""),"",IF(G166&lt;=H166,"اطلب الآن",""))</f>
        <v/>
      </c>
    </row>
    <row r="167">
      <c r="A167" s="4" t="n"/>
      <c r="B167" s="4" t="n"/>
      <c r="C167" s="4" t="n"/>
      <c r="D167" s="4" t="n"/>
      <c r="E167" s="4" t="n"/>
      <c r="F167">
        <f>IF(A167="","",SUMIFS(المبيعات!$F$2:$F$2000,المبيعات!$D$2:$D$2000,A167))</f>
        <v/>
      </c>
      <c r="G167">
        <f>IF(A167="","",E167-F167)</f>
        <v/>
      </c>
      <c r="H167" s="4" t="n"/>
      <c r="I167">
        <f>IF(OR(A167="",H167=""),"",IF(G167&lt;=H167,"اطلب الآن",""))</f>
        <v/>
      </c>
    </row>
    <row r="168">
      <c r="A168" s="4" t="n"/>
      <c r="B168" s="4" t="n"/>
      <c r="C168" s="4" t="n"/>
      <c r="D168" s="4" t="n"/>
      <c r="E168" s="4" t="n"/>
      <c r="F168">
        <f>IF(A168="","",SUMIFS(المبيعات!$F$2:$F$2000,المبيعات!$D$2:$D$2000,A168))</f>
        <v/>
      </c>
      <c r="G168">
        <f>IF(A168="","",E168-F168)</f>
        <v/>
      </c>
      <c r="H168" s="4" t="n"/>
      <c r="I168">
        <f>IF(OR(A168="",H168=""),"",IF(G168&lt;=H168,"اطلب الآن",""))</f>
        <v/>
      </c>
    </row>
    <row r="169">
      <c r="A169" s="4" t="n"/>
      <c r="B169" s="4" t="n"/>
      <c r="C169" s="4" t="n"/>
      <c r="D169" s="4" t="n"/>
      <c r="E169" s="4" t="n"/>
      <c r="F169">
        <f>IF(A169="","",SUMIFS(المبيعات!$F$2:$F$2000,المبيعات!$D$2:$D$2000,A169))</f>
        <v/>
      </c>
      <c r="G169">
        <f>IF(A169="","",E169-F169)</f>
        <v/>
      </c>
      <c r="H169" s="4" t="n"/>
      <c r="I169">
        <f>IF(OR(A169="",H169=""),"",IF(G169&lt;=H169,"اطلب الآن",""))</f>
        <v/>
      </c>
    </row>
    <row r="170">
      <c r="A170" s="4" t="n"/>
      <c r="B170" s="4" t="n"/>
      <c r="C170" s="4" t="n"/>
      <c r="D170" s="4" t="n"/>
      <c r="E170" s="4" t="n"/>
      <c r="F170">
        <f>IF(A170="","",SUMIFS(المبيعات!$F$2:$F$2000,المبيعات!$D$2:$D$2000,A170))</f>
        <v/>
      </c>
      <c r="G170">
        <f>IF(A170="","",E170-F170)</f>
        <v/>
      </c>
      <c r="H170" s="4" t="n"/>
      <c r="I170">
        <f>IF(OR(A170="",H170=""),"",IF(G170&lt;=H170,"اطلب الآن",""))</f>
        <v/>
      </c>
    </row>
    <row r="171">
      <c r="A171" s="4" t="n"/>
      <c r="B171" s="4" t="n"/>
      <c r="C171" s="4" t="n"/>
      <c r="D171" s="4" t="n"/>
      <c r="E171" s="4" t="n"/>
      <c r="F171">
        <f>IF(A171="","",SUMIFS(المبيعات!$F$2:$F$2000,المبيعات!$D$2:$D$2000,A171))</f>
        <v/>
      </c>
      <c r="G171">
        <f>IF(A171="","",E171-F171)</f>
        <v/>
      </c>
      <c r="H171" s="4" t="n"/>
      <c r="I171">
        <f>IF(OR(A171="",H171=""),"",IF(G171&lt;=H171,"اطلب الآن",""))</f>
        <v/>
      </c>
    </row>
    <row r="172">
      <c r="A172" s="4" t="n"/>
      <c r="B172" s="4" t="n"/>
      <c r="C172" s="4" t="n"/>
      <c r="D172" s="4" t="n"/>
      <c r="E172" s="4" t="n"/>
      <c r="F172">
        <f>IF(A172="","",SUMIFS(المبيعات!$F$2:$F$2000,المبيعات!$D$2:$D$2000,A172))</f>
        <v/>
      </c>
      <c r="G172">
        <f>IF(A172="","",E172-F172)</f>
        <v/>
      </c>
      <c r="H172" s="4" t="n"/>
      <c r="I172">
        <f>IF(OR(A172="",H172=""),"",IF(G172&lt;=H172,"اطلب الآن",""))</f>
        <v/>
      </c>
    </row>
    <row r="173">
      <c r="A173" s="4" t="n"/>
      <c r="B173" s="4" t="n"/>
      <c r="C173" s="4" t="n"/>
      <c r="D173" s="4" t="n"/>
      <c r="E173" s="4" t="n"/>
      <c r="F173">
        <f>IF(A173="","",SUMIFS(المبيعات!$F$2:$F$2000,المبيعات!$D$2:$D$2000,A173))</f>
        <v/>
      </c>
      <c r="G173">
        <f>IF(A173="","",E173-F173)</f>
        <v/>
      </c>
      <c r="H173" s="4" t="n"/>
      <c r="I173">
        <f>IF(OR(A173="",H173=""),"",IF(G173&lt;=H173,"اطلب الآن",""))</f>
        <v/>
      </c>
    </row>
    <row r="174">
      <c r="A174" s="4" t="n"/>
      <c r="B174" s="4" t="n"/>
      <c r="C174" s="4" t="n"/>
      <c r="D174" s="4" t="n"/>
      <c r="E174" s="4" t="n"/>
      <c r="F174">
        <f>IF(A174="","",SUMIFS(المبيعات!$F$2:$F$2000,المبيعات!$D$2:$D$2000,A174))</f>
        <v/>
      </c>
      <c r="G174">
        <f>IF(A174="","",E174-F174)</f>
        <v/>
      </c>
      <c r="H174" s="4" t="n"/>
      <c r="I174">
        <f>IF(OR(A174="",H174=""),"",IF(G174&lt;=H174,"اطلب الآن",""))</f>
        <v/>
      </c>
    </row>
    <row r="175">
      <c r="A175" s="4" t="n"/>
      <c r="B175" s="4" t="n"/>
      <c r="C175" s="4" t="n"/>
      <c r="D175" s="4" t="n"/>
      <c r="E175" s="4" t="n"/>
      <c r="F175">
        <f>IF(A175="","",SUMIFS(المبيعات!$F$2:$F$2000,المبيعات!$D$2:$D$2000,A175))</f>
        <v/>
      </c>
      <c r="G175">
        <f>IF(A175="","",E175-F175)</f>
        <v/>
      </c>
      <c r="H175" s="4" t="n"/>
      <c r="I175">
        <f>IF(OR(A175="",H175=""),"",IF(G175&lt;=H175,"اطلب الآن",""))</f>
        <v/>
      </c>
    </row>
    <row r="176">
      <c r="A176" s="4" t="n"/>
      <c r="B176" s="4" t="n"/>
      <c r="C176" s="4" t="n"/>
      <c r="D176" s="4" t="n"/>
      <c r="E176" s="4" t="n"/>
      <c r="F176">
        <f>IF(A176="","",SUMIFS(المبيعات!$F$2:$F$2000,المبيعات!$D$2:$D$2000,A176))</f>
        <v/>
      </c>
      <c r="G176">
        <f>IF(A176="","",E176-F176)</f>
        <v/>
      </c>
      <c r="H176" s="4" t="n"/>
      <c r="I176">
        <f>IF(OR(A176="",H176=""),"",IF(G176&lt;=H176,"اطلب الآن",""))</f>
        <v/>
      </c>
    </row>
    <row r="177">
      <c r="A177" s="4" t="n"/>
      <c r="B177" s="4" t="n"/>
      <c r="C177" s="4" t="n"/>
      <c r="D177" s="4" t="n"/>
      <c r="E177" s="4" t="n"/>
      <c r="F177">
        <f>IF(A177="","",SUMIFS(المبيعات!$F$2:$F$2000,المبيعات!$D$2:$D$2000,A177))</f>
        <v/>
      </c>
      <c r="G177">
        <f>IF(A177="","",E177-F177)</f>
        <v/>
      </c>
      <c r="H177" s="4" t="n"/>
      <c r="I177">
        <f>IF(OR(A177="",H177=""),"",IF(G177&lt;=H177,"اطلب الآن",""))</f>
        <v/>
      </c>
    </row>
    <row r="178">
      <c r="A178" s="4" t="n"/>
      <c r="B178" s="4" t="n"/>
      <c r="C178" s="4" t="n"/>
      <c r="D178" s="4" t="n"/>
      <c r="E178" s="4" t="n"/>
      <c r="F178">
        <f>IF(A178="","",SUMIFS(المبيعات!$F$2:$F$2000,المبيعات!$D$2:$D$2000,A178))</f>
        <v/>
      </c>
      <c r="G178">
        <f>IF(A178="","",E178-F178)</f>
        <v/>
      </c>
      <c r="H178" s="4" t="n"/>
      <c r="I178">
        <f>IF(OR(A178="",H178=""),"",IF(G178&lt;=H178,"اطلب الآن",""))</f>
        <v/>
      </c>
    </row>
    <row r="179">
      <c r="A179" s="4" t="n"/>
      <c r="B179" s="4" t="n"/>
      <c r="C179" s="4" t="n"/>
      <c r="D179" s="4" t="n"/>
      <c r="E179" s="4" t="n"/>
      <c r="F179">
        <f>IF(A179="","",SUMIFS(المبيعات!$F$2:$F$2000,المبيعات!$D$2:$D$2000,A179))</f>
        <v/>
      </c>
      <c r="G179">
        <f>IF(A179="","",E179-F179)</f>
        <v/>
      </c>
      <c r="H179" s="4" t="n"/>
      <c r="I179">
        <f>IF(OR(A179="",H179=""),"",IF(G179&lt;=H179,"اطلب الآن",""))</f>
        <v/>
      </c>
    </row>
    <row r="180">
      <c r="A180" s="4" t="n"/>
      <c r="B180" s="4" t="n"/>
      <c r="C180" s="4" t="n"/>
      <c r="D180" s="4" t="n"/>
      <c r="E180" s="4" t="n"/>
      <c r="F180">
        <f>IF(A180="","",SUMIFS(المبيعات!$F$2:$F$2000,المبيعات!$D$2:$D$2000,A180))</f>
        <v/>
      </c>
      <c r="G180">
        <f>IF(A180="","",E180-F180)</f>
        <v/>
      </c>
      <c r="H180" s="4" t="n"/>
      <c r="I180">
        <f>IF(OR(A180="",H180=""),"",IF(G180&lt;=H180,"اطلب الآن",""))</f>
        <v/>
      </c>
    </row>
    <row r="181">
      <c r="A181" s="4" t="n"/>
      <c r="B181" s="4" t="n"/>
      <c r="C181" s="4" t="n"/>
      <c r="D181" s="4" t="n"/>
      <c r="E181" s="4" t="n"/>
      <c r="F181">
        <f>IF(A181="","",SUMIFS(المبيعات!$F$2:$F$2000,المبيعات!$D$2:$D$2000,A181))</f>
        <v/>
      </c>
      <c r="G181">
        <f>IF(A181="","",E181-F181)</f>
        <v/>
      </c>
      <c r="H181" s="4" t="n"/>
      <c r="I181">
        <f>IF(OR(A181="",H181=""),"",IF(G181&lt;=H181,"اطلب الآن",""))</f>
        <v/>
      </c>
    </row>
    <row r="182">
      <c r="A182" s="4" t="n"/>
      <c r="B182" s="4" t="n"/>
      <c r="C182" s="4" t="n"/>
      <c r="D182" s="4" t="n"/>
      <c r="E182" s="4" t="n"/>
      <c r="F182">
        <f>IF(A182="","",SUMIFS(المبيعات!$F$2:$F$2000,المبيعات!$D$2:$D$2000,A182))</f>
        <v/>
      </c>
      <c r="G182">
        <f>IF(A182="","",E182-F182)</f>
        <v/>
      </c>
      <c r="H182" s="4" t="n"/>
      <c r="I182">
        <f>IF(OR(A182="",H182=""),"",IF(G182&lt;=H182,"اطلب الآن",""))</f>
        <v/>
      </c>
    </row>
    <row r="183">
      <c r="A183" s="4" t="n"/>
      <c r="B183" s="4" t="n"/>
      <c r="C183" s="4" t="n"/>
      <c r="D183" s="4" t="n"/>
      <c r="E183" s="4" t="n"/>
      <c r="F183">
        <f>IF(A183="","",SUMIFS(المبيعات!$F$2:$F$2000,المبيعات!$D$2:$D$2000,A183))</f>
        <v/>
      </c>
      <c r="G183">
        <f>IF(A183="","",E183-F183)</f>
        <v/>
      </c>
      <c r="H183" s="4" t="n"/>
      <c r="I183">
        <f>IF(OR(A183="",H183=""),"",IF(G183&lt;=H183,"اطلب الآن",""))</f>
        <v/>
      </c>
    </row>
    <row r="184">
      <c r="A184" s="4" t="n"/>
      <c r="B184" s="4" t="n"/>
      <c r="C184" s="4" t="n"/>
      <c r="D184" s="4" t="n"/>
      <c r="E184" s="4" t="n"/>
      <c r="F184">
        <f>IF(A184="","",SUMIFS(المبيعات!$F$2:$F$2000,المبيعات!$D$2:$D$2000,A184))</f>
        <v/>
      </c>
      <c r="G184">
        <f>IF(A184="","",E184-F184)</f>
        <v/>
      </c>
      <c r="H184" s="4" t="n"/>
      <c r="I184">
        <f>IF(OR(A184="",H184=""),"",IF(G184&lt;=H184,"اطلب الآن",""))</f>
        <v/>
      </c>
    </row>
    <row r="185">
      <c r="A185" s="4" t="n"/>
      <c r="B185" s="4" t="n"/>
      <c r="C185" s="4" t="n"/>
      <c r="D185" s="4" t="n"/>
      <c r="E185" s="4" t="n"/>
      <c r="F185">
        <f>IF(A185="","",SUMIFS(المبيعات!$F$2:$F$2000,المبيعات!$D$2:$D$2000,A185))</f>
        <v/>
      </c>
      <c r="G185">
        <f>IF(A185="","",E185-F185)</f>
        <v/>
      </c>
      <c r="H185" s="4" t="n"/>
      <c r="I185">
        <f>IF(OR(A185="",H185=""),"",IF(G185&lt;=H185,"اطلب الآن",""))</f>
        <v/>
      </c>
    </row>
    <row r="186">
      <c r="A186" s="4" t="n"/>
      <c r="B186" s="4" t="n"/>
      <c r="C186" s="4" t="n"/>
      <c r="D186" s="4" t="n"/>
      <c r="E186" s="4" t="n"/>
      <c r="F186">
        <f>IF(A186="","",SUMIFS(المبيعات!$F$2:$F$2000,المبيعات!$D$2:$D$2000,A186))</f>
        <v/>
      </c>
      <c r="G186">
        <f>IF(A186="","",E186-F186)</f>
        <v/>
      </c>
      <c r="H186" s="4" t="n"/>
      <c r="I186">
        <f>IF(OR(A186="",H186=""),"",IF(G186&lt;=H186,"اطلب الآن",""))</f>
        <v/>
      </c>
    </row>
    <row r="187">
      <c r="A187" s="4" t="n"/>
      <c r="B187" s="4" t="n"/>
      <c r="C187" s="4" t="n"/>
      <c r="D187" s="4" t="n"/>
      <c r="E187" s="4" t="n"/>
      <c r="F187">
        <f>IF(A187="","",SUMIFS(المبيعات!$F$2:$F$2000,المبيعات!$D$2:$D$2000,A187))</f>
        <v/>
      </c>
      <c r="G187">
        <f>IF(A187="","",E187-F187)</f>
        <v/>
      </c>
      <c r="H187" s="4" t="n"/>
      <c r="I187">
        <f>IF(OR(A187="",H187=""),"",IF(G187&lt;=H187,"اطلب الآن",""))</f>
        <v/>
      </c>
    </row>
    <row r="188">
      <c r="A188" s="4" t="n"/>
      <c r="B188" s="4" t="n"/>
      <c r="C188" s="4" t="n"/>
      <c r="D188" s="4" t="n"/>
      <c r="E188" s="4" t="n"/>
      <c r="F188">
        <f>IF(A188="","",SUMIFS(المبيعات!$F$2:$F$2000,المبيعات!$D$2:$D$2000,A188))</f>
        <v/>
      </c>
      <c r="G188">
        <f>IF(A188="","",E188-F188)</f>
        <v/>
      </c>
      <c r="H188" s="4" t="n"/>
      <c r="I188">
        <f>IF(OR(A188="",H188=""),"",IF(G188&lt;=H188,"اطلب الآن",""))</f>
        <v/>
      </c>
    </row>
    <row r="189">
      <c r="A189" s="4" t="n"/>
      <c r="B189" s="4" t="n"/>
      <c r="C189" s="4" t="n"/>
      <c r="D189" s="4" t="n"/>
      <c r="E189" s="4" t="n"/>
      <c r="F189">
        <f>IF(A189="","",SUMIFS(المبيعات!$F$2:$F$2000,المبيعات!$D$2:$D$2000,A189))</f>
        <v/>
      </c>
      <c r="G189">
        <f>IF(A189="","",E189-F189)</f>
        <v/>
      </c>
      <c r="H189" s="4" t="n"/>
      <c r="I189">
        <f>IF(OR(A189="",H189=""),"",IF(G189&lt;=H189,"اطلب الآن",""))</f>
        <v/>
      </c>
    </row>
    <row r="190">
      <c r="A190" s="4" t="n"/>
      <c r="B190" s="4" t="n"/>
      <c r="C190" s="4" t="n"/>
      <c r="D190" s="4" t="n"/>
      <c r="E190" s="4" t="n"/>
      <c r="F190">
        <f>IF(A190="","",SUMIFS(المبيعات!$F$2:$F$2000,المبيعات!$D$2:$D$2000,A190))</f>
        <v/>
      </c>
      <c r="G190">
        <f>IF(A190="","",E190-F190)</f>
        <v/>
      </c>
      <c r="H190" s="4" t="n"/>
      <c r="I190">
        <f>IF(OR(A190="",H190=""),"",IF(G190&lt;=H190,"اطلب الآن",""))</f>
        <v/>
      </c>
    </row>
    <row r="191">
      <c r="A191" s="4" t="n"/>
      <c r="B191" s="4" t="n"/>
      <c r="C191" s="4" t="n"/>
      <c r="D191" s="4" t="n"/>
      <c r="E191" s="4" t="n"/>
      <c r="F191">
        <f>IF(A191="","",SUMIFS(المبيعات!$F$2:$F$2000,المبيعات!$D$2:$D$2000,A191))</f>
        <v/>
      </c>
      <c r="G191">
        <f>IF(A191="","",E191-F191)</f>
        <v/>
      </c>
      <c r="H191" s="4" t="n"/>
      <c r="I191">
        <f>IF(OR(A191="",H191=""),"",IF(G191&lt;=H191,"اطلب الآن",""))</f>
        <v/>
      </c>
    </row>
    <row r="192">
      <c r="A192" s="4" t="n"/>
      <c r="B192" s="4" t="n"/>
      <c r="C192" s="4" t="n"/>
      <c r="D192" s="4" t="n"/>
      <c r="E192" s="4" t="n"/>
      <c r="F192">
        <f>IF(A192="","",SUMIFS(المبيعات!$F$2:$F$2000,المبيعات!$D$2:$D$2000,A192))</f>
        <v/>
      </c>
      <c r="G192">
        <f>IF(A192="","",E192-F192)</f>
        <v/>
      </c>
      <c r="H192" s="4" t="n"/>
      <c r="I192">
        <f>IF(OR(A192="",H192=""),"",IF(G192&lt;=H192,"اطلب الآن",""))</f>
        <v/>
      </c>
    </row>
    <row r="193">
      <c r="A193" s="4" t="n"/>
      <c r="B193" s="4" t="n"/>
      <c r="C193" s="4" t="n"/>
      <c r="D193" s="4" t="n"/>
      <c r="E193" s="4" t="n"/>
      <c r="F193">
        <f>IF(A193="","",SUMIFS(المبيعات!$F$2:$F$2000,المبيعات!$D$2:$D$2000,A193))</f>
        <v/>
      </c>
      <c r="G193">
        <f>IF(A193="","",E193-F193)</f>
        <v/>
      </c>
      <c r="H193" s="4" t="n"/>
      <c r="I193">
        <f>IF(OR(A193="",H193=""),"",IF(G193&lt;=H193,"اطلب الآن",""))</f>
        <v/>
      </c>
    </row>
    <row r="194">
      <c r="A194" s="4" t="n"/>
      <c r="B194" s="4" t="n"/>
      <c r="C194" s="4" t="n"/>
      <c r="D194" s="4" t="n"/>
      <c r="E194" s="4" t="n"/>
      <c r="F194">
        <f>IF(A194="","",SUMIFS(المبيعات!$F$2:$F$2000,المبيعات!$D$2:$D$2000,A194))</f>
        <v/>
      </c>
      <c r="G194">
        <f>IF(A194="","",E194-F194)</f>
        <v/>
      </c>
      <c r="H194" s="4" t="n"/>
      <c r="I194">
        <f>IF(OR(A194="",H194=""),"",IF(G194&lt;=H194,"اطلب الآن",""))</f>
        <v/>
      </c>
    </row>
    <row r="195">
      <c r="A195" s="4" t="n"/>
      <c r="B195" s="4" t="n"/>
      <c r="C195" s="4" t="n"/>
      <c r="D195" s="4" t="n"/>
      <c r="E195" s="4" t="n"/>
      <c r="F195">
        <f>IF(A195="","",SUMIFS(المبيعات!$F$2:$F$2000,المبيعات!$D$2:$D$2000,A195))</f>
        <v/>
      </c>
      <c r="G195">
        <f>IF(A195="","",E195-F195)</f>
        <v/>
      </c>
      <c r="H195" s="4" t="n"/>
      <c r="I195">
        <f>IF(OR(A195="",H195=""),"",IF(G195&lt;=H195,"اطلب الآن",""))</f>
        <v/>
      </c>
    </row>
    <row r="196">
      <c r="A196" s="4" t="n"/>
      <c r="B196" s="4" t="n"/>
      <c r="C196" s="4" t="n"/>
      <c r="D196" s="4" t="n"/>
      <c r="E196" s="4" t="n"/>
      <c r="F196">
        <f>IF(A196="","",SUMIFS(المبيعات!$F$2:$F$2000,المبيعات!$D$2:$D$2000,A196))</f>
        <v/>
      </c>
      <c r="G196">
        <f>IF(A196="","",E196-F196)</f>
        <v/>
      </c>
      <c r="H196" s="4" t="n"/>
      <c r="I196">
        <f>IF(OR(A196="",H196=""),"",IF(G196&lt;=H196,"اطلب الآن",""))</f>
        <v/>
      </c>
    </row>
    <row r="197">
      <c r="A197" s="4" t="n"/>
      <c r="B197" s="4" t="n"/>
      <c r="C197" s="4" t="n"/>
      <c r="D197" s="4" t="n"/>
      <c r="E197" s="4" t="n"/>
      <c r="F197">
        <f>IF(A197="","",SUMIFS(المبيعات!$F$2:$F$2000,المبيعات!$D$2:$D$2000,A197))</f>
        <v/>
      </c>
      <c r="G197">
        <f>IF(A197="","",E197-F197)</f>
        <v/>
      </c>
      <c r="H197" s="4" t="n"/>
      <c r="I197">
        <f>IF(OR(A197="",H197=""),"",IF(G197&lt;=H197,"اطلب الآن",""))</f>
        <v/>
      </c>
    </row>
    <row r="198">
      <c r="A198" s="4" t="n"/>
      <c r="B198" s="4" t="n"/>
      <c r="C198" s="4" t="n"/>
      <c r="D198" s="4" t="n"/>
      <c r="E198" s="4" t="n"/>
      <c r="F198">
        <f>IF(A198="","",SUMIFS(المبيعات!$F$2:$F$2000,المبيعات!$D$2:$D$2000,A198))</f>
        <v/>
      </c>
      <c r="G198">
        <f>IF(A198="","",E198-F198)</f>
        <v/>
      </c>
      <c r="H198" s="4" t="n"/>
      <c r="I198">
        <f>IF(OR(A198="",H198=""),"",IF(G198&lt;=H198,"اطلب الآن",""))</f>
        <v/>
      </c>
    </row>
    <row r="199">
      <c r="A199" s="4" t="n"/>
      <c r="B199" s="4" t="n"/>
      <c r="C199" s="4" t="n"/>
      <c r="D199" s="4" t="n"/>
      <c r="E199" s="4" t="n"/>
      <c r="F199">
        <f>IF(A199="","",SUMIFS(المبيعات!$F$2:$F$2000,المبيعات!$D$2:$D$2000,A199))</f>
        <v/>
      </c>
      <c r="G199">
        <f>IF(A199="","",E199-F199)</f>
        <v/>
      </c>
      <c r="H199" s="4" t="n"/>
      <c r="I199">
        <f>IF(OR(A199="",H199=""),"",IF(G199&lt;=H199,"اطلب الآن",""))</f>
        <v/>
      </c>
    </row>
    <row r="200">
      <c r="A200" s="4" t="n"/>
      <c r="B200" s="4" t="n"/>
      <c r="C200" s="4" t="n"/>
      <c r="D200" s="4" t="n"/>
      <c r="E200" s="4" t="n"/>
      <c r="F200">
        <f>IF(A200="","",SUMIFS(المبيعات!$F$2:$F$2000,المبيعات!$D$2:$D$2000,A200))</f>
        <v/>
      </c>
      <c r="G200">
        <f>IF(A200="","",E200-F200)</f>
        <v/>
      </c>
      <c r="H200" s="4" t="n"/>
      <c r="I200">
        <f>IF(OR(A200="",H200=""),"",IF(G200&lt;=H200,"اطلب الآن",""))</f>
        <v/>
      </c>
    </row>
    <row r="201">
      <c r="A201" s="4" t="n"/>
      <c r="B201" s="4" t="n"/>
      <c r="C201" s="4" t="n"/>
      <c r="D201" s="4" t="n"/>
      <c r="E201" s="4" t="n"/>
      <c r="F201">
        <f>IF(A201="","",SUMIFS(المبيعات!$F$2:$F$2000,المبيعات!$D$2:$D$2000,A201))</f>
        <v/>
      </c>
      <c r="G201">
        <f>IF(A201="","",E201-F201)</f>
        <v/>
      </c>
      <c r="H201" s="4" t="n"/>
      <c r="I201">
        <f>IF(OR(A201="",H201=""),"",IF(G201&lt;=H201,"اطلب الآن",""))</f>
        <v/>
      </c>
    </row>
    <row r="202">
      <c r="A202" s="4" t="n"/>
      <c r="B202" s="4" t="n"/>
      <c r="C202" s="4" t="n"/>
      <c r="D202" s="4" t="n"/>
      <c r="E202" s="4" t="n"/>
      <c r="F202">
        <f>IF(A202="","",SUMIFS(المبيعات!$F$2:$F$2000,المبيعات!$D$2:$D$2000,A202))</f>
        <v/>
      </c>
      <c r="G202">
        <f>IF(A202="","",E202-F202)</f>
        <v/>
      </c>
      <c r="H202" s="4" t="n"/>
      <c r="I202">
        <f>IF(OR(A202="",H202=""),"",IF(G202&lt;=H202,"اطلب الآن",""))</f>
        <v/>
      </c>
    </row>
    <row r="203">
      <c r="A203" s="4" t="n"/>
      <c r="B203" s="4" t="n"/>
      <c r="C203" s="4" t="n"/>
      <c r="D203" s="4" t="n"/>
      <c r="E203" s="4" t="n"/>
      <c r="F203">
        <f>IF(A203="","",SUMIFS(المبيعات!$F$2:$F$2000,المبيعات!$D$2:$D$2000,A203))</f>
        <v/>
      </c>
      <c r="G203">
        <f>IF(A203="","",E203-F203)</f>
        <v/>
      </c>
      <c r="H203" s="4" t="n"/>
      <c r="I203">
        <f>IF(OR(A203="",H203=""),"",IF(G203&lt;=H203,"اطلب الآن",""))</f>
        <v/>
      </c>
    </row>
    <row r="204">
      <c r="A204" s="4" t="n"/>
      <c r="B204" s="4" t="n"/>
      <c r="C204" s="4" t="n"/>
      <c r="D204" s="4" t="n"/>
      <c r="E204" s="4" t="n"/>
      <c r="F204">
        <f>IF(A204="","",SUMIFS(المبيعات!$F$2:$F$2000,المبيعات!$D$2:$D$2000,A204))</f>
        <v/>
      </c>
      <c r="G204">
        <f>IF(A204="","",E204-F204)</f>
        <v/>
      </c>
      <c r="H204" s="4" t="n"/>
      <c r="I204">
        <f>IF(OR(A204="",H204=""),"",IF(G204&lt;=H204,"اطلب الآن",""))</f>
        <v/>
      </c>
    </row>
    <row r="205">
      <c r="A205" s="4" t="n"/>
      <c r="B205" s="4" t="n"/>
      <c r="C205" s="4" t="n"/>
      <c r="D205" s="4" t="n"/>
      <c r="E205" s="4" t="n"/>
      <c r="F205">
        <f>IF(A205="","",SUMIFS(المبيعات!$F$2:$F$2000,المبيعات!$D$2:$D$2000,A205))</f>
        <v/>
      </c>
      <c r="G205">
        <f>IF(A205="","",E205-F205)</f>
        <v/>
      </c>
      <c r="H205" s="4" t="n"/>
      <c r="I205">
        <f>IF(OR(A205="",H205=""),"",IF(G205&lt;=H205,"اطلب الآن",""))</f>
        <v/>
      </c>
    </row>
    <row r="206">
      <c r="A206" s="4" t="n"/>
      <c r="B206" s="4" t="n"/>
      <c r="C206" s="4" t="n"/>
      <c r="D206" s="4" t="n"/>
      <c r="E206" s="4" t="n"/>
      <c r="F206">
        <f>IF(A206="","",SUMIFS(المبيعات!$F$2:$F$2000,المبيعات!$D$2:$D$2000,A206))</f>
        <v/>
      </c>
      <c r="G206">
        <f>IF(A206="","",E206-F206)</f>
        <v/>
      </c>
      <c r="H206" s="4" t="n"/>
      <c r="I206">
        <f>IF(OR(A206="",H206=""),"",IF(G206&lt;=H206,"اطلب الآن",""))</f>
        <v/>
      </c>
    </row>
    <row r="207">
      <c r="A207" s="4" t="n"/>
      <c r="B207" s="4" t="n"/>
      <c r="C207" s="4" t="n"/>
      <c r="D207" s="4" t="n"/>
      <c r="E207" s="4" t="n"/>
      <c r="F207">
        <f>IF(A207="","",SUMIFS(المبيعات!$F$2:$F$2000,المبيعات!$D$2:$D$2000,A207))</f>
        <v/>
      </c>
      <c r="G207">
        <f>IF(A207="","",E207-F207)</f>
        <v/>
      </c>
      <c r="H207" s="4" t="n"/>
      <c r="I207">
        <f>IF(OR(A207="",H207=""),"",IF(G207&lt;=H207,"اطلب الآن",""))</f>
        <v/>
      </c>
    </row>
    <row r="208">
      <c r="A208" s="4" t="n"/>
      <c r="B208" s="4" t="n"/>
      <c r="C208" s="4" t="n"/>
      <c r="D208" s="4" t="n"/>
      <c r="E208" s="4" t="n"/>
      <c r="F208">
        <f>IF(A208="","",SUMIFS(المبيعات!$F$2:$F$2000,المبيعات!$D$2:$D$2000,A208))</f>
        <v/>
      </c>
      <c r="G208">
        <f>IF(A208="","",E208-F208)</f>
        <v/>
      </c>
      <c r="H208" s="4" t="n"/>
      <c r="I208">
        <f>IF(OR(A208="",H208=""),"",IF(G208&lt;=H208,"اطلب الآن",""))</f>
        <v/>
      </c>
    </row>
    <row r="209">
      <c r="A209" s="4" t="n"/>
      <c r="B209" s="4" t="n"/>
      <c r="C209" s="4" t="n"/>
      <c r="D209" s="4" t="n"/>
      <c r="E209" s="4" t="n"/>
      <c r="F209">
        <f>IF(A209="","",SUMIFS(المبيعات!$F$2:$F$2000,المبيعات!$D$2:$D$2000,A209))</f>
        <v/>
      </c>
      <c r="G209">
        <f>IF(A209="","",E209-F209)</f>
        <v/>
      </c>
      <c r="H209" s="4" t="n"/>
      <c r="I209">
        <f>IF(OR(A209="",H209=""),"",IF(G209&lt;=H209,"اطلب الآن",""))</f>
        <v/>
      </c>
    </row>
    <row r="210">
      <c r="A210" s="4" t="n"/>
      <c r="B210" s="4" t="n"/>
      <c r="C210" s="4" t="n"/>
      <c r="D210" s="4" t="n"/>
      <c r="E210" s="4" t="n"/>
      <c r="F210">
        <f>IF(A210="","",SUMIFS(المبيعات!$F$2:$F$2000,المبيعات!$D$2:$D$2000,A210))</f>
        <v/>
      </c>
      <c r="G210">
        <f>IF(A210="","",E210-F210)</f>
        <v/>
      </c>
      <c r="H210" s="4" t="n"/>
      <c r="I210">
        <f>IF(OR(A210="",H210=""),"",IF(G210&lt;=H210,"اطلب الآن",""))</f>
        <v/>
      </c>
    </row>
    <row r="211">
      <c r="A211" s="4" t="n"/>
      <c r="B211" s="4" t="n"/>
      <c r="C211" s="4" t="n"/>
      <c r="D211" s="4" t="n"/>
      <c r="E211" s="4" t="n"/>
      <c r="F211">
        <f>IF(A211="","",SUMIFS(المبيعات!$F$2:$F$2000,المبيعات!$D$2:$D$2000,A211))</f>
        <v/>
      </c>
      <c r="G211">
        <f>IF(A211="","",E211-F211)</f>
        <v/>
      </c>
      <c r="H211" s="4" t="n"/>
      <c r="I211">
        <f>IF(OR(A211="",H211=""),"",IF(G211&lt;=H211,"اطلب الآن",""))</f>
        <v/>
      </c>
    </row>
    <row r="212">
      <c r="A212" s="4" t="n"/>
      <c r="B212" s="4" t="n"/>
      <c r="C212" s="4" t="n"/>
      <c r="D212" s="4" t="n"/>
      <c r="E212" s="4" t="n"/>
      <c r="F212">
        <f>IF(A212="","",SUMIFS(المبيعات!$F$2:$F$2000,المبيعات!$D$2:$D$2000,A212))</f>
        <v/>
      </c>
      <c r="G212">
        <f>IF(A212="","",E212-F212)</f>
        <v/>
      </c>
      <c r="H212" s="4" t="n"/>
      <c r="I212">
        <f>IF(OR(A212="",H212=""),"",IF(G212&lt;=H212,"اطلب الآن",""))</f>
        <v/>
      </c>
    </row>
    <row r="213">
      <c r="A213" s="4" t="n"/>
      <c r="B213" s="4" t="n"/>
      <c r="C213" s="4" t="n"/>
      <c r="D213" s="4" t="n"/>
      <c r="E213" s="4" t="n"/>
      <c r="F213">
        <f>IF(A213="","",SUMIFS(المبيعات!$F$2:$F$2000,المبيعات!$D$2:$D$2000,A213))</f>
        <v/>
      </c>
      <c r="G213">
        <f>IF(A213="","",E213-F213)</f>
        <v/>
      </c>
      <c r="H213" s="4" t="n"/>
      <c r="I213">
        <f>IF(OR(A213="",H213=""),"",IF(G213&lt;=H213,"اطلب الآن",""))</f>
        <v/>
      </c>
    </row>
    <row r="214">
      <c r="A214" s="4" t="n"/>
      <c r="B214" s="4" t="n"/>
      <c r="C214" s="4" t="n"/>
      <c r="D214" s="4" t="n"/>
      <c r="E214" s="4" t="n"/>
      <c r="F214">
        <f>IF(A214="","",SUMIFS(المبيعات!$F$2:$F$2000,المبيعات!$D$2:$D$2000,A214))</f>
        <v/>
      </c>
      <c r="G214">
        <f>IF(A214="","",E214-F214)</f>
        <v/>
      </c>
      <c r="H214" s="4" t="n"/>
      <c r="I214">
        <f>IF(OR(A214="",H214=""),"",IF(G214&lt;=H214,"اطلب الآن",""))</f>
        <v/>
      </c>
    </row>
    <row r="215">
      <c r="A215" s="4" t="n"/>
      <c r="B215" s="4" t="n"/>
      <c r="C215" s="4" t="n"/>
      <c r="D215" s="4" t="n"/>
      <c r="E215" s="4" t="n"/>
      <c r="F215">
        <f>IF(A215="","",SUMIFS(المبيعات!$F$2:$F$2000,المبيعات!$D$2:$D$2000,A215))</f>
        <v/>
      </c>
      <c r="G215">
        <f>IF(A215="","",E215-F215)</f>
        <v/>
      </c>
      <c r="H215" s="4" t="n"/>
      <c r="I215">
        <f>IF(OR(A215="",H215=""),"",IF(G215&lt;=H215,"اطلب الآن",""))</f>
        <v/>
      </c>
    </row>
    <row r="216">
      <c r="A216" s="4" t="n"/>
      <c r="B216" s="4" t="n"/>
      <c r="C216" s="4" t="n"/>
      <c r="D216" s="4" t="n"/>
      <c r="E216" s="4" t="n"/>
      <c r="F216">
        <f>IF(A216="","",SUMIFS(المبيعات!$F$2:$F$2000,المبيعات!$D$2:$D$2000,A216))</f>
        <v/>
      </c>
      <c r="G216">
        <f>IF(A216="","",E216-F216)</f>
        <v/>
      </c>
      <c r="H216" s="4" t="n"/>
      <c r="I216">
        <f>IF(OR(A216="",H216=""),"",IF(G216&lt;=H216,"اطلب الآن",""))</f>
        <v/>
      </c>
    </row>
    <row r="217">
      <c r="A217" s="4" t="n"/>
      <c r="B217" s="4" t="n"/>
      <c r="C217" s="4" t="n"/>
      <c r="D217" s="4" t="n"/>
      <c r="E217" s="4" t="n"/>
      <c r="F217">
        <f>IF(A217="","",SUMIFS(المبيعات!$F$2:$F$2000,المبيعات!$D$2:$D$2000,A217))</f>
        <v/>
      </c>
      <c r="G217">
        <f>IF(A217="","",E217-F217)</f>
        <v/>
      </c>
      <c r="H217" s="4" t="n"/>
      <c r="I217">
        <f>IF(OR(A217="",H217=""),"",IF(G217&lt;=H217,"اطلب الآن",""))</f>
        <v/>
      </c>
    </row>
    <row r="218">
      <c r="A218" s="4" t="n"/>
      <c r="B218" s="4" t="n"/>
      <c r="C218" s="4" t="n"/>
      <c r="D218" s="4" t="n"/>
      <c r="E218" s="4" t="n"/>
      <c r="F218">
        <f>IF(A218="","",SUMIFS(المبيعات!$F$2:$F$2000,المبيعات!$D$2:$D$2000,A218))</f>
        <v/>
      </c>
      <c r="G218">
        <f>IF(A218="","",E218-F218)</f>
        <v/>
      </c>
      <c r="H218" s="4" t="n"/>
      <c r="I218">
        <f>IF(OR(A218="",H218=""),"",IF(G218&lt;=H218,"اطلب الآن",""))</f>
        <v/>
      </c>
    </row>
    <row r="219">
      <c r="A219" s="4" t="n"/>
      <c r="B219" s="4" t="n"/>
      <c r="C219" s="4" t="n"/>
      <c r="D219" s="4" t="n"/>
      <c r="E219" s="4" t="n"/>
      <c r="F219">
        <f>IF(A219="","",SUMIFS(المبيعات!$F$2:$F$2000,المبيعات!$D$2:$D$2000,A219))</f>
        <v/>
      </c>
      <c r="G219">
        <f>IF(A219="","",E219-F219)</f>
        <v/>
      </c>
      <c r="H219" s="4" t="n"/>
      <c r="I219">
        <f>IF(OR(A219="",H219=""),"",IF(G219&lt;=H219,"اطلب الآن",""))</f>
        <v/>
      </c>
    </row>
    <row r="220">
      <c r="A220" s="4" t="n"/>
      <c r="B220" s="4" t="n"/>
      <c r="C220" s="4" t="n"/>
      <c r="D220" s="4" t="n"/>
      <c r="E220" s="4" t="n"/>
      <c r="F220">
        <f>IF(A220="","",SUMIFS(المبيعات!$F$2:$F$2000,المبيعات!$D$2:$D$2000,A220))</f>
        <v/>
      </c>
      <c r="G220">
        <f>IF(A220="","",E220-F220)</f>
        <v/>
      </c>
      <c r="H220" s="4" t="n"/>
      <c r="I220">
        <f>IF(OR(A220="",H220=""),"",IF(G220&lt;=H220,"اطلب الآن",""))</f>
        <v/>
      </c>
    </row>
    <row r="221">
      <c r="A221" s="4" t="n"/>
      <c r="B221" s="4" t="n"/>
      <c r="C221" s="4" t="n"/>
      <c r="D221" s="4" t="n"/>
      <c r="E221" s="4" t="n"/>
      <c r="F221">
        <f>IF(A221="","",SUMIFS(المبيعات!$F$2:$F$2000,المبيعات!$D$2:$D$2000,A221))</f>
        <v/>
      </c>
      <c r="G221">
        <f>IF(A221="","",E221-F221)</f>
        <v/>
      </c>
      <c r="H221" s="4" t="n"/>
      <c r="I221">
        <f>IF(OR(A221="",H221=""),"",IF(G221&lt;=H221,"اطلب الآن",""))</f>
        <v/>
      </c>
    </row>
    <row r="222">
      <c r="A222" s="4" t="n"/>
      <c r="B222" s="4" t="n"/>
      <c r="C222" s="4" t="n"/>
      <c r="D222" s="4" t="n"/>
      <c r="E222" s="4" t="n"/>
      <c r="F222">
        <f>IF(A222="","",SUMIFS(المبيعات!$F$2:$F$2000,المبيعات!$D$2:$D$2000,A222))</f>
        <v/>
      </c>
      <c r="G222">
        <f>IF(A222="","",E222-F222)</f>
        <v/>
      </c>
      <c r="H222" s="4" t="n"/>
      <c r="I222">
        <f>IF(OR(A222="",H222=""),"",IF(G222&lt;=H222,"اطلب الآن",""))</f>
        <v/>
      </c>
    </row>
    <row r="223">
      <c r="A223" s="4" t="n"/>
      <c r="B223" s="4" t="n"/>
      <c r="C223" s="4" t="n"/>
      <c r="D223" s="4" t="n"/>
      <c r="E223" s="4" t="n"/>
      <c r="F223">
        <f>IF(A223="","",SUMIFS(المبيعات!$F$2:$F$2000,المبيعات!$D$2:$D$2000,A223))</f>
        <v/>
      </c>
      <c r="G223">
        <f>IF(A223="","",E223-F223)</f>
        <v/>
      </c>
      <c r="H223" s="4" t="n"/>
      <c r="I223">
        <f>IF(OR(A223="",H223=""),"",IF(G223&lt;=H223,"اطلب الآن",""))</f>
        <v/>
      </c>
    </row>
    <row r="224">
      <c r="A224" s="4" t="n"/>
      <c r="B224" s="4" t="n"/>
      <c r="C224" s="4" t="n"/>
      <c r="D224" s="4" t="n"/>
      <c r="E224" s="4" t="n"/>
      <c r="F224">
        <f>IF(A224="","",SUMIFS(المبيعات!$F$2:$F$2000,المبيعات!$D$2:$D$2000,A224))</f>
        <v/>
      </c>
      <c r="G224">
        <f>IF(A224="","",E224-F224)</f>
        <v/>
      </c>
      <c r="H224" s="4" t="n"/>
      <c r="I224">
        <f>IF(OR(A224="",H224=""),"",IF(G224&lt;=H224,"اطلب الآن",""))</f>
        <v/>
      </c>
    </row>
    <row r="225">
      <c r="A225" s="4" t="n"/>
      <c r="B225" s="4" t="n"/>
      <c r="C225" s="4" t="n"/>
      <c r="D225" s="4" t="n"/>
      <c r="E225" s="4" t="n"/>
      <c r="F225">
        <f>IF(A225="","",SUMIFS(المبيعات!$F$2:$F$2000,المبيعات!$D$2:$D$2000,A225))</f>
        <v/>
      </c>
      <c r="G225">
        <f>IF(A225="","",E225-F225)</f>
        <v/>
      </c>
      <c r="H225" s="4" t="n"/>
      <c r="I225">
        <f>IF(OR(A225="",H225=""),"",IF(G225&lt;=H225,"اطلب الآن",""))</f>
        <v/>
      </c>
    </row>
    <row r="226">
      <c r="A226" s="4" t="n"/>
      <c r="B226" s="4" t="n"/>
      <c r="C226" s="4" t="n"/>
      <c r="D226" s="4" t="n"/>
      <c r="E226" s="4" t="n"/>
      <c r="F226">
        <f>IF(A226="","",SUMIFS(المبيعات!$F$2:$F$2000,المبيعات!$D$2:$D$2000,A226))</f>
        <v/>
      </c>
      <c r="G226">
        <f>IF(A226="","",E226-F226)</f>
        <v/>
      </c>
      <c r="H226" s="4" t="n"/>
      <c r="I226">
        <f>IF(OR(A226="",H226=""),"",IF(G226&lt;=H226,"اطلب الآن",""))</f>
        <v/>
      </c>
    </row>
    <row r="227">
      <c r="A227" s="4" t="n"/>
      <c r="B227" s="4" t="n"/>
      <c r="C227" s="4" t="n"/>
      <c r="D227" s="4" t="n"/>
      <c r="E227" s="4" t="n"/>
      <c r="F227">
        <f>IF(A227="","",SUMIFS(المبيعات!$F$2:$F$2000,المبيعات!$D$2:$D$2000,A227))</f>
        <v/>
      </c>
      <c r="G227">
        <f>IF(A227="","",E227-F227)</f>
        <v/>
      </c>
      <c r="H227" s="4" t="n"/>
      <c r="I227">
        <f>IF(OR(A227="",H227=""),"",IF(G227&lt;=H227,"اطلب الآن",""))</f>
        <v/>
      </c>
    </row>
    <row r="228">
      <c r="A228" s="4" t="n"/>
      <c r="B228" s="4" t="n"/>
      <c r="C228" s="4" t="n"/>
      <c r="D228" s="4" t="n"/>
      <c r="E228" s="4" t="n"/>
      <c r="F228">
        <f>IF(A228="","",SUMIFS(المبيعات!$F$2:$F$2000,المبيعات!$D$2:$D$2000,A228))</f>
        <v/>
      </c>
      <c r="G228">
        <f>IF(A228="","",E228-F228)</f>
        <v/>
      </c>
      <c r="H228" s="4" t="n"/>
      <c r="I228">
        <f>IF(OR(A228="",H228=""),"",IF(G228&lt;=H228,"اطلب الآن",""))</f>
        <v/>
      </c>
    </row>
    <row r="229">
      <c r="A229" s="4" t="n"/>
      <c r="B229" s="4" t="n"/>
      <c r="C229" s="4" t="n"/>
      <c r="D229" s="4" t="n"/>
      <c r="E229" s="4" t="n"/>
      <c r="F229">
        <f>IF(A229="","",SUMIFS(المبيعات!$F$2:$F$2000,المبيعات!$D$2:$D$2000,A229))</f>
        <v/>
      </c>
      <c r="G229">
        <f>IF(A229="","",E229-F229)</f>
        <v/>
      </c>
      <c r="H229" s="4" t="n"/>
      <c r="I229">
        <f>IF(OR(A229="",H229=""),"",IF(G229&lt;=H229,"اطلب الآن",""))</f>
        <v/>
      </c>
    </row>
    <row r="230">
      <c r="A230" s="4" t="n"/>
      <c r="B230" s="4" t="n"/>
      <c r="C230" s="4" t="n"/>
      <c r="D230" s="4" t="n"/>
      <c r="E230" s="4" t="n"/>
      <c r="F230">
        <f>IF(A230="","",SUMIFS(المبيعات!$F$2:$F$2000,المبيعات!$D$2:$D$2000,A230))</f>
        <v/>
      </c>
      <c r="G230">
        <f>IF(A230="","",E230-F230)</f>
        <v/>
      </c>
      <c r="H230" s="4" t="n"/>
      <c r="I230">
        <f>IF(OR(A230="",H230=""),"",IF(G230&lt;=H230,"اطلب الآن",""))</f>
        <v/>
      </c>
    </row>
    <row r="231">
      <c r="A231" s="4" t="n"/>
      <c r="B231" s="4" t="n"/>
      <c r="C231" s="4" t="n"/>
      <c r="D231" s="4" t="n"/>
      <c r="E231" s="4" t="n"/>
      <c r="F231">
        <f>IF(A231="","",SUMIFS(المبيعات!$F$2:$F$2000,المبيعات!$D$2:$D$2000,A231))</f>
        <v/>
      </c>
      <c r="G231">
        <f>IF(A231="","",E231-F231)</f>
        <v/>
      </c>
      <c r="H231" s="4" t="n"/>
      <c r="I231">
        <f>IF(OR(A231="",H231=""),"",IF(G231&lt;=H231,"اطلب الآن",""))</f>
        <v/>
      </c>
    </row>
    <row r="232">
      <c r="A232" s="4" t="n"/>
      <c r="B232" s="4" t="n"/>
      <c r="C232" s="4" t="n"/>
      <c r="D232" s="4" t="n"/>
      <c r="E232" s="4" t="n"/>
      <c r="F232">
        <f>IF(A232="","",SUMIFS(المبيعات!$F$2:$F$2000,المبيعات!$D$2:$D$2000,A232))</f>
        <v/>
      </c>
      <c r="G232">
        <f>IF(A232="","",E232-F232)</f>
        <v/>
      </c>
      <c r="H232" s="4" t="n"/>
      <c r="I232">
        <f>IF(OR(A232="",H232=""),"",IF(G232&lt;=H232,"اطلب الآن",""))</f>
        <v/>
      </c>
    </row>
    <row r="233">
      <c r="A233" s="4" t="n"/>
      <c r="B233" s="4" t="n"/>
      <c r="C233" s="4" t="n"/>
      <c r="D233" s="4" t="n"/>
      <c r="E233" s="4" t="n"/>
      <c r="F233">
        <f>IF(A233="","",SUMIFS(المبيعات!$F$2:$F$2000,المبيعات!$D$2:$D$2000,A233))</f>
        <v/>
      </c>
      <c r="G233">
        <f>IF(A233="","",E233-F233)</f>
        <v/>
      </c>
      <c r="H233" s="4" t="n"/>
      <c r="I233">
        <f>IF(OR(A233="",H233=""),"",IF(G233&lt;=H233,"اطلب الآن",""))</f>
        <v/>
      </c>
    </row>
    <row r="234">
      <c r="A234" s="4" t="n"/>
      <c r="B234" s="4" t="n"/>
      <c r="C234" s="4" t="n"/>
      <c r="D234" s="4" t="n"/>
      <c r="E234" s="4" t="n"/>
      <c r="F234">
        <f>IF(A234="","",SUMIFS(المبيعات!$F$2:$F$2000,المبيعات!$D$2:$D$2000,A234))</f>
        <v/>
      </c>
      <c r="G234">
        <f>IF(A234="","",E234-F234)</f>
        <v/>
      </c>
      <c r="H234" s="4" t="n"/>
      <c r="I234">
        <f>IF(OR(A234="",H234=""),"",IF(G234&lt;=H234,"اطلب الآن",""))</f>
        <v/>
      </c>
    </row>
    <row r="235">
      <c r="A235" s="4" t="n"/>
      <c r="B235" s="4" t="n"/>
      <c r="C235" s="4" t="n"/>
      <c r="D235" s="4" t="n"/>
      <c r="E235" s="4" t="n"/>
      <c r="F235">
        <f>IF(A235="","",SUMIFS(المبيعات!$F$2:$F$2000,المبيعات!$D$2:$D$2000,A235))</f>
        <v/>
      </c>
      <c r="G235">
        <f>IF(A235="","",E235-F235)</f>
        <v/>
      </c>
      <c r="H235" s="4" t="n"/>
      <c r="I235">
        <f>IF(OR(A235="",H235=""),"",IF(G235&lt;=H235,"اطلب الآن",""))</f>
        <v/>
      </c>
    </row>
    <row r="236">
      <c r="A236" s="4" t="n"/>
      <c r="B236" s="4" t="n"/>
      <c r="C236" s="4" t="n"/>
      <c r="D236" s="4" t="n"/>
      <c r="E236" s="4" t="n"/>
      <c r="F236">
        <f>IF(A236="","",SUMIFS(المبيعات!$F$2:$F$2000,المبيعات!$D$2:$D$2000,A236))</f>
        <v/>
      </c>
      <c r="G236">
        <f>IF(A236="","",E236-F236)</f>
        <v/>
      </c>
      <c r="H236" s="4" t="n"/>
      <c r="I236">
        <f>IF(OR(A236="",H236=""),"",IF(G236&lt;=H236,"اطلب الآن",""))</f>
        <v/>
      </c>
    </row>
    <row r="237">
      <c r="A237" s="4" t="n"/>
      <c r="B237" s="4" t="n"/>
      <c r="C237" s="4" t="n"/>
      <c r="D237" s="4" t="n"/>
      <c r="E237" s="4" t="n"/>
      <c r="F237">
        <f>IF(A237="","",SUMIFS(المبيعات!$F$2:$F$2000,المبيعات!$D$2:$D$2000,A237))</f>
        <v/>
      </c>
      <c r="G237">
        <f>IF(A237="","",E237-F237)</f>
        <v/>
      </c>
      <c r="H237" s="4" t="n"/>
      <c r="I237">
        <f>IF(OR(A237="",H237=""),"",IF(G237&lt;=H237,"اطلب الآن",""))</f>
        <v/>
      </c>
    </row>
    <row r="238">
      <c r="A238" s="4" t="n"/>
      <c r="B238" s="4" t="n"/>
      <c r="C238" s="4" t="n"/>
      <c r="D238" s="4" t="n"/>
      <c r="E238" s="4" t="n"/>
      <c r="F238">
        <f>IF(A238="","",SUMIFS(المبيعات!$F$2:$F$2000,المبيعات!$D$2:$D$2000,A238))</f>
        <v/>
      </c>
      <c r="G238">
        <f>IF(A238="","",E238-F238)</f>
        <v/>
      </c>
      <c r="H238" s="4" t="n"/>
      <c r="I238">
        <f>IF(OR(A238="",H238=""),"",IF(G238&lt;=H238,"اطلب الآن",""))</f>
        <v/>
      </c>
    </row>
    <row r="239">
      <c r="A239" s="4" t="n"/>
      <c r="B239" s="4" t="n"/>
      <c r="C239" s="4" t="n"/>
      <c r="D239" s="4" t="n"/>
      <c r="E239" s="4" t="n"/>
      <c r="F239">
        <f>IF(A239="","",SUMIFS(المبيعات!$F$2:$F$2000,المبيعات!$D$2:$D$2000,A239))</f>
        <v/>
      </c>
      <c r="G239">
        <f>IF(A239="","",E239-F239)</f>
        <v/>
      </c>
      <c r="H239" s="4" t="n"/>
      <c r="I239">
        <f>IF(OR(A239="",H239=""),"",IF(G239&lt;=H239,"اطلب الآن",""))</f>
        <v/>
      </c>
    </row>
    <row r="240">
      <c r="A240" s="4" t="n"/>
      <c r="B240" s="4" t="n"/>
      <c r="C240" s="4" t="n"/>
      <c r="D240" s="4" t="n"/>
      <c r="E240" s="4" t="n"/>
      <c r="F240">
        <f>IF(A240="","",SUMIFS(المبيعات!$F$2:$F$2000,المبيعات!$D$2:$D$2000,A240))</f>
        <v/>
      </c>
      <c r="G240">
        <f>IF(A240="","",E240-F240)</f>
        <v/>
      </c>
      <c r="H240" s="4" t="n"/>
      <c r="I240">
        <f>IF(OR(A240="",H240=""),"",IF(G240&lt;=H240,"اطلب الآن",""))</f>
        <v/>
      </c>
    </row>
    <row r="241">
      <c r="A241" s="4" t="n"/>
      <c r="B241" s="4" t="n"/>
      <c r="C241" s="4" t="n"/>
      <c r="D241" s="4" t="n"/>
      <c r="E241" s="4" t="n"/>
      <c r="F241">
        <f>IF(A241="","",SUMIFS(المبيعات!$F$2:$F$2000,المبيعات!$D$2:$D$2000,A241))</f>
        <v/>
      </c>
      <c r="G241">
        <f>IF(A241="","",E241-F241)</f>
        <v/>
      </c>
      <c r="H241" s="4" t="n"/>
      <c r="I241">
        <f>IF(OR(A241="",H241=""),"",IF(G241&lt;=H241,"اطلب الآن",""))</f>
        <v/>
      </c>
    </row>
    <row r="242">
      <c r="A242" s="4" t="n"/>
      <c r="B242" s="4" t="n"/>
      <c r="C242" s="4" t="n"/>
      <c r="D242" s="4" t="n"/>
      <c r="E242" s="4" t="n"/>
      <c r="F242">
        <f>IF(A242="","",SUMIFS(المبيعات!$F$2:$F$2000,المبيعات!$D$2:$D$2000,A242))</f>
        <v/>
      </c>
      <c r="G242">
        <f>IF(A242="","",E242-F242)</f>
        <v/>
      </c>
      <c r="H242" s="4" t="n"/>
      <c r="I242">
        <f>IF(OR(A242="",H242=""),"",IF(G242&lt;=H242,"اطلب الآن",""))</f>
        <v/>
      </c>
    </row>
    <row r="243">
      <c r="A243" s="4" t="n"/>
      <c r="B243" s="4" t="n"/>
      <c r="C243" s="4" t="n"/>
      <c r="D243" s="4" t="n"/>
      <c r="E243" s="4" t="n"/>
      <c r="F243">
        <f>IF(A243="","",SUMIFS(المبيعات!$F$2:$F$2000,المبيعات!$D$2:$D$2000,A243))</f>
        <v/>
      </c>
      <c r="G243">
        <f>IF(A243="","",E243-F243)</f>
        <v/>
      </c>
      <c r="H243" s="4" t="n"/>
      <c r="I243">
        <f>IF(OR(A243="",H243=""),"",IF(G243&lt;=H243,"اطلب الآن",""))</f>
        <v/>
      </c>
    </row>
    <row r="244">
      <c r="A244" s="4" t="n"/>
      <c r="B244" s="4" t="n"/>
      <c r="C244" s="4" t="n"/>
      <c r="D244" s="4" t="n"/>
      <c r="E244" s="4" t="n"/>
      <c r="F244">
        <f>IF(A244="","",SUMIFS(المبيعات!$F$2:$F$2000,المبيعات!$D$2:$D$2000,A244))</f>
        <v/>
      </c>
      <c r="G244">
        <f>IF(A244="","",E244-F244)</f>
        <v/>
      </c>
      <c r="H244" s="4" t="n"/>
      <c r="I244">
        <f>IF(OR(A244="",H244=""),"",IF(G244&lt;=H244,"اطلب الآن",""))</f>
        <v/>
      </c>
    </row>
    <row r="245">
      <c r="A245" s="4" t="n"/>
      <c r="B245" s="4" t="n"/>
      <c r="C245" s="4" t="n"/>
      <c r="D245" s="4" t="n"/>
      <c r="E245" s="4" t="n"/>
      <c r="F245">
        <f>IF(A245="","",SUMIFS(المبيعات!$F$2:$F$2000,المبيعات!$D$2:$D$2000,A245))</f>
        <v/>
      </c>
      <c r="G245">
        <f>IF(A245="","",E245-F245)</f>
        <v/>
      </c>
      <c r="H245" s="4" t="n"/>
      <c r="I245">
        <f>IF(OR(A245="",H245=""),"",IF(G245&lt;=H245,"اطلب الآن",""))</f>
        <v/>
      </c>
    </row>
    <row r="246">
      <c r="A246" s="4" t="n"/>
      <c r="B246" s="4" t="n"/>
      <c r="C246" s="4" t="n"/>
      <c r="D246" s="4" t="n"/>
      <c r="E246" s="4" t="n"/>
      <c r="F246">
        <f>IF(A246="","",SUMIFS(المبيعات!$F$2:$F$2000,المبيعات!$D$2:$D$2000,A246))</f>
        <v/>
      </c>
      <c r="G246">
        <f>IF(A246="","",E246-F246)</f>
        <v/>
      </c>
      <c r="H246" s="4" t="n"/>
      <c r="I246">
        <f>IF(OR(A246="",H246=""),"",IF(G246&lt;=H246,"اطلب الآن",""))</f>
        <v/>
      </c>
    </row>
    <row r="247">
      <c r="A247" s="4" t="n"/>
      <c r="B247" s="4" t="n"/>
      <c r="C247" s="4" t="n"/>
      <c r="D247" s="4" t="n"/>
      <c r="E247" s="4" t="n"/>
      <c r="F247">
        <f>IF(A247="","",SUMIFS(المبيعات!$F$2:$F$2000,المبيعات!$D$2:$D$2000,A247))</f>
        <v/>
      </c>
      <c r="G247">
        <f>IF(A247="","",E247-F247)</f>
        <v/>
      </c>
      <c r="H247" s="4" t="n"/>
      <c r="I247">
        <f>IF(OR(A247="",H247=""),"",IF(G247&lt;=H247,"اطلب الآن",""))</f>
        <v/>
      </c>
    </row>
    <row r="248">
      <c r="A248" s="4" t="n"/>
      <c r="B248" s="4" t="n"/>
      <c r="C248" s="4" t="n"/>
      <c r="D248" s="4" t="n"/>
      <c r="E248" s="4" t="n"/>
      <c r="F248">
        <f>IF(A248="","",SUMIFS(المبيعات!$F$2:$F$2000,المبيعات!$D$2:$D$2000,A248))</f>
        <v/>
      </c>
      <c r="G248">
        <f>IF(A248="","",E248-F248)</f>
        <v/>
      </c>
      <c r="H248" s="4" t="n"/>
      <c r="I248">
        <f>IF(OR(A248="",H248=""),"",IF(G248&lt;=H248,"اطلب الآن",""))</f>
        <v/>
      </c>
    </row>
    <row r="249">
      <c r="A249" s="4" t="n"/>
      <c r="B249" s="4" t="n"/>
      <c r="C249" s="4" t="n"/>
      <c r="D249" s="4" t="n"/>
      <c r="E249" s="4" t="n"/>
      <c r="F249">
        <f>IF(A249="","",SUMIFS(المبيعات!$F$2:$F$2000,المبيعات!$D$2:$D$2000,A249))</f>
        <v/>
      </c>
      <c r="G249">
        <f>IF(A249="","",E249-F249)</f>
        <v/>
      </c>
      <c r="H249" s="4" t="n"/>
      <c r="I249">
        <f>IF(OR(A249="",H249=""),"",IF(G249&lt;=H249,"اطلب الآن",""))</f>
        <v/>
      </c>
    </row>
    <row r="250">
      <c r="A250" s="4" t="n"/>
      <c r="B250" s="4" t="n"/>
      <c r="C250" s="4" t="n"/>
      <c r="D250" s="4" t="n"/>
      <c r="E250" s="4" t="n"/>
      <c r="F250">
        <f>IF(A250="","",SUMIFS(المبيعات!$F$2:$F$2000,المبيعات!$D$2:$D$2000,A250))</f>
        <v/>
      </c>
      <c r="G250">
        <f>IF(A250="","",E250-F250)</f>
        <v/>
      </c>
      <c r="H250" s="4" t="n"/>
      <c r="I250">
        <f>IF(OR(A250="",H250=""),"",IF(G250&lt;=H250,"اطلب الآن",""))</f>
        <v/>
      </c>
    </row>
    <row r="251">
      <c r="A251" s="4" t="n"/>
      <c r="B251" s="4" t="n"/>
      <c r="C251" s="4" t="n"/>
      <c r="D251" s="4" t="n"/>
      <c r="E251" s="4" t="n"/>
      <c r="F251">
        <f>IF(A251="","",SUMIFS(المبيعات!$F$2:$F$2000,المبيعات!$D$2:$D$2000,A251))</f>
        <v/>
      </c>
      <c r="G251">
        <f>IF(A251="","",E251-F251)</f>
        <v/>
      </c>
      <c r="H251" s="4" t="n"/>
      <c r="I251">
        <f>IF(OR(A251="",H251=""),"",IF(G251&lt;=H251,"اطلب الآن",""))</f>
        <v/>
      </c>
    </row>
    <row r="252">
      <c r="A252" s="4" t="n"/>
      <c r="B252" s="4" t="n"/>
      <c r="C252" s="4" t="n"/>
      <c r="D252" s="4" t="n"/>
      <c r="E252" s="4" t="n"/>
      <c r="F252">
        <f>IF(A252="","",SUMIFS(المبيعات!$F$2:$F$2000,المبيعات!$D$2:$D$2000,A252))</f>
        <v/>
      </c>
      <c r="G252">
        <f>IF(A252="","",E252-F252)</f>
        <v/>
      </c>
      <c r="H252" s="4" t="n"/>
      <c r="I252">
        <f>IF(OR(A252="",H252=""),"",IF(G252&lt;=H252,"اطلب الآن",""))</f>
        <v/>
      </c>
    </row>
    <row r="253">
      <c r="A253" s="4" t="n"/>
      <c r="B253" s="4" t="n"/>
      <c r="C253" s="4" t="n"/>
      <c r="D253" s="4" t="n"/>
      <c r="E253" s="4" t="n"/>
      <c r="F253">
        <f>IF(A253="","",SUMIFS(المبيعات!$F$2:$F$2000,المبيعات!$D$2:$D$2000,A253))</f>
        <v/>
      </c>
      <c r="G253">
        <f>IF(A253="","",E253-F253)</f>
        <v/>
      </c>
      <c r="H253" s="4" t="n"/>
      <c r="I253">
        <f>IF(OR(A253="",H253=""),"",IF(G253&lt;=H253,"اطلب الآن",""))</f>
        <v/>
      </c>
    </row>
    <row r="254">
      <c r="A254" s="4" t="n"/>
      <c r="B254" s="4" t="n"/>
      <c r="C254" s="4" t="n"/>
      <c r="D254" s="4" t="n"/>
      <c r="E254" s="4" t="n"/>
      <c r="F254">
        <f>IF(A254="","",SUMIFS(المبيعات!$F$2:$F$2000,المبيعات!$D$2:$D$2000,A254))</f>
        <v/>
      </c>
      <c r="G254">
        <f>IF(A254="","",E254-F254)</f>
        <v/>
      </c>
      <c r="H254" s="4" t="n"/>
      <c r="I254">
        <f>IF(OR(A254="",H254=""),"",IF(G254&lt;=H254,"اطلب الآن",""))</f>
        <v/>
      </c>
    </row>
    <row r="255">
      <c r="A255" s="4" t="n"/>
      <c r="B255" s="4" t="n"/>
      <c r="C255" s="4" t="n"/>
      <c r="D255" s="4" t="n"/>
      <c r="E255" s="4" t="n"/>
      <c r="F255">
        <f>IF(A255="","",SUMIFS(المبيعات!$F$2:$F$2000,المبيعات!$D$2:$D$2000,A255))</f>
        <v/>
      </c>
      <c r="G255">
        <f>IF(A255="","",E255-F255)</f>
        <v/>
      </c>
      <c r="H255" s="4" t="n"/>
      <c r="I255">
        <f>IF(OR(A255="",H255=""),"",IF(G255&lt;=H255,"اطلب الآن",""))</f>
        <v/>
      </c>
    </row>
    <row r="256">
      <c r="A256" s="4" t="n"/>
      <c r="B256" s="4" t="n"/>
      <c r="C256" s="4" t="n"/>
      <c r="D256" s="4" t="n"/>
      <c r="E256" s="4" t="n"/>
      <c r="F256">
        <f>IF(A256="","",SUMIFS(المبيعات!$F$2:$F$2000,المبيعات!$D$2:$D$2000,A256))</f>
        <v/>
      </c>
      <c r="G256">
        <f>IF(A256="","",E256-F256)</f>
        <v/>
      </c>
      <c r="H256" s="4" t="n"/>
      <c r="I256">
        <f>IF(OR(A256="",H256=""),"",IF(G256&lt;=H256,"اطلب الآن",""))</f>
        <v/>
      </c>
    </row>
    <row r="257">
      <c r="A257" s="4" t="n"/>
      <c r="B257" s="4" t="n"/>
      <c r="C257" s="4" t="n"/>
      <c r="D257" s="4" t="n"/>
      <c r="E257" s="4" t="n"/>
      <c r="F257">
        <f>IF(A257="","",SUMIFS(المبيعات!$F$2:$F$2000,المبيعات!$D$2:$D$2000,A257))</f>
        <v/>
      </c>
      <c r="G257">
        <f>IF(A257="","",E257-F257)</f>
        <v/>
      </c>
      <c r="H257" s="4" t="n"/>
      <c r="I257">
        <f>IF(OR(A257="",H257=""),"",IF(G257&lt;=H257,"اطلب الآن",""))</f>
        <v/>
      </c>
    </row>
    <row r="258">
      <c r="A258" s="4" t="n"/>
      <c r="B258" s="4" t="n"/>
      <c r="C258" s="4" t="n"/>
      <c r="D258" s="4" t="n"/>
      <c r="E258" s="4" t="n"/>
      <c r="F258">
        <f>IF(A258="","",SUMIFS(المبيعات!$F$2:$F$2000,المبيعات!$D$2:$D$2000,A258))</f>
        <v/>
      </c>
      <c r="G258">
        <f>IF(A258="","",E258-F258)</f>
        <v/>
      </c>
      <c r="H258" s="4" t="n"/>
      <c r="I258">
        <f>IF(OR(A258="",H258=""),"",IF(G258&lt;=H258,"اطلب الآن",""))</f>
        <v/>
      </c>
    </row>
    <row r="259">
      <c r="A259" s="4" t="n"/>
      <c r="B259" s="4" t="n"/>
      <c r="C259" s="4" t="n"/>
      <c r="D259" s="4" t="n"/>
      <c r="E259" s="4" t="n"/>
      <c r="F259">
        <f>IF(A259="","",SUMIFS(المبيعات!$F$2:$F$2000,المبيعات!$D$2:$D$2000,A259))</f>
        <v/>
      </c>
      <c r="G259">
        <f>IF(A259="","",E259-F259)</f>
        <v/>
      </c>
      <c r="H259" s="4" t="n"/>
      <c r="I259">
        <f>IF(OR(A259="",H259=""),"",IF(G259&lt;=H259,"اطلب الآن",""))</f>
        <v/>
      </c>
    </row>
    <row r="260">
      <c r="A260" s="4" t="n"/>
      <c r="B260" s="4" t="n"/>
      <c r="C260" s="4" t="n"/>
      <c r="D260" s="4" t="n"/>
      <c r="E260" s="4" t="n"/>
      <c r="F260">
        <f>IF(A260="","",SUMIFS(المبيعات!$F$2:$F$2000,المبيعات!$D$2:$D$2000,A260))</f>
        <v/>
      </c>
      <c r="G260">
        <f>IF(A260="","",E260-F260)</f>
        <v/>
      </c>
      <c r="H260" s="4" t="n"/>
      <c r="I260">
        <f>IF(OR(A260="",H260=""),"",IF(G260&lt;=H260,"اطلب الآن",""))</f>
        <v/>
      </c>
    </row>
    <row r="261">
      <c r="A261" s="4" t="n"/>
      <c r="B261" s="4" t="n"/>
      <c r="C261" s="4" t="n"/>
      <c r="D261" s="4" t="n"/>
      <c r="E261" s="4" t="n"/>
      <c r="F261">
        <f>IF(A261="","",SUMIFS(المبيعات!$F$2:$F$2000,المبيعات!$D$2:$D$2000,A261))</f>
        <v/>
      </c>
      <c r="G261">
        <f>IF(A261="","",E261-F261)</f>
        <v/>
      </c>
      <c r="H261" s="4" t="n"/>
      <c r="I261">
        <f>IF(OR(A261="",H261=""),"",IF(G261&lt;=H261,"اطلب الآن",""))</f>
        <v/>
      </c>
    </row>
    <row r="262">
      <c r="A262" s="4" t="n"/>
      <c r="B262" s="4" t="n"/>
      <c r="C262" s="4" t="n"/>
      <c r="D262" s="4" t="n"/>
      <c r="E262" s="4" t="n"/>
      <c r="F262">
        <f>IF(A262="","",SUMIFS(المبيعات!$F$2:$F$2000,المبيعات!$D$2:$D$2000,A262))</f>
        <v/>
      </c>
      <c r="G262">
        <f>IF(A262="","",E262-F262)</f>
        <v/>
      </c>
      <c r="H262" s="4" t="n"/>
      <c r="I262">
        <f>IF(OR(A262="",H262=""),"",IF(G262&lt;=H262,"اطلب الآن",""))</f>
        <v/>
      </c>
    </row>
    <row r="263">
      <c r="A263" s="4" t="n"/>
      <c r="B263" s="4" t="n"/>
      <c r="C263" s="4" t="n"/>
      <c r="D263" s="4" t="n"/>
      <c r="E263" s="4" t="n"/>
      <c r="F263">
        <f>IF(A263="","",SUMIFS(المبيعات!$F$2:$F$2000,المبيعات!$D$2:$D$2000,A263))</f>
        <v/>
      </c>
      <c r="G263">
        <f>IF(A263="","",E263-F263)</f>
        <v/>
      </c>
      <c r="H263" s="4" t="n"/>
      <c r="I263">
        <f>IF(OR(A263="",H263=""),"",IF(G263&lt;=H263,"اطلب الآن",""))</f>
        <v/>
      </c>
    </row>
    <row r="264">
      <c r="A264" s="4" t="n"/>
      <c r="B264" s="4" t="n"/>
      <c r="C264" s="4" t="n"/>
      <c r="D264" s="4" t="n"/>
      <c r="E264" s="4" t="n"/>
      <c r="F264">
        <f>IF(A264="","",SUMIFS(المبيعات!$F$2:$F$2000,المبيعات!$D$2:$D$2000,A264))</f>
        <v/>
      </c>
      <c r="G264">
        <f>IF(A264="","",E264-F264)</f>
        <v/>
      </c>
      <c r="H264" s="4" t="n"/>
      <c r="I264">
        <f>IF(OR(A264="",H264=""),"",IF(G264&lt;=H264,"اطلب الآن",""))</f>
        <v/>
      </c>
    </row>
    <row r="265">
      <c r="A265" s="4" t="n"/>
      <c r="B265" s="4" t="n"/>
      <c r="C265" s="4" t="n"/>
      <c r="D265" s="4" t="n"/>
      <c r="E265" s="4" t="n"/>
      <c r="F265">
        <f>IF(A265="","",SUMIFS(المبيعات!$F$2:$F$2000,المبيعات!$D$2:$D$2000,A265))</f>
        <v/>
      </c>
      <c r="G265">
        <f>IF(A265="","",E265-F265)</f>
        <v/>
      </c>
      <c r="H265" s="4" t="n"/>
      <c r="I265">
        <f>IF(OR(A265="",H265=""),"",IF(G265&lt;=H265,"اطلب الآن",""))</f>
        <v/>
      </c>
    </row>
    <row r="266">
      <c r="A266" s="4" t="n"/>
      <c r="B266" s="4" t="n"/>
      <c r="C266" s="4" t="n"/>
      <c r="D266" s="4" t="n"/>
      <c r="E266" s="4" t="n"/>
      <c r="F266">
        <f>IF(A266="","",SUMIFS(المبيعات!$F$2:$F$2000,المبيعات!$D$2:$D$2000,A266))</f>
        <v/>
      </c>
      <c r="G266">
        <f>IF(A266="","",E266-F266)</f>
        <v/>
      </c>
      <c r="H266" s="4" t="n"/>
      <c r="I266">
        <f>IF(OR(A266="",H266=""),"",IF(G266&lt;=H266,"اطلب الآن",""))</f>
        <v/>
      </c>
    </row>
    <row r="267">
      <c r="A267" s="4" t="n"/>
      <c r="B267" s="4" t="n"/>
      <c r="C267" s="4" t="n"/>
      <c r="D267" s="4" t="n"/>
      <c r="E267" s="4" t="n"/>
      <c r="F267">
        <f>IF(A267="","",SUMIFS(المبيعات!$F$2:$F$2000,المبيعات!$D$2:$D$2000,A267))</f>
        <v/>
      </c>
      <c r="G267">
        <f>IF(A267="","",E267-F267)</f>
        <v/>
      </c>
      <c r="H267" s="4" t="n"/>
      <c r="I267">
        <f>IF(OR(A267="",H267=""),"",IF(G267&lt;=H267,"اطلب الآن",""))</f>
        <v/>
      </c>
    </row>
    <row r="268">
      <c r="A268" s="4" t="n"/>
      <c r="B268" s="4" t="n"/>
      <c r="C268" s="4" t="n"/>
      <c r="D268" s="4" t="n"/>
      <c r="E268" s="4" t="n"/>
      <c r="F268">
        <f>IF(A268="","",SUMIFS(المبيعات!$F$2:$F$2000,المبيعات!$D$2:$D$2000,A268))</f>
        <v/>
      </c>
      <c r="G268">
        <f>IF(A268="","",E268-F268)</f>
        <v/>
      </c>
      <c r="H268" s="4" t="n"/>
      <c r="I268">
        <f>IF(OR(A268="",H268=""),"",IF(G268&lt;=H268,"اطلب الآن",""))</f>
        <v/>
      </c>
    </row>
    <row r="269">
      <c r="A269" s="4" t="n"/>
      <c r="B269" s="4" t="n"/>
      <c r="C269" s="4" t="n"/>
      <c r="D269" s="4" t="n"/>
      <c r="E269" s="4" t="n"/>
      <c r="F269">
        <f>IF(A269="","",SUMIFS(المبيعات!$F$2:$F$2000,المبيعات!$D$2:$D$2000,A269))</f>
        <v/>
      </c>
      <c r="G269">
        <f>IF(A269="","",E269-F269)</f>
        <v/>
      </c>
      <c r="H269" s="4" t="n"/>
      <c r="I269">
        <f>IF(OR(A269="",H269=""),"",IF(G269&lt;=H269,"اطلب الآن",""))</f>
        <v/>
      </c>
    </row>
    <row r="270">
      <c r="A270" s="4" t="n"/>
      <c r="B270" s="4" t="n"/>
      <c r="C270" s="4" t="n"/>
      <c r="D270" s="4" t="n"/>
      <c r="E270" s="4" t="n"/>
      <c r="F270">
        <f>IF(A270="","",SUMIFS(المبيعات!$F$2:$F$2000,المبيعات!$D$2:$D$2000,A270))</f>
        <v/>
      </c>
      <c r="G270">
        <f>IF(A270="","",E270-F270)</f>
        <v/>
      </c>
      <c r="H270" s="4" t="n"/>
      <c r="I270">
        <f>IF(OR(A270="",H270=""),"",IF(G270&lt;=H270,"اطلب الآن",""))</f>
        <v/>
      </c>
    </row>
    <row r="271">
      <c r="A271" s="4" t="n"/>
      <c r="B271" s="4" t="n"/>
      <c r="C271" s="4" t="n"/>
      <c r="D271" s="4" t="n"/>
      <c r="E271" s="4" t="n"/>
      <c r="F271">
        <f>IF(A271="","",SUMIFS(المبيعات!$F$2:$F$2000,المبيعات!$D$2:$D$2000,A271))</f>
        <v/>
      </c>
      <c r="G271">
        <f>IF(A271="","",E271-F271)</f>
        <v/>
      </c>
      <c r="H271" s="4" t="n"/>
      <c r="I271">
        <f>IF(OR(A271="",H271=""),"",IF(G271&lt;=H271,"اطلب الآن",""))</f>
        <v/>
      </c>
    </row>
    <row r="272">
      <c r="A272" s="4" t="n"/>
      <c r="B272" s="4" t="n"/>
      <c r="C272" s="4" t="n"/>
      <c r="D272" s="4" t="n"/>
      <c r="E272" s="4" t="n"/>
      <c r="F272">
        <f>IF(A272="","",SUMIFS(المبيعات!$F$2:$F$2000,المبيعات!$D$2:$D$2000,A272))</f>
        <v/>
      </c>
      <c r="G272">
        <f>IF(A272="","",E272-F272)</f>
        <v/>
      </c>
      <c r="H272" s="4" t="n"/>
      <c r="I272">
        <f>IF(OR(A272="",H272=""),"",IF(G272&lt;=H272,"اطلب الآن",""))</f>
        <v/>
      </c>
    </row>
    <row r="273">
      <c r="A273" s="4" t="n"/>
      <c r="B273" s="4" t="n"/>
      <c r="C273" s="4" t="n"/>
      <c r="D273" s="4" t="n"/>
      <c r="E273" s="4" t="n"/>
      <c r="F273">
        <f>IF(A273="","",SUMIFS(المبيعات!$F$2:$F$2000,المبيعات!$D$2:$D$2000,A273))</f>
        <v/>
      </c>
      <c r="G273">
        <f>IF(A273="","",E273-F273)</f>
        <v/>
      </c>
      <c r="H273" s="4" t="n"/>
      <c r="I273">
        <f>IF(OR(A273="",H273=""),"",IF(G273&lt;=H273,"اطلب الآن",""))</f>
        <v/>
      </c>
    </row>
    <row r="274">
      <c r="A274" s="4" t="n"/>
      <c r="B274" s="4" t="n"/>
      <c r="C274" s="4" t="n"/>
      <c r="D274" s="4" t="n"/>
      <c r="E274" s="4" t="n"/>
      <c r="F274">
        <f>IF(A274="","",SUMIFS(المبيعات!$F$2:$F$2000,المبيعات!$D$2:$D$2000,A274))</f>
        <v/>
      </c>
      <c r="G274">
        <f>IF(A274="","",E274-F274)</f>
        <v/>
      </c>
      <c r="H274" s="4" t="n"/>
      <c r="I274">
        <f>IF(OR(A274="",H274=""),"",IF(G274&lt;=H274,"اطلب الآن",""))</f>
        <v/>
      </c>
    </row>
    <row r="275">
      <c r="A275" s="4" t="n"/>
      <c r="B275" s="4" t="n"/>
      <c r="C275" s="4" t="n"/>
      <c r="D275" s="4" t="n"/>
      <c r="E275" s="4" t="n"/>
      <c r="F275">
        <f>IF(A275="","",SUMIFS(المبيعات!$F$2:$F$2000,المبيعات!$D$2:$D$2000,A275))</f>
        <v/>
      </c>
      <c r="G275">
        <f>IF(A275="","",E275-F275)</f>
        <v/>
      </c>
      <c r="H275" s="4" t="n"/>
      <c r="I275">
        <f>IF(OR(A275="",H275=""),"",IF(G275&lt;=H275,"اطلب الآن",""))</f>
        <v/>
      </c>
    </row>
    <row r="276">
      <c r="A276" s="4" t="n"/>
      <c r="B276" s="4" t="n"/>
      <c r="C276" s="4" t="n"/>
      <c r="D276" s="4" t="n"/>
      <c r="E276" s="4" t="n"/>
      <c r="F276">
        <f>IF(A276="","",SUMIFS(المبيعات!$F$2:$F$2000,المبيعات!$D$2:$D$2000,A276))</f>
        <v/>
      </c>
      <c r="G276">
        <f>IF(A276="","",E276-F276)</f>
        <v/>
      </c>
      <c r="H276" s="4" t="n"/>
      <c r="I276">
        <f>IF(OR(A276="",H276=""),"",IF(G276&lt;=H276,"اطلب الآن",""))</f>
        <v/>
      </c>
    </row>
    <row r="277">
      <c r="A277" s="4" t="n"/>
      <c r="B277" s="4" t="n"/>
      <c r="C277" s="4" t="n"/>
      <c r="D277" s="4" t="n"/>
      <c r="E277" s="4" t="n"/>
      <c r="F277">
        <f>IF(A277="","",SUMIFS(المبيعات!$F$2:$F$2000,المبيعات!$D$2:$D$2000,A277))</f>
        <v/>
      </c>
      <c r="G277">
        <f>IF(A277="","",E277-F277)</f>
        <v/>
      </c>
      <c r="H277" s="4" t="n"/>
      <c r="I277">
        <f>IF(OR(A277="",H277=""),"",IF(G277&lt;=H277,"اطلب الآن",""))</f>
        <v/>
      </c>
    </row>
    <row r="278">
      <c r="A278" s="4" t="n"/>
      <c r="B278" s="4" t="n"/>
      <c r="C278" s="4" t="n"/>
      <c r="D278" s="4" t="n"/>
      <c r="E278" s="4" t="n"/>
      <c r="F278">
        <f>IF(A278="","",SUMIFS(المبيعات!$F$2:$F$2000,المبيعات!$D$2:$D$2000,A278))</f>
        <v/>
      </c>
      <c r="G278">
        <f>IF(A278="","",E278-F278)</f>
        <v/>
      </c>
      <c r="H278" s="4" t="n"/>
      <c r="I278">
        <f>IF(OR(A278="",H278=""),"",IF(G278&lt;=H278,"اطلب الآن",""))</f>
        <v/>
      </c>
    </row>
    <row r="279">
      <c r="A279" s="4" t="n"/>
      <c r="B279" s="4" t="n"/>
      <c r="C279" s="4" t="n"/>
      <c r="D279" s="4" t="n"/>
      <c r="E279" s="4" t="n"/>
      <c r="F279">
        <f>IF(A279="","",SUMIFS(المبيعات!$F$2:$F$2000,المبيعات!$D$2:$D$2000,A279))</f>
        <v/>
      </c>
      <c r="G279">
        <f>IF(A279="","",E279-F279)</f>
        <v/>
      </c>
      <c r="H279" s="4" t="n"/>
      <c r="I279">
        <f>IF(OR(A279="",H279=""),"",IF(G279&lt;=H279,"اطلب الآن",""))</f>
        <v/>
      </c>
    </row>
    <row r="280">
      <c r="A280" s="4" t="n"/>
      <c r="B280" s="4" t="n"/>
      <c r="C280" s="4" t="n"/>
      <c r="D280" s="4" t="n"/>
      <c r="E280" s="4" t="n"/>
      <c r="F280">
        <f>IF(A280="","",SUMIFS(المبيعات!$F$2:$F$2000,المبيعات!$D$2:$D$2000,A280))</f>
        <v/>
      </c>
      <c r="G280">
        <f>IF(A280="","",E280-F280)</f>
        <v/>
      </c>
      <c r="H280" s="4" t="n"/>
      <c r="I280">
        <f>IF(OR(A280="",H280=""),"",IF(G280&lt;=H280,"اطلب الآن",""))</f>
        <v/>
      </c>
    </row>
    <row r="281">
      <c r="A281" s="4" t="n"/>
      <c r="B281" s="4" t="n"/>
      <c r="C281" s="4" t="n"/>
      <c r="D281" s="4" t="n"/>
      <c r="E281" s="4" t="n"/>
      <c r="F281">
        <f>IF(A281="","",SUMIFS(المبيعات!$F$2:$F$2000,المبيعات!$D$2:$D$2000,A281))</f>
        <v/>
      </c>
      <c r="G281">
        <f>IF(A281="","",E281-F281)</f>
        <v/>
      </c>
      <c r="H281" s="4" t="n"/>
      <c r="I281">
        <f>IF(OR(A281="",H281=""),"",IF(G281&lt;=H281,"اطلب الآن",""))</f>
        <v/>
      </c>
    </row>
    <row r="282">
      <c r="A282" s="4" t="n"/>
      <c r="B282" s="4" t="n"/>
      <c r="C282" s="4" t="n"/>
      <c r="D282" s="4" t="n"/>
      <c r="E282" s="4" t="n"/>
      <c r="F282">
        <f>IF(A282="","",SUMIFS(المبيعات!$F$2:$F$2000,المبيعات!$D$2:$D$2000,A282))</f>
        <v/>
      </c>
      <c r="G282">
        <f>IF(A282="","",E282-F282)</f>
        <v/>
      </c>
      <c r="H282" s="4" t="n"/>
      <c r="I282">
        <f>IF(OR(A282="",H282=""),"",IF(G282&lt;=H282,"اطلب الآن",""))</f>
        <v/>
      </c>
    </row>
    <row r="283">
      <c r="A283" s="4" t="n"/>
      <c r="B283" s="4" t="n"/>
      <c r="C283" s="4" t="n"/>
      <c r="D283" s="4" t="n"/>
      <c r="E283" s="4" t="n"/>
      <c r="F283">
        <f>IF(A283="","",SUMIFS(المبيعات!$F$2:$F$2000,المبيعات!$D$2:$D$2000,A283))</f>
        <v/>
      </c>
      <c r="G283">
        <f>IF(A283="","",E283-F283)</f>
        <v/>
      </c>
      <c r="H283" s="4" t="n"/>
      <c r="I283">
        <f>IF(OR(A283="",H283=""),"",IF(G283&lt;=H283,"اطلب الآن",""))</f>
        <v/>
      </c>
    </row>
    <row r="284">
      <c r="A284" s="4" t="n"/>
      <c r="B284" s="4" t="n"/>
      <c r="C284" s="4" t="n"/>
      <c r="D284" s="4" t="n"/>
      <c r="E284" s="4" t="n"/>
      <c r="F284">
        <f>IF(A284="","",SUMIFS(المبيعات!$F$2:$F$2000,المبيعات!$D$2:$D$2000,A284))</f>
        <v/>
      </c>
      <c r="G284">
        <f>IF(A284="","",E284-F284)</f>
        <v/>
      </c>
      <c r="H284" s="4" t="n"/>
      <c r="I284">
        <f>IF(OR(A284="",H284=""),"",IF(G284&lt;=H284,"اطلب الآن",""))</f>
        <v/>
      </c>
    </row>
    <row r="285">
      <c r="A285" s="4" t="n"/>
      <c r="B285" s="4" t="n"/>
      <c r="C285" s="4" t="n"/>
      <c r="D285" s="4" t="n"/>
      <c r="E285" s="4" t="n"/>
      <c r="F285">
        <f>IF(A285="","",SUMIFS(المبيعات!$F$2:$F$2000,المبيعات!$D$2:$D$2000,A285))</f>
        <v/>
      </c>
      <c r="G285">
        <f>IF(A285="","",E285-F285)</f>
        <v/>
      </c>
      <c r="H285" s="4" t="n"/>
      <c r="I285">
        <f>IF(OR(A285="",H285=""),"",IF(G285&lt;=H285,"اطلب الآن",""))</f>
        <v/>
      </c>
    </row>
    <row r="286">
      <c r="A286" s="4" t="n"/>
      <c r="B286" s="4" t="n"/>
      <c r="C286" s="4" t="n"/>
      <c r="D286" s="4" t="n"/>
      <c r="E286" s="4" t="n"/>
      <c r="F286">
        <f>IF(A286="","",SUMIFS(المبيعات!$F$2:$F$2000,المبيعات!$D$2:$D$2000,A286))</f>
        <v/>
      </c>
      <c r="G286">
        <f>IF(A286="","",E286-F286)</f>
        <v/>
      </c>
      <c r="H286" s="4" t="n"/>
      <c r="I286">
        <f>IF(OR(A286="",H286=""),"",IF(G286&lt;=H286,"اطلب الآن",""))</f>
        <v/>
      </c>
    </row>
    <row r="287">
      <c r="A287" s="4" t="n"/>
      <c r="B287" s="4" t="n"/>
      <c r="C287" s="4" t="n"/>
      <c r="D287" s="4" t="n"/>
      <c r="E287" s="4" t="n"/>
      <c r="F287">
        <f>IF(A287="","",SUMIFS(المبيعات!$F$2:$F$2000,المبيعات!$D$2:$D$2000,A287))</f>
        <v/>
      </c>
      <c r="G287">
        <f>IF(A287="","",E287-F287)</f>
        <v/>
      </c>
      <c r="H287" s="4" t="n"/>
      <c r="I287">
        <f>IF(OR(A287="",H287=""),"",IF(G287&lt;=H287,"اطلب الآن",""))</f>
        <v/>
      </c>
    </row>
    <row r="288">
      <c r="A288" s="4" t="n"/>
      <c r="B288" s="4" t="n"/>
      <c r="C288" s="4" t="n"/>
      <c r="D288" s="4" t="n"/>
      <c r="E288" s="4" t="n"/>
      <c r="F288">
        <f>IF(A288="","",SUMIFS(المبيعات!$F$2:$F$2000,المبيعات!$D$2:$D$2000,A288))</f>
        <v/>
      </c>
      <c r="G288">
        <f>IF(A288="","",E288-F288)</f>
        <v/>
      </c>
      <c r="H288" s="4" t="n"/>
      <c r="I288">
        <f>IF(OR(A288="",H288=""),"",IF(G288&lt;=H288,"اطلب الآن",""))</f>
        <v/>
      </c>
    </row>
    <row r="289">
      <c r="A289" s="4" t="n"/>
      <c r="B289" s="4" t="n"/>
      <c r="C289" s="4" t="n"/>
      <c r="D289" s="4" t="n"/>
      <c r="E289" s="4" t="n"/>
      <c r="F289">
        <f>IF(A289="","",SUMIFS(المبيعات!$F$2:$F$2000,المبيعات!$D$2:$D$2000,A289))</f>
        <v/>
      </c>
      <c r="G289">
        <f>IF(A289="","",E289-F289)</f>
        <v/>
      </c>
      <c r="H289" s="4" t="n"/>
      <c r="I289">
        <f>IF(OR(A289="",H289=""),"",IF(G289&lt;=H289,"اطلب الآن",""))</f>
        <v/>
      </c>
    </row>
    <row r="290">
      <c r="A290" s="4" t="n"/>
      <c r="B290" s="4" t="n"/>
      <c r="C290" s="4" t="n"/>
      <c r="D290" s="4" t="n"/>
      <c r="E290" s="4" t="n"/>
      <c r="F290">
        <f>IF(A290="","",SUMIFS(المبيعات!$F$2:$F$2000,المبيعات!$D$2:$D$2000,A290))</f>
        <v/>
      </c>
      <c r="G290">
        <f>IF(A290="","",E290-F290)</f>
        <v/>
      </c>
      <c r="H290" s="4" t="n"/>
      <c r="I290">
        <f>IF(OR(A290="",H290=""),"",IF(G290&lt;=H290,"اطلب الآن",""))</f>
        <v/>
      </c>
    </row>
    <row r="291">
      <c r="A291" s="4" t="n"/>
      <c r="B291" s="4" t="n"/>
      <c r="C291" s="4" t="n"/>
      <c r="D291" s="4" t="n"/>
      <c r="E291" s="4" t="n"/>
      <c r="F291">
        <f>IF(A291="","",SUMIFS(المبيعات!$F$2:$F$2000,المبيعات!$D$2:$D$2000,A291))</f>
        <v/>
      </c>
      <c r="G291">
        <f>IF(A291="","",E291-F291)</f>
        <v/>
      </c>
      <c r="H291" s="4" t="n"/>
      <c r="I291">
        <f>IF(OR(A291="",H291=""),"",IF(G291&lt;=H291,"اطلب الآن",""))</f>
        <v/>
      </c>
    </row>
    <row r="292">
      <c r="A292" s="4" t="n"/>
      <c r="B292" s="4" t="n"/>
      <c r="C292" s="4" t="n"/>
      <c r="D292" s="4" t="n"/>
      <c r="E292" s="4" t="n"/>
      <c r="F292">
        <f>IF(A292="","",SUMIFS(المبيعات!$F$2:$F$2000,المبيعات!$D$2:$D$2000,A292))</f>
        <v/>
      </c>
      <c r="G292">
        <f>IF(A292="","",E292-F292)</f>
        <v/>
      </c>
      <c r="H292" s="4" t="n"/>
      <c r="I292">
        <f>IF(OR(A292="",H292=""),"",IF(G292&lt;=H292,"اطلب الآن",""))</f>
        <v/>
      </c>
    </row>
    <row r="293">
      <c r="A293" s="4" t="n"/>
      <c r="B293" s="4" t="n"/>
      <c r="C293" s="4" t="n"/>
      <c r="D293" s="4" t="n"/>
      <c r="E293" s="4" t="n"/>
      <c r="F293">
        <f>IF(A293="","",SUMIFS(المبيعات!$F$2:$F$2000,المبيعات!$D$2:$D$2000,A293))</f>
        <v/>
      </c>
      <c r="G293">
        <f>IF(A293="","",E293-F293)</f>
        <v/>
      </c>
      <c r="H293" s="4" t="n"/>
      <c r="I293">
        <f>IF(OR(A293="",H293=""),"",IF(G293&lt;=H293,"اطلب الآن",""))</f>
        <v/>
      </c>
    </row>
    <row r="294">
      <c r="A294" s="4" t="n"/>
      <c r="B294" s="4" t="n"/>
      <c r="C294" s="4" t="n"/>
      <c r="D294" s="4" t="n"/>
      <c r="E294" s="4" t="n"/>
      <c r="F294">
        <f>IF(A294="","",SUMIFS(المبيعات!$F$2:$F$2000,المبيعات!$D$2:$D$2000,A294))</f>
        <v/>
      </c>
      <c r="G294">
        <f>IF(A294="","",E294-F294)</f>
        <v/>
      </c>
      <c r="H294" s="4" t="n"/>
      <c r="I294">
        <f>IF(OR(A294="",H294=""),"",IF(G294&lt;=H294,"اطلب الآن",""))</f>
        <v/>
      </c>
    </row>
    <row r="295">
      <c r="A295" s="4" t="n"/>
      <c r="B295" s="4" t="n"/>
      <c r="C295" s="4" t="n"/>
      <c r="D295" s="4" t="n"/>
      <c r="E295" s="4" t="n"/>
      <c r="F295">
        <f>IF(A295="","",SUMIFS(المبيعات!$F$2:$F$2000,المبيعات!$D$2:$D$2000,A295))</f>
        <v/>
      </c>
      <c r="G295">
        <f>IF(A295="","",E295-F295)</f>
        <v/>
      </c>
      <c r="H295" s="4" t="n"/>
      <c r="I295">
        <f>IF(OR(A295="",H295=""),"",IF(G295&lt;=H295,"اطلب الآن",""))</f>
        <v/>
      </c>
    </row>
    <row r="296">
      <c r="A296" s="4" t="n"/>
      <c r="B296" s="4" t="n"/>
      <c r="C296" s="4" t="n"/>
      <c r="D296" s="4" t="n"/>
      <c r="E296" s="4" t="n"/>
      <c r="F296">
        <f>IF(A296="","",SUMIFS(المبيعات!$F$2:$F$2000,المبيعات!$D$2:$D$2000,A296))</f>
        <v/>
      </c>
      <c r="G296">
        <f>IF(A296="","",E296-F296)</f>
        <v/>
      </c>
      <c r="H296" s="4" t="n"/>
      <c r="I296">
        <f>IF(OR(A296="",H296=""),"",IF(G296&lt;=H296,"اطلب الآن",""))</f>
        <v/>
      </c>
    </row>
    <row r="297">
      <c r="A297" s="4" t="n"/>
      <c r="B297" s="4" t="n"/>
      <c r="C297" s="4" t="n"/>
      <c r="D297" s="4" t="n"/>
      <c r="E297" s="4" t="n"/>
      <c r="F297">
        <f>IF(A297="","",SUMIFS(المبيعات!$F$2:$F$2000,المبيعات!$D$2:$D$2000,A297))</f>
        <v/>
      </c>
      <c r="G297">
        <f>IF(A297="","",E297-F297)</f>
        <v/>
      </c>
      <c r="H297" s="4" t="n"/>
      <c r="I297">
        <f>IF(OR(A297="",H297=""),"",IF(G297&lt;=H297,"اطلب الآن",""))</f>
        <v/>
      </c>
    </row>
    <row r="298">
      <c r="A298" s="4" t="n"/>
      <c r="B298" s="4" t="n"/>
      <c r="C298" s="4" t="n"/>
      <c r="D298" s="4" t="n"/>
      <c r="E298" s="4" t="n"/>
      <c r="F298">
        <f>IF(A298="","",SUMIFS(المبيعات!$F$2:$F$2000,المبيعات!$D$2:$D$2000,A298))</f>
        <v/>
      </c>
      <c r="G298">
        <f>IF(A298="","",E298-F298)</f>
        <v/>
      </c>
      <c r="H298" s="4" t="n"/>
      <c r="I298">
        <f>IF(OR(A298="",H298=""),"",IF(G298&lt;=H298,"اطلب الآن",""))</f>
        <v/>
      </c>
    </row>
    <row r="299">
      <c r="A299" s="4" t="n"/>
      <c r="B299" s="4" t="n"/>
      <c r="C299" s="4" t="n"/>
      <c r="D299" s="4" t="n"/>
      <c r="E299" s="4" t="n"/>
      <c r="F299">
        <f>IF(A299="","",SUMIFS(المبيعات!$F$2:$F$2000,المبيعات!$D$2:$D$2000,A299))</f>
        <v/>
      </c>
      <c r="G299">
        <f>IF(A299="","",E299-F299)</f>
        <v/>
      </c>
      <c r="H299" s="4" t="n"/>
      <c r="I299">
        <f>IF(OR(A299="",H299=""),"",IF(G299&lt;=H299,"اطلب الآن",""))</f>
        <v/>
      </c>
    </row>
    <row r="300">
      <c r="A300" s="4" t="n"/>
      <c r="B300" s="4" t="n"/>
      <c r="C300" s="4" t="n"/>
      <c r="D300" s="4" t="n"/>
      <c r="E300" s="4" t="n"/>
      <c r="F300">
        <f>IF(A300="","",SUMIFS(المبيعات!$F$2:$F$2000,المبيعات!$D$2:$D$2000,A300))</f>
        <v/>
      </c>
      <c r="G300">
        <f>IF(A300="","",E300-F300)</f>
        <v/>
      </c>
      <c r="H300" s="4" t="n"/>
      <c r="I300">
        <f>IF(OR(A300="",H300=""),"",IF(G300&lt;=H300,"اطلب الآن",""))</f>
        <v/>
      </c>
    </row>
    <row r="301">
      <c r="A301" s="4" t="n"/>
      <c r="B301" s="4" t="n"/>
      <c r="C301" s="4" t="n"/>
      <c r="D301" s="4" t="n"/>
      <c r="E301" s="4" t="n"/>
      <c r="F301">
        <f>IF(A301="","",SUMIFS(المبيعات!$F$2:$F$2000,المبيعات!$D$2:$D$2000,A301))</f>
        <v/>
      </c>
      <c r="G301">
        <f>IF(A301="","",E301-F301)</f>
        <v/>
      </c>
      <c r="H301" s="4" t="n"/>
      <c r="I301">
        <f>IF(OR(A301="",H301=""),"",IF(G301&lt;=H301,"اطلب الآن",""))</f>
        <v/>
      </c>
    </row>
    <row r="302">
      <c r="A302" s="4" t="n"/>
      <c r="B302" s="4" t="n"/>
      <c r="C302" s="4" t="n"/>
      <c r="D302" s="4" t="n"/>
      <c r="E302" s="4" t="n"/>
      <c r="F302">
        <f>IF(A302="","",SUMIFS(المبيعات!$F$2:$F$2000,المبيعات!$D$2:$D$2000,A302))</f>
        <v/>
      </c>
      <c r="G302">
        <f>IF(A302="","",E302-F302)</f>
        <v/>
      </c>
      <c r="H302" s="4" t="n"/>
      <c r="I302">
        <f>IF(OR(A302="",H302=""),"",IF(G302&lt;=H302,"اطلب الآن",""))</f>
        <v/>
      </c>
    </row>
    <row r="303">
      <c r="A303" s="4" t="n"/>
      <c r="B303" s="4" t="n"/>
      <c r="C303" s="4" t="n"/>
      <c r="D303" s="4" t="n"/>
      <c r="E303" s="4" t="n"/>
      <c r="F303">
        <f>IF(A303="","",SUMIFS(المبيعات!$F$2:$F$2000,المبيعات!$D$2:$D$2000,A303))</f>
        <v/>
      </c>
      <c r="G303">
        <f>IF(A303="","",E303-F303)</f>
        <v/>
      </c>
      <c r="H303" s="4" t="n"/>
      <c r="I303">
        <f>IF(OR(A303="",H303=""),"",IF(G303&lt;=H303,"اطلب الآن",""))</f>
        <v/>
      </c>
    </row>
    <row r="304">
      <c r="A304" s="4" t="n"/>
      <c r="B304" s="4" t="n"/>
      <c r="C304" s="4" t="n"/>
      <c r="D304" s="4" t="n"/>
      <c r="E304" s="4" t="n"/>
      <c r="F304">
        <f>IF(A304="","",SUMIFS(المبيعات!$F$2:$F$2000,المبيعات!$D$2:$D$2000,A304))</f>
        <v/>
      </c>
      <c r="G304">
        <f>IF(A304="","",E304-F304)</f>
        <v/>
      </c>
      <c r="H304" s="4" t="n"/>
      <c r="I304">
        <f>IF(OR(A304="",H304=""),"",IF(G304&lt;=H304,"اطلب الآن",""))</f>
        <v/>
      </c>
    </row>
    <row r="305">
      <c r="A305" s="4" t="n"/>
      <c r="B305" s="4" t="n"/>
      <c r="C305" s="4" t="n"/>
      <c r="D305" s="4" t="n"/>
      <c r="E305" s="4" t="n"/>
      <c r="F305">
        <f>IF(A305="","",SUMIFS(المبيعات!$F$2:$F$2000,المبيعات!$D$2:$D$2000,A305))</f>
        <v/>
      </c>
      <c r="G305">
        <f>IF(A305="","",E305-F305)</f>
        <v/>
      </c>
      <c r="H305" s="4" t="n"/>
      <c r="I305">
        <f>IF(OR(A305="",H305=""),"",IF(G305&lt;=H305,"اطلب الآن",""))</f>
        <v/>
      </c>
    </row>
    <row r="306">
      <c r="A306" s="4" t="n"/>
      <c r="B306" s="4" t="n"/>
      <c r="C306" s="4" t="n"/>
      <c r="D306" s="4" t="n"/>
      <c r="E306" s="4" t="n"/>
      <c r="F306">
        <f>IF(A306="","",SUMIFS(المبيعات!$F$2:$F$2000,المبيعات!$D$2:$D$2000,A306))</f>
        <v/>
      </c>
      <c r="G306">
        <f>IF(A306="","",E306-F306)</f>
        <v/>
      </c>
      <c r="H306" s="4" t="n"/>
      <c r="I306">
        <f>IF(OR(A306="",H306=""),"",IF(G306&lt;=H306,"اطلب الآن",""))</f>
        <v/>
      </c>
    </row>
    <row r="307">
      <c r="A307" s="4" t="n"/>
      <c r="B307" s="4" t="n"/>
      <c r="C307" s="4" t="n"/>
      <c r="D307" s="4" t="n"/>
      <c r="E307" s="4" t="n"/>
      <c r="F307">
        <f>IF(A307="","",SUMIFS(المبيعات!$F$2:$F$2000,المبيعات!$D$2:$D$2000,A307))</f>
        <v/>
      </c>
      <c r="G307">
        <f>IF(A307="","",E307-F307)</f>
        <v/>
      </c>
      <c r="H307" s="4" t="n"/>
      <c r="I307">
        <f>IF(OR(A307="",H307=""),"",IF(G307&lt;=H307,"اطلب الآن",""))</f>
        <v/>
      </c>
    </row>
    <row r="308">
      <c r="A308" s="4" t="n"/>
      <c r="B308" s="4" t="n"/>
      <c r="C308" s="4" t="n"/>
      <c r="D308" s="4" t="n"/>
      <c r="E308" s="4" t="n"/>
      <c r="F308">
        <f>IF(A308="","",SUMIFS(المبيعات!$F$2:$F$2000,المبيعات!$D$2:$D$2000,A308))</f>
        <v/>
      </c>
      <c r="G308">
        <f>IF(A308="","",E308-F308)</f>
        <v/>
      </c>
      <c r="H308" s="4" t="n"/>
      <c r="I308">
        <f>IF(OR(A308="",H308=""),"",IF(G308&lt;=H308,"اطلب الآن",""))</f>
        <v/>
      </c>
    </row>
    <row r="309">
      <c r="A309" s="4" t="n"/>
      <c r="B309" s="4" t="n"/>
      <c r="C309" s="4" t="n"/>
      <c r="D309" s="4" t="n"/>
      <c r="E309" s="4" t="n"/>
      <c r="F309">
        <f>IF(A309="","",SUMIFS(المبيعات!$F$2:$F$2000,المبيعات!$D$2:$D$2000,A309))</f>
        <v/>
      </c>
      <c r="G309">
        <f>IF(A309="","",E309-F309)</f>
        <v/>
      </c>
      <c r="H309" s="4" t="n"/>
      <c r="I309">
        <f>IF(OR(A309="",H309=""),"",IF(G309&lt;=H309,"اطلب الآن",""))</f>
        <v/>
      </c>
    </row>
    <row r="310">
      <c r="A310" s="4" t="n"/>
      <c r="B310" s="4" t="n"/>
      <c r="C310" s="4" t="n"/>
      <c r="D310" s="4" t="n"/>
      <c r="E310" s="4" t="n"/>
      <c r="F310">
        <f>IF(A310="","",SUMIFS(المبيعات!$F$2:$F$2000,المبيعات!$D$2:$D$2000,A310))</f>
        <v/>
      </c>
      <c r="G310">
        <f>IF(A310="","",E310-F310)</f>
        <v/>
      </c>
      <c r="H310" s="4" t="n"/>
      <c r="I310">
        <f>IF(OR(A310="",H310=""),"",IF(G310&lt;=H310,"اطلب الآن",""))</f>
        <v/>
      </c>
    </row>
    <row r="311">
      <c r="A311" s="4" t="n"/>
      <c r="B311" s="4" t="n"/>
      <c r="C311" s="4" t="n"/>
      <c r="D311" s="4" t="n"/>
      <c r="E311" s="4" t="n"/>
      <c r="F311">
        <f>IF(A311="","",SUMIFS(المبيعات!$F$2:$F$2000,المبيعات!$D$2:$D$2000,A311))</f>
        <v/>
      </c>
      <c r="G311">
        <f>IF(A311="","",E311-F311)</f>
        <v/>
      </c>
      <c r="H311" s="4" t="n"/>
      <c r="I311">
        <f>IF(OR(A311="",H311=""),"",IF(G311&lt;=H311,"اطلب الآن",""))</f>
        <v/>
      </c>
    </row>
    <row r="312">
      <c r="A312" s="4" t="n"/>
      <c r="B312" s="4" t="n"/>
      <c r="C312" s="4" t="n"/>
      <c r="D312" s="4" t="n"/>
      <c r="E312" s="4" t="n"/>
      <c r="F312">
        <f>IF(A312="","",SUMIFS(المبيعات!$F$2:$F$2000,المبيعات!$D$2:$D$2000,A312))</f>
        <v/>
      </c>
      <c r="G312">
        <f>IF(A312="","",E312-F312)</f>
        <v/>
      </c>
      <c r="H312" s="4" t="n"/>
      <c r="I312">
        <f>IF(OR(A312="",H312=""),"",IF(G312&lt;=H312,"اطلب الآن",""))</f>
        <v/>
      </c>
    </row>
    <row r="313">
      <c r="A313" s="4" t="n"/>
      <c r="B313" s="4" t="n"/>
      <c r="C313" s="4" t="n"/>
      <c r="D313" s="4" t="n"/>
      <c r="E313" s="4" t="n"/>
      <c r="F313">
        <f>IF(A313="","",SUMIFS(المبيعات!$F$2:$F$2000,المبيعات!$D$2:$D$2000,A313))</f>
        <v/>
      </c>
      <c r="G313">
        <f>IF(A313="","",E313-F313)</f>
        <v/>
      </c>
      <c r="H313" s="4" t="n"/>
      <c r="I313">
        <f>IF(OR(A313="",H313=""),"",IF(G313&lt;=H313,"اطلب الآن",""))</f>
        <v/>
      </c>
    </row>
    <row r="314">
      <c r="A314" s="4" t="n"/>
      <c r="B314" s="4" t="n"/>
      <c r="C314" s="4" t="n"/>
      <c r="D314" s="4" t="n"/>
      <c r="E314" s="4" t="n"/>
      <c r="F314">
        <f>IF(A314="","",SUMIFS(المبيعات!$F$2:$F$2000,المبيعات!$D$2:$D$2000,A314))</f>
        <v/>
      </c>
      <c r="G314">
        <f>IF(A314="","",E314-F314)</f>
        <v/>
      </c>
      <c r="H314" s="4" t="n"/>
      <c r="I314">
        <f>IF(OR(A314="",H314=""),"",IF(G314&lt;=H314,"اطلب الآن",""))</f>
        <v/>
      </c>
    </row>
    <row r="315">
      <c r="A315" s="4" t="n"/>
      <c r="B315" s="4" t="n"/>
      <c r="C315" s="4" t="n"/>
      <c r="D315" s="4" t="n"/>
      <c r="E315" s="4" t="n"/>
      <c r="F315">
        <f>IF(A315="","",SUMIFS(المبيعات!$F$2:$F$2000,المبيعات!$D$2:$D$2000,A315))</f>
        <v/>
      </c>
      <c r="G315">
        <f>IF(A315="","",E315-F315)</f>
        <v/>
      </c>
      <c r="H315" s="4" t="n"/>
      <c r="I315">
        <f>IF(OR(A315="",H315=""),"",IF(G315&lt;=H315,"اطلب الآن",""))</f>
        <v/>
      </c>
    </row>
    <row r="316">
      <c r="A316" s="4" t="n"/>
      <c r="B316" s="4" t="n"/>
      <c r="C316" s="4" t="n"/>
      <c r="D316" s="4" t="n"/>
      <c r="E316" s="4" t="n"/>
      <c r="F316">
        <f>IF(A316="","",SUMIFS(المبيعات!$F$2:$F$2000,المبيعات!$D$2:$D$2000,A316))</f>
        <v/>
      </c>
      <c r="G316">
        <f>IF(A316="","",E316-F316)</f>
        <v/>
      </c>
      <c r="H316" s="4" t="n"/>
      <c r="I316">
        <f>IF(OR(A316="",H316=""),"",IF(G316&lt;=H316,"اطلب الآن",""))</f>
        <v/>
      </c>
    </row>
    <row r="317">
      <c r="A317" s="4" t="n"/>
      <c r="B317" s="4" t="n"/>
      <c r="C317" s="4" t="n"/>
      <c r="D317" s="4" t="n"/>
      <c r="E317" s="4" t="n"/>
      <c r="F317">
        <f>IF(A317="","",SUMIFS(المبيعات!$F$2:$F$2000,المبيعات!$D$2:$D$2000,A317))</f>
        <v/>
      </c>
      <c r="G317">
        <f>IF(A317="","",E317-F317)</f>
        <v/>
      </c>
      <c r="H317" s="4" t="n"/>
      <c r="I317">
        <f>IF(OR(A317="",H317=""),"",IF(G317&lt;=H317,"اطلب الآن",""))</f>
        <v/>
      </c>
    </row>
    <row r="318">
      <c r="A318" s="4" t="n"/>
      <c r="B318" s="4" t="n"/>
      <c r="C318" s="4" t="n"/>
      <c r="D318" s="4" t="n"/>
      <c r="E318" s="4" t="n"/>
      <c r="F318">
        <f>IF(A318="","",SUMIFS(المبيعات!$F$2:$F$2000,المبيعات!$D$2:$D$2000,A318))</f>
        <v/>
      </c>
      <c r="G318">
        <f>IF(A318="","",E318-F318)</f>
        <v/>
      </c>
      <c r="H318" s="4" t="n"/>
      <c r="I318">
        <f>IF(OR(A318="",H318=""),"",IF(G318&lt;=H318,"اطلب الآن",""))</f>
        <v/>
      </c>
    </row>
    <row r="319">
      <c r="A319" s="4" t="n"/>
      <c r="B319" s="4" t="n"/>
      <c r="C319" s="4" t="n"/>
      <c r="D319" s="4" t="n"/>
      <c r="E319" s="4" t="n"/>
      <c r="F319">
        <f>IF(A319="","",SUMIFS(المبيعات!$F$2:$F$2000,المبيعات!$D$2:$D$2000,A319))</f>
        <v/>
      </c>
      <c r="G319">
        <f>IF(A319="","",E319-F319)</f>
        <v/>
      </c>
      <c r="H319" s="4" t="n"/>
      <c r="I319">
        <f>IF(OR(A319="",H319=""),"",IF(G319&lt;=H319,"اطلب الآن",""))</f>
        <v/>
      </c>
    </row>
    <row r="320">
      <c r="A320" s="4" t="n"/>
      <c r="B320" s="4" t="n"/>
      <c r="C320" s="4" t="n"/>
      <c r="D320" s="4" t="n"/>
      <c r="E320" s="4" t="n"/>
      <c r="F320">
        <f>IF(A320="","",SUMIFS(المبيعات!$F$2:$F$2000,المبيعات!$D$2:$D$2000,A320))</f>
        <v/>
      </c>
      <c r="G320">
        <f>IF(A320="","",E320-F320)</f>
        <v/>
      </c>
      <c r="H320" s="4" t="n"/>
      <c r="I320">
        <f>IF(OR(A320="",H320=""),"",IF(G320&lt;=H320,"اطلب الآن",""))</f>
        <v/>
      </c>
    </row>
    <row r="321">
      <c r="A321" s="4" t="n"/>
      <c r="B321" s="4" t="n"/>
      <c r="C321" s="4" t="n"/>
      <c r="D321" s="4" t="n"/>
      <c r="E321" s="4" t="n"/>
      <c r="F321">
        <f>IF(A321="","",SUMIFS(المبيعات!$F$2:$F$2000,المبيعات!$D$2:$D$2000,A321))</f>
        <v/>
      </c>
      <c r="G321">
        <f>IF(A321="","",E321-F321)</f>
        <v/>
      </c>
      <c r="H321" s="4" t="n"/>
      <c r="I321">
        <f>IF(OR(A321="",H321=""),"",IF(G321&lt;=H321,"اطلب الآن",""))</f>
        <v/>
      </c>
    </row>
    <row r="322">
      <c r="A322" s="4" t="n"/>
      <c r="B322" s="4" t="n"/>
      <c r="C322" s="4" t="n"/>
      <c r="D322" s="4" t="n"/>
      <c r="E322" s="4" t="n"/>
      <c r="F322">
        <f>IF(A322="","",SUMIFS(المبيعات!$F$2:$F$2000,المبيعات!$D$2:$D$2000,A322))</f>
        <v/>
      </c>
      <c r="G322">
        <f>IF(A322="","",E322-F322)</f>
        <v/>
      </c>
      <c r="H322" s="4" t="n"/>
      <c r="I322">
        <f>IF(OR(A322="",H322=""),"",IF(G322&lt;=H322,"اطلب الآن",""))</f>
        <v/>
      </c>
    </row>
    <row r="323">
      <c r="A323" s="4" t="n"/>
      <c r="B323" s="4" t="n"/>
      <c r="C323" s="4" t="n"/>
      <c r="D323" s="4" t="n"/>
      <c r="E323" s="4" t="n"/>
      <c r="F323">
        <f>IF(A323="","",SUMIFS(المبيعات!$F$2:$F$2000,المبيعات!$D$2:$D$2000,A323))</f>
        <v/>
      </c>
      <c r="G323">
        <f>IF(A323="","",E323-F323)</f>
        <v/>
      </c>
      <c r="H323" s="4" t="n"/>
      <c r="I323">
        <f>IF(OR(A323="",H323=""),"",IF(G323&lt;=H323,"اطلب الآن",""))</f>
        <v/>
      </c>
    </row>
    <row r="324">
      <c r="A324" s="4" t="n"/>
      <c r="B324" s="4" t="n"/>
      <c r="C324" s="4" t="n"/>
      <c r="D324" s="4" t="n"/>
      <c r="E324" s="4" t="n"/>
      <c r="F324">
        <f>IF(A324="","",SUMIFS(المبيعات!$F$2:$F$2000,المبيعات!$D$2:$D$2000,A324))</f>
        <v/>
      </c>
      <c r="G324">
        <f>IF(A324="","",E324-F324)</f>
        <v/>
      </c>
      <c r="H324" s="4" t="n"/>
      <c r="I324">
        <f>IF(OR(A324="",H324=""),"",IF(G324&lt;=H324,"اطلب الآن",""))</f>
        <v/>
      </c>
    </row>
    <row r="325">
      <c r="A325" s="4" t="n"/>
      <c r="B325" s="4" t="n"/>
      <c r="C325" s="4" t="n"/>
      <c r="D325" s="4" t="n"/>
      <c r="E325" s="4" t="n"/>
      <c r="F325">
        <f>IF(A325="","",SUMIFS(المبيعات!$F$2:$F$2000,المبيعات!$D$2:$D$2000,A325))</f>
        <v/>
      </c>
      <c r="G325">
        <f>IF(A325="","",E325-F325)</f>
        <v/>
      </c>
      <c r="H325" s="4" t="n"/>
      <c r="I325">
        <f>IF(OR(A325="",H325=""),"",IF(G325&lt;=H325,"اطلب الآن",""))</f>
        <v/>
      </c>
    </row>
    <row r="326">
      <c r="A326" s="4" t="n"/>
      <c r="B326" s="4" t="n"/>
      <c r="C326" s="4" t="n"/>
      <c r="D326" s="4" t="n"/>
      <c r="E326" s="4" t="n"/>
      <c r="F326">
        <f>IF(A326="","",SUMIFS(المبيعات!$F$2:$F$2000,المبيعات!$D$2:$D$2000,A326))</f>
        <v/>
      </c>
      <c r="G326">
        <f>IF(A326="","",E326-F326)</f>
        <v/>
      </c>
      <c r="H326" s="4" t="n"/>
      <c r="I326">
        <f>IF(OR(A326="",H326=""),"",IF(G326&lt;=H326,"اطلب الآن",""))</f>
        <v/>
      </c>
    </row>
    <row r="327">
      <c r="A327" s="4" t="n"/>
      <c r="B327" s="4" t="n"/>
      <c r="C327" s="4" t="n"/>
      <c r="D327" s="4" t="n"/>
      <c r="E327" s="4" t="n"/>
      <c r="F327">
        <f>IF(A327="","",SUMIFS(المبيعات!$F$2:$F$2000,المبيعات!$D$2:$D$2000,A327))</f>
        <v/>
      </c>
      <c r="G327">
        <f>IF(A327="","",E327-F327)</f>
        <v/>
      </c>
      <c r="H327" s="4" t="n"/>
      <c r="I327">
        <f>IF(OR(A327="",H327=""),"",IF(G327&lt;=H327,"اطلب الآن",""))</f>
        <v/>
      </c>
    </row>
    <row r="328">
      <c r="A328" s="4" t="n"/>
      <c r="B328" s="4" t="n"/>
      <c r="C328" s="4" t="n"/>
      <c r="D328" s="4" t="n"/>
      <c r="E328" s="4" t="n"/>
      <c r="F328">
        <f>IF(A328="","",SUMIFS(المبيعات!$F$2:$F$2000,المبيعات!$D$2:$D$2000,A328))</f>
        <v/>
      </c>
      <c r="G328">
        <f>IF(A328="","",E328-F328)</f>
        <v/>
      </c>
      <c r="H328" s="4" t="n"/>
      <c r="I328">
        <f>IF(OR(A328="",H328=""),"",IF(G328&lt;=H328,"اطلب الآن",""))</f>
        <v/>
      </c>
    </row>
    <row r="329">
      <c r="A329" s="4" t="n"/>
      <c r="B329" s="4" t="n"/>
      <c r="C329" s="4" t="n"/>
      <c r="D329" s="4" t="n"/>
      <c r="E329" s="4" t="n"/>
      <c r="F329">
        <f>IF(A329="","",SUMIFS(المبيعات!$F$2:$F$2000,المبيعات!$D$2:$D$2000,A329))</f>
        <v/>
      </c>
      <c r="G329">
        <f>IF(A329="","",E329-F329)</f>
        <v/>
      </c>
      <c r="H329" s="4" t="n"/>
      <c r="I329">
        <f>IF(OR(A329="",H329=""),"",IF(G329&lt;=H329,"اطلب الآن",""))</f>
        <v/>
      </c>
    </row>
    <row r="330">
      <c r="A330" s="4" t="n"/>
      <c r="B330" s="4" t="n"/>
      <c r="C330" s="4" t="n"/>
      <c r="D330" s="4" t="n"/>
      <c r="E330" s="4" t="n"/>
      <c r="F330">
        <f>IF(A330="","",SUMIFS(المبيعات!$F$2:$F$2000,المبيعات!$D$2:$D$2000,A330))</f>
        <v/>
      </c>
      <c r="G330">
        <f>IF(A330="","",E330-F330)</f>
        <v/>
      </c>
      <c r="H330" s="4" t="n"/>
      <c r="I330">
        <f>IF(OR(A330="",H330=""),"",IF(G330&lt;=H330,"اطلب الآن",""))</f>
        <v/>
      </c>
    </row>
    <row r="331">
      <c r="A331" s="4" t="n"/>
      <c r="B331" s="4" t="n"/>
      <c r="C331" s="4" t="n"/>
      <c r="D331" s="4" t="n"/>
      <c r="E331" s="4" t="n"/>
      <c r="F331">
        <f>IF(A331="","",SUMIFS(المبيعات!$F$2:$F$2000,المبيعات!$D$2:$D$2000,A331))</f>
        <v/>
      </c>
      <c r="G331">
        <f>IF(A331="","",E331-F331)</f>
        <v/>
      </c>
      <c r="H331" s="4" t="n"/>
      <c r="I331">
        <f>IF(OR(A331="",H331=""),"",IF(G331&lt;=H331,"اطلب الآن",""))</f>
        <v/>
      </c>
    </row>
    <row r="332">
      <c r="A332" s="4" t="n"/>
      <c r="B332" s="4" t="n"/>
      <c r="C332" s="4" t="n"/>
      <c r="D332" s="4" t="n"/>
      <c r="E332" s="4" t="n"/>
      <c r="F332">
        <f>IF(A332="","",SUMIFS(المبيعات!$F$2:$F$2000,المبيعات!$D$2:$D$2000,A332))</f>
        <v/>
      </c>
      <c r="G332">
        <f>IF(A332="","",E332-F332)</f>
        <v/>
      </c>
      <c r="H332" s="4" t="n"/>
      <c r="I332">
        <f>IF(OR(A332="",H332=""),"",IF(G332&lt;=H332,"اطلب الآن",""))</f>
        <v/>
      </c>
    </row>
    <row r="333">
      <c r="A333" s="4" t="n"/>
      <c r="B333" s="4" t="n"/>
      <c r="C333" s="4" t="n"/>
      <c r="D333" s="4" t="n"/>
      <c r="E333" s="4" t="n"/>
      <c r="F333">
        <f>IF(A333="","",SUMIFS(المبيعات!$F$2:$F$2000,المبيعات!$D$2:$D$2000,A333))</f>
        <v/>
      </c>
      <c r="G333">
        <f>IF(A333="","",E333-F333)</f>
        <v/>
      </c>
      <c r="H333" s="4" t="n"/>
      <c r="I333">
        <f>IF(OR(A333="",H333=""),"",IF(G333&lt;=H333,"اطلب الآن",""))</f>
        <v/>
      </c>
    </row>
    <row r="334">
      <c r="A334" s="4" t="n"/>
      <c r="B334" s="4" t="n"/>
      <c r="C334" s="4" t="n"/>
      <c r="D334" s="4" t="n"/>
      <c r="E334" s="4" t="n"/>
      <c r="F334">
        <f>IF(A334="","",SUMIFS(المبيعات!$F$2:$F$2000,المبيعات!$D$2:$D$2000,A334))</f>
        <v/>
      </c>
      <c r="G334">
        <f>IF(A334="","",E334-F334)</f>
        <v/>
      </c>
      <c r="H334" s="4" t="n"/>
      <c r="I334">
        <f>IF(OR(A334="",H334=""),"",IF(G334&lt;=H334,"اطلب الآن",""))</f>
        <v/>
      </c>
    </row>
    <row r="335">
      <c r="A335" s="4" t="n"/>
      <c r="B335" s="4" t="n"/>
      <c r="C335" s="4" t="n"/>
      <c r="D335" s="4" t="n"/>
      <c r="E335" s="4" t="n"/>
      <c r="F335">
        <f>IF(A335="","",SUMIFS(المبيعات!$F$2:$F$2000,المبيعات!$D$2:$D$2000,A335))</f>
        <v/>
      </c>
      <c r="G335">
        <f>IF(A335="","",E335-F335)</f>
        <v/>
      </c>
      <c r="H335" s="4" t="n"/>
      <c r="I335">
        <f>IF(OR(A335="",H335=""),"",IF(G335&lt;=H335,"اطلب الآن",""))</f>
        <v/>
      </c>
    </row>
    <row r="336">
      <c r="A336" s="4" t="n"/>
      <c r="B336" s="4" t="n"/>
      <c r="C336" s="4" t="n"/>
      <c r="D336" s="4" t="n"/>
      <c r="E336" s="4" t="n"/>
      <c r="F336">
        <f>IF(A336="","",SUMIFS(المبيعات!$F$2:$F$2000,المبيعات!$D$2:$D$2000,A336))</f>
        <v/>
      </c>
      <c r="G336">
        <f>IF(A336="","",E336-F336)</f>
        <v/>
      </c>
      <c r="H336" s="4" t="n"/>
      <c r="I336">
        <f>IF(OR(A336="",H336=""),"",IF(G336&lt;=H336,"اطلب الآن",""))</f>
        <v/>
      </c>
    </row>
    <row r="337">
      <c r="A337" s="4" t="n"/>
      <c r="B337" s="4" t="n"/>
      <c r="C337" s="4" t="n"/>
      <c r="D337" s="4" t="n"/>
      <c r="E337" s="4" t="n"/>
      <c r="F337">
        <f>IF(A337="","",SUMIFS(المبيعات!$F$2:$F$2000,المبيعات!$D$2:$D$2000,A337))</f>
        <v/>
      </c>
      <c r="G337">
        <f>IF(A337="","",E337-F337)</f>
        <v/>
      </c>
      <c r="H337" s="4" t="n"/>
      <c r="I337">
        <f>IF(OR(A337="",H337=""),"",IF(G337&lt;=H337,"اطلب الآن",""))</f>
        <v/>
      </c>
    </row>
    <row r="338">
      <c r="A338" s="4" t="n"/>
      <c r="B338" s="4" t="n"/>
      <c r="C338" s="4" t="n"/>
      <c r="D338" s="4" t="n"/>
      <c r="E338" s="4" t="n"/>
      <c r="F338">
        <f>IF(A338="","",SUMIFS(المبيعات!$F$2:$F$2000,المبيعات!$D$2:$D$2000,A338))</f>
        <v/>
      </c>
      <c r="G338">
        <f>IF(A338="","",E338-F338)</f>
        <v/>
      </c>
      <c r="H338" s="4" t="n"/>
      <c r="I338">
        <f>IF(OR(A338="",H338=""),"",IF(G338&lt;=H338,"اطلب الآن",""))</f>
        <v/>
      </c>
    </row>
    <row r="339">
      <c r="A339" s="4" t="n"/>
      <c r="B339" s="4" t="n"/>
      <c r="C339" s="4" t="n"/>
      <c r="D339" s="4" t="n"/>
      <c r="E339" s="4" t="n"/>
      <c r="F339">
        <f>IF(A339="","",SUMIFS(المبيعات!$F$2:$F$2000,المبيعات!$D$2:$D$2000,A339))</f>
        <v/>
      </c>
      <c r="G339">
        <f>IF(A339="","",E339-F339)</f>
        <v/>
      </c>
      <c r="H339" s="4" t="n"/>
      <c r="I339">
        <f>IF(OR(A339="",H339=""),"",IF(G339&lt;=H339,"اطلب الآن",""))</f>
        <v/>
      </c>
    </row>
    <row r="340">
      <c r="A340" s="4" t="n"/>
      <c r="B340" s="4" t="n"/>
      <c r="C340" s="4" t="n"/>
      <c r="D340" s="4" t="n"/>
      <c r="E340" s="4" t="n"/>
      <c r="F340">
        <f>IF(A340="","",SUMIFS(المبيعات!$F$2:$F$2000,المبيعات!$D$2:$D$2000,A340))</f>
        <v/>
      </c>
      <c r="G340">
        <f>IF(A340="","",E340-F340)</f>
        <v/>
      </c>
      <c r="H340" s="4" t="n"/>
      <c r="I340">
        <f>IF(OR(A340="",H340=""),"",IF(G340&lt;=H340,"اطلب الآن",""))</f>
        <v/>
      </c>
    </row>
    <row r="341">
      <c r="A341" s="4" t="n"/>
      <c r="B341" s="4" t="n"/>
      <c r="C341" s="4" t="n"/>
      <c r="D341" s="4" t="n"/>
      <c r="E341" s="4" t="n"/>
      <c r="F341">
        <f>IF(A341="","",SUMIFS(المبيعات!$F$2:$F$2000,المبيعات!$D$2:$D$2000,A341))</f>
        <v/>
      </c>
      <c r="G341">
        <f>IF(A341="","",E341-F341)</f>
        <v/>
      </c>
      <c r="H341" s="4" t="n"/>
      <c r="I341">
        <f>IF(OR(A341="",H341=""),"",IF(G341&lt;=H341,"اطلب الآن",""))</f>
        <v/>
      </c>
    </row>
    <row r="342">
      <c r="A342" s="4" t="n"/>
      <c r="B342" s="4" t="n"/>
      <c r="C342" s="4" t="n"/>
      <c r="D342" s="4" t="n"/>
      <c r="E342" s="4" t="n"/>
      <c r="F342">
        <f>IF(A342="","",SUMIFS(المبيعات!$F$2:$F$2000,المبيعات!$D$2:$D$2000,A342))</f>
        <v/>
      </c>
      <c r="G342">
        <f>IF(A342="","",E342-F342)</f>
        <v/>
      </c>
      <c r="H342" s="4" t="n"/>
      <c r="I342">
        <f>IF(OR(A342="",H342=""),"",IF(G342&lt;=H342,"اطلب الآن",""))</f>
        <v/>
      </c>
    </row>
    <row r="343">
      <c r="A343" s="4" t="n"/>
      <c r="B343" s="4" t="n"/>
      <c r="C343" s="4" t="n"/>
      <c r="D343" s="4" t="n"/>
      <c r="E343" s="4" t="n"/>
      <c r="F343">
        <f>IF(A343="","",SUMIFS(المبيعات!$F$2:$F$2000,المبيعات!$D$2:$D$2000,A343))</f>
        <v/>
      </c>
      <c r="G343">
        <f>IF(A343="","",E343-F343)</f>
        <v/>
      </c>
      <c r="H343" s="4" t="n"/>
      <c r="I343">
        <f>IF(OR(A343="",H343=""),"",IF(G343&lt;=H343,"اطلب الآن",""))</f>
        <v/>
      </c>
    </row>
    <row r="344">
      <c r="A344" s="4" t="n"/>
      <c r="B344" s="4" t="n"/>
      <c r="C344" s="4" t="n"/>
      <c r="D344" s="4" t="n"/>
      <c r="E344" s="4" t="n"/>
      <c r="F344">
        <f>IF(A344="","",SUMIFS(المبيعات!$F$2:$F$2000,المبيعات!$D$2:$D$2000,A344))</f>
        <v/>
      </c>
      <c r="G344">
        <f>IF(A344="","",E344-F344)</f>
        <v/>
      </c>
      <c r="H344" s="4" t="n"/>
      <c r="I344">
        <f>IF(OR(A344="",H344=""),"",IF(G344&lt;=H344,"اطلب الآن",""))</f>
        <v/>
      </c>
    </row>
    <row r="345">
      <c r="A345" s="4" t="n"/>
      <c r="B345" s="4" t="n"/>
      <c r="C345" s="4" t="n"/>
      <c r="D345" s="4" t="n"/>
      <c r="E345" s="4" t="n"/>
      <c r="F345">
        <f>IF(A345="","",SUMIFS(المبيعات!$F$2:$F$2000,المبيعات!$D$2:$D$2000,A345))</f>
        <v/>
      </c>
      <c r="G345">
        <f>IF(A345="","",E345-F345)</f>
        <v/>
      </c>
      <c r="H345" s="4" t="n"/>
      <c r="I345">
        <f>IF(OR(A345="",H345=""),"",IF(G345&lt;=H345,"اطلب الآن",""))</f>
        <v/>
      </c>
    </row>
    <row r="346">
      <c r="A346" s="4" t="n"/>
      <c r="B346" s="4" t="n"/>
      <c r="C346" s="4" t="n"/>
      <c r="D346" s="4" t="n"/>
      <c r="E346" s="4" t="n"/>
      <c r="F346">
        <f>IF(A346="","",SUMIFS(المبيعات!$F$2:$F$2000,المبيعات!$D$2:$D$2000,A346))</f>
        <v/>
      </c>
      <c r="G346">
        <f>IF(A346="","",E346-F346)</f>
        <v/>
      </c>
      <c r="H346" s="4" t="n"/>
      <c r="I346">
        <f>IF(OR(A346="",H346=""),"",IF(G346&lt;=H346,"اطلب الآن",""))</f>
        <v/>
      </c>
    </row>
    <row r="347">
      <c r="A347" s="4" t="n"/>
      <c r="B347" s="4" t="n"/>
      <c r="C347" s="4" t="n"/>
      <c r="D347" s="4" t="n"/>
      <c r="E347" s="4" t="n"/>
      <c r="F347">
        <f>IF(A347="","",SUMIFS(المبيعات!$F$2:$F$2000,المبيعات!$D$2:$D$2000,A347))</f>
        <v/>
      </c>
      <c r="G347">
        <f>IF(A347="","",E347-F347)</f>
        <v/>
      </c>
      <c r="H347" s="4" t="n"/>
      <c r="I347">
        <f>IF(OR(A347="",H347=""),"",IF(G347&lt;=H347,"اطلب الآن",""))</f>
        <v/>
      </c>
    </row>
    <row r="348">
      <c r="A348" s="4" t="n"/>
      <c r="B348" s="4" t="n"/>
      <c r="C348" s="4" t="n"/>
      <c r="D348" s="4" t="n"/>
      <c r="E348" s="4" t="n"/>
      <c r="F348">
        <f>IF(A348="","",SUMIFS(المبيعات!$F$2:$F$2000,المبيعات!$D$2:$D$2000,A348))</f>
        <v/>
      </c>
      <c r="G348">
        <f>IF(A348="","",E348-F348)</f>
        <v/>
      </c>
      <c r="H348" s="4" t="n"/>
      <c r="I348">
        <f>IF(OR(A348="",H348=""),"",IF(G348&lt;=H348,"اطلب الآن",""))</f>
        <v/>
      </c>
    </row>
    <row r="349">
      <c r="A349" s="4" t="n"/>
      <c r="B349" s="4" t="n"/>
      <c r="C349" s="4" t="n"/>
      <c r="D349" s="4" t="n"/>
      <c r="E349" s="4" t="n"/>
      <c r="F349">
        <f>IF(A349="","",SUMIFS(المبيعات!$F$2:$F$2000,المبيعات!$D$2:$D$2000,A349))</f>
        <v/>
      </c>
      <c r="G349">
        <f>IF(A349="","",E349-F349)</f>
        <v/>
      </c>
      <c r="H349" s="4" t="n"/>
      <c r="I349">
        <f>IF(OR(A349="",H349=""),"",IF(G349&lt;=H349,"اطلب الآن",""))</f>
        <v/>
      </c>
    </row>
    <row r="350">
      <c r="A350" s="4" t="n"/>
      <c r="B350" s="4" t="n"/>
      <c r="C350" s="4" t="n"/>
      <c r="D350" s="4" t="n"/>
      <c r="E350" s="4" t="n"/>
      <c r="F350">
        <f>IF(A350="","",SUMIFS(المبيعات!$F$2:$F$2000,المبيعات!$D$2:$D$2000,A350))</f>
        <v/>
      </c>
      <c r="G350">
        <f>IF(A350="","",E350-F350)</f>
        <v/>
      </c>
      <c r="H350" s="4" t="n"/>
      <c r="I350">
        <f>IF(OR(A350="",H350=""),"",IF(G350&lt;=H350,"اطلب الآن",""))</f>
        <v/>
      </c>
    </row>
    <row r="351">
      <c r="A351" s="4" t="n"/>
      <c r="B351" s="4" t="n"/>
      <c r="C351" s="4" t="n"/>
      <c r="D351" s="4" t="n"/>
      <c r="E351" s="4" t="n"/>
      <c r="F351">
        <f>IF(A351="","",SUMIFS(المبيعات!$F$2:$F$2000,المبيعات!$D$2:$D$2000,A351))</f>
        <v/>
      </c>
      <c r="G351">
        <f>IF(A351="","",E351-F351)</f>
        <v/>
      </c>
      <c r="H351" s="4" t="n"/>
      <c r="I351">
        <f>IF(OR(A351="",H351=""),"",IF(G351&lt;=H351,"اطلب الآن",""))</f>
        <v/>
      </c>
    </row>
    <row r="352">
      <c r="A352" s="4" t="n"/>
      <c r="B352" s="4" t="n"/>
      <c r="C352" s="4" t="n"/>
      <c r="D352" s="4" t="n"/>
      <c r="E352" s="4" t="n"/>
      <c r="F352">
        <f>IF(A352="","",SUMIFS(المبيعات!$F$2:$F$2000,المبيعات!$D$2:$D$2000,A352))</f>
        <v/>
      </c>
      <c r="G352">
        <f>IF(A352="","",E352-F352)</f>
        <v/>
      </c>
      <c r="H352" s="4" t="n"/>
      <c r="I352">
        <f>IF(OR(A352="",H352=""),"",IF(G352&lt;=H352,"اطلب الآن",""))</f>
        <v/>
      </c>
    </row>
    <row r="353">
      <c r="A353" s="4" t="n"/>
      <c r="B353" s="4" t="n"/>
      <c r="C353" s="4" t="n"/>
      <c r="D353" s="4" t="n"/>
      <c r="E353" s="4" t="n"/>
      <c r="F353">
        <f>IF(A353="","",SUMIFS(المبيعات!$F$2:$F$2000,المبيعات!$D$2:$D$2000,A353))</f>
        <v/>
      </c>
      <c r="G353">
        <f>IF(A353="","",E353-F353)</f>
        <v/>
      </c>
      <c r="H353" s="4" t="n"/>
      <c r="I353">
        <f>IF(OR(A353="",H353=""),"",IF(G353&lt;=H353,"اطلب الآن",""))</f>
        <v/>
      </c>
    </row>
    <row r="354">
      <c r="A354" s="4" t="n"/>
      <c r="B354" s="4" t="n"/>
      <c r="C354" s="4" t="n"/>
      <c r="D354" s="4" t="n"/>
      <c r="E354" s="4" t="n"/>
      <c r="F354">
        <f>IF(A354="","",SUMIFS(المبيعات!$F$2:$F$2000,المبيعات!$D$2:$D$2000,A354))</f>
        <v/>
      </c>
      <c r="G354">
        <f>IF(A354="","",E354-F354)</f>
        <v/>
      </c>
      <c r="H354" s="4" t="n"/>
      <c r="I354">
        <f>IF(OR(A354="",H354=""),"",IF(G354&lt;=H354,"اطلب الآن",""))</f>
        <v/>
      </c>
    </row>
    <row r="355">
      <c r="A355" s="4" t="n"/>
      <c r="B355" s="4" t="n"/>
      <c r="C355" s="4" t="n"/>
      <c r="D355" s="4" t="n"/>
      <c r="E355" s="4" t="n"/>
      <c r="F355">
        <f>IF(A355="","",SUMIFS(المبيعات!$F$2:$F$2000,المبيعات!$D$2:$D$2000,A355))</f>
        <v/>
      </c>
      <c r="G355">
        <f>IF(A355="","",E355-F355)</f>
        <v/>
      </c>
      <c r="H355" s="4" t="n"/>
      <c r="I355">
        <f>IF(OR(A355="",H355=""),"",IF(G355&lt;=H355,"اطلب الآن",""))</f>
        <v/>
      </c>
    </row>
    <row r="356">
      <c r="A356" s="4" t="n"/>
      <c r="B356" s="4" t="n"/>
      <c r="C356" s="4" t="n"/>
      <c r="D356" s="4" t="n"/>
      <c r="E356" s="4" t="n"/>
      <c r="F356">
        <f>IF(A356="","",SUMIFS(المبيعات!$F$2:$F$2000,المبيعات!$D$2:$D$2000,A356))</f>
        <v/>
      </c>
      <c r="G356">
        <f>IF(A356="","",E356-F356)</f>
        <v/>
      </c>
      <c r="H356" s="4" t="n"/>
      <c r="I356">
        <f>IF(OR(A356="",H356=""),"",IF(G356&lt;=H356,"اطلب الآن",""))</f>
        <v/>
      </c>
    </row>
    <row r="357">
      <c r="A357" s="4" t="n"/>
      <c r="B357" s="4" t="n"/>
      <c r="C357" s="4" t="n"/>
      <c r="D357" s="4" t="n"/>
      <c r="E357" s="4" t="n"/>
      <c r="F357">
        <f>IF(A357="","",SUMIFS(المبيعات!$F$2:$F$2000,المبيعات!$D$2:$D$2000,A357))</f>
        <v/>
      </c>
      <c r="G357">
        <f>IF(A357="","",E357-F357)</f>
        <v/>
      </c>
      <c r="H357" s="4" t="n"/>
      <c r="I357">
        <f>IF(OR(A357="",H357=""),"",IF(G357&lt;=H357,"اطلب الآن",""))</f>
        <v/>
      </c>
    </row>
    <row r="358">
      <c r="A358" s="4" t="n"/>
      <c r="B358" s="4" t="n"/>
      <c r="C358" s="4" t="n"/>
      <c r="D358" s="4" t="n"/>
      <c r="E358" s="4" t="n"/>
      <c r="F358">
        <f>IF(A358="","",SUMIFS(المبيعات!$F$2:$F$2000,المبيعات!$D$2:$D$2000,A358))</f>
        <v/>
      </c>
      <c r="G358">
        <f>IF(A358="","",E358-F358)</f>
        <v/>
      </c>
      <c r="H358" s="4" t="n"/>
      <c r="I358">
        <f>IF(OR(A358="",H358=""),"",IF(G358&lt;=H358,"اطلب الآن",""))</f>
        <v/>
      </c>
    </row>
    <row r="359">
      <c r="A359" s="4" t="n"/>
      <c r="B359" s="4" t="n"/>
      <c r="C359" s="4" t="n"/>
      <c r="D359" s="4" t="n"/>
      <c r="E359" s="4" t="n"/>
      <c r="F359">
        <f>IF(A359="","",SUMIFS(المبيعات!$F$2:$F$2000,المبيعات!$D$2:$D$2000,A359))</f>
        <v/>
      </c>
      <c r="G359">
        <f>IF(A359="","",E359-F359)</f>
        <v/>
      </c>
      <c r="H359" s="4" t="n"/>
      <c r="I359">
        <f>IF(OR(A359="",H359=""),"",IF(G359&lt;=H359,"اطلب الآن",""))</f>
        <v/>
      </c>
    </row>
    <row r="360">
      <c r="A360" s="4" t="n"/>
      <c r="B360" s="4" t="n"/>
      <c r="C360" s="4" t="n"/>
      <c r="D360" s="4" t="n"/>
      <c r="E360" s="4" t="n"/>
      <c r="F360">
        <f>IF(A360="","",SUMIFS(المبيعات!$F$2:$F$2000,المبيعات!$D$2:$D$2000,A360))</f>
        <v/>
      </c>
      <c r="G360">
        <f>IF(A360="","",E360-F360)</f>
        <v/>
      </c>
      <c r="H360" s="4" t="n"/>
      <c r="I360">
        <f>IF(OR(A360="",H360=""),"",IF(G360&lt;=H360,"اطلب الآن",""))</f>
        <v/>
      </c>
    </row>
    <row r="361">
      <c r="A361" s="4" t="n"/>
      <c r="B361" s="4" t="n"/>
      <c r="C361" s="4" t="n"/>
      <c r="D361" s="4" t="n"/>
      <c r="E361" s="4" t="n"/>
      <c r="F361">
        <f>IF(A361="","",SUMIFS(المبيعات!$F$2:$F$2000,المبيعات!$D$2:$D$2000,A361))</f>
        <v/>
      </c>
      <c r="G361">
        <f>IF(A361="","",E361-F361)</f>
        <v/>
      </c>
      <c r="H361" s="4" t="n"/>
      <c r="I361">
        <f>IF(OR(A361="",H361=""),"",IF(G361&lt;=H361,"اطلب الآن",""))</f>
        <v/>
      </c>
    </row>
    <row r="362">
      <c r="A362" s="4" t="n"/>
      <c r="B362" s="4" t="n"/>
      <c r="C362" s="4" t="n"/>
      <c r="D362" s="4" t="n"/>
      <c r="E362" s="4" t="n"/>
      <c r="F362">
        <f>IF(A362="","",SUMIFS(المبيعات!$F$2:$F$2000,المبيعات!$D$2:$D$2000,A362))</f>
        <v/>
      </c>
      <c r="G362">
        <f>IF(A362="","",E362-F362)</f>
        <v/>
      </c>
      <c r="H362" s="4" t="n"/>
      <c r="I362">
        <f>IF(OR(A362="",H362=""),"",IF(G362&lt;=H362,"اطلب الآن",""))</f>
        <v/>
      </c>
    </row>
    <row r="363">
      <c r="A363" s="4" t="n"/>
      <c r="B363" s="4" t="n"/>
      <c r="C363" s="4" t="n"/>
      <c r="D363" s="4" t="n"/>
      <c r="E363" s="4" t="n"/>
      <c r="F363">
        <f>IF(A363="","",SUMIFS(المبيعات!$F$2:$F$2000,المبيعات!$D$2:$D$2000,A363))</f>
        <v/>
      </c>
      <c r="G363">
        <f>IF(A363="","",E363-F363)</f>
        <v/>
      </c>
      <c r="H363" s="4" t="n"/>
      <c r="I363">
        <f>IF(OR(A363="",H363=""),"",IF(G363&lt;=H363,"اطلب الآن",""))</f>
        <v/>
      </c>
    </row>
    <row r="364">
      <c r="A364" s="4" t="n"/>
      <c r="B364" s="4" t="n"/>
      <c r="C364" s="4" t="n"/>
      <c r="D364" s="4" t="n"/>
      <c r="E364" s="4" t="n"/>
      <c r="F364">
        <f>IF(A364="","",SUMIFS(المبيعات!$F$2:$F$2000,المبيعات!$D$2:$D$2000,A364))</f>
        <v/>
      </c>
      <c r="G364">
        <f>IF(A364="","",E364-F364)</f>
        <v/>
      </c>
      <c r="H364" s="4" t="n"/>
      <c r="I364">
        <f>IF(OR(A364="",H364=""),"",IF(G364&lt;=H364,"اطلب الآن",""))</f>
        <v/>
      </c>
    </row>
    <row r="365">
      <c r="A365" s="4" t="n"/>
      <c r="B365" s="4" t="n"/>
      <c r="C365" s="4" t="n"/>
      <c r="D365" s="4" t="n"/>
      <c r="E365" s="4" t="n"/>
      <c r="F365">
        <f>IF(A365="","",SUMIFS(المبيعات!$F$2:$F$2000,المبيعات!$D$2:$D$2000,A365))</f>
        <v/>
      </c>
      <c r="G365">
        <f>IF(A365="","",E365-F365)</f>
        <v/>
      </c>
      <c r="H365" s="4" t="n"/>
      <c r="I365">
        <f>IF(OR(A365="",H365=""),"",IF(G365&lt;=H365,"اطلب الآن",""))</f>
        <v/>
      </c>
    </row>
    <row r="366">
      <c r="A366" s="4" t="n"/>
      <c r="B366" s="4" t="n"/>
      <c r="C366" s="4" t="n"/>
      <c r="D366" s="4" t="n"/>
      <c r="E366" s="4" t="n"/>
      <c r="F366">
        <f>IF(A366="","",SUMIFS(المبيعات!$F$2:$F$2000,المبيعات!$D$2:$D$2000,A366))</f>
        <v/>
      </c>
      <c r="G366">
        <f>IF(A366="","",E366-F366)</f>
        <v/>
      </c>
      <c r="H366" s="4" t="n"/>
      <c r="I366">
        <f>IF(OR(A366="",H366=""),"",IF(G366&lt;=H366,"اطلب الآن",""))</f>
        <v/>
      </c>
    </row>
    <row r="367">
      <c r="A367" s="4" t="n"/>
      <c r="B367" s="4" t="n"/>
      <c r="C367" s="4" t="n"/>
      <c r="D367" s="4" t="n"/>
      <c r="E367" s="4" t="n"/>
      <c r="F367">
        <f>IF(A367="","",SUMIFS(المبيعات!$F$2:$F$2000,المبيعات!$D$2:$D$2000,A367))</f>
        <v/>
      </c>
      <c r="G367">
        <f>IF(A367="","",E367-F367)</f>
        <v/>
      </c>
      <c r="H367" s="4" t="n"/>
      <c r="I367">
        <f>IF(OR(A367="",H367=""),"",IF(G367&lt;=H367,"اطلب الآن",""))</f>
        <v/>
      </c>
    </row>
    <row r="368">
      <c r="A368" s="4" t="n"/>
      <c r="B368" s="4" t="n"/>
      <c r="C368" s="4" t="n"/>
      <c r="D368" s="4" t="n"/>
      <c r="E368" s="4" t="n"/>
      <c r="F368">
        <f>IF(A368="","",SUMIFS(المبيعات!$F$2:$F$2000,المبيعات!$D$2:$D$2000,A368))</f>
        <v/>
      </c>
      <c r="G368">
        <f>IF(A368="","",E368-F368)</f>
        <v/>
      </c>
      <c r="H368" s="4" t="n"/>
      <c r="I368">
        <f>IF(OR(A368="",H368=""),"",IF(G368&lt;=H368,"اطلب الآن",""))</f>
        <v/>
      </c>
    </row>
    <row r="369">
      <c r="A369" s="4" t="n"/>
      <c r="B369" s="4" t="n"/>
      <c r="C369" s="4" t="n"/>
      <c r="D369" s="4" t="n"/>
      <c r="E369" s="4" t="n"/>
      <c r="F369">
        <f>IF(A369="","",SUMIFS(المبيعات!$F$2:$F$2000,المبيعات!$D$2:$D$2000,A369))</f>
        <v/>
      </c>
      <c r="G369">
        <f>IF(A369="","",E369-F369)</f>
        <v/>
      </c>
      <c r="H369" s="4" t="n"/>
      <c r="I369">
        <f>IF(OR(A369="",H369=""),"",IF(G369&lt;=H369,"اطلب الآن",""))</f>
        <v/>
      </c>
    </row>
    <row r="370">
      <c r="A370" s="4" t="n"/>
      <c r="B370" s="4" t="n"/>
      <c r="C370" s="4" t="n"/>
      <c r="D370" s="4" t="n"/>
      <c r="E370" s="4" t="n"/>
      <c r="F370">
        <f>IF(A370="","",SUMIFS(المبيعات!$F$2:$F$2000,المبيعات!$D$2:$D$2000,A370))</f>
        <v/>
      </c>
      <c r="G370">
        <f>IF(A370="","",E370-F370)</f>
        <v/>
      </c>
      <c r="H370" s="4" t="n"/>
      <c r="I370">
        <f>IF(OR(A370="",H370=""),"",IF(G370&lt;=H370,"اطلب الآن",""))</f>
        <v/>
      </c>
    </row>
    <row r="371">
      <c r="A371" s="4" t="n"/>
      <c r="B371" s="4" t="n"/>
      <c r="C371" s="4" t="n"/>
      <c r="D371" s="4" t="n"/>
      <c r="E371" s="4" t="n"/>
      <c r="F371">
        <f>IF(A371="","",SUMIFS(المبيعات!$F$2:$F$2000,المبيعات!$D$2:$D$2000,A371))</f>
        <v/>
      </c>
      <c r="G371">
        <f>IF(A371="","",E371-F371)</f>
        <v/>
      </c>
      <c r="H371" s="4" t="n"/>
      <c r="I371">
        <f>IF(OR(A371="",H371=""),"",IF(G371&lt;=H371,"اطلب الآن",""))</f>
        <v/>
      </c>
    </row>
    <row r="372">
      <c r="A372" s="4" t="n"/>
      <c r="B372" s="4" t="n"/>
      <c r="C372" s="4" t="n"/>
      <c r="D372" s="4" t="n"/>
      <c r="E372" s="4" t="n"/>
      <c r="F372">
        <f>IF(A372="","",SUMIFS(المبيعات!$F$2:$F$2000,المبيعات!$D$2:$D$2000,A372))</f>
        <v/>
      </c>
      <c r="G372">
        <f>IF(A372="","",E372-F372)</f>
        <v/>
      </c>
      <c r="H372" s="4" t="n"/>
      <c r="I372">
        <f>IF(OR(A372="",H372=""),"",IF(G372&lt;=H372,"اطلب الآن",""))</f>
        <v/>
      </c>
    </row>
    <row r="373">
      <c r="A373" s="4" t="n"/>
      <c r="B373" s="4" t="n"/>
      <c r="C373" s="4" t="n"/>
      <c r="D373" s="4" t="n"/>
      <c r="E373" s="4" t="n"/>
      <c r="F373">
        <f>IF(A373="","",SUMIFS(المبيعات!$F$2:$F$2000,المبيعات!$D$2:$D$2000,A373))</f>
        <v/>
      </c>
      <c r="G373">
        <f>IF(A373="","",E373-F373)</f>
        <v/>
      </c>
      <c r="H373" s="4" t="n"/>
      <c r="I373">
        <f>IF(OR(A373="",H373=""),"",IF(G373&lt;=H373,"اطلب الآن",""))</f>
        <v/>
      </c>
    </row>
    <row r="374">
      <c r="A374" s="4" t="n"/>
      <c r="B374" s="4" t="n"/>
      <c r="C374" s="4" t="n"/>
      <c r="D374" s="4" t="n"/>
      <c r="E374" s="4" t="n"/>
      <c r="F374">
        <f>IF(A374="","",SUMIFS(المبيعات!$F$2:$F$2000,المبيعات!$D$2:$D$2000,A374))</f>
        <v/>
      </c>
      <c r="G374">
        <f>IF(A374="","",E374-F374)</f>
        <v/>
      </c>
      <c r="H374" s="4" t="n"/>
      <c r="I374">
        <f>IF(OR(A374="",H374=""),"",IF(G374&lt;=H374,"اطلب الآن",""))</f>
        <v/>
      </c>
    </row>
    <row r="375">
      <c r="A375" s="4" t="n"/>
      <c r="B375" s="4" t="n"/>
      <c r="C375" s="4" t="n"/>
      <c r="D375" s="4" t="n"/>
      <c r="E375" s="4" t="n"/>
      <c r="F375">
        <f>IF(A375="","",SUMIFS(المبيعات!$F$2:$F$2000,المبيعات!$D$2:$D$2000,A375))</f>
        <v/>
      </c>
      <c r="G375">
        <f>IF(A375="","",E375-F375)</f>
        <v/>
      </c>
      <c r="H375" s="4" t="n"/>
      <c r="I375">
        <f>IF(OR(A375="",H375=""),"",IF(G375&lt;=H375,"اطلب الآن",""))</f>
        <v/>
      </c>
    </row>
    <row r="376">
      <c r="A376" s="4" t="n"/>
      <c r="B376" s="4" t="n"/>
      <c r="C376" s="4" t="n"/>
      <c r="D376" s="4" t="n"/>
      <c r="E376" s="4" t="n"/>
      <c r="F376">
        <f>IF(A376="","",SUMIFS(المبيعات!$F$2:$F$2000,المبيعات!$D$2:$D$2000,A376))</f>
        <v/>
      </c>
      <c r="G376">
        <f>IF(A376="","",E376-F376)</f>
        <v/>
      </c>
      <c r="H376" s="4" t="n"/>
      <c r="I376">
        <f>IF(OR(A376="",H376=""),"",IF(G376&lt;=H376,"اطلب الآن",""))</f>
        <v/>
      </c>
    </row>
    <row r="377">
      <c r="A377" s="4" t="n"/>
      <c r="B377" s="4" t="n"/>
      <c r="C377" s="4" t="n"/>
      <c r="D377" s="4" t="n"/>
      <c r="E377" s="4" t="n"/>
      <c r="F377">
        <f>IF(A377="","",SUMIFS(المبيعات!$F$2:$F$2000,المبيعات!$D$2:$D$2000,A377))</f>
        <v/>
      </c>
      <c r="G377">
        <f>IF(A377="","",E377-F377)</f>
        <v/>
      </c>
      <c r="H377" s="4" t="n"/>
      <c r="I377">
        <f>IF(OR(A377="",H377=""),"",IF(G377&lt;=H377,"اطلب الآن",""))</f>
        <v/>
      </c>
    </row>
    <row r="378">
      <c r="A378" s="4" t="n"/>
      <c r="B378" s="4" t="n"/>
      <c r="C378" s="4" t="n"/>
      <c r="D378" s="4" t="n"/>
      <c r="E378" s="4" t="n"/>
      <c r="F378">
        <f>IF(A378="","",SUMIFS(المبيعات!$F$2:$F$2000,المبيعات!$D$2:$D$2000,A378))</f>
        <v/>
      </c>
      <c r="G378">
        <f>IF(A378="","",E378-F378)</f>
        <v/>
      </c>
      <c r="H378" s="4" t="n"/>
      <c r="I378">
        <f>IF(OR(A378="",H378=""),"",IF(G378&lt;=H378,"اطلب الآن",""))</f>
        <v/>
      </c>
    </row>
    <row r="379">
      <c r="A379" s="4" t="n"/>
      <c r="B379" s="4" t="n"/>
      <c r="C379" s="4" t="n"/>
      <c r="D379" s="4" t="n"/>
      <c r="E379" s="4" t="n"/>
      <c r="F379">
        <f>IF(A379="","",SUMIFS(المبيعات!$F$2:$F$2000,المبيعات!$D$2:$D$2000,A379))</f>
        <v/>
      </c>
      <c r="G379">
        <f>IF(A379="","",E379-F379)</f>
        <v/>
      </c>
      <c r="H379" s="4" t="n"/>
      <c r="I379">
        <f>IF(OR(A379="",H379=""),"",IF(G379&lt;=H379,"اطلب الآن",""))</f>
        <v/>
      </c>
    </row>
    <row r="380">
      <c r="A380" s="4" t="n"/>
      <c r="B380" s="4" t="n"/>
      <c r="C380" s="4" t="n"/>
      <c r="D380" s="4" t="n"/>
      <c r="E380" s="4" t="n"/>
      <c r="F380">
        <f>IF(A380="","",SUMIFS(المبيعات!$F$2:$F$2000,المبيعات!$D$2:$D$2000,A380))</f>
        <v/>
      </c>
      <c r="G380">
        <f>IF(A380="","",E380-F380)</f>
        <v/>
      </c>
      <c r="H380" s="4" t="n"/>
      <c r="I380">
        <f>IF(OR(A380="",H380=""),"",IF(G380&lt;=H380,"اطلب الآن",""))</f>
        <v/>
      </c>
    </row>
    <row r="381">
      <c r="A381" s="4" t="n"/>
      <c r="B381" s="4" t="n"/>
      <c r="C381" s="4" t="n"/>
      <c r="D381" s="4" t="n"/>
      <c r="E381" s="4" t="n"/>
      <c r="F381">
        <f>IF(A381="","",SUMIFS(المبيعات!$F$2:$F$2000,المبيعات!$D$2:$D$2000,A381))</f>
        <v/>
      </c>
      <c r="G381">
        <f>IF(A381="","",E381-F381)</f>
        <v/>
      </c>
      <c r="H381" s="4" t="n"/>
      <c r="I381">
        <f>IF(OR(A381="",H381=""),"",IF(G381&lt;=H381,"اطلب الآن",""))</f>
        <v/>
      </c>
    </row>
    <row r="382">
      <c r="A382" s="4" t="n"/>
      <c r="B382" s="4" t="n"/>
      <c r="C382" s="4" t="n"/>
      <c r="D382" s="4" t="n"/>
      <c r="E382" s="4" t="n"/>
      <c r="F382">
        <f>IF(A382="","",SUMIFS(المبيعات!$F$2:$F$2000,المبيعات!$D$2:$D$2000,A382))</f>
        <v/>
      </c>
      <c r="G382">
        <f>IF(A382="","",E382-F382)</f>
        <v/>
      </c>
      <c r="H382" s="4" t="n"/>
      <c r="I382">
        <f>IF(OR(A382="",H382=""),"",IF(G382&lt;=H382,"اطلب الآن",""))</f>
        <v/>
      </c>
    </row>
    <row r="383">
      <c r="A383" s="4" t="n"/>
      <c r="B383" s="4" t="n"/>
      <c r="C383" s="4" t="n"/>
      <c r="D383" s="4" t="n"/>
      <c r="E383" s="4" t="n"/>
      <c r="F383">
        <f>IF(A383="","",SUMIFS(المبيعات!$F$2:$F$2000,المبيعات!$D$2:$D$2000,A383))</f>
        <v/>
      </c>
      <c r="G383">
        <f>IF(A383="","",E383-F383)</f>
        <v/>
      </c>
      <c r="H383" s="4" t="n"/>
      <c r="I383">
        <f>IF(OR(A383="",H383=""),"",IF(G383&lt;=H383,"اطلب الآن",""))</f>
        <v/>
      </c>
    </row>
    <row r="384">
      <c r="A384" s="4" t="n"/>
      <c r="B384" s="4" t="n"/>
      <c r="C384" s="4" t="n"/>
      <c r="D384" s="4" t="n"/>
      <c r="E384" s="4" t="n"/>
      <c r="F384">
        <f>IF(A384="","",SUMIFS(المبيعات!$F$2:$F$2000,المبيعات!$D$2:$D$2000,A384))</f>
        <v/>
      </c>
      <c r="G384">
        <f>IF(A384="","",E384-F384)</f>
        <v/>
      </c>
      <c r="H384" s="4" t="n"/>
      <c r="I384">
        <f>IF(OR(A384="",H384=""),"",IF(G384&lt;=H384,"اطلب الآن",""))</f>
        <v/>
      </c>
    </row>
    <row r="385">
      <c r="A385" s="4" t="n"/>
      <c r="B385" s="4" t="n"/>
      <c r="C385" s="4" t="n"/>
      <c r="D385" s="4" t="n"/>
      <c r="E385" s="4" t="n"/>
      <c r="F385">
        <f>IF(A385="","",SUMIFS(المبيعات!$F$2:$F$2000,المبيعات!$D$2:$D$2000,A385))</f>
        <v/>
      </c>
      <c r="G385">
        <f>IF(A385="","",E385-F385)</f>
        <v/>
      </c>
      <c r="H385" s="4" t="n"/>
      <c r="I385">
        <f>IF(OR(A385="",H385=""),"",IF(G385&lt;=H385,"اطلب الآن",""))</f>
        <v/>
      </c>
    </row>
    <row r="386">
      <c r="A386" s="4" t="n"/>
      <c r="B386" s="4" t="n"/>
      <c r="C386" s="4" t="n"/>
      <c r="D386" s="4" t="n"/>
      <c r="E386" s="4" t="n"/>
      <c r="F386">
        <f>IF(A386="","",SUMIFS(المبيعات!$F$2:$F$2000,المبيعات!$D$2:$D$2000,A386))</f>
        <v/>
      </c>
      <c r="G386">
        <f>IF(A386="","",E386-F386)</f>
        <v/>
      </c>
      <c r="H386" s="4" t="n"/>
      <c r="I386">
        <f>IF(OR(A386="",H386=""),"",IF(G386&lt;=H386,"اطلب الآن",""))</f>
        <v/>
      </c>
    </row>
    <row r="387">
      <c r="A387" s="4" t="n"/>
      <c r="B387" s="4" t="n"/>
      <c r="C387" s="4" t="n"/>
      <c r="D387" s="4" t="n"/>
      <c r="E387" s="4" t="n"/>
      <c r="F387">
        <f>IF(A387="","",SUMIFS(المبيعات!$F$2:$F$2000,المبيعات!$D$2:$D$2000,A387))</f>
        <v/>
      </c>
      <c r="G387">
        <f>IF(A387="","",E387-F387)</f>
        <v/>
      </c>
      <c r="H387" s="4" t="n"/>
      <c r="I387">
        <f>IF(OR(A387="",H387=""),"",IF(G387&lt;=H387,"اطلب الآن",""))</f>
        <v/>
      </c>
    </row>
    <row r="388">
      <c r="A388" s="4" t="n"/>
      <c r="B388" s="4" t="n"/>
      <c r="C388" s="4" t="n"/>
      <c r="D388" s="4" t="n"/>
      <c r="E388" s="4" t="n"/>
      <c r="F388">
        <f>IF(A388="","",SUMIFS(المبيعات!$F$2:$F$2000,المبيعات!$D$2:$D$2000,A388))</f>
        <v/>
      </c>
      <c r="G388">
        <f>IF(A388="","",E388-F388)</f>
        <v/>
      </c>
      <c r="H388" s="4" t="n"/>
      <c r="I388">
        <f>IF(OR(A388="",H388=""),"",IF(G388&lt;=H388,"اطلب الآن",""))</f>
        <v/>
      </c>
    </row>
    <row r="389">
      <c r="A389" s="4" t="n"/>
      <c r="B389" s="4" t="n"/>
      <c r="C389" s="4" t="n"/>
      <c r="D389" s="4" t="n"/>
      <c r="E389" s="4" t="n"/>
      <c r="F389">
        <f>IF(A389="","",SUMIFS(المبيعات!$F$2:$F$2000,المبيعات!$D$2:$D$2000,A389))</f>
        <v/>
      </c>
      <c r="G389">
        <f>IF(A389="","",E389-F389)</f>
        <v/>
      </c>
      <c r="H389" s="4" t="n"/>
      <c r="I389">
        <f>IF(OR(A389="",H389=""),"",IF(G389&lt;=H389,"اطلب الآن",""))</f>
        <v/>
      </c>
    </row>
    <row r="390">
      <c r="A390" s="4" t="n"/>
      <c r="B390" s="4" t="n"/>
      <c r="C390" s="4" t="n"/>
      <c r="D390" s="4" t="n"/>
      <c r="E390" s="4" t="n"/>
      <c r="F390">
        <f>IF(A390="","",SUMIFS(المبيعات!$F$2:$F$2000,المبيعات!$D$2:$D$2000,A390))</f>
        <v/>
      </c>
      <c r="G390">
        <f>IF(A390="","",E390-F390)</f>
        <v/>
      </c>
      <c r="H390" s="4" t="n"/>
      <c r="I390">
        <f>IF(OR(A390="",H390=""),"",IF(G390&lt;=H390,"اطلب الآن",""))</f>
        <v/>
      </c>
    </row>
    <row r="391">
      <c r="A391" s="4" t="n"/>
      <c r="B391" s="4" t="n"/>
      <c r="C391" s="4" t="n"/>
      <c r="D391" s="4" t="n"/>
      <c r="E391" s="4" t="n"/>
      <c r="F391">
        <f>IF(A391="","",SUMIFS(المبيعات!$F$2:$F$2000,المبيعات!$D$2:$D$2000,A391))</f>
        <v/>
      </c>
      <c r="G391">
        <f>IF(A391="","",E391-F391)</f>
        <v/>
      </c>
      <c r="H391" s="4" t="n"/>
      <c r="I391">
        <f>IF(OR(A391="",H391=""),"",IF(G391&lt;=H391,"اطلب الآن",""))</f>
        <v/>
      </c>
    </row>
    <row r="392">
      <c r="A392" s="4" t="n"/>
      <c r="B392" s="4" t="n"/>
      <c r="C392" s="4" t="n"/>
      <c r="D392" s="4" t="n"/>
      <c r="E392" s="4" t="n"/>
      <c r="F392">
        <f>IF(A392="","",SUMIFS(المبيعات!$F$2:$F$2000,المبيعات!$D$2:$D$2000,A392))</f>
        <v/>
      </c>
      <c r="G392">
        <f>IF(A392="","",E392-F392)</f>
        <v/>
      </c>
      <c r="H392" s="4" t="n"/>
      <c r="I392">
        <f>IF(OR(A392="",H392=""),"",IF(G392&lt;=H392,"اطلب الآن",""))</f>
        <v/>
      </c>
    </row>
    <row r="393">
      <c r="A393" s="4" t="n"/>
      <c r="B393" s="4" t="n"/>
      <c r="C393" s="4" t="n"/>
      <c r="D393" s="4" t="n"/>
      <c r="E393" s="4" t="n"/>
      <c r="F393">
        <f>IF(A393="","",SUMIFS(المبيعات!$F$2:$F$2000,المبيعات!$D$2:$D$2000,A393))</f>
        <v/>
      </c>
      <c r="G393">
        <f>IF(A393="","",E393-F393)</f>
        <v/>
      </c>
      <c r="H393" s="4" t="n"/>
      <c r="I393">
        <f>IF(OR(A393="",H393=""),"",IF(G393&lt;=H393,"اطلب الآن",""))</f>
        <v/>
      </c>
    </row>
    <row r="394">
      <c r="A394" s="4" t="n"/>
      <c r="B394" s="4" t="n"/>
      <c r="C394" s="4" t="n"/>
      <c r="D394" s="4" t="n"/>
      <c r="E394" s="4" t="n"/>
      <c r="F394">
        <f>IF(A394="","",SUMIFS(المبيعات!$F$2:$F$2000,المبيعات!$D$2:$D$2000,A394))</f>
        <v/>
      </c>
      <c r="G394">
        <f>IF(A394="","",E394-F394)</f>
        <v/>
      </c>
      <c r="H394" s="4" t="n"/>
      <c r="I394">
        <f>IF(OR(A394="",H394=""),"",IF(G394&lt;=H394,"اطلب الآن",""))</f>
        <v/>
      </c>
    </row>
    <row r="395">
      <c r="A395" s="4" t="n"/>
      <c r="B395" s="4" t="n"/>
      <c r="C395" s="4" t="n"/>
      <c r="D395" s="4" t="n"/>
      <c r="E395" s="4" t="n"/>
      <c r="F395">
        <f>IF(A395="","",SUMIFS(المبيعات!$F$2:$F$2000,المبيعات!$D$2:$D$2000,A395))</f>
        <v/>
      </c>
      <c r="G395">
        <f>IF(A395="","",E395-F395)</f>
        <v/>
      </c>
      <c r="H395" s="4" t="n"/>
      <c r="I395">
        <f>IF(OR(A395="",H395=""),"",IF(G395&lt;=H395,"اطلب الآن",""))</f>
        <v/>
      </c>
    </row>
    <row r="396">
      <c r="A396" s="4" t="n"/>
      <c r="B396" s="4" t="n"/>
      <c r="C396" s="4" t="n"/>
      <c r="D396" s="4" t="n"/>
      <c r="E396" s="4" t="n"/>
      <c r="F396">
        <f>IF(A396="","",SUMIFS(المبيعات!$F$2:$F$2000,المبيعات!$D$2:$D$2000,A396))</f>
        <v/>
      </c>
      <c r="G396">
        <f>IF(A396="","",E396-F396)</f>
        <v/>
      </c>
      <c r="H396" s="4" t="n"/>
      <c r="I396">
        <f>IF(OR(A396="",H396=""),"",IF(G396&lt;=H396,"اطلب الآن",""))</f>
        <v/>
      </c>
    </row>
    <row r="397">
      <c r="A397" s="4" t="n"/>
      <c r="B397" s="4" t="n"/>
      <c r="C397" s="4" t="n"/>
      <c r="D397" s="4" t="n"/>
      <c r="E397" s="4" t="n"/>
      <c r="F397">
        <f>IF(A397="","",SUMIFS(المبيعات!$F$2:$F$2000,المبيعات!$D$2:$D$2000,A397))</f>
        <v/>
      </c>
      <c r="G397">
        <f>IF(A397="","",E397-F397)</f>
        <v/>
      </c>
      <c r="H397" s="4" t="n"/>
      <c r="I397">
        <f>IF(OR(A397="",H397=""),"",IF(G397&lt;=H397,"اطلب الآن",""))</f>
        <v/>
      </c>
    </row>
    <row r="398">
      <c r="A398" s="4" t="n"/>
      <c r="B398" s="4" t="n"/>
      <c r="C398" s="4" t="n"/>
      <c r="D398" s="4" t="n"/>
      <c r="E398" s="4" t="n"/>
      <c r="F398">
        <f>IF(A398="","",SUMIFS(المبيعات!$F$2:$F$2000,المبيعات!$D$2:$D$2000,A398))</f>
        <v/>
      </c>
      <c r="G398">
        <f>IF(A398="","",E398-F398)</f>
        <v/>
      </c>
      <c r="H398" s="4" t="n"/>
      <c r="I398">
        <f>IF(OR(A398="",H398=""),"",IF(G398&lt;=H398,"اطلب الآن",""))</f>
        <v/>
      </c>
    </row>
    <row r="399">
      <c r="A399" s="4" t="n"/>
      <c r="B399" s="4" t="n"/>
      <c r="C399" s="4" t="n"/>
      <c r="D399" s="4" t="n"/>
      <c r="E399" s="4" t="n"/>
      <c r="F399">
        <f>IF(A399="","",SUMIFS(المبيعات!$F$2:$F$2000,المبيعات!$D$2:$D$2000,A399))</f>
        <v/>
      </c>
      <c r="G399">
        <f>IF(A399="","",E399-F399)</f>
        <v/>
      </c>
      <c r="H399" s="4" t="n"/>
      <c r="I399">
        <f>IF(OR(A399="",H399=""),"",IF(G399&lt;=H399,"اطلب الآن",""))</f>
        <v/>
      </c>
    </row>
    <row r="400">
      <c r="A400" s="4" t="n"/>
      <c r="B400" s="4" t="n"/>
      <c r="C400" s="4" t="n"/>
      <c r="D400" s="4" t="n"/>
      <c r="E400" s="4" t="n"/>
      <c r="F400">
        <f>IF(A400="","",SUMIFS(المبيعات!$F$2:$F$2000,المبيعات!$D$2:$D$2000,A400))</f>
        <v/>
      </c>
      <c r="G400">
        <f>IF(A400="","",E400-F400)</f>
        <v/>
      </c>
      <c r="H400" s="4" t="n"/>
      <c r="I400">
        <f>IF(OR(A400="",H400=""),"",IF(G400&lt;=H400,"اطلب الآن",""))</f>
        <v/>
      </c>
    </row>
    <row r="401">
      <c r="A401" s="4" t="n"/>
      <c r="B401" s="4" t="n"/>
      <c r="C401" s="4" t="n"/>
      <c r="D401" s="4" t="n"/>
      <c r="E401" s="4" t="n"/>
      <c r="F401">
        <f>IF(A401="","",SUMIFS(المبيعات!$F$2:$F$2000,المبيعات!$D$2:$D$2000,A401))</f>
        <v/>
      </c>
      <c r="G401">
        <f>IF(A401="","",E401-F401)</f>
        <v/>
      </c>
      <c r="H401" s="4" t="n"/>
      <c r="I401">
        <f>IF(OR(A401="",H401=""),"",IF(G401&lt;=H401,"اطلب الآن",""))</f>
        <v/>
      </c>
    </row>
    <row r="402">
      <c r="A402" s="4" t="n"/>
      <c r="B402" s="4" t="n"/>
      <c r="C402" s="4" t="n"/>
      <c r="D402" s="4" t="n"/>
      <c r="E402" s="4" t="n"/>
      <c r="F402">
        <f>IF(A402="","",SUMIFS(المبيعات!$F$2:$F$2000,المبيعات!$D$2:$D$2000,A402))</f>
        <v/>
      </c>
      <c r="G402">
        <f>IF(A402="","",E402-F402)</f>
        <v/>
      </c>
      <c r="H402" s="4" t="n"/>
      <c r="I402">
        <f>IF(OR(A402="",H402=""),"",IF(G402&lt;=H402,"اطلب الآن",""))</f>
        <v/>
      </c>
    </row>
    <row r="403">
      <c r="A403" s="4" t="n"/>
      <c r="B403" s="4" t="n"/>
      <c r="C403" s="4" t="n"/>
      <c r="D403" s="4" t="n"/>
      <c r="E403" s="4" t="n"/>
      <c r="F403">
        <f>IF(A403="","",SUMIFS(المبيعات!$F$2:$F$2000,المبيعات!$D$2:$D$2000,A403))</f>
        <v/>
      </c>
      <c r="G403">
        <f>IF(A403="","",E403-F403)</f>
        <v/>
      </c>
      <c r="H403" s="4" t="n"/>
      <c r="I403">
        <f>IF(OR(A403="",H403=""),"",IF(G403&lt;=H403,"اطلب الآن",""))</f>
        <v/>
      </c>
    </row>
    <row r="404">
      <c r="A404" s="4" t="n"/>
      <c r="B404" s="4" t="n"/>
      <c r="C404" s="4" t="n"/>
      <c r="D404" s="4" t="n"/>
      <c r="E404" s="4" t="n"/>
      <c r="F404">
        <f>IF(A404="","",SUMIFS(المبيعات!$F$2:$F$2000,المبيعات!$D$2:$D$2000,A404))</f>
        <v/>
      </c>
      <c r="G404">
        <f>IF(A404="","",E404-F404)</f>
        <v/>
      </c>
      <c r="H404" s="4" t="n"/>
      <c r="I404">
        <f>IF(OR(A404="",H404=""),"",IF(G404&lt;=H404,"اطلب الآن",""))</f>
        <v/>
      </c>
    </row>
    <row r="405">
      <c r="A405" s="4" t="n"/>
      <c r="B405" s="4" t="n"/>
      <c r="C405" s="4" t="n"/>
      <c r="D405" s="4" t="n"/>
      <c r="E405" s="4" t="n"/>
      <c r="F405">
        <f>IF(A405="","",SUMIFS(المبيعات!$F$2:$F$2000,المبيعات!$D$2:$D$2000,A405))</f>
        <v/>
      </c>
      <c r="G405">
        <f>IF(A405="","",E405-F405)</f>
        <v/>
      </c>
      <c r="H405" s="4" t="n"/>
      <c r="I405">
        <f>IF(OR(A405="",H405=""),"",IF(G405&lt;=H405,"اطلب الآن",""))</f>
        <v/>
      </c>
    </row>
    <row r="406">
      <c r="A406" s="4" t="n"/>
      <c r="B406" s="4" t="n"/>
      <c r="C406" s="4" t="n"/>
      <c r="D406" s="4" t="n"/>
      <c r="E406" s="4" t="n"/>
      <c r="F406">
        <f>IF(A406="","",SUMIFS(المبيعات!$F$2:$F$2000,المبيعات!$D$2:$D$2000,A406))</f>
        <v/>
      </c>
      <c r="G406">
        <f>IF(A406="","",E406-F406)</f>
        <v/>
      </c>
      <c r="H406" s="4" t="n"/>
      <c r="I406">
        <f>IF(OR(A406="",H406=""),"",IF(G406&lt;=H406,"اطلب الآن",""))</f>
        <v/>
      </c>
    </row>
    <row r="407">
      <c r="A407" s="4" t="n"/>
      <c r="B407" s="4" t="n"/>
      <c r="C407" s="4" t="n"/>
      <c r="D407" s="4" t="n"/>
      <c r="E407" s="4" t="n"/>
      <c r="F407">
        <f>IF(A407="","",SUMIFS(المبيعات!$F$2:$F$2000,المبيعات!$D$2:$D$2000,A407))</f>
        <v/>
      </c>
      <c r="G407">
        <f>IF(A407="","",E407-F407)</f>
        <v/>
      </c>
      <c r="H407" s="4" t="n"/>
      <c r="I407">
        <f>IF(OR(A407="",H407=""),"",IF(G407&lt;=H407,"اطلب الآن",""))</f>
        <v/>
      </c>
    </row>
    <row r="408">
      <c r="A408" s="4" t="n"/>
      <c r="B408" s="4" t="n"/>
      <c r="C408" s="4" t="n"/>
      <c r="D408" s="4" t="n"/>
      <c r="E408" s="4" t="n"/>
      <c r="F408">
        <f>IF(A408="","",SUMIFS(المبيعات!$F$2:$F$2000,المبيعات!$D$2:$D$2000,A408))</f>
        <v/>
      </c>
      <c r="G408">
        <f>IF(A408="","",E408-F408)</f>
        <v/>
      </c>
      <c r="H408" s="4" t="n"/>
      <c r="I408">
        <f>IF(OR(A408="",H408=""),"",IF(G408&lt;=H408,"اطلب الآن",""))</f>
        <v/>
      </c>
    </row>
    <row r="409">
      <c r="A409" s="4" t="n"/>
      <c r="B409" s="4" t="n"/>
      <c r="C409" s="4" t="n"/>
      <c r="D409" s="4" t="n"/>
      <c r="E409" s="4" t="n"/>
      <c r="F409">
        <f>IF(A409="","",SUMIFS(المبيعات!$F$2:$F$2000,المبيعات!$D$2:$D$2000,A409))</f>
        <v/>
      </c>
      <c r="G409">
        <f>IF(A409="","",E409-F409)</f>
        <v/>
      </c>
      <c r="H409" s="4" t="n"/>
      <c r="I409">
        <f>IF(OR(A409="",H409=""),"",IF(G409&lt;=H409,"اطلب الآن",""))</f>
        <v/>
      </c>
    </row>
    <row r="410">
      <c r="A410" s="4" t="n"/>
      <c r="B410" s="4" t="n"/>
      <c r="C410" s="4" t="n"/>
      <c r="D410" s="4" t="n"/>
      <c r="E410" s="4" t="n"/>
      <c r="F410">
        <f>IF(A410="","",SUMIFS(المبيعات!$F$2:$F$2000,المبيعات!$D$2:$D$2000,A410))</f>
        <v/>
      </c>
      <c r="G410">
        <f>IF(A410="","",E410-F410)</f>
        <v/>
      </c>
      <c r="H410" s="4" t="n"/>
      <c r="I410">
        <f>IF(OR(A410="",H410=""),"",IF(G410&lt;=H410,"اطلب الآن",""))</f>
        <v/>
      </c>
    </row>
    <row r="411">
      <c r="A411" s="4" t="n"/>
      <c r="B411" s="4" t="n"/>
      <c r="C411" s="4" t="n"/>
      <c r="D411" s="4" t="n"/>
      <c r="E411" s="4" t="n"/>
      <c r="F411">
        <f>IF(A411="","",SUMIFS(المبيعات!$F$2:$F$2000,المبيعات!$D$2:$D$2000,A411))</f>
        <v/>
      </c>
      <c r="G411">
        <f>IF(A411="","",E411-F411)</f>
        <v/>
      </c>
      <c r="H411" s="4" t="n"/>
      <c r="I411">
        <f>IF(OR(A411="",H411=""),"",IF(G411&lt;=H411,"اطلب الآن",""))</f>
        <v/>
      </c>
    </row>
    <row r="412">
      <c r="A412" s="4" t="n"/>
      <c r="B412" s="4" t="n"/>
      <c r="C412" s="4" t="n"/>
      <c r="D412" s="4" t="n"/>
      <c r="E412" s="4" t="n"/>
      <c r="F412">
        <f>IF(A412="","",SUMIFS(المبيعات!$F$2:$F$2000,المبيعات!$D$2:$D$2000,A412))</f>
        <v/>
      </c>
      <c r="G412">
        <f>IF(A412="","",E412-F412)</f>
        <v/>
      </c>
      <c r="H412" s="4" t="n"/>
      <c r="I412">
        <f>IF(OR(A412="",H412=""),"",IF(G412&lt;=H412,"اطلب الآن",""))</f>
        <v/>
      </c>
    </row>
    <row r="413">
      <c r="A413" s="4" t="n"/>
      <c r="B413" s="4" t="n"/>
      <c r="C413" s="4" t="n"/>
      <c r="D413" s="4" t="n"/>
      <c r="E413" s="4" t="n"/>
      <c r="F413">
        <f>IF(A413="","",SUMIFS(المبيعات!$F$2:$F$2000,المبيعات!$D$2:$D$2000,A413))</f>
        <v/>
      </c>
      <c r="G413">
        <f>IF(A413="","",E413-F413)</f>
        <v/>
      </c>
      <c r="H413" s="4" t="n"/>
      <c r="I413">
        <f>IF(OR(A413="",H413=""),"",IF(G413&lt;=H413,"اطلب الآن",""))</f>
        <v/>
      </c>
    </row>
    <row r="414">
      <c r="A414" s="4" t="n"/>
      <c r="B414" s="4" t="n"/>
      <c r="C414" s="4" t="n"/>
      <c r="D414" s="4" t="n"/>
      <c r="E414" s="4" t="n"/>
      <c r="F414">
        <f>IF(A414="","",SUMIFS(المبيعات!$F$2:$F$2000,المبيعات!$D$2:$D$2000,A414))</f>
        <v/>
      </c>
      <c r="G414">
        <f>IF(A414="","",E414-F414)</f>
        <v/>
      </c>
      <c r="H414" s="4" t="n"/>
      <c r="I414">
        <f>IF(OR(A414="",H414=""),"",IF(G414&lt;=H414,"اطلب الآن",""))</f>
        <v/>
      </c>
    </row>
    <row r="415">
      <c r="A415" s="4" t="n"/>
      <c r="B415" s="4" t="n"/>
      <c r="C415" s="4" t="n"/>
      <c r="D415" s="4" t="n"/>
      <c r="E415" s="4" t="n"/>
      <c r="F415">
        <f>IF(A415="","",SUMIFS(المبيعات!$F$2:$F$2000,المبيعات!$D$2:$D$2000,A415))</f>
        <v/>
      </c>
      <c r="G415">
        <f>IF(A415="","",E415-F415)</f>
        <v/>
      </c>
      <c r="H415" s="4" t="n"/>
      <c r="I415">
        <f>IF(OR(A415="",H415=""),"",IF(G415&lt;=H415,"اطلب الآن",""))</f>
        <v/>
      </c>
    </row>
    <row r="416">
      <c r="A416" s="4" t="n"/>
      <c r="B416" s="4" t="n"/>
      <c r="C416" s="4" t="n"/>
      <c r="D416" s="4" t="n"/>
      <c r="E416" s="4" t="n"/>
      <c r="F416">
        <f>IF(A416="","",SUMIFS(المبيعات!$F$2:$F$2000,المبيعات!$D$2:$D$2000,A416))</f>
        <v/>
      </c>
      <c r="G416">
        <f>IF(A416="","",E416-F416)</f>
        <v/>
      </c>
      <c r="H416" s="4" t="n"/>
      <c r="I416">
        <f>IF(OR(A416="",H416=""),"",IF(G416&lt;=H416,"اطلب الآن",""))</f>
        <v/>
      </c>
    </row>
    <row r="417">
      <c r="A417" s="4" t="n"/>
      <c r="B417" s="4" t="n"/>
      <c r="C417" s="4" t="n"/>
      <c r="D417" s="4" t="n"/>
      <c r="E417" s="4" t="n"/>
      <c r="F417">
        <f>IF(A417="","",SUMIFS(المبيعات!$F$2:$F$2000,المبيعات!$D$2:$D$2000,A417))</f>
        <v/>
      </c>
      <c r="G417">
        <f>IF(A417="","",E417-F417)</f>
        <v/>
      </c>
      <c r="H417" s="4" t="n"/>
      <c r="I417">
        <f>IF(OR(A417="",H417=""),"",IF(G417&lt;=H417,"اطلب الآن",""))</f>
        <v/>
      </c>
    </row>
    <row r="418">
      <c r="A418" s="4" t="n"/>
      <c r="B418" s="4" t="n"/>
      <c r="C418" s="4" t="n"/>
      <c r="D418" s="4" t="n"/>
      <c r="E418" s="4" t="n"/>
      <c r="F418">
        <f>IF(A418="","",SUMIFS(المبيعات!$F$2:$F$2000,المبيعات!$D$2:$D$2000,A418))</f>
        <v/>
      </c>
      <c r="G418">
        <f>IF(A418="","",E418-F418)</f>
        <v/>
      </c>
      <c r="H418" s="4" t="n"/>
      <c r="I418">
        <f>IF(OR(A418="",H418=""),"",IF(G418&lt;=H418,"اطلب الآن",""))</f>
        <v/>
      </c>
    </row>
    <row r="419">
      <c r="A419" s="4" t="n"/>
      <c r="B419" s="4" t="n"/>
      <c r="C419" s="4" t="n"/>
      <c r="D419" s="4" t="n"/>
      <c r="E419" s="4" t="n"/>
      <c r="F419">
        <f>IF(A419="","",SUMIFS(المبيعات!$F$2:$F$2000,المبيعات!$D$2:$D$2000,A419))</f>
        <v/>
      </c>
      <c r="G419">
        <f>IF(A419="","",E419-F419)</f>
        <v/>
      </c>
      <c r="H419" s="4" t="n"/>
      <c r="I419">
        <f>IF(OR(A419="",H419=""),"",IF(G419&lt;=H419,"اطلب الآن",""))</f>
        <v/>
      </c>
    </row>
    <row r="420">
      <c r="A420" s="4" t="n"/>
      <c r="B420" s="4" t="n"/>
      <c r="C420" s="4" t="n"/>
      <c r="D420" s="4" t="n"/>
      <c r="E420" s="4" t="n"/>
      <c r="F420">
        <f>IF(A420="","",SUMIFS(المبيعات!$F$2:$F$2000,المبيعات!$D$2:$D$2000,A420))</f>
        <v/>
      </c>
      <c r="G420">
        <f>IF(A420="","",E420-F420)</f>
        <v/>
      </c>
      <c r="H420" s="4" t="n"/>
      <c r="I420">
        <f>IF(OR(A420="",H420=""),"",IF(G420&lt;=H420,"اطلب الآن",""))</f>
        <v/>
      </c>
    </row>
    <row r="421">
      <c r="A421" s="4" t="n"/>
      <c r="B421" s="4" t="n"/>
      <c r="C421" s="4" t="n"/>
      <c r="D421" s="4" t="n"/>
      <c r="E421" s="4" t="n"/>
      <c r="F421">
        <f>IF(A421="","",SUMIFS(المبيعات!$F$2:$F$2000,المبيعات!$D$2:$D$2000,A421))</f>
        <v/>
      </c>
      <c r="G421">
        <f>IF(A421="","",E421-F421)</f>
        <v/>
      </c>
      <c r="H421" s="4" t="n"/>
      <c r="I421">
        <f>IF(OR(A421="",H421=""),"",IF(G421&lt;=H421,"اطلب الآن",""))</f>
        <v/>
      </c>
    </row>
    <row r="422">
      <c r="A422" s="4" t="n"/>
      <c r="B422" s="4" t="n"/>
      <c r="C422" s="4" t="n"/>
      <c r="D422" s="4" t="n"/>
      <c r="E422" s="4" t="n"/>
      <c r="F422">
        <f>IF(A422="","",SUMIFS(المبيعات!$F$2:$F$2000,المبيعات!$D$2:$D$2000,A422))</f>
        <v/>
      </c>
      <c r="G422">
        <f>IF(A422="","",E422-F422)</f>
        <v/>
      </c>
      <c r="H422" s="4" t="n"/>
      <c r="I422">
        <f>IF(OR(A422="",H422=""),"",IF(G422&lt;=H422,"اطلب الآن",""))</f>
        <v/>
      </c>
    </row>
    <row r="423">
      <c r="A423" s="4" t="n"/>
      <c r="B423" s="4" t="n"/>
      <c r="C423" s="4" t="n"/>
      <c r="D423" s="4" t="n"/>
      <c r="E423" s="4" t="n"/>
      <c r="F423">
        <f>IF(A423="","",SUMIFS(المبيعات!$F$2:$F$2000,المبيعات!$D$2:$D$2000,A423))</f>
        <v/>
      </c>
      <c r="G423">
        <f>IF(A423="","",E423-F423)</f>
        <v/>
      </c>
      <c r="H423" s="4" t="n"/>
      <c r="I423">
        <f>IF(OR(A423="",H423=""),"",IF(G423&lt;=H423,"اطلب الآن",""))</f>
        <v/>
      </c>
    </row>
    <row r="424">
      <c r="A424" s="4" t="n"/>
      <c r="B424" s="4" t="n"/>
      <c r="C424" s="4" t="n"/>
      <c r="D424" s="4" t="n"/>
      <c r="E424" s="4" t="n"/>
      <c r="F424">
        <f>IF(A424="","",SUMIFS(المبيعات!$F$2:$F$2000,المبيعات!$D$2:$D$2000,A424))</f>
        <v/>
      </c>
      <c r="G424">
        <f>IF(A424="","",E424-F424)</f>
        <v/>
      </c>
      <c r="H424" s="4" t="n"/>
      <c r="I424">
        <f>IF(OR(A424="",H424=""),"",IF(G424&lt;=H424,"اطلب الآن",""))</f>
        <v/>
      </c>
    </row>
    <row r="425">
      <c r="A425" s="4" t="n"/>
      <c r="B425" s="4" t="n"/>
      <c r="C425" s="4" t="n"/>
      <c r="D425" s="4" t="n"/>
      <c r="E425" s="4" t="n"/>
      <c r="F425">
        <f>IF(A425="","",SUMIFS(المبيعات!$F$2:$F$2000,المبيعات!$D$2:$D$2000,A425))</f>
        <v/>
      </c>
      <c r="G425">
        <f>IF(A425="","",E425-F425)</f>
        <v/>
      </c>
      <c r="H425" s="4" t="n"/>
      <c r="I425">
        <f>IF(OR(A425="",H425=""),"",IF(G425&lt;=H425,"اطلب الآن",""))</f>
        <v/>
      </c>
    </row>
    <row r="426">
      <c r="A426" s="4" t="n"/>
      <c r="B426" s="4" t="n"/>
      <c r="C426" s="4" t="n"/>
      <c r="D426" s="4" t="n"/>
      <c r="E426" s="4" t="n"/>
      <c r="F426">
        <f>IF(A426="","",SUMIFS(المبيعات!$F$2:$F$2000,المبيعات!$D$2:$D$2000,A426))</f>
        <v/>
      </c>
      <c r="G426">
        <f>IF(A426="","",E426-F426)</f>
        <v/>
      </c>
      <c r="H426" s="4" t="n"/>
      <c r="I426">
        <f>IF(OR(A426="",H426=""),"",IF(G426&lt;=H426,"اطلب الآن",""))</f>
        <v/>
      </c>
    </row>
    <row r="427">
      <c r="A427" s="4" t="n"/>
      <c r="B427" s="4" t="n"/>
      <c r="C427" s="4" t="n"/>
      <c r="D427" s="4" t="n"/>
      <c r="E427" s="4" t="n"/>
      <c r="F427">
        <f>IF(A427="","",SUMIFS(المبيعات!$F$2:$F$2000,المبيعات!$D$2:$D$2000,A427))</f>
        <v/>
      </c>
      <c r="G427">
        <f>IF(A427="","",E427-F427)</f>
        <v/>
      </c>
      <c r="H427" s="4" t="n"/>
      <c r="I427">
        <f>IF(OR(A427="",H427=""),"",IF(G427&lt;=H427,"اطلب الآن",""))</f>
        <v/>
      </c>
    </row>
    <row r="428">
      <c r="A428" s="4" t="n"/>
      <c r="B428" s="4" t="n"/>
      <c r="C428" s="4" t="n"/>
      <c r="D428" s="4" t="n"/>
      <c r="E428" s="4" t="n"/>
      <c r="F428">
        <f>IF(A428="","",SUMIFS(المبيعات!$F$2:$F$2000,المبيعات!$D$2:$D$2000,A428))</f>
        <v/>
      </c>
      <c r="G428">
        <f>IF(A428="","",E428-F428)</f>
        <v/>
      </c>
      <c r="H428" s="4" t="n"/>
      <c r="I428">
        <f>IF(OR(A428="",H428=""),"",IF(G428&lt;=H428,"اطلب الآن",""))</f>
        <v/>
      </c>
    </row>
    <row r="429">
      <c r="A429" s="4" t="n"/>
      <c r="B429" s="4" t="n"/>
      <c r="C429" s="4" t="n"/>
      <c r="D429" s="4" t="n"/>
      <c r="E429" s="4" t="n"/>
      <c r="F429">
        <f>IF(A429="","",SUMIFS(المبيعات!$F$2:$F$2000,المبيعات!$D$2:$D$2000,A429))</f>
        <v/>
      </c>
      <c r="G429">
        <f>IF(A429="","",E429-F429)</f>
        <v/>
      </c>
      <c r="H429" s="4" t="n"/>
      <c r="I429">
        <f>IF(OR(A429="",H429=""),"",IF(G429&lt;=H429,"اطلب الآن",""))</f>
        <v/>
      </c>
    </row>
    <row r="430">
      <c r="A430" s="4" t="n"/>
      <c r="B430" s="4" t="n"/>
      <c r="C430" s="4" t="n"/>
      <c r="D430" s="4" t="n"/>
      <c r="E430" s="4" t="n"/>
      <c r="F430">
        <f>IF(A430="","",SUMIFS(المبيعات!$F$2:$F$2000,المبيعات!$D$2:$D$2000,A430))</f>
        <v/>
      </c>
      <c r="G430">
        <f>IF(A430="","",E430-F430)</f>
        <v/>
      </c>
      <c r="H430" s="4" t="n"/>
      <c r="I430">
        <f>IF(OR(A430="",H430=""),"",IF(G430&lt;=H430,"اطلب الآن",""))</f>
        <v/>
      </c>
    </row>
    <row r="431">
      <c r="A431" s="4" t="n"/>
      <c r="B431" s="4" t="n"/>
      <c r="C431" s="4" t="n"/>
      <c r="D431" s="4" t="n"/>
      <c r="E431" s="4" t="n"/>
      <c r="F431">
        <f>IF(A431="","",SUMIFS(المبيعات!$F$2:$F$2000,المبيعات!$D$2:$D$2000,A431))</f>
        <v/>
      </c>
      <c r="G431">
        <f>IF(A431="","",E431-F431)</f>
        <v/>
      </c>
      <c r="H431" s="4" t="n"/>
      <c r="I431">
        <f>IF(OR(A431="",H431=""),"",IF(G431&lt;=H431,"اطلب الآن",""))</f>
        <v/>
      </c>
    </row>
    <row r="432">
      <c r="A432" s="4" t="n"/>
      <c r="B432" s="4" t="n"/>
      <c r="C432" s="4" t="n"/>
      <c r="D432" s="4" t="n"/>
      <c r="E432" s="4" t="n"/>
      <c r="F432">
        <f>IF(A432="","",SUMIFS(المبيعات!$F$2:$F$2000,المبيعات!$D$2:$D$2000,A432))</f>
        <v/>
      </c>
      <c r="G432">
        <f>IF(A432="","",E432-F432)</f>
        <v/>
      </c>
      <c r="H432" s="4" t="n"/>
      <c r="I432">
        <f>IF(OR(A432="",H432=""),"",IF(G432&lt;=H432,"اطلب الآن",""))</f>
        <v/>
      </c>
    </row>
    <row r="433">
      <c r="A433" s="4" t="n"/>
      <c r="B433" s="4" t="n"/>
      <c r="C433" s="4" t="n"/>
      <c r="D433" s="4" t="n"/>
      <c r="E433" s="4" t="n"/>
      <c r="F433">
        <f>IF(A433="","",SUMIFS(المبيعات!$F$2:$F$2000,المبيعات!$D$2:$D$2000,A433))</f>
        <v/>
      </c>
      <c r="G433">
        <f>IF(A433="","",E433-F433)</f>
        <v/>
      </c>
      <c r="H433" s="4" t="n"/>
      <c r="I433">
        <f>IF(OR(A433="",H433=""),"",IF(G433&lt;=H433,"اطلب الآن",""))</f>
        <v/>
      </c>
    </row>
    <row r="434">
      <c r="A434" s="4" t="n"/>
      <c r="B434" s="4" t="n"/>
      <c r="C434" s="4" t="n"/>
      <c r="D434" s="4" t="n"/>
      <c r="E434" s="4" t="n"/>
      <c r="F434">
        <f>IF(A434="","",SUMIFS(المبيعات!$F$2:$F$2000,المبيعات!$D$2:$D$2000,A434))</f>
        <v/>
      </c>
      <c r="G434">
        <f>IF(A434="","",E434-F434)</f>
        <v/>
      </c>
      <c r="H434" s="4" t="n"/>
      <c r="I434">
        <f>IF(OR(A434="",H434=""),"",IF(G434&lt;=H434,"اطلب الآن",""))</f>
        <v/>
      </c>
    </row>
    <row r="435">
      <c r="A435" s="4" t="n"/>
      <c r="B435" s="4" t="n"/>
      <c r="C435" s="4" t="n"/>
      <c r="D435" s="4" t="n"/>
      <c r="E435" s="4" t="n"/>
      <c r="F435">
        <f>IF(A435="","",SUMIFS(المبيعات!$F$2:$F$2000,المبيعات!$D$2:$D$2000,A435))</f>
        <v/>
      </c>
      <c r="G435">
        <f>IF(A435="","",E435-F435)</f>
        <v/>
      </c>
      <c r="H435" s="4" t="n"/>
      <c r="I435">
        <f>IF(OR(A435="",H435=""),"",IF(G435&lt;=H435,"اطلب الآن",""))</f>
        <v/>
      </c>
    </row>
    <row r="436">
      <c r="A436" s="4" t="n"/>
      <c r="B436" s="4" t="n"/>
      <c r="C436" s="4" t="n"/>
      <c r="D436" s="4" t="n"/>
      <c r="E436" s="4" t="n"/>
      <c r="F436">
        <f>IF(A436="","",SUMIFS(المبيعات!$F$2:$F$2000,المبيعات!$D$2:$D$2000,A436))</f>
        <v/>
      </c>
      <c r="G436">
        <f>IF(A436="","",E436-F436)</f>
        <v/>
      </c>
      <c r="H436" s="4" t="n"/>
      <c r="I436">
        <f>IF(OR(A436="",H436=""),"",IF(G436&lt;=H436,"اطلب الآن",""))</f>
        <v/>
      </c>
    </row>
    <row r="437">
      <c r="A437" s="4" t="n"/>
      <c r="B437" s="4" t="n"/>
      <c r="C437" s="4" t="n"/>
      <c r="D437" s="4" t="n"/>
      <c r="E437" s="4" t="n"/>
      <c r="F437">
        <f>IF(A437="","",SUMIFS(المبيعات!$F$2:$F$2000,المبيعات!$D$2:$D$2000,A437))</f>
        <v/>
      </c>
      <c r="G437">
        <f>IF(A437="","",E437-F437)</f>
        <v/>
      </c>
      <c r="H437" s="4" t="n"/>
      <c r="I437">
        <f>IF(OR(A437="",H437=""),"",IF(G437&lt;=H437,"اطلب الآن",""))</f>
        <v/>
      </c>
    </row>
    <row r="438">
      <c r="A438" s="4" t="n"/>
      <c r="B438" s="4" t="n"/>
      <c r="C438" s="4" t="n"/>
      <c r="D438" s="4" t="n"/>
      <c r="E438" s="4" t="n"/>
      <c r="F438">
        <f>IF(A438="","",SUMIFS(المبيعات!$F$2:$F$2000,المبيعات!$D$2:$D$2000,A438))</f>
        <v/>
      </c>
      <c r="G438">
        <f>IF(A438="","",E438-F438)</f>
        <v/>
      </c>
      <c r="H438" s="4" t="n"/>
      <c r="I438">
        <f>IF(OR(A438="",H438=""),"",IF(G438&lt;=H438,"اطلب الآن",""))</f>
        <v/>
      </c>
    </row>
    <row r="439">
      <c r="A439" s="4" t="n"/>
      <c r="B439" s="4" t="n"/>
      <c r="C439" s="4" t="n"/>
      <c r="D439" s="4" t="n"/>
      <c r="E439" s="4" t="n"/>
      <c r="F439">
        <f>IF(A439="","",SUMIFS(المبيعات!$F$2:$F$2000,المبيعات!$D$2:$D$2000,A439))</f>
        <v/>
      </c>
      <c r="G439">
        <f>IF(A439="","",E439-F439)</f>
        <v/>
      </c>
      <c r="H439" s="4" t="n"/>
      <c r="I439">
        <f>IF(OR(A439="",H439=""),"",IF(G439&lt;=H439,"اطلب الآن",""))</f>
        <v/>
      </c>
    </row>
    <row r="440">
      <c r="A440" s="4" t="n"/>
      <c r="B440" s="4" t="n"/>
      <c r="C440" s="4" t="n"/>
      <c r="D440" s="4" t="n"/>
      <c r="E440" s="4" t="n"/>
      <c r="F440">
        <f>IF(A440="","",SUMIFS(المبيعات!$F$2:$F$2000,المبيعات!$D$2:$D$2000,A440))</f>
        <v/>
      </c>
      <c r="G440">
        <f>IF(A440="","",E440-F440)</f>
        <v/>
      </c>
      <c r="H440" s="4" t="n"/>
      <c r="I440">
        <f>IF(OR(A440="",H440=""),"",IF(G440&lt;=H440,"اطلب الآن",""))</f>
        <v/>
      </c>
    </row>
    <row r="441">
      <c r="A441" s="4" t="n"/>
      <c r="B441" s="4" t="n"/>
      <c r="C441" s="4" t="n"/>
      <c r="D441" s="4" t="n"/>
      <c r="E441" s="4" t="n"/>
      <c r="F441">
        <f>IF(A441="","",SUMIFS(المبيعات!$F$2:$F$2000,المبيعات!$D$2:$D$2000,A441))</f>
        <v/>
      </c>
      <c r="G441">
        <f>IF(A441="","",E441-F441)</f>
        <v/>
      </c>
      <c r="H441" s="4" t="n"/>
      <c r="I441">
        <f>IF(OR(A441="",H441=""),"",IF(G441&lt;=H441,"اطلب الآن",""))</f>
        <v/>
      </c>
    </row>
    <row r="442">
      <c r="A442" s="4" t="n"/>
      <c r="B442" s="4" t="n"/>
      <c r="C442" s="4" t="n"/>
      <c r="D442" s="4" t="n"/>
      <c r="E442" s="4" t="n"/>
      <c r="F442">
        <f>IF(A442="","",SUMIFS(المبيعات!$F$2:$F$2000,المبيعات!$D$2:$D$2000,A442))</f>
        <v/>
      </c>
      <c r="G442">
        <f>IF(A442="","",E442-F442)</f>
        <v/>
      </c>
      <c r="H442" s="4" t="n"/>
      <c r="I442">
        <f>IF(OR(A442="",H442=""),"",IF(G442&lt;=H442,"اطلب الآن",""))</f>
        <v/>
      </c>
    </row>
    <row r="443">
      <c r="A443" s="4" t="n"/>
      <c r="B443" s="4" t="n"/>
      <c r="C443" s="4" t="n"/>
      <c r="D443" s="4" t="n"/>
      <c r="E443" s="4" t="n"/>
      <c r="F443">
        <f>IF(A443="","",SUMIFS(المبيعات!$F$2:$F$2000,المبيعات!$D$2:$D$2000,A443))</f>
        <v/>
      </c>
      <c r="G443">
        <f>IF(A443="","",E443-F443)</f>
        <v/>
      </c>
      <c r="H443" s="4" t="n"/>
      <c r="I443">
        <f>IF(OR(A443="",H443=""),"",IF(G443&lt;=H443,"اطلب الآن",""))</f>
        <v/>
      </c>
    </row>
    <row r="444">
      <c r="A444" s="4" t="n"/>
      <c r="B444" s="4" t="n"/>
      <c r="C444" s="4" t="n"/>
      <c r="D444" s="4" t="n"/>
      <c r="E444" s="4" t="n"/>
      <c r="F444">
        <f>IF(A444="","",SUMIFS(المبيعات!$F$2:$F$2000,المبيعات!$D$2:$D$2000,A444))</f>
        <v/>
      </c>
      <c r="G444">
        <f>IF(A444="","",E444-F444)</f>
        <v/>
      </c>
      <c r="H444" s="4" t="n"/>
      <c r="I444">
        <f>IF(OR(A444="",H444=""),"",IF(G444&lt;=H444,"اطلب الآن",""))</f>
        <v/>
      </c>
    </row>
    <row r="445">
      <c r="A445" s="4" t="n"/>
      <c r="B445" s="4" t="n"/>
      <c r="C445" s="4" t="n"/>
      <c r="D445" s="4" t="n"/>
      <c r="E445" s="4" t="n"/>
      <c r="F445">
        <f>IF(A445="","",SUMIFS(المبيعات!$F$2:$F$2000,المبيعات!$D$2:$D$2000,A445))</f>
        <v/>
      </c>
      <c r="G445">
        <f>IF(A445="","",E445-F445)</f>
        <v/>
      </c>
      <c r="H445" s="4" t="n"/>
      <c r="I445">
        <f>IF(OR(A445="",H445=""),"",IF(G445&lt;=H445,"اطلب الآن",""))</f>
        <v/>
      </c>
    </row>
    <row r="446">
      <c r="A446" s="4" t="n"/>
      <c r="B446" s="4" t="n"/>
      <c r="C446" s="4" t="n"/>
      <c r="D446" s="4" t="n"/>
      <c r="E446" s="4" t="n"/>
      <c r="F446">
        <f>IF(A446="","",SUMIFS(المبيعات!$F$2:$F$2000,المبيعات!$D$2:$D$2000,A446))</f>
        <v/>
      </c>
      <c r="G446">
        <f>IF(A446="","",E446-F446)</f>
        <v/>
      </c>
      <c r="H446" s="4" t="n"/>
      <c r="I446">
        <f>IF(OR(A446="",H446=""),"",IF(G446&lt;=H446,"اطلب الآن",""))</f>
        <v/>
      </c>
    </row>
    <row r="447">
      <c r="A447" s="4" t="n"/>
      <c r="B447" s="4" t="n"/>
      <c r="C447" s="4" t="n"/>
      <c r="D447" s="4" t="n"/>
      <c r="E447" s="4" t="n"/>
      <c r="F447">
        <f>IF(A447="","",SUMIFS(المبيعات!$F$2:$F$2000,المبيعات!$D$2:$D$2000,A447))</f>
        <v/>
      </c>
      <c r="G447">
        <f>IF(A447="","",E447-F447)</f>
        <v/>
      </c>
      <c r="H447" s="4" t="n"/>
      <c r="I447">
        <f>IF(OR(A447="",H447=""),"",IF(G447&lt;=H447,"اطلب الآن",""))</f>
        <v/>
      </c>
    </row>
    <row r="448">
      <c r="A448" s="4" t="n"/>
      <c r="B448" s="4" t="n"/>
      <c r="C448" s="4" t="n"/>
      <c r="D448" s="4" t="n"/>
      <c r="E448" s="4" t="n"/>
      <c r="F448">
        <f>IF(A448="","",SUMIFS(المبيعات!$F$2:$F$2000,المبيعات!$D$2:$D$2000,A448))</f>
        <v/>
      </c>
      <c r="G448">
        <f>IF(A448="","",E448-F448)</f>
        <v/>
      </c>
      <c r="H448" s="4" t="n"/>
      <c r="I448">
        <f>IF(OR(A448="",H448=""),"",IF(G448&lt;=H448,"اطلب الآن",""))</f>
        <v/>
      </c>
    </row>
    <row r="449">
      <c r="A449" s="4" t="n"/>
      <c r="B449" s="4" t="n"/>
      <c r="C449" s="4" t="n"/>
      <c r="D449" s="4" t="n"/>
      <c r="E449" s="4" t="n"/>
      <c r="F449">
        <f>IF(A449="","",SUMIFS(المبيعات!$F$2:$F$2000,المبيعات!$D$2:$D$2000,A449))</f>
        <v/>
      </c>
      <c r="G449">
        <f>IF(A449="","",E449-F449)</f>
        <v/>
      </c>
      <c r="H449" s="4" t="n"/>
      <c r="I449">
        <f>IF(OR(A449="",H449=""),"",IF(G449&lt;=H449,"اطلب الآن",""))</f>
        <v/>
      </c>
    </row>
    <row r="450">
      <c r="A450" s="4" t="n"/>
      <c r="B450" s="4" t="n"/>
      <c r="C450" s="4" t="n"/>
      <c r="D450" s="4" t="n"/>
      <c r="E450" s="4" t="n"/>
      <c r="F450">
        <f>IF(A450="","",SUMIFS(المبيعات!$F$2:$F$2000,المبيعات!$D$2:$D$2000,A450))</f>
        <v/>
      </c>
      <c r="G450">
        <f>IF(A450="","",E450-F450)</f>
        <v/>
      </c>
      <c r="H450" s="4" t="n"/>
      <c r="I450">
        <f>IF(OR(A450="",H450=""),"",IF(G450&lt;=H450,"اطلب الآن",""))</f>
        <v/>
      </c>
    </row>
    <row r="451">
      <c r="A451" s="4" t="n"/>
      <c r="B451" s="4" t="n"/>
      <c r="C451" s="4" t="n"/>
      <c r="D451" s="4" t="n"/>
      <c r="E451" s="4" t="n"/>
      <c r="F451">
        <f>IF(A451="","",SUMIFS(المبيعات!$F$2:$F$2000,المبيعات!$D$2:$D$2000,A451))</f>
        <v/>
      </c>
      <c r="G451">
        <f>IF(A451="","",E451-F451)</f>
        <v/>
      </c>
      <c r="H451" s="4" t="n"/>
      <c r="I451">
        <f>IF(OR(A451="",H451=""),"",IF(G451&lt;=H451,"اطلب الآن",""))</f>
        <v/>
      </c>
    </row>
    <row r="452">
      <c r="A452" s="4" t="n"/>
      <c r="B452" s="4" t="n"/>
      <c r="C452" s="4" t="n"/>
      <c r="D452" s="4" t="n"/>
      <c r="E452" s="4" t="n"/>
      <c r="F452">
        <f>IF(A452="","",SUMIFS(المبيعات!$F$2:$F$2000,المبيعات!$D$2:$D$2000,A452))</f>
        <v/>
      </c>
      <c r="G452">
        <f>IF(A452="","",E452-F452)</f>
        <v/>
      </c>
      <c r="H452" s="4" t="n"/>
      <c r="I452">
        <f>IF(OR(A452="",H452=""),"",IF(G452&lt;=H452,"اطلب الآن",""))</f>
        <v/>
      </c>
    </row>
    <row r="453">
      <c r="A453" s="4" t="n"/>
      <c r="B453" s="4" t="n"/>
      <c r="C453" s="4" t="n"/>
      <c r="D453" s="4" t="n"/>
      <c r="E453" s="4" t="n"/>
      <c r="F453">
        <f>IF(A453="","",SUMIFS(المبيعات!$F$2:$F$2000,المبيعات!$D$2:$D$2000,A453))</f>
        <v/>
      </c>
      <c r="G453">
        <f>IF(A453="","",E453-F453)</f>
        <v/>
      </c>
      <c r="H453" s="4" t="n"/>
      <c r="I453">
        <f>IF(OR(A453="",H453=""),"",IF(G453&lt;=H453,"اطلب الآن",""))</f>
        <v/>
      </c>
    </row>
    <row r="454">
      <c r="A454" s="4" t="n"/>
      <c r="B454" s="4" t="n"/>
      <c r="C454" s="4" t="n"/>
      <c r="D454" s="4" t="n"/>
      <c r="E454" s="4" t="n"/>
      <c r="F454">
        <f>IF(A454="","",SUMIFS(المبيعات!$F$2:$F$2000,المبيعات!$D$2:$D$2000,A454))</f>
        <v/>
      </c>
      <c r="G454">
        <f>IF(A454="","",E454-F454)</f>
        <v/>
      </c>
      <c r="H454" s="4" t="n"/>
      <c r="I454">
        <f>IF(OR(A454="",H454=""),"",IF(G454&lt;=H454,"اطلب الآن",""))</f>
        <v/>
      </c>
    </row>
    <row r="455">
      <c r="A455" s="4" t="n"/>
      <c r="B455" s="4" t="n"/>
      <c r="C455" s="4" t="n"/>
      <c r="D455" s="4" t="n"/>
      <c r="E455" s="4" t="n"/>
      <c r="F455">
        <f>IF(A455="","",SUMIFS(المبيعات!$F$2:$F$2000,المبيعات!$D$2:$D$2000,A455))</f>
        <v/>
      </c>
      <c r="G455">
        <f>IF(A455="","",E455-F455)</f>
        <v/>
      </c>
      <c r="H455" s="4" t="n"/>
      <c r="I455">
        <f>IF(OR(A455="",H455=""),"",IF(G455&lt;=H455,"اطلب الآن",""))</f>
        <v/>
      </c>
    </row>
    <row r="456">
      <c r="A456" s="4" t="n"/>
      <c r="B456" s="4" t="n"/>
      <c r="C456" s="4" t="n"/>
      <c r="D456" s="4" t="n"/>
      <c r="E456" s="4" t="n"/>
      <c r="F456">
        <f>IF(A456="","",SUMIFS(المبيعات!$F$2:$F$2000,المبيعات!$D$2:$D$2000,A456))</f>
        <v/>
      </c>
      <c r="G456">
        <f>IF(A456="","",E456-F456)</f>
        <v/>
      </c>
      <c r="H456" s="4" t="n"/>
      <c r="I456">
        <f>IF(OR(A456="",H456=""),"",IF(G456&lt;=H456,"اطلب الآن",""))</f>
        <v/>
      </c>
    </row>
    <row r="457">
      <c r="A457" s="4" t="n"/>
      <c r="B457" s="4" t="n"/>
      <c r="C457" s="4" t="n"/>
      <c r="D457" s="4" t="n"/>
      <c r="E457" s="4" t="n"/>
      <c r="F457">
        <f>IF(A457="","",SUMIFS(المبيعات!$F$2:$F$2000,المبيعات!$D$2:$D$2000,A457))</f>
        <v/>
      </c>
      <c r="G457">
        <f>IF(A457="","",E457-F457)</f>
        <v/>
      </c>
      <c r="H457" s="4" t="n"/>
      <c r="I457">
        <f>IF(OR(A457="",H457=""),"",IF(G457&lt;=H457,"اطلب الآن",""))</f>
        <v/>
      </c>
    </row>
    <row r="458">
      <c r="A458" s="4" t="n"/>
      <c r="B458" s="4" t="n"/>
      <c r="C458" s="4" t="n"/>
      <c r="D458" s="4" t="n"/>
      <c r="E458" s="4" t="n"/>
      <c r="F458">
        <f>IF(A458="","",SUMIFS(المبيعات!$F$2:$F$2000,المبيعات!$D$2:$D$2000,A458))</f>
        <v/>
      </c>
      <c r="G458">
        <f>IF(A458="","",E458-F458)</f>
        <v/>
      </c>
      <c r="H458" s="4" t="n"/>
      <c r="I458">
        <f>IF(OR(A458="",H458=""),"",IF(G458&lt;=H458,"اطلب الآن",""))</f>
        <v/>
      </c>
    </row>
    <row r="459">
      <c r="A459" s="4" t="n"/>
      <c r="B459" s="4" t="n"/>
      <c r="C459" s="4" t="n"/>
      <c r="D459" s="4" t="n"/>
      <c r="E459" s="4" t="n"/>
      <c r="F459">
        <f>IF(A459="","",SUMIFS(المبيعات!$F$2:$F$2000,المبيعات!$D$2:$D$2000,A459))</f>
        <v/>
      </c>
      <c r="G459">
        <f>IF(A459="","",E459-F459)</f>
        <v/>
      </c>
      <c r="H459" s="4" t="n"/>
      <c r="I459">
        <f>IF(OR(A459="",H459=""),"",IF(G459&lt;=H459,"اطلب الآن",""))</f>
        <v/>
      </c>
    </row>
    <row r="460">
      <c r="A460" s="4" t="n"/>
      <c r="B460" s="4" t="n"/>
      <c r="C460" s="4" t="n"/>
      <c r="D460" s="4" t="n"/>
      <c r="E460" s="4" t="n"/>
      <c r="F460">
        <f>IF(A460="","",SUMIFS(المبيعات!$F$2:$F$2000,المبيعات!$D$2:$D$2000,A460))</f>
        <v/>
      </c>
      <c r="G460">
        <f>IF(A460="","",E460-F460)</f>
        <v/>
      </c>
      <c r="H460" s="4" t="n"/>
      <c r="I460">
        <f>IF(OR(A460="",H460=""),"",IF(G460&lt;=H460,"اطلب الآن",""))</f>
        <v/>
      </c>
    </row>
    <row r="461">
      <c r="A461" s="4" t="n"/>
      <c r="B461" s="4" t="n"/>
      <c r="C461" s="4" t="n"/>
      <c r="D461" s="4" t="n"/>
      <c r="E461" s="4" t="n"/>
      <c r="F461">
        <f>IF(A461="","",SUMIFS(المبيعات!$F$2:$F$2000,المبيعات!$D$2:$D$2000,A461))</f>
        <v/>
      </c>
      <c r="G461">
        <f>IF(A461="","",E461-F461)</f>
        <v/>
      </c>
      <c r="H461" s="4" t="n"/>
      <c r="I461">
        <f>IF(OR(A461="",H461=""),"",IF(G461&lt;=H461,"اطلب الآن",""))</f>
        <v/>
      </c>
    </row>
    <row r="462">
      <c r="A462" s="4" t="n"/>
      <c r="B462" s="4" t="n"/>
      <c r="C462" s="4" t="n"/>
      <c r="D462" s="4" t="n"/>
      <c r="E462" s="4" t="n"/>
      <c r="F462">
        <f>IF(A462="","",SUMIFS(المبيعات!$F$2:$F$2000,المبيعات!$D$2:$D$2000,A462))</f>
        <v/>
      </c>
      <c r="G462">
        <f>IF(A462="","",E462-F462)</f>
        <v/>
      </c>
      <c r="H462" s="4" t="n"/>
      <c r="I462">
        <f>IF(OR(A462="",H462=""),"",IF(G462&lt;=H462,"اطلب الآن",""))</f>
        <v/>
      </c>
    </row>
    <row r="463">
      <c r="A463" s="4" t="n"/>
      <c r="B463" s="4" t="n"/>
      <c r="C463" s="4" t="n"/>
      <c r="D463" s="4" t="n"/>
      <c r="E463" s="4" t="n"/>
      <c r="F463">
        <f>IF(A463="","",SUMIFS(المبيعات!$F$2:$F$2000,المبيعات!$D$2:$D$2000,A463))</f>
        <v/>
      </c>
      <c r="G463">
        <f>IF(A463="","",E463-F463)</f>
        <v/>
      </c>
      <c r="H463" s="4" t="n"/>
      <c r="I463">
        <f>IF(OR(A463="",H463=""),"",IF(G463&lt;=H463,"اطلب الآن",""))</f>
        <v/>
      </c>
    </row>
    <row r="464">
      <c r="A464" s="4" t="n"/>
      <c r="B464" s="4" t="n"/>
      <c r="C464" s="4" t="n"/>
      <c r="D464" s="4" t="n"/>
      <c r="E464" s="4" t="n"/>
      <c r="F464">
        <f>IF(A464="","",SUMIFS(المبيعات!$F$2:$F$2000,المبيعات!$D$2:$D$2000,A464))</f>
        <v/>
      </c>
      <c r="G464">
        <f>IF(A464="","",E464-F464)</f>
        <v/>
      </c>
      <c r="H464" s="4" t="n"/>
      <c r="I464">
        <f>IF(OR(A464="",H464=""),"",IF(G464&lt;=H464,"اطلب الآن",""))</f>
        <v/>
      </c>
    </row>
    <row r="465">
      <c r="A465" s="4" t="n"/>
      <c r="B465" s="4" t="n"/>
      <c r="C465" s="4" t="n"/>
      <c r="D465" s="4" t="n"/>
      <c r="E465" s="4" t="n"/>
      <c r="F465">
        <f>IF(A465="","",SUMIFS(المبيعات!$F$2:$F$2000,المبيعات!$D$2:$D$2000,A465))</f>
        <v/>
      </c>
      <c r="G465">
        <f>IF(A465="","",E465-F465)</f>
        <v/>
      </c>
      <c r="H465" s="4" t="n"/>
      <c r="I465">
        <f>IF(OR(A465="",H465=""),"",IF(G465&lt;=H465,"اطلب الآن",""))</f>
        <v/>
      </c>
    </row>
    <row r="466">
      <c r="A466" s="4" t="n"/>
      <c r="B466" s="4" t="n"/>
      <c r="C466" s="4" t="n"/>
      <c r="D466" s="4" t="n"/>
      <c r="E466" s="4" t="n"/>
      <c r="F466">
        <f>IF(A466="","",SUMIFS(المبيعات!$F$2:$F$2000,المبيعات!$D$2:$D$2000,A466))</f>
        <v/>
      </c>
      <c r="G466">
        <f>IF(A466="","",E466-F466)</f>
        <v/>
      </c>
      <c r="H466" s="4" t="n"/>
      <c r="I466">
        <f>IF(OR(A466="",H466=""),"",IF(G466&lt;=H466,"اطلب الآن",""))</f>
        <v/>
      </c>
    </row>
    <row r="467">
      <c r="A467" s="4" t="n"/>
      <c r="B467" s="4" t="n"/>
      <c r="C467" s="4" t="n"/>
      <c r="D467" s="4" t="n"/>
      <c r="E467" s="4" t="n"/>
      <c r="F467">
        <f>IF(A467="","",SUMIFS(المبيعات!$F$2:$F$2000,المبيعات!$D$2:$D$2000,A467))</f>
        <v/>
      </c>
      <c r="G467">
        <f>IF(A467="","",E467-F467)</f>
        <v/>
      </c>
      <c r="H467" s="4" t="n"/>
      <c r="I467">
        <f>IF(OR(A467="",H467=""),"",IF(G467&lt;=H467,"اطلب الآن",""))</f>
        <v/>
      </c>
    </row>
    <row r="468">
      <c r="A468" s="4" t="n"/>
      <c r="B468" s="4" t="n"/>
      <c r="C468" s="4" t="n"/>
      <c r="D468" s="4" t="n"/>
      <c r="E468" s="4" t="n"/>
      <c r="F468">
        <f>IF(A468="","",SUMIFS(المبيعات!$F$2:$F$2000,المبيعات!$D$2:$D$2000,A468))</f>
        <v/>
      </c>
      <c r="G468">
        <f>IF(A468="","",E468-F468)</f>
        <v/>
      </c>
      <c r="H468" s="4" t="n"/>
      <c r="I468">
        <f>IF(OR(A468="",H468=""),"",IF(G468&lt;=H468,"اطلب الآن",""))</f>
        <v/>
      </c>
    </row>
    <row r="469">
      <c r="A469" s="4" t="n"/>
      <c r="B469" s="4" t="n"/>
      <c r="C469" s="4" t="n"/>
      <c r="D469" s="4" t="n"/>
      <c r="E469" s="4" t="n"/>
      <c r="F469">
        <f>IF(A469="","",SUMIFS(المبيعات!$F$2:$F$2000,المبيعات!$D$2:$D$2000,A469))</f>
        <v/>
      </c>
      <c r="G469">
        <f>IF(A469="","",E469-F469)</f>
        <v/>
      </c>
      <c r="H469" s="4" t="n"/>
      <c r="I469">
        <f>IF(OR(A469="",H469=""),"",IF(G469&lt;=H469,"اطلب الآن",""))</f>
        <v/>
      </c>
    </row>
    <row r="470">
      <c r="A470" s="4" t="n"/>
      <c r="B470" s="4" t="n"/>
      <c r="C470" s="4" t="n"/>
      <c r="D470" s="4" t="n"/>
      <c r="E470" s="4" t="n"/>
      <c r="F470">
        <f>IF(A470="","",SUMIFS(المبيعات!$F$2:$F$2000,المبيعات!$D$2:$D$2000,A470))</f>
        <v/>
      </c>
      <c r="G470">
        <f>IF(A470="","",E470-F470)</f>
        <v/>
      </c>
      <c r="H470" s="4" t="n"/>
      <c r="I470">
        <f>IF(OR(A470="",H470=""),"",IF(G470&lt;=H470,"اطلب الآن",""))</f>
        <v/>
      </c>
    </row>
    <row r="471">
      <c r="A471" s="4" t="n"/>
      <c r="B471" s="4" t="n"/>
      <c r="C471" s="4" t="n"/>
      <c r="D471" s="4" t="n"/>
      <c r="E471" s="4" t="n"/>
      <c r="F471">
        <f>IF(A471="","",SUMIFS(المبيعات!$F$2:$F$2000,المبيعات!$D$2:$D$2000,A471))</f>
        <v/>
      </c>
      <c r="G471">
        <f>IF(A471="","",E471-F471)</f>
        <v/>
      </c>
      <c r="H471" s="4" t="n"/>
      <c r="I471">
        <f>IF(OR(A471="",H471=""),"",IF(G471&lt;=H471,"اطلب الآن",""))</f>
        <v/>
      </c>
    </row>
    <row r="472">
      <c r="A472" s="4" t="n"/>
      <c r="B472" s="4" t="n"/>
      <c r="C472" s="4" t="n"/>
      <c r="D472" s="4" t="n"/>
      <c r="E472" s="4" t="n"/>
      <c r="F472">
        <f>IF(A472="","",SUMIFS(المبيعات!$F$2:$F$2000,المبيعات!$D$2:$D$2000,A472))</f>
        <v/>
      </c>
      <c r="G472">
        <f>IF(A472="","",E472-F472)</f>
        <v/>
      </c>
      <c r="H472" s="4" t="n"/>
      <c r="I472">
        <f>IF(OR(A472="",H472=""),"",IF(G472&lt;=H472,"اطلب الآن",""))</f>
        <v/>
      </c>
    </row>
    <row r="473">
      <c r="A473" s="4" t="n"/>
      <c r="B473" s="4" t="n"/>
      <c r="C473" s="4" t="n"/>
      <c r="D473" s="4" t="n"/>
      <c r="E473" s="4" t="n"/>
      <c r="F473">
        <f>IF(A473="","",SUMIFS(المبيعات!$F$2:$F$2000,المبيعات!$D$2:$D$2000,A473))</f>
        <v/>
      </c>
      <c r="G473">
        <f>IF(A473="","",E473-F473)</f>
        <v/>
      </c>
      <c r="H473" s="4" t="n"/>
      <c r="I473">
        <f>IF(OR(A473="",H473=""),"",IF(G473&lt;=H473,"اطلب الآن",""))</f>
        <v/>
      </c>
    </row>
    <row r="474">
      <c r="A474" s="4" t="n"/>
      <c r="B474" s="4" t="n"/>
      <c r="C474" s="4" t="n"/>
      <c r="D474" s="4" t="n"/>
      <c r="E474" s="4" t="n"/>
      <c r="F474">
        <f>IF(A474="","",SUMIFS(المبيعات!$F$2:$F$2000,المبيعات!$D$2:$D$2000,A474))</f>
        <v/>
      </c>
      <c r="G474">
        <f>IF(A474="","",E474-F474)</f>
        <v/>
      </c>
      <c r="H474" s="4" t="n"/>
      <c r="I474">
        <f>IF(OR(A474="",H474=""),"",IF(G474&lt;=H474,"اطلب الآن",""))</f>
        <v/>
      </c>
    </row>
    <row r="475">
      <c r="A475" s="4" t="n"/>
      <c r="B475" s="4" t="n"/>
      <c r="C475" s="4" t="n"/>
      <c r="D475" s="4" t="n"/>
      <c r="E475" s="4" t="n"/>
      <c r="F475">
        <f>IF(A475="","",SUMIFS(المبيعات!$F$2:$F$2000,المبيعات!$D$2:$D$2000,A475))</f>
        <v/>
      </c>
      <c r="G475">
        <f>IF(A475="","",E475-F475)</f>
        <v/>
      </c>
      <c r="H475" s="4" t="n"/>
      <c r="I475">
        <f>IF(OR(A475="",H475=""),"",IF(G475&lt;=H475,"اطلب الآن",""))</f>
        <v/>
      </c>
    </row>
    <row r="476">
      <c r="A476" s="4" t="n"/>
      <c r="B476" s="4" t="n"/>
      <c r="C476" s="4" t="n"/>
      <c r="D476" s="4" t="n"/>
      <c r="E476" s="4" t="n"/>
      <c r="F476">
        <f>IF(A476="","",SUMIFS(المبيعات!$F$2:$F$2000,المبيعات!$D$2:$D$2000,A476))</f>
        <v/>
      </c>
      <c r="G476">
        <f>IF(A476="","",E476-F476)</f>
        <v/>
      </c>
      <c r="H476" s="4" t="n"/>
      <c r="I476">
        <f>IF(OR(A476="",H476=""),"",IF(G476&lt;=H476,"اطلب الآن",""))</f>
        <v/>
      </c>
    </row>
    <row r="477">
      <c r="A477" s="4" t="n"/>
      <c r="B477" s="4" t="n"/>
      <c r="C477" s="4" t="n"/>
      <c r="D477" s="4" t="n"/>
      <c r="E477" s="4" t="n"/>
      <c r="F477">
        <f>IF(A477="","",SUMIFS(المبيعات!$F$2:$F$2000,المبيعات!$D$2:$D$2000,A477))</f>
        <v/>
      </c>
      <c r="G477">
        <f>IF(A477="","",E477-F477)</f>
        <v/>
      </c>
      <c r="H477" s="4" t="n"/>
      <c r="I477">
        <f>IF(OR(A477="",H477=""),"",IF(G477&lt;=H477,"اطلب الآن",""))</f>
        <v/>
      </c>
    </row>
    <row r="478">
      <c r="A478" s="4" t="n"/>
      <c r="B478" s="4" t="n"/>
      <c r="C478" s="4" t="n"/>
      <c r="D478" s="4" t="n"/>
      <c r="E478" s="4" t="n"/>
      <c r="F478">
        <f>IF(A478="","",SUMIFS(المبيعات!$F$2:$F$2000,المبيعات!$D$2:$D$2000,A478))</f>
        <v/>
      </c>
      <c r="G478">
        <f>IF(A478="","",E478-F478)</f>
        <v/>
      </c>
      <c r="H478" s="4" t="n"/>
      <c r="I478">
        <f>IF(OR(A478="",H478=""),"",IF(G478&lt;=H478,"اطلب الآن",""))</f>
        <v/>
      </c>
    </row>
    <row r="479">
      <c r="A479" s="4" t="n"/>
      <c r="B479" s="4" t="n"/>
      <c r="C479" s="4" t="n"/>
      <c r="D479" s="4" t="n"/>
      <c r="E479" s="4" t="n"/>
      <c r="F479">
        <f>IF(A479="","",SUMIFS(المبيعات!$F$2:$F$2000,المبيعات!$D$2:$D$2000,A479))</f>
        <v/>
      </c>
      <c r="G479">
        <f>IF(A479="","",E479-F479)</f>
        <v/>
      </c>
      <c r="H479" s="4" t="n"/>
      <c r="I479">
        <f>IF(OR(A479="",H479=""),"",IF(G479&lt;=H479,"اطلب الآن",""))</f>
        <v/>
      </c>
    </row>
    <row r="480">
      <c r="A480" s="4" t="n"/>
      <c r="B480" s="4" t="n"/>
      <c r="C480" s="4" t="n"/>
      <c r="D480" s="4" t="n"/>
      <c r="E480" s="4" t="n"/>
      <c r="F480">
        <f>IF(A480="","",SUMIFS(المبيعات!$F$2:$F$2000,المبيعات!$D$2:$D$2000,A480))</f>
        <v/>
      </c>
      <c r="G480">
        <f>IF(A480="","",E480-F480)</f>
        <v/>
      </c>
      <c r="H480" s="4" t="n"/>
      <c r="I480">
        <f>IF(OR(A480="",H480=""),"",IF(G480&lt;=H480,"اطلب الآن",""))</f>
        <v/>
      </c>
    </row>
    <row r="481">
      <c r="A481" s="4" t="n"/>
      <c r="B481" s="4" t="n"/>
      <c r="C481" s="4" t="n"/>
      <c r="D481" s="4" t="n"/>
      <c r="E481" s="4" t="n"/>
      <c r="F481">
        <f>IF(A481="","",SUMIFS(المبيعات!$F$2:$F$2000,المبيعات!$D$2:$D$2000,A481))</f>
        <v/>
      </c>
      <c r="G481">
        <f>IF(A481="","",E481-F481)</f>
        <v/>
      </c>
      <c r="H481" s="4" t="n"/>
      <c r="I481">
        <f>IF(OR(A481="",H481=""),"",IF(G481&lt;=H481,"اطلب الآن",""))</f>
        <v/>
      </c>
    </row>
    <row r="482">
      <c r="A482" s="4" t="n"/>
      <c r="B482" s="4" t="n"/>
      <c r="C482" s="4" t="n"/>
      <c r="D482" s="4" t="n"/>
      <c r="E482" s="4" t="n"/>
      <c r="F482">
        <f>IF(A482="","",SUMIFS(المبيعات!$F$2:$F$2000,المبيعات!$D$2:$D$2000,A482))</f>
        <v/>
      </c>
      <c r="G482">
        <f>IF(A482="","",E482-F482)</f>
        <v/>
      </c>
      <c r="H482" s="4" t="n"/>
      <c r="I482">
        <f>IF(OR(A482="",H482=""),"",IF(G482&lt;=H482,"اطلب الآن",""))</f>
        <v/>
      </c>
    </row>
    <row r="483">
      <c r="A483" s="4" t="n"/>
      <c r="B483" s="4" t="n"/>
      <c r="C483" s="4" t="n"/>
      <c r="D483" s="4" t="n"/>
      <c r="E483" s="4" t="n"/>
      <c r="F483">
        <f>IF(A483="","",SUMIFS(المبيعات!$F$2:$F$2000,المبيعات!$D$2:$D$2000,A483))</f>
        <v/>
      </c>
      <c r="G483">
        <f>IF(A483="","",E483-F483)</f>
        <v/>
      </c>
      <c r="H483" s="4" t="n"/>
      <c r="I483">
        <f>IF(OR(A483="",H483=""),"",IF(G483&lt;=H483,"اطلب الآن",""))</f>
        <v/>
      </c>
    </row>
    <row r="484">
      <c r="A484" s="4" t="n"/>
      <c r="B484" s="4" t="n"/>
      <c r="C484" s="4" t="n"/>
      <c r="D484" s="4" t="n"/>
      <c r="E484" s="4" t="n"/>
      <c r="F484">
        <f>IF(A484="","",SUMIFS(المبيعات!$F$2:$F$2000,المبيعات!$D$2:$D$2000,A484))</f>
        <v/>
      </c>
      <c r="G484">
        <f>IF(A484="","",E484-F484)</f>
        <v/>
      </c>
      <c r="H484" s="4" t="n"/>
      <c r="I484">
        <f>IF(OR(A484="",H484=""),"",IF(G484&lt;=H484,"اطلب الآن",""))</f>
        <v/>
      </c>
    </row>
    <row r="485">
      <c r="A485" s="4" t="n"/>
      <c r="B485" s="4" t="n"/>
      <c r="C485" s="4" t="n"/>
      <c r="D485" s="4" t="n"/>
      <c r="E485" s="4" t="n"/>
      <c r="F485">
        <f>IF(A485="","",SUMIFS(المبيعات!$F$2:$F$2000,المبيعات!$D$2:$D$2000,A485))</f>
        <v/>
      </c>
      <c r="G485">
        <f>IF(A485="","",E485-F485)</f>
        <v/>
      </c>
      <c r="H485" s="4" t="n"/>
      <c r="I485">
        <f>IF(OR(A485="",H485=""),"",IF(G485&lt;=H485,"اطلب الآن",""))</f>
        <v/>
      </c>
    </row>
    <row r="486">
      <c r="A486" s="4" t="n"/>
      <c r="B486" s="4" t="n"/>
      <c r="C486" s="4" t="n"/>
      <c r="D486" s="4" t="n"/>
      <c r="E486" s="4" t="n"/>
      <c r="F486">
        <f>IF(A486="","",SUMIFS(المبيعات!$F$2:$F$2000,المبيعات!$D$2:$D$2000,A486))</f>
        <v/>
      </c>
      <c r="G486">
        <f>IF(A486="","",E486-F486)</f>
        <v/>
      </c>
      <c r="H486" s="4" t="n"/>
      <c r="I486">
        <f>IF(OR(A486="",H486=""),"",IF(G486&lt;=H486,"اطلب الآن",""))</f>
        <v/>
      </c>
    </row>
    <row r="487">
      <c r="A487" s="4" t="n"/>
      <c r="B487" s="4" t="n"/>
      <c r="C487" s="4" t="n"/>
      <c r="D487" s="4" t="n"/>
      <c r="E487" s="4" t="n"/>
      <c r="F487">
        <f>IF(A487="","",SUMIFS(المبيعات!$F$2:$F$2000,المبيعات!$D$2:$D$2000,A487))</f>
        <v/>
      </c>
      <c r="G487">
        <f>IF(A487="","",E487-F487)</f>
        <v/>
      </c>
      <c r="H487" s="4" t="n"/>
      <c r="I487">
        <f>IF(OR(A487="",H487=""),"",IF(G487&lt;=H487,"اطلب الآن",""))</f>
        <v/>
      </c>
    </row>
    <row r="488">
      <c r="A488" s="4" t="n"/>
      <c r="B488" s="4" t="n"/>
      <c r="C488" s="4" t="n"/>
      <c r="D488" s="4" t="n"/>
      <c r="E488" s="4" t="n"/>
      <c r="F488">
        <f>IF(A488="","",SUMIFS(المبيعات!$F$2:$F$2000,المبيعات!$D$2:$D$2000,A488))</f>
        <v/>
      </c>
      <c r="G488">
        <f>IF(A488="","",E488-F488)</f>
        <v/>
      </c>
      <c r="H488" s="4" t="n"/>
      <c r="I488">
        <f>IF(OR(A488="",H488=""),"",IF(G488&lt;=H488,"اطلب الآن",""))</f>
        <v/>
      </c>
    </row>
    <row r="489">
      <c r="A489" s="4" t="n"/>
      <c r="B489" s="4" t="n"/>
      <c r="C489" s="4" t="n"/>
      <c r="D489" s="4" t="n"/>
      <c r="E489" s="4" t="n"/>
      <c r="F489">
        <f>IF(A489="","",SUMIFS(المبيعات!$F$2:$F$2000,المبيعات!$D$2:$D$2000,A489))</f>
        <v/>
      </c>
      <c r="G489">
        <f>IF(A489="","",E489-F489)</f>
        <v/>
      </c>
      <c r="H489" s="4" t="n"/>
      <c r="I489">
        <f>IF(OR(A489="",H489=""),"",IF(G489&lt;=H489,"اطلب الآن",""))</f>
        <v/>
      </c>
    </row>
    <row r="490">
      <c r="A490" s="4" t="n"/>
      <c r="B490" s="4" t="n"/>
      <c r="C490" s="4" t="n"/>
      <c r="D490" s="4" t="n"/>
      <c r="E490" s="4" t="n"/>
      <c r="F490">
        <f>IF(A490="","",SUMIFS(المبيعات!$F$2:$F$2000,المبيعات!$D$2:$D$2000,A490))</f>
        <v/>
      </c>
      <c r="G490">
        <f>IF(A490="","",E490-F490)</f>
        <v/>
      </c>
      <c r="H490" s="4" t="n"/>
      <c r="I490">
        <f>IF(OR(A490="",H490=""),"",IF(G490&lt;=H490,"اطلب الآن",""))</f>
        <v/>
      </c>
    </row>
    <row r="491">
      <c r="A491" s="4" t="n"/>
      <c r="B491" s="4" t="n"/>
      <c r="C491" s="4" t="n"/>
      <c r="D491" s="4" t="n"/>
      <c r="E491" s="4" t="n"/>
      <c r="F491">
        <f>IF(A491="","",SUMIFS(المبيعات!$F$2:$F$2000,المبيعات!$D$2:$D$2000,A491))</f>
        <v/>
      </c>
      <c r="G491">
        <f>IF(A491="","",E491-F491)</f>
        <v/>
      </c>
      <c r="H491" s="4" t="n"/>
      <c r="I491">
        <f>IF(OR(A491="",H491=""),"",IF(G491&lt;=H491,"اطلب الآن",""))</f>
        <v/>
      </c>
    </row>
    <row r="492">
      <c r="A492" s="4" t="n"/>
      <c r="B492" s="4" t="n"/>
      <c r="C492" s="4" t="n"/>
      <c r="D492" s="4" t="n"/>
      <c r="E492" s="4" t="n"/>
      <c r="F492">
        <f>IF(A492="","",SUMIFS(المبيعات!$F$2:$F$2000,المبيعات!$D$2:$D$2000,A492))</f>
        <v/>
      </c>
      <c r="G492">
        <f>IF(A492="","",E492-F492)</f>
        <v/>
      </c>
      <c r="H492" s="4" t="n"/>
      <c r="I492">
        <f>IF(OR(A492="",H492=""),"",IF(G492&lt;=H492,"اطلب الآن",""))</f>
        <v/>
      </c>
    </row>
    <row r="493">
      <c r="A493" s="4" t="n"/>
      <c r="B493" s="4" t="n"/>
      <c r="C493" s="4" t="n"/>
      <c r="D493" s="4" t="n"/>
      <c r="E493" s="4" t="n"/>
      <c r="F493">
        <f>IF(A493="","",SUMIFS(المبيعات!$F$2:$F$2000,المبيعات!$D$2:$D$2000,A493))</f>
        <v/>
      </c>
      <c r="G493">
        <f>IF(A493="","",E493-F493)</f>
        <v/>
      </c>
      <c r="H493" s="4" t="n"/>
      <c r="I493">
        <f>IF(OR(A493="",H493=""),"",IF(G493&lt;=H493,"اطلب الآن",""))</f>
        <v/>
      </c>
    </row>
    <row r="494">
      <c r="A494" s="4" t="n"/>
      <c r="B494" s="4" t="n"/>
      <c r="C494" s="4" t="n"/>
      <c r="D494" s="4" t="n"/>
      <c r="E494" s="4" t="n"/>
      <c r="F494">
        <f>IF(A494="","",SUMIFS(المبيعات!$F$2:$F$2000,المبيعات!$D$2:$D$2000,A494))</f>
        <v/>
      </c>
      <c r="G494">
        <f>IF(A494="","",E494-F494)</f>
        <v/>
      </c>
      <c r="H494" s="4" t="n"/>
      <c r="I494">
        <f>IF(OR(A494="",H494=""),"",IF(G494&lt;=H494,"اطلب الآن",""))</f>
        <v/>
      </c>
    </row>
    <row r="495">
      <c r="A495" s="4" t="n"/>
      <c r="B495" s="4" t="n"/>
      <c r="C495" s="4" t="n"/>
      <c r="D495" s="4" t="n"/>
      <c r="E495" s="4" t="n"/>
      <c r="F495">
        <f>IF(A495="","",SUMIFS(المبيعات!$F$2:$F$2000,المبيعات!$D$2:$D$2000,A495))</f>
        <v/>
      </c>
      <c r="G495">
        <f>IF(A495="","",E495-F495)</f>
        <v/>
      </c>
      <c r="H495" s="4" t="n"/>
      <c r="I495">
        <f>IF(OR(A495="",H495=""),"",IF(G495&lt;=H495,"اطلب الآن",""))</f>
        <v/>
      </c>
    </row>
    <row r="496">
      <c r="A496" s="4" t="n"/>
      <c r="B496" s="4" t="n"/>
      <c r="C496" s="4" t="n"/>
      <c r="D496" s="4" t="n"/>
      <c r="E496" s="4" t="n"/>
      <c r="F496">
        <f>IF(A496="","",SUMIFS(المبيعات!$F$2:$F$2000,المبيعات!$D$2:$D$2000,A496))</f>
        <v/>
      </c>
      <c r="G496">
        <f>IF(A496="","",E496-F496)</f>
        <v/>
      </c>
      <c r="H496" s="4" t="n"/>
      <c r="I496">
        <f>IF(OR(A496="",H496=""),"",IF(G496&lt;=H496,"اطلب الآن",""))</f>
        <v/>
      </c>
    </row>
    <row r="497">
      <c r="A497" s="4" t="n"/>
      <c r="B497" s="4" t="n"/>
      <c r="C497" s="4" t="n"/>
      <c r="D497" s="4" t="n"/>
      <c r="E497" s="4" t="n"/>
      <c r="F497">
        <f>IF(A497="","",SUMIFS(المبيعات!$F$2:$F$2000,المبيعات!$D$2:$D$2000,A497))</f>
        <v/>
      </c>
      <c r="G497">
        <f>IF(A497="","",E497-F497)</f>
        <v/>
      </c>
      <c r="H497" s="4" t="n"/>
      <c r="I497">
        <f>IF(OR(A497="",H497=""),"",IF(G497&lt;=H497,"اطلب الآن",""))</f>
        <v/>
      </c>
    </row>
    <row r="498">
      <c r="A498" s="4" t="n"/>
      <c r="B498" s="4" t="n"/>
      <c r="C498" s="4" t="n"/>
      <c r="D498" s="4" t="n"/>
      <c r="E498" s="4" t="n"/>
      <c r="F498">
        <f>IF(A498="","",SUMIFS(المبيعات!$F$2:$F$2000,المبيعات!$D$2:$D$2000,A498))</f>
        <v/>
      </c>
      <c r="G498">
        <f>IF(A498="","",E498-F498)</f>
        <v/>
      </c>
      <c r="H498" s="4" t="n"/>
      <c r="I498">
        <f>IF(OR(A498="",H498=""),"",IF(G498&lt;=H498,"اطلب الآن",""))</f>
        <v/>
      </c>
    </row>
    <row r="499">
      <c r="A499" s="4" t="n"/>
      <c r="B499" s="4" t="n"/>
      <c r="C499" s="4" t="n"/>
      <c r="D499" s="4" t="n"/>
      <c r="E499" s="4" t="n"/>
      <c r="F499">
        <f>IF(A499="","",SUMIFS(المبيعات!$F$2:$F$2000,المبيعات!$D$2:$D$2000,A499))</f>
        <v/>
      </c>
      <c r="G499">
        <f>IF(A499="","",E499-F499)</f>
        <v/>
      </c>
      <c r="H499" s="4" t="n"/>
      <c r="I499">
        <f>IF(OR(A499="",H499=""),"",IF(G499&lt;=H499,"اطلب الآن",""))</f>
        <v/>
      </c>
    </row>
    <row r="500">
      <c r="A500" s="4" t="n"/>
      <c r="B500" s="4" t="n"/>
      <c r="C500" s="4" t="n"/>
      <c r="D500" s="4" t="n"/>
      <c r="E500" s="4" t="n"/>
      <c r="F500">
        <f>IF(A500="","",SUMIFS(المبيعات!$F$2:$F$2000,المبيعات!$D$2:$D$2000,A500))</f>
        <v/>
      </c>
      <c r="G500">
        <f>IF(A500="","",E500-F500)</f>
        <v/>
      </c>
      <c r="H500" s="4" t="n"/>
      <c r="I500">
        <f>IF(OR(A500="",H500=""),"",IF(G500&lt;=H500,"اطلب الآن",""))</f>
        <v/>
      </c>
    </row>
    <row r="501">
      <c r="A501" s="4" t="n"/>
      <c r="B501" s="4" t="n"/>
      <c r="C501" s="4" t="n"/>
      <c r="D501" s="4" t="n"/>
      <c r="E501" s="4" t="n"/>
      <c r="F501">
        <f>IF(A501="","",SUMIFS(المبيعات!$F$2:$F$2000,المبيعات!$D$2:$D$2000,A501))</f>
        <v/>
      </c>
      <c r="G501">
        <f>IF(A501="","",E501-F501)</f>
        <v/>
      </c>
      <c r="H501" s="4" t="n"/>
      <c r="I501">
        <f>IF(OR(A501="",H501=""),"",IF(G501&lt;=H501,"اطلب الآن",""))</f>
        <v/>
      </c>
    </row>
    <row r="502">
      <c r="A502" s="4" t="n"/>
      <c r="B502" s="4" t="n"/>
      <c r="C502" s="4" t="n"/>
      <c r="D502" s="4" t="n"/>
      <c r="E502" s="4" t="n"/>
      <c r="F502">
        <f>IF(A502="","",SUMIFS(المبيعات!$F$2:$F$2000,المبيعات!$D$2:$D$2000,A502))</f>
        <v/>
      </c>
      <c r="G502">
        <f>IF(A502="","",E502-F502)</f>
        <v/>
      </c>
      <c r="H502" s="4" t="n"/>
      <c r="I502">
        <f>IF(OR(A502="",H502=""),"",IF(G502&lt;=H502,"اطلب الآن",""))</f>
        <v/>
      </c>
    </row>
    <row r="503">
      <c r="A503" s="4" t="n"/>
      <c r="B503" s="4" t="n"/>
      <c r="C503" s="4" t="n"/>
      <c r="D503" s="4" t="n"/>
      <c r="E503" s="4" t="n"/>
      <c r="F503">
        <f>IF(A503="","",SUMIFS(المبيعات!$F$2:$F$2000,المبيعات!$D$2:$D$2000,A503))</f>
        <v/>
      </c>
      <c r="G503">
        <f>IF(A503="","",E503-F503)</f>
        <v/>
      </c>
      <c r="H503" s="4" t="n"/>
      <c r="I503">
        <f>IF(OR(A503="",H503=""),"",IF(G503&lt;=H503,"اطلب الآن",""))</f>
        <v/>
      </c>
    </row>
    <row r="504">
      <c r="A504" s="4" t="n"/>
      <c r="B504" s="4" t="n"/>
      <c r="C504" s="4" t="n"/>
      <c r="D504" s="4" t="n"/>
      <c r="E504" s="4" t="n"/>
      <c r="F504">
        <f>IF(A504="","",SUMIFS(المبيعات!$F$2:$F$2000,المبيعات!$D$2:$D$2000,A504))</f>
        <v/>
      </c>
      <c r="G504">
        <f>IF(A504="","",E504-F504)</f>
        <v/>
      </c>
      <c r="H504" s="4" t="n"/>
      <c r="I504">
        <f>IF(OR(A504="",H504=""),"",IF(G504&lt;=H504,"اطلب الآن",""))</f>
        <v/>
      </c>
    </row>
    <row r="505">
      <c r="A505" s="4" t="n"/>
      <c r="B505" s="4" t="n"/>
      <c r="C505" s="4" t="n"/>
      <c r="D505" s="4" t="n"/>
      <c r="E505" s="4" t="n"/>
      <c r="F505">
        <f>IF(A505="","",SUMIFS(المبيعات!$F$2:$F$2000,المبيعات!$D$2:$D$2000,A505))</f>
        <v/>
      </c>
      <c r="G505">
        <f>IF(A505="","",E505-F505)</f>
        <v/>
      </c>
      <c r="H505" s="4" t="n"/>
      <c r="I505">
        <f>IF(OR(A505="",H505=""),"",IF(G505&lt;=H505,"اطلب الآن",""))</f>
        <v/>
      </c>
    </row>
    <row r="506">
      <c r="A506" s="4" t="n"/>
      <c r="B506" s="4" t="n"/>
      <c r="C506" s="4" t="n"/>
      <c r="D506" s="4" t="n"/>
      <c r="E506" s="4" t="n"/>
      <c r="F506">
        <f>IF(A506="","",SUMIFS(المبيعات!$F$2:$F$2000,المبيعات!$D$2:$D$2000,A506))</f>
        <v/>
      </c>
      <c r="G506">
        <f>IF(A506="","",E506-F506)</f>
        <v/>
      </c>
      <c r="H506" s="4" t="n"/>
      <c r="I506">
        <f>IF(OR(A506="",H506=""),"",IF(G506&lt;=H506,"اطلب الآن",""))</f>
        <v/>
      </c>
    </row>
    <row r="507">
      <c r="A507" s="4" t="n"/>
      <c r="B507" s="4" t="n"/>
      <c r="C507" s="4" t="n"/>
      <c r="D507" s="4" t="n"/>
      <c r="E507" s="4" t="n"/>
      <c r="F507">
        <f>IF(A507="","",SUMIFS(المبيعات!$F$2:$F$2000,المبيعات!$D$2:$D$2000,A507))</f>
        <v/>
      </c>
      <c r="G507">
        <f>IF(A507="","",E507-F507)</f>
        <v/>
      </c>
      <c r="H507" s="4" t="n"/>
      <c r="I507">
        <f>IF(OR(A507="",H507=""),"",IF(G507&lt;=H507,"اطلب الآن",""))</f>
        <v/>
      </c>
    </row>
    <row r="508">
      <c r="A508" s="4" t="n"/>
      <c r="B508" s="4" t="n"/>
      <c r="C508" s="4" t="n"/>
      <c r="D508" s="4" t="n"/>
      <c r="E508" s="4" t="n"/>
      <c r="F508">
        <f>IF(A508="","",SUMIFS(المبيعات!$F$2:$F$2000,المبيعات!$D$2:$D$2000,A508))</f>
        <v/>
      </c>
      <c r="G508">
        <f>IF(A508="","",E508-F508)</f>
        <v/>
      </c>
      <c r="H508" s="4" t="n"/>
      <c r="I508">
        <f>IF(OR(A508="",H508=""),"",IF(G508&lt;=H508,"اطلب الآن",""))</f>
        <v/>
      </c>
    </row>
    <row r="509">
      <c r="A509" s="4" t="n"/>
      <c r="B509" s="4" t="n"/>
      <c r="C509" s="4" t="n"/>
      <c r="D509" s="4" t="n"/>
      <c r="E509" s="4" t="n"/>
      <c r="F509">
        <f>IF(A509="","",SUMIFS(المبيعات!$F$2:$F$2000,المبيعات!$D$2:$D$2000,A509))</f>
        <v/>
      </c>
      <c r="G509">
        <f>IF(A509="","",E509-F509)</f>
        <v/>
      </c>
      <c r="H509" s="4" t="n"/>
      <c r="I509">
        <f>IF(OR(A509="",H509=""),"",IF(G509&lt;=H509,"اطلب الآن",""))</f>
        <v/>
      </c>
    </row>
    <row r="510">
      <c r="A510" s="4" t="n"/>
      <c r="B510" s="4" t="n"/>
      <c r="C510" s="4" t="n"/>
      <c r="D510" s="4" t="n"/>
      <c r="E510" s="4" t="n"/>
      <c r="F510">
        <f>IF(A510="","",SUMIFS(المبيعات!$F$2:$F$2000,المبيعات!$D$2:$D$2000,A510))</f>
        <v/>
      </c>
      <c r="G510">
        <f>IF(A510="","",E510-F510)</f>
        <v/>
      </c>
      <c r="H510" s="4" t="n"/>
      <c r="I510">
        <f>IF(OR(A510="",H510=""),"",IF(G510&lt;=H510,"اطلب الآن",""))</f>
        <v/>
      </c>
    </row>
    <row r="511">
      <c r="A511" s="4" t="n"/>
      <c r="B511" s="4" t="n"/>
      <c r="C511" s="4" t="n"/>
      <c r="D511" s="4" t="n"/>
      <c r="E511" s="4" t="n"/>
      <c r="F511">
        <f>IF(A511="","",SUMIFS(المبيعات!$F$2:$F$2000,المبيعات!$D$2:$D$2000,A511))</f>
        <v/>
      </c>
      <c r="G511">
        <f>IF(A511="","",E511-F511)</f>
        <v/>
      </c>
      <c r="H511" s="4" t="n"/>
      <c r="I511">
        <f>IF(OR(A511="",H511=""),"",IF(G511&lt;=H511,"اطلب الآن",""))</f>
        <v/>
      </c>
    </row>
    <row r="512">
      <c r="A512" s="4" t="n"/>
      <c r="B512" s="4" t="n"/>
      <c r="C512" s="4" t="n"/>
      <c r="D512" s="4" t="n"/>
      <c r="E512" s="4" t="n"/>
      <c r="F512">
        <f>IF(A512="","",SUMIFS(المبيعات!$F$2:$F$2000,المبيعات!$D$2:$D$2000,A512))</f>
        <v/>
      </c>
      <c r="G512">
        <f>IF(A512="","",E512-F512)</f>
        <v/>
      </c>
      <c r="H512" s="4" t="n"/>
      <c r="I512">
        <f>IF(OR(A512="",H512=""),"",IF(G512&lt;=H512,"اطلب الآن",""))</f>
        <v/>
      </c>
    </row>
    <row r="513">
      <c r="A513" s="4" t="n"/>
      <c r="B513" s="4" t="n"/>
      <c r="C513" s="4" t="n"/>
      <c r="D513" s="4" t="n"/>
      <c r="E513" s="4" t="n"/>
      <c r="F513">
        <f>IF(A513="","",SUMIFS(المبيعات!$F$2:$F$2000,المبيعات!$D$2:$D$2000,A513))</f>
        <v/>
      </c>
      <c r="G513">
        <f>IF(A513="","",E513-F513)</f>
        <v/>
      </c>
      <c r="H513" s="4" t="n"/>
      <c r="I513">
        <f>IF(OR(A513="",H513=""),"",IF(G513&lt;=H513,"اطلب الآن",""))</f>
        <v/>
      </c>
    </row>
    <row r="514">
      <c r="A514" s="4" t="n"/>
      <c r="B514" s="4" t="n"/>
      <c r="C514" s="4" t="n"/>
      <c r="D514" s="4" t="n"/>
      <c r="E514" s="4" t="n"/>
      <c r="F514">
        <f>IF(A514="","",SUMIFS(المبيعات!$F$2:$F$2000,المبيعات!$D$2:$D$2000,A514))</f>
        <v/>
      </c>
      <c r="G514">
        <f>IF(A514="","",E514-F514)</f>
        <v/>
      </c>
      <c r="H514" s="4" t="n"/>
      <c r="I514">
        <f>IF(OR(A514="",H514=""),"",IF(G514&lt;=H514,"اطلب الآن",""))</f>
        <v/>
      </c>
    </row>
    <row r="515">
      <c r="A515" s="4" t="n"/>
      <c r="B515" s="4" t="n"/>
      <c r="C515" s="4" t="n"/>
      <c r="D515" s="4" t="n"/>
      <c r="E515" s="4" t="n"/>
      <c r="F515">
        <f>IF(A515="","",SUMIFS(المبيعات!$F$2:$F$2000,المبيعات!$D$2:$D$2000,A515))</f>
        <v/>
      </c>
      <c r="G515">
        <f>IF(A515="","",E515-F515)</f>
        <v/>
      </c>
      <c r="H515" s="4" t="n"/>
      <c r="I515">
        <f>IF(OR(A515="",H515=""),"",IF(G515&lt;=H515,"اطلب الآن",""))</f>
        <v/>
      </c>
    </row>
    <row r="516">
      <c r="A516" s="4" t="n"/>
      <c r="B516" s="4" t="n"/>
      <c r="C516" s="4" t="n"/>
      <c r="D516" s="4" t="n"/>
      <c r="E516" s="4" t="n"/>
      <c r="F516">
        <f>IF(A516="","",SUMIFS(المبيعات!$F$2:$F$2000,المبيعات!$D$2:$D$2000,A516))</f>
        <v/>
      </c>
      <c r="G516">
        <f>IF(A516="","",E516-F516)</f>
        <v/>
      </c>
      <c r="H516" s="4" t="n"/>
      <c r="I516">
        <f>IF(OR(A516="",H516=""),"",IF(G516&lt;=H516,"اطلب الآن",""))</f>
        <v/>
      </c>
    </row>
    <row r="517">
      <c r="A517" s="4" t="n"/>
      <c r="B517" s="4" t="n"/>
      <c r="C517" s="4" t="n"/>
      <c r="D517" s="4" t="n"/>
      <c r="E517" s="4" t="n"/>
      <c r="F517">
        <f>IF(A517="","",SUMIFS(المبيعات!$F$2:$F$2000,المبيعات!$D$2:$D$2000,A517))</f>
        <v/>
      </c>
      <c r="G517">
        <f>IF(A517="","",E517-F517)</f>
        <v/>
      </c>
      <c r="H517" s="4" t="n"/>
      <c r="I517">
        <f>IF(OR(A517="",H517=""),"",IF(G517&lt;=H517,"اطلب الآن",""))</f>
        <v/>
      </c>
    </row>
    <row r="518">
      <c r="A518" s="4" t="n"/>
      <c r="B518" s="4" t="n"/>
      <c r="C518" s="4" t="n"/>
      <c r="D518" s="4" t="n"/>
      <c r="E518" s="4" t="n"/>
      <c r="F518">
        <f>IF(A518="","",SUMIFS(المبيعات!$F$2:$F$2000,المبيعات!$D$2:$D$2000,A518))</f>
        <v/>
      </c>
      <c r="G518">
        <f>IF(A518="","",E518-F518)</f>
        <v/>
      </c>
      <c r="H518" s="4" t="n"/>
      <c r="I518">
        <f>IF(OR(A518="",H518=""),"",IF(G518&lt;=H518,"اطلب الآن",""))</f>
        <v/>
      </c>
    </row>
    <row r="519">
      <c r="A519" s="4" t="n"/>
      <c r="B519" s="4" t="n"/>
      <c r="C519" s="4" t="n"/>
      <c r="D519" s="4" t="n"/>
      <c r="E519" s="4" t="n"/>
      <c r="F519">
        <f>IF(A519="","",SUMIFS(المبيعات!$F$2:$F$2000,المبيعات!$D$2:$D$2000,A519))</f>
        <v/>
      </c>
      <c r="G519">
        <f>IF(A519="","",E519-F519)</f>
        <v/>
      </c>
      <c r="H519" s="4" t="n"/>
      <c r="I519">
        <f>IF(OR(A519="",H519=""),"",IF(G519&lt;=H519,"اطلب الآن",""))</f>
        <v/>
      </c>
    </row>
    <row r="520">
      <c r="A520" s="4" t="n"/>
      <c r="B520" s="4" t="n"/>
      <c r="C520" s="4" t="n"/>
      <c r="D520" s="4" t="n"/>
      <c r="E520" s="4" t="n"/>
      <c r="F520">
        <f>IF(A520="","",SUMIFS(المبيعات!$F$2:$F$2000,المبيعات!$D$2:$D$2000,A520))</f>
        <v/>
      </c>
      <c r="G520">
        <f>IF(A520="","",E520-F520)</f>
        <v/>
      </c>
      <c r="H520" s="4" t="n"/>
      <c r="I520">
        <f>IF(OR(A520="",H520=""),"",IF(G520&lt;=H520,"اطلب الآن",""))</f>
        <v/>
      </c>
    </row>
    <row r="521">
      <c r="A521" s="4" t="n"/>
      <c r="B521" s="4" t="n"/>
      <c r="C521" s="4" t="n"/>
      <c r="D521" s="4" t="n"/>
      <c r="E521" s="4" t="n"/>
      <c r="F521">
        <f>IF(A521="","",SUMIFS(المبيعات!$F$2:$F$2000,المبيعات!$D$2:$D$2000,A521))</f>
        <v/>
      </c>
      <c r="G521">
        <f>IF(A521="","",E521-F521)</f>
        <v/>
      </c>
      <c r="H521" s="4" t="n"/>
      <c r="I521">
        <f>IF(OR(A521="",H521=""),"",IF(G521&lt;=H521,"اطلب الآن",""))</f>
        <v/>
      </c>
    </row>
    <row r="522">
      <c r="A522" s="4" t="n"/>
      <c r="B522" s="4" t="n"/>
      <c r="C522" s="4" t="n"/>
      <c r="D522" s="4" t="n"/>
      <c r="E522" s="4" t="n"/>
      <c r="F522">
        <f>IF(A522="","",SUMIFS(المبيعات!$F$2:$F$2000,المبيعات!$D$2:$D$2000,A522))</f>
        <v/>
      </c>
      <c r="G522">
        <f>IF(A522="","",E522-F522)</f>
        <v/>
      </c>
      <c r="H522" s="4" t="n"/>
      <c r="I522">
        <f>IF(OR(A522="",H522=""),"",IF(G522&lt;=H522,"اطلب الآن",""))</f>
        <v/>
      </c>
    </row>
    <row r="523">
      <c r="A523" s="4" t="n"/>
      <c r="B523" s="4" t="n"/>
      <c r="C523" s="4" t="n"/>
      <c r="D523" s="4" t="n"/>
      <c r="E523" s="4" t="n"/>
      <c r="F523">
        <f>IF(A523="","",SUMIFS(المبيعات!$F$2:$F$2000,المبيعات!$D$2:$D$2000,A523))</f>
        <v/>
      </c>
      <c r="G523">
        <f>IF(A523="","",E523-F523)</f>
        <v/>
      </c>
      <c r="H523" s="4" t="n"/>
      <c r="I523">
        <f>IF(OR(A523="",H523=""),"",IF(G523&lt;=H523,"اطلب الآن",""))</f>
        <v/>
      </c>
    </row>
    <row r="524">
      <c r="A524" s="4" t="n"/>
      <c r="B524" s="4" t="n"/>
      <c r="C524" s="4" t="n"/>
      <c r="D524" s="4" t="n"/>
      <c r="E524" s="4" t="n"/>
      <c r="F524">
        <f>IF(A524="","",SUMIFS(المبيعات!$F$2:$F$2000,المبيعات!$D$2:$D$2000,A524))</f>
        <v/>
      </c>
      <c r="G524">
        <f>IF(A524="","",E524-F524)</f>
        <v/>
      </c>
      <c r="H524" s="4" t="n"/>
      <c r="I524">
        <f>IF(OR(A524="",H524=""),"",IF(G524&lt;=H524,"اطلب الآن",""))</f>
        <v/>
      </c>
    </row>
    <row r="525">
      <c r="A525" s="4" t="n"/>
      <c r="B525" s="4" t="n"/>
      <c r="C525" s="4" t="n"/>
      <c r="D525" s="4" t="n"/>
      <c r="E525" s="4" t="n"/>
      <c r="F525">
        <f>IF(A525="","",SUMIFS(المبيعات!$F$2:$F$2000,المبيعات!$D$2:$D$2000,A525))</f>
        <v/>
      </c>
      <c r="G525">
        <f>IF(A525="","",E525-F525)</f>
        <v/>
      </c>
      <c r="H525" s="4" t="n"/>
      <c r="I525">
        <f>IF(OR(A525="",H525=""),"",IF(G525&lt;=H525,"اطلب الآن",""))</f>
        <v/>
      </c>
    </row>
    <row r="526">
      <c r="A526" s="4" t="n"/>
      <c r="B526" s="4" t="n"/>
      <c r="C526" s="4" t="n"/>
      <c r="D526" s="4" t="n"/>
      <c r="E526" s="4" t="n"/>
      <c r="F526">
        <f>IF(A526="","",SUMIFS(المبيعات!$F$2:$F$2000,المبيعات!$D$2:$D$2000,A526))</f>
        <v/>
      </c>
      <c r="G526">
        <f>IF(A526="","",E526-F526)</f>
        <v/>
      </c>
      <c r="H526" s="4" t="n"/>
      <c r="I526">
        <f>IF(OR(A526="",H526=""),"",IF(G526&lt;=H526,"اطلب الآن",""))</f>
        <v/>
      </c>
    </row>
    <row r="527">
      <c r="A527" s="4" t="n"/>
      <c r="B527" s="4" t="n"/>
      <c r="C527" s="4" t="n"/>
      <c r="D527" s="4" t="n"/>
      <c r="E527" s="4" t="n"/>
      <c r="F527">
        <f>IF(A527="","",SUMIFS(المبيعات!$F$2:$F$2000,المبيعات!$D$2:$D$2000,A527))</f>
        <v/>
      </c>
      <c r="G527">
        <f>IF(A527="","",E527-F527)</f>
        <v/>
      </c>
      <c r="H527" s="4" t="n"/>
      <c r="I527">
        <f>IF(OR(A527="",H527=""),"",IF(G527&lt;=H527,"اطلب الآن",""))</f>
        <v/>
      </c>
    </row>
    <row r="528">
      <c r="A528" s="4" t="n"/>
      <c r="B528" s="4" t="n"/>
      <c r="C528" s="4" t="n"/>
      <c r="D528" s="4" t="n"/>
      <c r="E528" s="4" t="n"/>
      <c r="F528">
        <f>IF(A528="","",SUMIFS(المبيعات!$F$2:$F$2000,المبيعات!$D$2:$D$2000,A528))</f>
        <v/>
      </c>
      <c r="G528">
        <f>IF(A528="","",E528-F528)</f>
        <v/>
      </c>
      <c r="H528" s="4" t="n"/>
      <c r="I528">
        <f>IF(OR(A528="",H528=""),"",IF(G528&lt;=H528,"اطلب الآن",""))</f>
        <v/>
      </c>
    </row>
    <row r="529">
      <c r="A529" s="4" t="n"/>
      <c r="B529" s="4" t="n"/>
      <c r="C529" s="4" t="n"/>
      <c r="D529" s="4" t="n"/>
      <c r="E529" s="4" t="n"/>
      <c r="F529">
        <f>IF(A529="","",SUMIFS(المبيعات!$F$2:$F$2000,المبيعات!$D$2:$D$2000,A529))</f>
        <v/>
      </c>
      <c r="G529">
        <f>IF(A529="","",E529-F529)</f>
        <v/>
      </c>
      <c r="H529" s="4" t="n"/>
      <c r="I529">
        <f>IF(OR(A529="",H529=""),"",IF(G529&lt;=H529,"اطلب الآن",""))</f>
        <v/>
      </c>
    </row>
    <row r="530">
      <c r="A530" s="4" t="n"/>
      <c r="B530" s="4" t="n"/>
      <c r="C530" s="4" t="n"/>
      <c r="D530" s="4" t="n"/>
      <c r="E530" s="4" t="n"/>
      <c r="F530">
        <f>IF(A530="","",SUMIFS(المبيعات!$F$2:$F$2000,المبيعات!$D$2:$D$2000,A530))</f>
        <v/>
      </c>
      <c r="G530">
        <f>IF(A530="","",E530-F530)</f>
        <v/>
      </c>
      <c r="H530" s="4" t="n"/>
      <c r="I530">
        <f>IF(OR(A530="",H530=""),"",IF(G530&lt;=H530,"اطلب الآن",""))</f>
        <v/>
      </c>
    </row>
    <row r="531">
      <c r="A531" s="4" t="n"/>
      <c r="B531" s="4" t="n"/>
      <c r="C531" s="4" t="n"/>
      <c r="D531" s="4" t="n"/>
      <c r="E531" s="4" t="n"/>
      <c r="F531">
        <f>IF(A531="","",SUMIFS(المبيعات!$F$2:$F$2000,المبيعات!$D$2:$D$2000,A531))</f>
        <v/>
      </c>
      <c r="G531">
        <f>IF(A531="","",E531-F531)</f>
        <v/>
      </c>
      <c r="H531" s="4" t="n"/>
      <c r="I531">
        <f>IF(OR(A531="",H531=""),"",IF(G531&lt;=H531,"اطلب الآن",""))</f>
        <v/>
      </c>
    </row>
    <row r="532">
      <c r="A532" s="4" t="n"/>
      <c r="B532" s="4" t="n"/>
      <c r="C532" s="4" t="n"/>
      <c r="D532" s="4" t="n"/>
      <c r="E532" s="4" t="n"/>
      <c r="F532">
        <f>IF(A532="","",SUMIFS(المبيعات!$F$2:$F$2000,المبيعات!$D$2:$D$2000,A532))</f>
        <v/>
      </c>
      <c r="G532">
        <f>IF(A532="","",E532-F532)</f>
        <v/>
      </c>
      <c r="H532" s="4" t="n"/>
      <c r="I532">
        <f>IF(OR(A532="",H532=""),"",IF(G532&lt;=H532,"اطلب الآن",""))</f>
        <v/>
      </c>
    </row>
    <row r="533">
      <c r="A533" s="4" t="n"/>
      <c r="B533" s="4" t="n"/>
      <c r="C533" s="4" t="n"/>
      <c r="D533" s="4" t="n"/>
      <c r="E533" s="4" t="n"/>
      <c r="F533">
        <f>IF(A533="","",SUMIFS(المبيعات!$F$2:$F$2000,المبيعات!$D$2:$D$2000,A533))</f>
        <v/>
      </c>
      <c r="G533">
        <f>IF(A533="","",E533-F533)</f>
        <v/>
      </c>
      <c r="H533" s="4" t="n"/>
      <c r="I533">
        <f>IF(OR(A533="",H533=""),"",IF(G533&lt;=H533,"اطلب الآن",""))</f>
        <v/>
      </c>
    </row>
    <row r="534">
      <c r="A534" s="4" t="n"/>
      <c r="B534" s="4" t="n"/>
      <c r="C534" s="4" t="n"/>
      <c r="D534" s="4" t="n"/>
      <c r="E534" s="4" t="n"/>
      <c r="F534">
        <f>IF(A534="","",SUMIFS(المبيعات!$F$2:$F$2000,المبيعات!$D$2:$D$2000,A534))</f>
        <v/>
      </c>
      <c r="G534">
        <f>IF(A534="","",E534-F534)</f>
        <v/>
      </c>
      <c r="H534" s="4" t="n"/>
      <c r="I534">
        <f>IF(OR(A534="",H534=""),"",IF(G534&lt;=H534,"اطلب الآن",""))</f>
        <v/>
      </c>
    </row>
    <row r="535">
      <c r="A535" s="4" t="n"/>
      <c r="B535" s="4" t="n"/>
      <c r="C535" s="4" t="n"/>
      <c r="D535" s="4" t="n"/>
      <c r="E535" s="4" t="n"/>
      <c r="F535">
        <f>IF(A535="","",SUMIFS(المبيعات!$F$2:$F$2000,المبيعات!$D$2:$D$2000,A535))</f>
        <v/>
      </c>
      <c r="G535">
        <f>IF(A535="","",E535-F535)</f>
        <v/>
      </c>
      <c r="H535" s="4" t="n"/>
      <c r="I535">
        <f>IF(OR(A535="",H535=""),"",IF(G535&lt;=H535,"اطلب الآن",""))</f>
        <v/>
      </c>
    </row>
    <row r="536">
      <c r="A536" s="4" t="n"/>
      <c r="B536" s="4" t="n"/>
      <c r="C536" s="4" t="n"/>
      <c r="D536" s="4" t="n"/>
      <c r="E536" s="4" t="n"/>
      <c r="F536">
        <f>IF(A536="","",SUMIFS(المبيعات!$F$2:$F$2000,المبيعات!$D$2:$D$2000,A536))</f>
        <v/>
      </c>
      <c r="G536">
        <f>IF(A536="","",E536-F536)</f>
        <v/>
      </c>
      <c r="H536" s="4" t="n"/>
      <c r="I536">
        <f>IF(OR(A536="",H536=""),"",IF(G536&lt;=H536,"اطلب الآن",""))</f>
        <v/>
      </c>
    </row>
    <row r="537">
      <c r="A537" s="4" t="n"/>
      <c r="B537" s="4" t="n"/>
      <c r="C537" s="4" t="n"/>
      <c r="D537" s="4" t="n"/>
      <c r="E537" s="4" t="n"/>
      <c r="F537">
        <f>IF(A537="","",SUMIFS(المبيعات!$F$2:$F$2000,المبيعات!$D$2:$D$2000,A537))</f>
        <v/>
      </c>
      <c r="G537">
        <f>IF(A537="","",E537-F537)</f>
        <v/>
      </c>
      <c r="H537" s="4" t="n"/>
      <c r="I537">
        <f>IF(OR(A537="",H537=""),"",IF(G537&lt;=H537,"اطلب الآن",""))</f>
        <v/>
      </c>
    </row>
    <row r="538">
      <c r="A538" s="4" t="n"/>
      <c r="B538" s="4" t="n"/>
      <c r="C538" s="4" t="n"/>
      <c r="D538" s="4" t="n"/>
      <c r="E538" s="4" t="n"/>
      <c r="F538">
        <f>IF(A538="","",SUMIFS(المبيعات!$F$2:$F$2000,المبيعات!$D$2:$D$2000,A538))</f>
        <v/>
      </c>
      <c r="G538">
        <f>IF(A538="","",E538-F538)</f>
        <v/>
      </c>
      <c r="H538" s="4" t="n"/>
      <c r="I538">
        <f>IF(OR(A538="",H538=""),"",IF(G538&lt;=H538,"اطلب الآن",""))</f>
        <v/>
      </c>
    </row>
    <row r="539">
      <c r="A539" s="4" t="n"/>
      <c r="B539" s="4" t="n"/>
      <c r="C539" s="4" t="n"/>
      <c r="D539" s="4" t="n"/>
      <c r="E539" s="4" t="n"/>
      <c r="F539">
        <f>IF(A539="","",SUMIFS(المبيعات!$F$2:$F$2000,المبيعات!$D$2:$D$2000,A539))</f>
        <v/>
      </c>
      <c r="G539">
        <f>IF(A539="","",E539-F539)</f>
        <v/>
      </c>
      <c r="H539" s="4" t="n"/>
      <c r="I539">
        <f>IF(OR(A539="",H539=""),"",IF(G539&lt;=H539,"اطلب الآن",""))</f>
        <v/>
      </c>
    </row>
    <row r="540">
      <c r="A540" s="4" t="n"/>
      <c r="B540" s="4" t="n"/>
      <c r="C540" s="4" t="n"/>
      <c r="D540" s="4" t="n"/>
      <c r="E540" s="4" t="n"/>
      <c r="F540">
        <f>IF(A540="","",SUMIFS(المبيعات!$F$2:$F$2000,المبيعات!$D$2:$D$2000,A540))</f>
        <v/>
      </c>
      <c r="G540">
        <f>IF(A540="","",E540-F540)</f>
        <v/>
      </c>
      <c r="H540" s="4" t="n"/>
      <c r="I540">
        <f>IF(OR(A540="",H540=""),"",IF(G540&lt;=H540,"اطلب الآن",""))</f>
        <v/>
      </c>
    </row>
    <row r="541">
      <c r="A541" s="4" t="n"/>
      <c r="B541" s="4" t="n"/>
      <c r="C541" s="4" t="n"/>
      <c r="D541" s="4" t="n"/>
      <c r="E541" s="4" t="n"/>
      <c r="F541">
        <f>IF(A541="","",SUMIFS(المبيعات!$F$2:$F$2000,المبيعات!$D$2:$D$2000,A541))</f>
        <v/>
      </c>
      <c r="G541">
        <f>IF(A541="","",E541-F541)</f>
        <v/>
      </c>
      <c r="H541" s="4" t="n"/>
      <c r="I541">
        <f>IF(OR(A541="",H541=""),"",IF(G541&lt;=H541,"اطلب الآن",""))</f>
        <v/>
      </c>
    </row>
    <row r="542">
      <c r="A542" s="4" t="n"/>
      <c r="B542" s="4" t="n"/>
      <c r="C542" s="4" t="n"/>
      <c r="D542" s="4" t="n"/>
      <c r="E542" s="4" t="n"/>
      <c r="F542">
        <f>IF(A542="","",SUMIFS(المبيعات!$F$2:$F$2000,المبيعات!$D$2:$D$2000,A542))</f>
        <v/>
      </c>
      <c r="G542">
        <f>IF(A542="","",E542-F542)</f>
        <v/>
      </c>
      <c r="H542" s="4" t="n"/>
      <c r="I542">
        <f>IF(OR(A542="",H542=""),"",IF(G542&lt;=H542,"اطلب الآن",""))</f>
        <v/>
      </c>
    </row>
    <row r="543">
      <c r="A543" s="4" t="n"/>
      <c r="B543" s="4" t="n"/>
      <c r="C543" s="4" t="n"/>
      <c r="D543" s="4" t="n"/>
      <c r="E543" s="4" t="n"/>
      <c r="F543">
        <f>IF(A543="","",SUMIFS(المبيعات!$F$2:$F$2000,المبيعات!$D$2:$D$2000,A543))</f>
        <v/>
      </c>
      <c r="G543">
        <f>IF(A543="","",E543-F543)</f>
        <v/>
      </c>
      <c r="H543" s="4" t="n"/>
      <c r="I543">
        <f>IF(OR(A543="",H543=""),"",IF(G543&lt;=H543,"اطلب الآن",""))</f>
        <v/>
      </c>
    </row>
    <row r="544">
      <c r="A544" s="4" t="n"/>
      <c r="B544" s="4" t="n"/>
      <c r="C544" s="4" t="n"/>
      <c r="D544" s="4" t="n"/>
      <c r="E544" s="4" t="n"/>
      <c r="F544">
        <f>IF(A544="","",SUMIFS(المبيعات!$F$2:$F$2000,المبيعات!$D$2:$D$2000,A544))</f>
        <v/>
      </c>
      <c r="G544">
        <f>IF(A544="","",E544-F544)</f>
        <v/>
      </c>
      <c r="H544" s="4" t="n"/>
      <c r="I544">
        <f>IF(OR(A544="",H544=""),"",IF(G544&lt;=H544,"اطلب الآن",""))</f>
        <v/>
      </c>
    </row>
    <row r="545">
      <c r="A545" s="4" t="n"/>
      <c r="B545" s="4" t="n"/>
      <c r="C545" s="4" t="n"/>
      <c r="D545" s="4" t="n"/>
      <c r="E545" s="4" t="n"/>
      <c r="F545">
        <f>IF(A545="","",SUMIFS(المبيعات!$F$2:$F$2000,المبيعات!$D$2:$D$2000,A545))</f>
        <v/>
      </c>
      <c r="G545">
        <f>IF(A545="","",E545-F545)</f>
        <v/>
      </c>
      <c r="H545" s="4" t="n"/>
      <c r="I545">
        <f>IF(OR(A545="",H545=""),"",IF(G545&lt;=H545,"اطلب الآن",""))</f>
        <v/>
      </c>
    </row>
    <row r="546">
      <c r="A546" s="4" t="n"/>
      <c r="B546" s="4" t="n"/>
      <c r="C546" s="4" t="n"/>
      <c r="D546" s="4" t="n"/>
      <c r="E546" s="4" t="n"/>
      <c r="F546">
        <f>IF(A546="","",SUMIFS(المبيعات!$F$2:$F$2000,المبيعات!$D$2:$D$2000,A546))</f>
        <v/>
      </c>
      <c r="G546">
        <f>IF(A546="","",E546-F546)</f>
        <v/>
      </c>
      <c r="H546" s="4" t="n"/>
      <c r="I546">
        <f>IF(OR(A546="",H546=""),"",IF(G546&lt;=H546,"اطلب الآن",""))</f>
        <v/>
      </c>
    </row>
    <row r="547">
      <c r="A547" s="4" t="n"/>
      <c r="B547" s="4" t="n"/>
      <c r="C547" s="4" t="n"/>
      <c r="D547" s="4" t="n"/>
      <c r="E547" s="4" t="n"/>
      <c r="F547">
        <f>IF(A547="","",SUMIFS(المبيعات!$F$2:$F$2000,المبيعات!$D$2:$D$2000,A547))</f>
        <v/>
      </c>
      <c r="G547">
        <f>IF(A547="","",E547-F547)</f>
        <v/>
      </c>
      <c r="H547" s="4" t="n"/>
      <c r="I547">
        <f>IF(OR(A547="",H547=""),"",IF(G547&lt;=H547,"اطلب الآن",""))</f>
        <v/>
      </c>
    </row>
    <row r="548">
      <c r="A548" s="4" t="n"/>
      <c r="B548" s="4" t="n"/>
      <c r="C548" s="4" t="n"/>
      <c r="D548" s="4" t="n"/>
      <c r="E548" s="4" t="n"/>
      <c r="F548">
        <f>IF(A548="","",SUMIFS(المبيعات!$F$2:$F$2000,المبيعات!$D$2:$D$2000,A548))</f>
        <v/>
      </c>
      <c r="G548">
        <f>IF(A548="","",E548-F548)</f>
        <v/>
      </c>
      <c r="H548" s="4" t="n"/>
      <c r="I548">
        <f>IF(OR(A548="",H548=""),"",IF(G548&lt;=H548,"اطلب الآن",""))</f>
        <v/>
      </c>
    </row>
    <row r="549">
      <c r="A549" s="4" t="n"/>
      <c r="B549" s="4" t="n"/>
      <c r="C549" s="4" t="n"/>
      <c r="D549" s="4" t="n"/>
      <c r="E549" s="4" t="n"/>
      <c r="F549">
        <f>IF(A549="","",SUMIFS(المبيعات!$F$2:$F$2000,المبيعات!$D$2:$D$2000,A549))</f>
        <v/>
      </c>
      <c r="G549">
        <f>IF(A549="","",E549-F549)</f>
        <v/>
      </c>
      <c r="H549" s="4" t="n"/>
      <c r="I549">
        <f>IF(OR(A549="",H549=""),"",IF(G549&lt;=H549,"اطلب الآن",""))</f>
        <v/>
      </c>
    </row>
    <row r="550">
      <c r="A550" s="4" t="n"/>
      <c r="B550" s="4" t="n"/>
      <c r="C550" s="4" t="n"/>
      <c r="D550" s="4" t="n"/>
      <c r="E550" s="4" t="n"/>
      <c r="F550">
        <f>IF(A550="","",SUMIFS(المبيعات!$F$2:$F$2000,المبيعات!$D$2:$D$2000,A550))</f>
        <v/>
      </c>
      <c r="G550">
        <f>IF(A550="","",E550-F550)</f>
        <v/>
      </c>
      <c r="H550" s="4" t="n"/>
      <c r="I550">
        <f>IF(OR(A550="",H550=""),"",IF(G550&lt;=H550,"اطلب الآن",""))</f>
        <v/>
      </c>
    </row>
    <row r="551">
      <c r="A551" s="4" t="n"/>
      <c r="B551" s="4" t="n"/>
      <c r="C551" s="4" t="n"/>
      <c r="D551" s="4" t="n"/>
      <c r="E551" s="4" t="n"/>
      <c r="F551">
        <f>IF(A551="","",SUMIFS(المبيعات!$F$2:$F$2000,المبيعات!$D$2:$D$2000,A551))</f>
        <v/>
      </c>
      <c r="G551">
        <f>IF(A551="","",E551-F551)</f>
        <v/>
      </c>
      <c r="H551" s="4" t="n"/>
      <c r="I551">
        <f>IF(OR(A551="",H551=""),"",IF(G551&lt;=H551,"اطلب الآن",""))</f>
        <v/>
      </c>
    </row>
    <row r="552">
      <c r="A552" s="4" t="n"/>
      <c r="B552" s="4" t="n"/>
      <c r="C552" s="4" t="n"/>
      <c r="D552" s="4" t="n"/>
      <c r="E552" s="4" t="n"/>
      <c r="F552">
        <f>IF(A552="","",SUMIFS(المبيعات!$F$2:$F$2000,المبيعات!$D$2:$D$2000,A552))</f>
        <v/>
      </c>
      <c r="G552">
        <f>IF(A552="","",E552-F552)</f>
        <v/>
      </c>
      <c r="H552" s="4" t="n"/>
      <c r="I552">
        <f>IF(OR(A552="",H552=""),"",IF(G552&lt;=H552,"اطلب الآن",""))</f>
        <v/>
      </c>
    </row>
    <row r="553">
      <c r="A553" s="4" t="n"/>
      <c r="B553" s="4" t="n"/>
      <c r="C553" s="4" t="n"/>
      <c r="D553" s="4" t="n"/>
      <c r="E553" s="4" t="n"/>
      <c r="F553">
        <f>IF(A553="","",SUMIFS(المبيعات!$F$2:$F$2000,المبيعات!$D$2:$D$2000,A553))</f>
        <v/>
      </c>
      <c r="G553">
        <f>IF(A553="","",E553-F553)</f>
        <v/>
      </c>
      <c r="H553" s="4" t="n"/>
      <c r="I553">
        <f>IF(OR(A553="",H553=""),"",IF(G553&lt;=H553,"اطلب الآن",""))</f>
        <v/>
      </c>
    </row>
    <row r="554">
      <c r="A554" s="4" t="n"/>
      <c r="B554" s="4" t="n"/>
      <c r="C554" s="4" t="n"/>
      <c r="D554" s="4" t="n"/>
      <c r="E554" s="4" t="n"/>
      <c r="F554">
        <f>IF(A554="","",SUMIFS(المبيعات!$F$2:$F$2000,المبيعات!$D$2:$D$2000,A554))</f>
        <v/>
      </c>
      <c r="G554">
        <f>IF(A554="","",E554-F554)</f>
        <v/>
      </c>
      <c r="H554" s="4" t="n"/>
      <c r="I554">
        <f>IF(OR(A554="",H554=""),"",IF(G554&lt;=H554,"اطلب الآن",""))</f>
        <v/>
      </c>
    </row>
    <row r="555">
      <c r="A555" s="4" t="n"/>
      <c r="B555" s="4" t="n"/>
      <c r="C555" s="4" t="n"/>
      <c r="D555" s="4" t="n"/>
      <c r="E555" s="4" t="n"/>
      <c r="F555">
        <f>IF(A555="","",SUMIFS(المبيعات!$F$2:$F$2000,المبيعات!$D$2:$D$2000,A555))</f>
        <v/>
      </c>
      <c r="G555">
        <f>IF(A555="","",E555-F555)</f>
        <v/>
      </c>
      <c r="H555" s="4" t="n"/>
      <c r="I555">
        <f>IF(OR(A555="",H555=""),"",IF(G555&lt;=H555,"اطلب الآن",""))</f>
        <v/>
      </c>
    </row>
    <row r="556">
      <c r="A556" s="4" t="n"/>
      <c r="B556" s="4" t="n"/>
      <c r="C556" s="4" t="n"/>
      <c r="D556" s="4" t="n"/>
      <c r="E556" s="4" t="n"/>
      <c r="F556">
        <f>IF(A556="","",SUMIFS(المبيعات!$F$2:$F$2000,المبيعات!$D$2:$D$2000,A556))</f>
        <v/>
      </c>
      <c r="G556">
        <f>IF(A556="","",E556-F556)</f>
        <v/>
      </c>
      <c r="H556" s="4" t="n"/>
      <c r="I556">
        <f>IF(OR(A556="",H556=""),"",IF(G556&lt;=H556,"اطلب الآن",""))</f>
        <v/>
      </c>
    </row>
    <row r="557">
      <c r="A557" s="4" t="n"/>
      <c r="B557" s="4" t="n"/>
      <c r="C557" s="4" t="n"/>
      <c r="D557" s="4" t="n"/>
      <c r="E557" s="4" t="n"/>
      <c r="F557">
        <f>IF(A557="","",SUMIFS(المبيعات!$F$2:$F$2000,المبيعات!$D$2:$D$2000,A557))</f>
        <v/>
      </c>
      <c r="G557">
        <f>IF(A557="","",E557-F557)</f>
        <v/>
      </c>
      <c r="H557" s="4" t="n"/>
      <c r="I557">
        <f>IF(OR(A557="",H557=""),"",IF(G557&lt;=H557,"اطلب الآن",""))</f>
        <v/>
      </c>
    </row>
    <row r="558">
      <c r="A558" s="4" t="n"/>
      <c r="B558" s="4" t="n"/>
      <c r="C558" s="4" t="n"/>
      <c r="D558" s="4" t="n"/>
      <c r="E558" s="4" t="n"/>
      <c r="F558">
        <f>IF(A558="","",SUMIFS(المبيعات!$F$2:$F$2000,المبيعات!$D$2:$D$2000,A558))</f>
        <v/>
      </c>
      <c r="G558">
        <f>IF(A558="","",E558-F558)</f>
        <v/>
      </c>
      <c r="H558" s="4" t="n"/>
      <c r="I558">
        <f>IF(OR(A558="",H558=""),"",IF(G558&lt;=H558,"اطلب الآن",""))</f>
        <v/>
      </c>
    </row>
    <row r="559">
      <c r="A559" s="4" t="n"/>
      <c r="B559" s="4" t="n"/>
      <c r="C559" s="4" t="n"/>
      <c r="D559" s="4" t="n"/>
      <c r="E559" s="4" t="n"/>
      <c r="F559">
        <f>IF(A559="","",SUMIFS(المبيعات!$F$2:$F$2000,المبيعات!$D$2:$D$2000,A559))</f>
        <v/>
      </c>
      <c r="G559">
        <f>IF(A559="","",E559-F559)</f>
        <v/>
      </c>
      <c r="H559" s="4" t="n"/>
      <c r="I559">
        <f>IF(OR(A559="",H559=""),"",IF(G559&lt;=H559,"اطلب الآن",""))</f>
        <v/>
      </c>
    </row>
    <row r="560">
      <c r="A560" s="4" t="n"/>
      <c r="B560" s="4" t="n"/>
      <c r="C560" s="4" t="n"/>
      <c r="D560" s="4" t="n"/>
      <c r="E560" s="4" t="n"/>
      <c r="F560">
        <f>IF(A560="","",SUMIFS(المبيعات!$F$2:$F$2000,المبيعات!$D$2:$D$2000,A560))</f>
        <v/>
      </c>
      <c r="G560">
        <f>IF(A560="","",E560-F560)</f>
        <v/>
      </c>
      <c r="H560" s="4" t="n"/>
      <c r="I560">
        <f>IF(OR(A560="",H560=""),"",IF(G560&lt;=H560,"اطلب الآن",""))</f>
        <v/>
      </c>
    </row>
    <row r="561">
      <c r="A561" s="4" t="n"/>
      <c r="B561" s="4" t="n"/>
      <c r="C561" s="4" t="n"/>
      <c r="D561" s="4" t="n"/>
      <c r="E561" s="4" t="n"/>
      <c r="F561">
        <f>IF(A561="","",SUMIFS(المبيعات!$F$2:$F$2000,المبيعات!$D$2:$D$2000,A561))</f>
        <v/>
      </c>
      <c r="G561">
        <f>IF(A561="","",E561-F561)</f>
        <v/>
      </c>
      <c r="H561" s="4" t="n"/>
      <c r="I561">
        <f>IF(OR(A561="",H561=""),"",IF(G561&lt;=H561,"اطلب الآن",""))</f>
        <v/>
      </c>
    </row>
    <row r="562">
      <c r="A562" s="4" t="n"/>
      <c r="B562" s="4" t="n"/>
      <c r="C562" s="4" t="n"/>
      <c r="D562" s="4" t="n"/>
      <c r="E562" s="4" t="n"/>
      <c r="F562">
        <f>IF(A562="","",SUMIFS(المبيعات!$F$2:$F$2000,المبيعات!$D$2:$D$2000,A562))</f>
        <v/>
      </c>
      <c r="G562">
        <f>IF(A562="","",E562-F562)</f>
        <v/>
      </c>
      <c r="H562" s="4" t="n"/>
      <c r="I562">
        <f>IF(OR(A562="",H562=""),"",IF(G562&lt;=H562,"اطلب الآن",""))</f>
        <v/>
      </c>
    </row>
    <row r="563">
      <c r="A563" s="4" t="n"/>
      <c r="B563" s="4" t="n"/>
      <c r="C563" s="4" t="n"/>
      <c r="D563" s="4" t="n"/>
      <c r="E563" s="4" t="n"/>
      <c r="F563">
        <f>IF(A563="","",SUMIFS(المبيعات!$F$2:$F$2000,المبيعات!$D$2:$D$2000,A563))</f>
        <v/>
      </c>
      <c r="G563">
        <f>IF(A563="","",E563-F563)</f>
        <v/>
      </c>
      <c r="H563" s="4" t="n"/>
      <c r="I563">
        <f>IF(OR(A563="",H563=""),"",IF(G563&lt;=H563,"اطلب الآن",""))</f>
        <v/>
      </c>
    </row>
    <row r="564">
      <c r="A564" s="4" t="n"/>
      <c r="B564" s="4" t="n"/>
      <c r="C564" s="4" t="n"/>
      <c r="D564" s="4" t="n"/>
      <c r="E564" s="4" t="n"/>
      <c r="F564">
        <f>IF(A564="","",SUMIFS(المبيعات!$F$2:$F$2000,المبيعات!$D$2:$D$2000,A564))</f>
        <v/>
      </c>
      <c r="G564">
        <f>IF(A564="","",E564-F564)</f>
        <v/>
      </c>
      <c r="H564" s="4" t="n"/>
      <c r="I564">
        <f>IF(OR(A564="",H564=""),"",IF(G564&lt;=H564,"اطلب الآن",""))</f>
        <v/>
      </c>
    </row>
    <row r="565">
      <c r="A565" s="4" t="n"/>
      <c r="B565" s="4" t="n"/>
      <c r="C565" s="4" t="n"/>
      <c r="D565" s="4" t="n"/>
      <c r="E565" s="4" t="n"/>
      <c r="F565">
        <f>IF(A565="","",SUMIFS(المبيعات!$F$2:$F$2000,المبيعات!$D$2:$D$2000,A565))</f>
        <v/>
      </c>
      <c r="G565">
        <f>IF(A565="","",E565-F565)</f>
        <v/>
      </c>
      <c r="H565" s="4" t="n"/>
      <c r="I565">
        <f>IF(OR(A565="",H565=""),"",IF(G565&lt;=H565,"اطلب الآن",""))</f>
        <v/>
      </c>
    </row>
    <row r="566">
      <c r="A566" s="4" t="n"/>
      <c r="B566" s="4" t="n"/>
      <c r="C566" s="4" t="n"/>
      <c r="D566" s="4" t="n"/>
      <c r="E566" s="4" t="n"/>
      <c r="F566">
        <f>IF(A566="","",SUMIFS(المبيعات!$F$2:$F$2000,المبيعات!$D$2:$D$2000,A566))</f>
        <v/>
      </c>
      <c r="G566">
        <f>IF(A566="","",E566-F566)</f>
        <v/>
      </c>
      <c r="H566" s="4" t="n"/>
      <c r="I566">
        <f>IF(OR(A566="",H566=""),"",IF(G566&lt;=H566,"اطلب الآن",""))</f>
        <v/>
      </c>
    </row>
    <row r="567">
      <c r="A567" s="4" t="n"/>
      <c r="B567" s="4" t="n"/>
      <c r="C567" s="4" t="n"/>
      <c r="D567" s="4" t="n"/>
      <c r="E567" s="4" t="n"/>
      <c r="F567">
        <f>IF(A567="","",SUMIFS(المبيعات!$F$2:$F$2000,المبيعات!$D$2:$D$2000,A567))</f>
        <v/>
      </c>
      <c r="G567">
        <f>IF(A567="","",E567-F567)</f>
        <v/>
      </c>
      <c r="H567" s="4" t="n"/>
      <c r="I567">
        <f>IF(OR(A567="",H567=""),"",IF(G567&lt;=H567,"اطلب الآن",""))</f>
        <v/>
      </c>
    </row>
    <row r="568">
      <c r="A568" s="4" t="n"/>
      <c r="B568" s="4" t="n"/>
      <c r="C568" s="4" t="n"/>
      <c r="D568" s="4" t="n"/>
      <c r="E568" s="4" t="n"/>
      <c r="F568">
        <f>IF(A568="","",SUMIFS(المبيعات!$F$2:$F$2000,المبيعات!$D$2:$D$2000,A568))</f>
        <v/>
      </c>
      <c r="G568">
        <f>IF(A568="","",E568-F568)</f>
        <v/>
      </c>
      <c r="H568" s="4" t="n"/>
      <c r="I568">
        <f>IF(OR(A568="",H568=""),"",IF(G568&lt;=H568,"اطلب الآن",""))</f>
        <v/>
      </c>
    </row>
    <row r="569">
      <c r="A569" s="4" t="n"/>
      <c r="B569" s="4" t="n"/>
      <c r="C569" s="4" t="n"/>
      <c r="D569" s="4" t="n"/>
      <c r="E569" s="4" t="n"/>
      <c r="F569">
        <f>IF(A569="","",SUMIFS(المبيعات!$F$2:$F$2000,المبيعات!$D$2:$D$2000,A569))</f>
        <v/>
      </c>
      <c r="G569">
        <f>IF(A569="","",E569-F569)</f>
        <v/>
      </c>
      <c r="H569" s="4" t="n"/>
      <c r="I569">
        <f>IF(OR(A569="",H569=""),"",IF(G569&lt;=H569,"اطلب الآن",""))</f>
        <v/>
      </c>
    </row>
    <row r="570">
      <c r="A570" s="4" t="n"/>
      <c r="B570" s="4" t="n"/>
      <c r="C570" s="4" t="n"/>
      <c r="D570" s="4" t="n"/>
      <c r="E570" s="4" t="n"/>
      <c r="F570">
        <f>IF(A570="","",SUMIFS(المبيعات!$F$2:$F$2000,المبيعات!$D$2:$D$2000,A570))</f>
        <v/>
      </c>
      <c r="G570">
        <f>IF(A570="","",E570-F570)</f>
        <v/>
      </c>
      <c r="H570" s="4" t="n"/>
      <c r="I570">
        <f>IF(OR(A570="",H570=""),"",IF(G570&lt;=H570,"اطلب الآن",""))</f>
        <v/>
      </c>
    </row>
    <row r="571">
      <c r="A571" s="4" t="n"/>
      <c r="B571" s="4" t="n"/>
      <c r="C571" s="4" t="n"/>
      <c r="D571" s="4" t="n"/>
      <c r="E571" s="4" t="n"/>
      <c r="F571">
        <f>IF(A571="","",SUMIFS(المبيعات!$F$2:$F$2000,المبيعات!$D$2:$D$2000,A571))</f>
        <v/>
      </c>
      <c r="G571">
        <f>IF(A571="","",E571-F571)</f>
        <v/>
      </c>
      <c r="H571" s="4" t="n"/>
      <c r="I571">
        <f>IF(OR(A571="",H571=""),"",IF(G571&lt;=H571,"اطلب الآن",""))</f>
        <v/>
      </c>
    </row>
    <row r="572">
      <c r="A572" s="4" t="n"/>
      <c r="B572" s="4" t="n"/>
      <c r="C572" s="4" t="n"/>
      <c r="D572" s="4" t="n"/>
      <c r="E572" s="4" t="n"/>
      <c r="F572">
        <f>IF(A572="","",SUMIFS(المبيعات!$F$2:$F$2000,المبيعات!$D$2:$D$2000,A572))</f>
        <v/>
      </c>
      <c r="G572">
        <f>IF(A572="","",E572-F572)</f>
        <v/>
      </c>
      <c r="H572" s="4" t="n"/>
      <c r="I572">
        <f>IF(OR(A572="",H572=""),"",IF(G572&lt;=H572,"اطلب الآن",""))</f>
        <v/>
      </c>
    </row>
    <row r="573">
      <c r="A573" s="4" t="n"/>
      <c r="B573" s="4" t="n"/>
      <c r="C573" s="4" t="n"/>
      <c r="D573" s="4" t="n"/>
      <c r="E573" s="4" t="n"/>
      <c r="F573">
        <f>IF(A573="","",SUMIFS(المبيعات!$F$2:$F$2000,المبيعات!$D$2:$D$2000,A573))</f>
        <v/>
      </c>
      <c r="G573">
        <f>IF(A573="","",E573-F573)</f>
        <v/>
      </c>
      <c r="H573" s="4" t="n"/>
      <c r="I573">
        <f>IF(OR(A573="",H573=""),"",IF(G573&lt;=H573,"اطلب الآن",""))</f>
        <v/>
      </c>
    </row>
    <row r="574">
      <c r="A574" s="4" t="n"/>
      <c r="B574" s="4" t="n"/>
      <c r="C574" s="4" t="n"/>
      <c r="D574" s="4" t="n"/>
      <c r="E574" s="4" t="n"/>
      <c r="F574">
        <f>IF(A574="","",SUMIFS(المبيعات!$F$2:$F$2000,المبيعات!$D$2:$D$2000,A574))</f>
        <v/>
      </c>
      <c r="G574">
        <f>IF(A574="","",E574-F574)</f>
        <v/>
      </c>
      <c r="H574" s="4" t="n"/>
      <c r="I574">
        <f>IF(OR(A574="",H574=""),"",IF(G574&lt;=H574,"اطلب الآن",""))</f>
        <v/>
      </c>
    </row>
    <row r="575">
      <c r="A575" s="4" t="n"/>
      <c r="B575" s="4" t="n"/>
      <c r="C575" s="4" t="n"/>
      <c r="D575" s="4" t="n"/>
      <c r="E575" s="4" t="n"/>
      <c r="F575">
        <f>IF(A575="","",SUMIFS(المبيعات!$F$2:$F$2000,المبيعات!$D$2:$D$2000,A575))</f>
        <v/>
      </c>
      <c r="G575">
        <f>IF(A575="","",E575-F575)</f>
        <v/>
      </c>
      <c r="H575" s="4" t="n"/>
      <c r="I575">
        <f>IF(OR(A575="",H575=""),"",IF(G575&lt;=H575,"اطلب الآن",""))</f>
        <v/>
      </c>
    </row>
    <row r="576">
      <c r="A576" s="4" t="n"/>
      <c r="B576" s="4" t="n"/>
      <c r="C576" s="4" t="n"/>
      <c r="D576" s="4" t="n"/>
      <c r="E576" s="4" t="n"/>
      <c r="F576">
        <f>IF(A576="","",SUMIFS(المبيعات!$F$2:$F$2000,المبيعات!$D$2:$D$2000,A576))</f>
        <v/>
      </c>
      <c r="G576">
        <f>IF(A576="","",E576-F576)</f>
        <v/>
      </c>
      <c r="H576" s="4" t="n"/>
      <c r="I576">
        <f>IF(OR(A576="",H576=""),"",IF(G576&lt;=H576,"اطلب الآن",""))</f>
        <v/>
      </c>
    </row>
    <row r="577">
      <c r="A577" s="4" t="n"/>
      <c r="B577" s="4" t="n"/>
      <c r="C577" s="4" t="n"/>
      <c r="D577" s="4" t="n"/>
      <c r="E577" s="4" t="n"/>
      <c r="F577">
        <f>IF(A577="","",SUMIFS(المبيعات!$F$2:$F$2000,المبيعات!$D$2:$D$2000,A577))</f>
        <v/>
      </c>
      <c r="G577">
        <f>IF(A577="","",E577-F577)</f>
        <v/>
      </c>
      <c r="H577" s="4" t="n"/>
      <c r="I577">
        <f>IF(OR(A577="",H577=""),"",IF(G577&lt;=H577,"اطلب الآن",""))</f>
        <v/>
      </c>
    </row>
    <row r="578">
      <c r="A578" s="4" t="n"/>
      <c r="B578" s="4" t="n"/>
      <c r="C578" s="4" t="n"/>
      <c r="D578" s="4" t="n"/>
      <c r="E578" s="4" t="n"/>
      <c r="F578">
        <f>IF(A578="","",SUMIFS(المبيعات!$F$2:$F$2000,المبيعات!$D$2:$D$2000,A578))</f>
        <v/>
      </c>
      <c r="G578">
        <f>IF(A578="","",E578-F578)</f>
        <v/>
      </c>
      <c r="H578" s="4" t="n"/>
      <c r="I578">
        <f>IF(OR(A578="",H578=""),"",IF(G578&lt;=H578,"اطلب الآن",""))</f>
        <v/>
      </c>
    </row>
    <row r="579">
      <c r="A579" s="4" t="n"/>
      <c r="B579" s="4" t="n"/>
      <c r="C579" s="4" t="n"/>
      <c r="D579" s="4" t="n"/>
      <c r="E579" s="4" t="n"/>
      <c r="F579">
        <f>IF(A579="","",SUMIFS(المبيعات!$F$2:$F$2000,المبيعات!$D$2:$D$2000,A579))</f>
        <v/>
      </c>
      <c r="G579">
        <f>IF(A579="","",E579-F579)</f>
        <v/>
      </c>
      <c r="H579" s="4" t="n"/>
      <c r="I579">
        <f>IF(OR(A579="",H579=""),"",IF(G579&lt;=H579,"اطلب الآن",""))</f>
        <v/>
      </c>
    </row>
    <row r="580">
      <c r="A580" s="4" t="n"/>
      <c r="B580" s="4" t="n"/>
      <c r="C580" s="4" t="n"/>
      <c r="D580" s="4" t="n"/>
      <c r="E580" s="4" t="n"/>
      <c r="F580">
        <f>IF(A580="","",SUMIFS(المبيعات!$F$2:$F$2000,المبيعات!$D$2:$D$2000,A580))</f>
        <v/>
      </c>
      <c r="G580">
        <f>IF(A580="","",E580-F580)</f>
        <v/>
      </c>
      <c r="H580" s="4" t="n"/>
      <c r="I580">
        <f>IF(OR(A580="",H580=""),"",IF(G580&lt;=H580,"اطلب الآن",""))</f>
        <v/>
      </c>
    </row>
    <row r="581">
      <c r="A581" s="4" t="n"/>
      <c r="B581" s="4" t="n"/>
      <c r="C581" s="4" t="n"/>
      <c r="D581" s="4" t="n"/>
      <c r="E581" s="4" t="n"/>
      <c r="F581">
        <f>IF(A581="","",SUMIFS(المبيعات!$F$2:$F$2000,المبيعات!$D$2:$D$2000,A581))</f>
        <v/>
      </c>
      <c r="G581">
        <f>IF(A581="","",E581-F581)</f>
        <v/>
      </c>
      <c r="H581" s="4" t="n"/>
      <c r="I581">
        <f>IF(OR(A581="",H581=""),"",IF(G581&lt;=H581,"اطلب الآن",""))</f>
        <v/>
      </c>
    </row>
    <row r="582">
      <c r="A582" s="4" t="n"/>
      <c r="B582" s="4" t="n"/>
      <c r="C582" s="4" t="n"/>
      <c r="D582" s="4" t="n"/>
      <c r="E582" s="4" t="n"/>
      <c r="F582">
        <f>IF(A582="","",SUMIFS(المبيعات!$F$2:$F$2000,المبيعات!$D$2:$D$2000,A582))</f>
        <v/>
      </c>
      <c r="G582">
        <f>IF(A582="","",E582-F582)</f>
        <v/>
      </c>
      <c r="H582" s="4" t="n"/>
      <c r="I582">
        <f>IF(OR(A582="",H582=""),"",IF(G582&lt;=H582,"اطلب الآن",""))</f>
        <v/>
      </c>
    </row>
    <row r="583">
      <c r="A583" s="4" t="n"/>
      <c r="B583" s="4" t="n"/>
      <c r="C583" s="4" t="n"/>
      <c r="D583" s="4" t="n"/>
      <c r="E583" s="4" t="n"/>
      <c r="F583">
        <f>IF(A583="","",SUMIFS(المبيعات!$F$2:$F$2000,المبيعات!$D$2:$D$2000,A583))</f>
        <v/>
      </c>
      <c r="G583">
        <f>IF(A583="","",E583-F583)</f>
        <v/>
      </c>
      <c r="H583" s="4" t="n"/>
      <c r="I583">
        <f>IF(OR(A583="",H583=""),"",IF(G583&lt;=H583,"اطلب الآن",""))</f>
        <v/>
      </c>
    </row>
    <row r="584">
      <c r="A584" s="4" t="n"/>
      <c r="B584" s="4" t="n"/>
      <c r="C584" s="4" t="n"/>
      <c r="D584" s="4" t="n"/>
      <c r="E584" s="4" t="n"/>
      <c r="F584">
        <f>IF(A584="","",SUMIFS(المبيعات!$F$2:$F$2000,المبيعات!$D$2:$D$2000,A584))</f>
        <v/>
      </c>
      <c r="G584">
        <f>IF(A584="","",E584-F584)</f>
        <v/>
      </c>
      <c r="H584" s="4" t="n"/>
      <c r="I584">
        <f>IF(OR(A584="",H584=""),"",IF(G584&lt;=H584,"اطلب الآن",""))</f>
        <v/>
      </c>
    </row>
    <row r="585">
      <c r="A585" s="4" t="n"/>
      <c r="B585" s="4" t="n"/>
      <c r="C585" s="4" t="n"/>
      <c r="D585" s="4" t="n"/>
      <c r="E585" s="4" t="n"/>
      <c r="F585">
        <f>IF(A585="","",SUMIFS(المبيعات!$F$2:$F$2000,المبيعات!$D$2:$D$2000,A585))</f>
        <v/>
      </c>
      <c r="G585">
        <f>IF(A585="","",E585-F585)</f>
        <v/>
      </c>
      <c r="H585" s="4" t="n"/>
      <c r="I585">
        <f>IF(OR(A585="",H585=""),"",IF(G585&lt;=H585,"اطلب الآن",""))</f>
        <v/>
      </c>
    </row>
    <row r="586">
      <c r="A586" s="4" t="n"/>
      <c r="B586" s="4" t="n"/>
      <c r="C586" s="4" t="n"/>
      <c r="D586" s="4" t="n"/>
      <c r="E586" s="4" t="n"/>
      <c r="F586">
        <f>IF(A586="","",SUMIFS(المبيعات!$F$2:$F$2000,المبيعات!$D$2:$D$2000,A586))</f>
        <v/>
      </c>
      <c r="G586">
        <f>IF(A586="","",E586-F586)</f>
        <v/>
      </c>
      <c r="H586" s="4" t="n"/>
      <c r="I586">
        <f>IF(OR(A586="",H586=""),"",IF(G586&lt;=H586,"اطلب الآن",""))</f>
        <v/>
      </c>
    </row>
    <row r="587">
      <c r="A587" s="4" t="n"/>
      <c r="B587" s="4" t="n"/>
      <c r="C587" s="4" t="n"/>
      <c r="D587" s="4" t="n"/>
      <c r="E587" s="4" t="n"/>
      <c r="F587">
        <f>IF(A587="","",SUMIFS(المبيعات!$F$2:$F$2000,المبيعات!$D$2:$D$2000,A587))</f>
        <v/>
      </c>
      <c r="G587">
        <f>IF(A587="","",E587-F587)</f>
        <v/>
      </c>
      <c r="H587" s="4" t="n"/>
      <c r="I587">
        <f>IF(OR(A587="",H587=""),"",IF(G587&lt;=H587,"اطلب الآن",""))</f>
        <v/>
      </c>
    </row>
    <row r="588">
      <c r="A588" s="4" t="n"/>
      <c r="B588" s="4" t="n"/>
      <c r="C588" s="4" t="n"/>
      <c r="D588" s="4" t="n"/>
      <c r="E588" s="4" t="n"/>
      <c r="F588">
        <f>IF(A588="","",SUMIFS(المبيعات!$F$2:$F$2000,المبيعات!$D$2:$D$2000,A588))</f>
        <v/>
      </c>
      <c r="G588">
        <f>IF(A588="","",E588-F588)</f>
        <v/>
      </c>
      <c r="H588" s="4" t="n"/>
      <c r="I588">
        <f>IF(OR(A588="",H588=""),"",IF(G588&lt;=H588,"اطلب الآن",""))</f>
        <v/>
      </c>
    </row>
    <row r="589">
      <c r="A589" s="4" t="n"/>
      <c r="B589" s="4" t="n"/>
      <c r="C589" s="4" t="n"/>
      <c r="D589" s="4" t="n"/>
      <c r="E589" s="4" t="n"/>
      <c r="F589">
        <f>IF(A589="","",SUMIFS(المبيعات!$F$2:$F$2000,المبيعات!$D$2:$D$2000,A589))</f>
        <v/>
      </c>
      <c r="G589">
        <f>IF(A589="","",E589-F589)</f>
        <v/>
      </c>
      <c r="H589" s="4" t="n"/>
      <c r="I589">
        <f>IF(OR(A589="",H589=""),"",IF(G589&lt;=H589,"اطلب الآن",""))</f>
        <v/>
      </c>
    </row>
    <row r="590">
      <c r="A590" s="4" t="n"/>
      <c r="B590" s="4" t="n"/>
      <c r="C590" s="4" t="n"/>
      <c r="D590" s="4" t="n"/>
      <c r="E590" s="4" t="n"/>
      <c r="F590">
        <f>IF(A590="","",SUMIFS(المبيعات!$F$2:$F$2000,المبيعات!$D$2:$D$2000,A590))</f>
        <v/>
      </c>
      <c r="G590">
        <f>IF(A590="","",E590-F590)</f>
        <v/>
      </c>
      <c r="H590" s="4" t="n"/>
      <c r="I590">
        <f>IF(OR(A590="",H590=""),"",IF(G590&lt;=H590,"اطلب الآن",""))</f>
        <v/>
      </c>
    </row>
    <row r="591">
      <c r="A591" s="4" t="n"/>
      <c r="B591" s="4" t="n"/>
      <c r="C591" s="4" t="n"/>
      <c r="D591" s="4" t="n"/>
      <c r="E591" s="4" t="n"/>
      <c r="F591">
        <f>IF(A591="","",SUMIFS(المبيعات!$F$2:$F$2000,المبيعات!$D$2:$D$2000,A591))</f>
        <v/>
      </c>
      <c r="G591">
        <f>IF(A591="","",E591-F591)</f>
        <v/>
      </c>
      <c r="H591" s="4" t="n"/>
      <c r="I591">
        <f>IF(OR(A591="",H591=""),"",IF(G591&lt;=H591,"اطلب الآن",""))</f>
        <v/>
      </c>
    </row>
    <row r="592">
      <c r="A592" s="4" t="n"/>
      <c r="B592" s="4" t="n"/>
      <c r="C592" s="4" t="n"/>
      <c r="D592" s="4" t="n"/>
      <c r="E592" s="4" t="n"/>
      <c r="F592">
        <f>IF(A592="","",SUMIFS(المبيعات!$F$2:$F$2000,المبيعات!$D$2:$D$2000,A592))</f>
        <v/>
      </c>
      <c r="G592">
        <f>IF(A592="","",E592-F592)</f>
        <v/>
      </c>
      <c r="H592" s="4" t="n"/>
      <c r="I592">
        <f>IF(OR(A592="",H592=""),"",IF(G592&lt;=H592,"اطلب الآن",""))</f>
        <v/>
      </c>
    </row>
    <row r="593">
      <c r="A593" s="4" t="n"/>
      <c r="B593" s="4" t="n"/>
      <c r="C593" s="4" t="n"/>
      <c r="D593" s="4" t="n"/>
      <c r="E593" s="4" t="n"/>
      <c r="F593">
        <f>IF(A593="","",SUMIFS(المبيعات!$F$2:$F$2000,المبيعات!$D$2:$D$2000,A593))</f>
        <v/>
      </c>
      <c r="G593">
        <f>IF(A593="","",E593-F593)</f>
        <v/>
      </c>
      <c r="H593" s="4" t="n"/>
      <c r="I593">
        <f>IF(OR(A593="",H593=""),"",IF(G593&lt;=H593,"اطلب الآن",""))</f>
        <v/>
      </c>
    </row>
    <row r="594">
      <c r="A594" s="4" t="n"/>
      <c r="B594" s="4" t="n"/>
      <c r="C594" s="4" t="n"/>
      <c r="D594" s="4" t="n"/>
      <c r="E594" s="4" t="n"/>
      <c r="F594">
        <f>IF(A594="","",SUMIFS(المبيعات!$F$2:$F$2000,المبيعات!$D$2:$D$2000,A594))</f>
        <v/>
      </c>
      <c r="G594">
        <f>IF(A594="","",E594-F594)</f>
        <v/>
      </c>
      <c r="H594" s="4" t="n"/>
      <c r="I594">
        <f>IF(OR(A594="",H594=""),"",IF(G594&lt;=H594,"اطلب الآن",""))</f>
        <v/>
      </c>
    </row>
    <row r="595">
      <c r="A595" s="4" t="n"/>
      <c r="B595" s="4" t="n"/>
      <c r="C595" s="4" t="n"/>
      <c r="D595" s="4" t="n"/>
      <c r="E595" s="4" t="n"/>
      <c r="F595">
        <f>IF(A595="","",SUMIFS(المبيعات!$F$2:$F$2000,المبيعات!$D$2:$D$2000,A595))</f>
        <v/>
      </c>
      <c r="G595">
        <f>IF(A595="","",E595-F595)</f>
        <v/>
      </c>
      <c r="H595" s="4" t="n"/>
      <c r="I595">
        <f>IF(OR(A595="",H595=""),"",IF(G595&lt;=H595,"اطلب الآن",""))</f>
        <v/>
      </c>
    </row>
    <row r="596">
      <c r="A596" s="4" t="n"/>
      <c r="B596" s="4" t="n"/>
      <c r="C596" s="4" t="n"/>
      <c r="D596" s="4" t="n"/>
      <c r="E596" s="4" t="n"/>
      <c r="F596">
        <f>IF(A596="","",SUMIFS(المبيعات!$F$2:$F$2000,المبيعات!$D$2:$D$2000,A596))</f>
        <v/>
      </c>
      <c r="G596">
        <f>IF(A596="","",E596-F596)</f>
        <v/>
      </c>
      <c r="H596" s="4" t="n"/>
      <c r="I596">
        <f>IF(OR(A596="",H596=""),"",IF(G596&lt;=H596,"اطلب الآن",""))</f>
        <v/>
      </c>
    </row>
    <row r="597">
      <c r="A597" s="4" t="n"/>
      <c r="B597" s="4" t="n"/>
      <c r="C597" s="4" t="n"/>
      <c r="D597" s="4" t="n"/>
      <c r="E597" s="4" t="n"/>
      <c r="F597">
        <f>IF(A597="","",SUMIFS(المبيعات!$F$2:$F$2000,المبيعات!$D$2:$D$2000,A597))</f>
        <v/>
      </c>
      <c r="G597">
        <f>IF(A597="","",E597-F597)</f>
        <v/>
      </c>
      <c r="H597" s="4" t="n"/>
      <c r="I597">
        <f>IF(OR(A597="",H597=""),"",IF(G597&lt;=H597,"اطلب الآن",""))</f>
        <v/>
      </c>
    </row>
    <row r="598">
      <c r="A598" s="4" t="n"/>
      <c r="B598" s="4" t="n"/>
      <c r="C598" s="4" t="n"/>
      <c r="D598" s="4" t="n"/>
      <c r="E598" s="4" t="n"/>
      <c r="F598">
        <f>IF(A598="","",SUMIFS(المبيعات!$F$2:$F$2000,المبيعات!$D$2:$D$2000,A598))</f>
        <v/>
      </c>
      <c r="G598">
        <f>IF(A598="","",E598-F598)</f>
        <v/>
      </c>
      <c r="H598" s="4" t="n"/>
      <c r="I598">
        <f>IF(OR(A598="",H598=""),"",IF(G598&lt;=H598,"اطلب الآن",""))</f>
        <v/>
      </c>
    </row>
    <row r="599">
      <c r="A599" s="4" t="n"/>
      <c r="B599" s="4" t="n"/>
      <c r="C599" s="4" t="n"/>
      <c r="D599" s="4" t="n"/>
      <c r="E599" s="4" t="n"/>
      <c r="F599">
        <f>IF(A599="","",SUMIFS(المبيعات!$F$2:$F$2000,المبيعات!$D$2:$D$2000,A599))</f>
        <v/>
      </c>
      <c r="G599">
        <f>IF(A599="","",E599-F599)</f>
        <v/>
      </c>
      <c r="H599" s="4" t="n"/>
      <c r="I599">
        <f>IF(OR(A599="",H599=""),"",IF(G599&lt;=H599,"اطلب الآن",""))</f>
        <v/>
      </c>
    </row>
    <row r="600">
      <c r="A600" s="4" t="n"/>
      <c r="B600" s="4" t="n"/>
      <c r="C600" s="4" t="n"/>
      <c r="D600" s="4" t="n"/>
      <c r="E600" s="4" t="n"/>
      <c r="F600">
        <f>IF(A600="","",SUMIFS(المبيعات!$F$2:$F$2000,المبيعات!$D$2:$D$2000,A600))</f>
        <v/>
      </c>
      <c r="G600">
        <f>IF(A600="","",E600-F600)</f>
        <v/>
      </c>
      <c r="H600" s="4" t="n"/>
      <c r="I600">
        <f>IF(OR(A600="",H600=""),"",IF(G600&lt;=H600,"اطلب الآن",""))</f>
        <v/>
      </c>
    </row>
    <row r="601">
      <c r="A601" s="4" t="n"/>
      <c r="B601" s="4" t="n"/>
      <c r="C601" s="4" t="n"/>
      <c r="D601" s="4" t="n"/>
      <c r="E601" s="4" t="n"/>
      <c r="F601">
        <f>IF(A601="","",SUMIFS(المبيعات!$F$2:$F$2000,المبيعات!$D$2:$D$2000,A601))</f>
        <v/>
      </c>
      <c r="G601">
        <f>IF(A601="","",E601-F601)</f>
        <v/>
      </c>
      <c r="H601" s="4" t="n"/>
      <c r="I601">
        <f>IF(OR(A601="",H601=""),"",IF(G601&lt;=H601,"اطلب الآن",""))</f>
        <v/>
      </c>
    </row>
    <row r="602">
      <c r="A602" s="4" t="n"/>
      <c r="B602" s="4" t="n"/>
      <c r="C602" s="4" t="n"/>
      <c r="D602" s="4" t="n"/>
      <c r="E602" s="4" t="n"/>
      <c r="F602">
        <f>IF(A602="","",SUMIFS(المبيعات!$F$2:$F$2000,المبيعات!$D$2:$D$2000,A602))</f>
        <v/>
      </c>
      <c r="G602">
        <f>IF(A602="","",E602-F602)</f>
        <v/>
      </c>
      <c r="H602" s="4" t="n"/>
      <c r="I602">
        <f>IF(OR(A602="",H602=""),"",IF(G602&lt;=H602,"اطلب الآن",""))</f>
        <v/>
      </c>
    </row>
    <row r="603">
      <c r="A603" s="4" t="n"/>
      <c r="B603" s="4" t="n"/>
      <c r="C603" s="4" t="n"/>
      <c r="D603" s="4" t="n"/>
      <c r="E603" s="4" t="n"/>
      <c r="F603">
        <f>IF(A603="","",SUMIFS(المبيعات!$F$2:$F$2000,المبيعات!$D$2:$D$2000,A603))</f>
        <v/>
      </c>
      <c r="G603">
        <f>IF(A603="","",E603-F603)</f>
        <v/>
      </c>
      <c r="H603" s="4" t="n"/>
      <c r="I603">
        <f>IF(OR(A603="",H603=""),"",IF(G603&lt;=H603,"اطلب الآن",""))</f>
        <v/>
      </c>
    </row>
    <row r="604">
      <c r="A604" s="4" t="n"/>
      <c r="B604" s="4" t="n"/>
      <c r="C604" s="4" t="n"/>
      <c r="D604" s="4" t="n"/>
      <c r="E604" s="4" t="n"/>
      <c r="F604">
        <f>IF(A604="","",SUMIFS(المبيعات!$F$2:$F$2000,المبيعات!$D$2:$D$2000,A604))</f>
        <v/>
      </c>
      <c r="G604">
        <f>IF(A604="","",E604-F604)</f>
        <v/>
      </c>
      <c r="H604" s="4" t="n"/>
      <c r="I604">
        <f>IF(OR(A604="",H604=""),"",IF(G604&lt;=H604,"اطلب الآن",""))</f>
        <v/>
      </c>
    </row>
    <row r="605">
      <c r="A605" s="4" t="n"/>
      <c r="B605" s="4" t="n"/>
      <c r="C605" s="4" t="n"/>
      <c r="D605" s="4" t="n"/>
      <c r="E605" s="4" t="n"/>
      <c r="F605">
        <f>IF(A605="","",SUMIFS(المبيعات!$F$2:$F$2000,المبيعات!$D$2:$D$2000,A605))</f>
        <v/>
      </c>
      <c r="G605">
        <f>IF(A605="","",E605-F605)</f>
        <v/>
      </c>
      <c r="H605" s="4" t="n"/>
      <c r="I605">
        <f>IF(OR(A605="",H605=""),"",IF(G605&lt;=H605,"اطلب الآن",""))</f>
        <v/>
      </c>
    </row>
    <row r="606">
      <c r="A606" s="4" t="n"/>
      <c r="B606" s="4" t="n"/>
      <c r="C606" s="4" t="n"/>
      <c r="D606" s="4" t="n"/>
      <c r="E606" s="4" t="n"/>
      <c r="F606">
        <f>IF(A606="","",SUMIFS(المبيعات!$F$2:$F$2000,المبيعات!$D$2:$D$2000,A606))</f>
        <v/>
      </c>
      <c r="G606">
        <f>IF(A606="","",E606-F606)</f>
        <v/>
      </c>
      <c r="H606" s="4" t="n"/>
      <c r="I606">
        <f>IF(OR(A606="",H606=""),"",IF(G606&lt;=H606,"اطلب الآن",""))</f>
        <v/>
      </c>
    </row>
    <row r="607">
      <c r="A607" s="4" t="n"/>
      <c r="B607" s="4" t="n"/>
      <c r="C607" s="4" t="n"/>
      <c r="D607" s="4" t="n"/>
      <c r="E607" s="4" t="n"/>
      <c r="F607">
        <f>IF(A607="","",SUMIFS(المبيعات!$F$2:$F$2000,المبيعات!$D$2:$D$2000,A607))</f>
        <v/>
      </c>
      <c r="G607">
        <f>IF(A607="","",E607-F607)</f>
        <v/>
      </c>
      <c r="H607" s="4" t="n"/>
      <c r="I607">
        <f>IF(OR(A607="",H607=""),"",IF(G607&lt;=H607,"اطلب الآن",""))</f>
        <v/>
      </c>
    </row>
    <row r="608">
      <c r="A608" s="4" t="n"/>
      <c r="B608" s="4" t="n"/>
      <c r="C608" s="4" t="n"/>
      <c r="D608" s="4" t="n"/>
      <c r="E608" s="4" t="n"/>
      <c r="F608">
        <f>IF(A608="","",SUMIFS(المبيعات!$F$2:$F$2000,المبيعات!$D$2:$D$2000,A608))</f>
        <v/>
      </c>
      <c r="G608">
        <f>IF(A608="","",E608-F608)</f>
        <v/>
      </c>
      <c r="H608" s="4" t="n"/>
      <c r="I608">
        <f>IF(OR(A608="",H608=""),"",IF(G608&lt;=H608,"اطلب الآن",""))</f>
        <v/>
      </c>
    </row>
    <row r="609">
      <c r="A609" s="4" t="n"/>
      <c r="B609" s="4" t="n"/>
      <c r="C609" s="4" t="n"/>
      <c r="D609" s="4" t="n"/>
      <c r="E609" s="4" t="n"/>
      <c r="F609">
        <f>IF(A609="","",SUMIFS(المبيعات!$F$2:$F$2000,المبيعات!$D$2:$D$2000,A609))</f>
        <v/>
      </c>
      <c r="G609">
        <f>IF(A609="","",E609-F609)</f>
        <v/>
      </c>
      <c r="H609" s="4" t="n"/>
      <c r="I609">
        <f>IF(OR(A609="",H609=""),"",IF(G609&lt;=H609,"اطلب الآن",""))</f>
        <v/>
      </c>
    </row>
    <row r="610">
      <c r="A610" s="4" t="n"/>
      <c r="B610" s="4" t="n"/>
      <c r="C610" s="4" t="n"/>
      <c r="D610" s="4" t="n"/>
      <c r="E610" s="4" t="n"/>
      <c r="F610">
        <f>IF(A610="","",SUMIFS(المبيعات!$F$2:$F$2000,المبيعات!$D$2:$D$2000,A610))</f>
        <v/>
      </c>
      <c r="G610">
        <f>IF(A610="","",E610-F610)</f>
        <v/>
      </c>
      <c r="H610" s="4" t="n"/>
      <c r="I610">
        <f>IF(OR(A610="",H610=""),"",IF(G610&lt;=H610,"اطلب الآن",""))</f>
        <v/>
      </c>
    </row>
    <row r="611">
      <c r="A611" s="4" t="n"/>
      <c r="B611" s="4" t="n"/>
      <c r="C611" s="4" t="n"/>
      <c r="D611" s="4" t="n"/>
      <c r="E611" s="4" t="n"/>
      <c r="F611">
        <f>IF(A611="","",SUMIFS(المبيعات!$F$2:$F$2000,المبيعات!$D$2:$D$2000,A611))</f>
        <v/>
      </c>
      <c r="G611">
        <f>IF(A611="","",E611-F611)</f>
        <v/>
      </c>
      <c r="H611" s="4" t="n"/>
      <c r="I611">
        <f>IF(OR(A611="",H611=""),"",IF(G611&lt;=H611,"اطلب الآن",""))</f>
        <v/>
      </c>
    </row>
    <row r="612">
      <c r="A612" s="4" t="n"/>
      <c r="B612" s="4" t="n"/>
      <c r="C612" s="4" t="n"/>
      <c r="D612" s="4" t="n"/>
      <c r="E612" s="4" t="n"/>
      <c r="F612">
        <f>IF(A612="","",SUMIFS(المبيعات!$F$2:$F$2000,المبيعات!$D$2:$D$2000,A612))</f>
        <v/>
      </c>
      <c r="G612">
        <f>IF(A612="","",E612-F612)</f>
        <v/>
      </c>
      <c r="H612" s="4" t="n"/>
      <c r="I612">
        <f>IF(OR(A612="",H612=""),"",IF(G612&lt;=H612,"اطلب الآن",""))</f>
        <v/>
      </c>
    </row>
    <row r="613">
      <c r="A613" s="4" t="n"/>
      <c r="B613" s="4" t="n"/>
      <c r="C613" s="4" t="n"/>
      <c r="D613" s="4" t="n"/>
      <c r="E613" s="4" t="n"/>
      <c r="F613">
        <f>IF(A613="","",SUMIFS(المبيعات!$F$2:$F$2000,المبيعات!$D$2:$D$2000,A613))</f>
        <v/>
      </c>
      <c r="G613">
        <f>IF(A613="","",E613-F613)</f>
        <v/>
      </c>
      <c r="H613" s="4" t="n"/>
      <c r="I613">
        <f>IF(OR(A613="",H613=""),"",IF(G613&lt;=H613,"اطلب الآن",""))</f>
        <v/>
      </c>
    </row>
    <row r="614">
      <c r="A614" s="4" t="n"/>
      <c r="B614" s="4" t="n"/>
      <c r="C614" s="4" t="n"/>
      <c r="D614" s="4" t="n"/>
      <c r="E614" s="4" t="n"/>
      <c r="F614">
        <f>IF(A614="","",SUMIFS(المبيعات!$F$2:$F$2000,المبيعات!$D$2:$D$2000,A614))</f>
        <v/>
      </c>
      <c r="G614">
        <f>IF(A614="","",E614-F614)</f>
        <v/>
      </c>
      <c r="H614" s="4" t="n"/>
      <c r="I614">
        <f>IF(OR(A614="",H614=""),"",IF(G614&lt;=H614,"اطلب الآن",""))</f>
        <v/>
      </c>
    </row>
    <row r="615">
      <c r="A615" s="4" t="n"/>
      <c r="B615" s="4" t="n"/>
      <c r="C615" s="4" t="n"/>
      <c r="D615" s="4" t="n"/>
      <c r="E615" s="4" t="n"/>
      <c r="F615">
        <f>IF(A615="","",SUMIFS(المبيعات!$F$2:$F$2000,المبيعات!$D$2:$D$2000,A615))</f>
        <v/>
      </c>
      <c r="G615">
        <f>IF(A615="","",E615-F615)</f>
        <v/>
      </c>
      <c r="H615" s="4" t="n"/>
      <c r="I615">
        <f>IF(OR(A615="",H615=""),"",IF(G615&lt;=H615,"اطلب الآن",""))</f>
        <v/>
      </c>
    </row>
    <row r="616">
      <c r="A616" s="4" t="n"/>
      <c r="B616" s="4" t="n"/>
      <c r="C616" s="4" t="n"/>
      <c r="D616" s="4" t="n"/>
      <c r="E616" s="4" t="n"/>
      <c r="F616">
        <f>IF(A616="","",SUMIFS(المبيعات!$F$2:$F$2000,المبيعات!$D$2:$D$2000,A616))</f>
        <v/>
      </c>
      <c r="G616">
        <f>IF(A616="","",E616-F616)</f>
        <v/>
      </c>
      <c r="H616" s="4" t="n"/>
      <c r="I616">
        <f>IF(OR(A616="",H616=""),"",IF(G616&lt;=H616,"اطلب الآن",""))</f>
        <v/>
      </c>
    </row>
    <row r="617">
      <c r="A617" s="4" t="n"/>
      <c r="B617" s="4" t="n"/>
      <c r="C617" s="4" t="n"/>
      <c r="D617" s="4" t="n"/>
      <c r="E617" s="4" t="n"/>
      <c r="F617">
        <f>IF(A617="","",SUMIFS(المبيعات!$F$2:$F$2000,المبيعات!$D$2:$D$2000,A617))</f>
        <v/>
      </c>
      <c r="G617">
        <f>IF(A617="","",E617-F617)</f>
        <v/>
      </c>
      <c r="H617" s="4" t="n"/>
      <c r="I617">
        <f>IF(OR(A617="",H617=""),"",IF(G617&lt;=H617,"اطلب الآن",""))</f>
        <v/>
      </c>
    </row>
    <row r="618">
      <c r="A618" s="4" t="n"/>
      <c r="B618" s="4" t="n"/>
      <c r="C618" s="4" t="n"/>
      <c r="D618" s="4" t="n"/>
      <c r="E618" s="4" t="n"/>
      <c r="F618">
        <f>IF(A618="","",SUMIFS(المبيعات!$F$2:$F$2000,المبيعات!$D$2:$D$2000,A618))</f>
        <v/>
      </c>
      <c r="G618">
        <f>IF(A618="","",E618-F618)</f>
        <v/>
      </c>
      <c r="H618" s="4" t="n"/>
      <c r="I618">
        <f>IF(OR(A618="",H618=""),"",IF(G618&lt;=H618,"اطلب الآن",""))</f>
        <v/>
      </c>
    </row>
    <row r="619">
      <c r="A619" s="4" t="n"/>
      <c r="B619" s="4" t="n"/>
      <c r="C619" s="4" t="n"/>
      <c r="D619" s="4" t="n"/>
      <c r="E619" s="4" t="n"/>
      <c r="F619">
        <f>IF(A619="","",SUMIFS(المبيعات!$F$2:$F$2000,المبيعات!$D$2:$D$2000,A619))</f>
        <v/>
      </c>
      <c r="G619">
        <f>IF(A619="","",E619-F619)</f>
        <v/>
      </c>
      <c r="H619" s="4" t="n"/>
      <c r="I619">
        <f>IF(OR(A619="",H619=""),"",IF(G619&lt;=H619,"اطلب الآن",""))</f>
        <v/>
      </c>
    </row>
    <row r="620">
      <c r="A620" s="4" t="n"/>
      <c r="B620" s="4" t="n"/>
      <c r="C620" s="4" t="n"/>
      <c r="D620" s="4" t="n"/>
      <c r="E620" s="4" t="n"/>
      <c r="F620">
        <f>IF(A620="","",SUMIFS(المبيعات!$F$2:$F$2000,المبيعات!$D$2:$D$2000,A620))</f>
        <v/>
      </c>
      <c r="G620">
        <f>IF(A620="","",E620-F620)</f>
        <v/>
      </c>
      <c r="H620" s="4" t="n"/>
      <c r="I620">
        <f>IF(OR(A620="",H620=""),"",IF(G620&lt;=H620,"اطلب الآن",""))</f>
        <v/>
      </c>
    </row>
    <row r="621">
      <c r="A621" s="4" t="n"/>
      <c r="B621" s="4" t="n"/>
      <c r="C621" s="4" t="n"/>
      <c r="D621" s="4" t="n"/>
      <c r="E621" s="4" t="n"/>
      <c r="F621">
        <f>IF(A621="","",SUMIFS(المبيعات!$F$2:$F$2000,المبيعات!$D$2:$D$2000,A621))</f>
        <v/>
      </c>
      <c r="G621">
        <f>IF(A621="","",E621-F621)</f>
        <v/>
      </c>
      <c r="H621" s="4" t="n"/>
      <c r="I621">
        <f>IF(OR(A621="",H621=""),"",IF(G621&lt;=H621,"اطلب الآن",""))</f>
        <v/>
      </c>
    </row>
    <row r="622">
      <c r="A622" s="4" t="n"/>
      <c r="B622" s="4" t="n"/>
      <c r="C622" s="4" t="n"/>
      <c r="D622" s="4" t="n"/>
      <c r="E622" s="4" t="n"/>
      <c r="F622">
        <f>IF(A622="","",SUMIFS(المبيعات!$F$2:$F$2000,المبيعات!$D$2:$D$2000,A622))</f>
        <v/>
      </c>
      <c r="G622">
        <f>IF(A622="","",E622-F622)</f>
        <v/>
      </c>
      <c r="H622" s="4" t="n"/>
      <c r="I622">
        <f>IF(OR(A622="",H622=""),"",IF(G622&lt;=H622,"اطلب الآن",""))</f>
        <v/>
      </c>
    </row>
    <row r="623">
      <c r="A623" s="4" t="n"/>
      <c r="B623" s="4" t="n"/>
      <c r="C623" s="4" t="n"/>
      <c r="D623" s="4" t="n"/>
      <c r="E623" s="4" t="n"/>
      <c r="F623">
        <f>IF(A623="","",SUMIFS(المبيعات!$F$2:$F$2000,المبيعات!$D$2:$D$2000,A623))</f>
        <v/>
      </c>
      <c r="G623">
        <f>IF(A623="","",E623-F623)</f>
        <v/>
      </c>
      <c r="H623" s="4" t="n"/>
      <c r="I623">
        <f>IF(OR(A623="",H623=""),"",IF(G623&lt;=H623,"اطلب الآن",""))</f>
        <v/>
      </c>
    </row>
    <row r="624">
      <c r="A624" s="4" t="n"/>
      <c r="B624" s="4" t="n"/>
      <c r="C624" s="4" t="n"/>
      <c r="D624" s="4" t="n"/>
      <c r="E624" s="4" t="n"/>
      <c r="F624">
        <f>IF(A624="","",SUMIFS(المبيعات!$F$2:$F$2000,المبيعات!$D$2:$D$2000,A624))</f>
        <v/>
      </c>
      <c r="G624">
        <f>IF(A624="","",E624-F624)</f>
        <v/>
      </c>
      <c r="H624" s="4" t="n"/>
      <c r="I624">
        <f>IF(OR(A624="",H624=""),"",IF(G624&lt;=H624,"اطلب الآن",""))</f>
        <v/>
      </c>
    </row>
    <row r="625">
      <c r="A625" s="4" t="n"/>
      <c r="B625" s="4" t="n"/>
      <c r="C625" s="4" t="n"/>
      <c r="D625" s="4" t="n"/>
      <c r="E625" s="4" t="n"/>
      <c r="F625">
        <f>IF(A625="","",SUMIFS(المبيعات!$F$2:$F$2000,المبيعات!$D$2:$D$2000,A625))</f>
        <v/>
      </c>
      <c r="G625">
        <f>IF(A625="","",E625-F625)</f>
        <v/>
      </c>
      <c r="H625" s="4" t="n"/>
      <c r="I625">
        <f>IF(OR(A625="",H625=""),"",IF(G625&lt;=H625,"اطلب الآن",""))</f>
        <v/>
      </c>
    </row>
    <row r="626">
      <c r="A626" s="4" t="n"/>
      <c r="B626" s="4" t="n"/>
      <c r="C626" s="4" t="n"/>
      <c r="D626" s="4" t="n"/>
      <c r="E626" s="4" t="n"/>
      <c r="F626">
        <f>IF(A626="","",SUMIFS(المبيعات!$F$2:$F$2000,المبيعات!$D$2:$D$2000,A626))</f>
        <v/>
      </c>
      <c r="G626">
        <f>IF(A626="","",E626-F626)</f>
        <v/>
      </c>
      <c r="H626" s="4" t="n"/>
      <c r="I626">
        <f>IF(OR(A626="",H626=""),"",IF(G626&lt;=H626,"اطلب الآن",""))</f>
        <v/>
      </c>
    </row>
    <row r="627">
      <c r="A627" s="4" t="n"/>
      <c r="B627" s="4" t="n"/>
      <c r="C627" s="4" t="n"/>
      <c r="D627" s="4" t="n"/>
      <c r="E627" s="4" t="n"/>
      <c r="F627">
        <f>IF(A627="","",SUMIFS(المبيعات!$F$2:$F$2000,المبيعات!$D$2:$D$2000,A627))</f>
        <v/>
      </c>
      <c r="G627">
        <f>IF(A627="","",E627-F627)</f>
        <v/>
      </c>
      <c r="H627" s="4" t="n"/>
      <c r="I627">
        <f>IF(OR(A627="",H627=""),"",IF(G627&lt;=H627,"اطلب الآن",""))</f>
        <v/>
      </c>
    </row>
    <row r="628">
      <c r="A628" s="4" t="n"/>
      <c r="B628" s="4" t="n"/>
      <c r="C628" s="4" t="n"/>
      <c r="D628" s="4" t="n"/>
      <c r="E628" s="4" t="n"/>
      <c r="F628">
        <f>IF(A628="","",SUMIFS(المبيعات!$F$2:$F$2000,المبيعات!$D$2:$D$2000,A628))</f>
        <v/>
      </c>
      <c r="G628">
        <f>IF(A628="","",E628-F628)</f>
        <v/>
      </c>
      <c r="H628" s="4" t="n"/>
      <c r="I628">
        <f>IF(OR(A628="",H628=""),"",IF(G628&lt;=H628,"اطلب الآن",""))</f>
        <v/>
      </c>
    </row>
    <row r="629">
      <c r="A629" s="4" t="n"/>
      <c r="B629" s="4" t="n"/>
      <c r="C629" s="4" t="n"/>
      <c r="D629" s="4" t="n"/>
      <c r="E629" s="4" t="n"/>
      <c r="F629">
        <f>IF(A629="","",SUMIFS(المبيعات!$F$2:$F$2000,المبيعات!$D$2:$D$2000,A629))</f>
        <v/>
      </c>
      <c r="G629">
        <f>IF(A629="","",E629-F629)</f>
        <v/>
      </c>
      <c r="H629" s="4" t="n"/>
      <c r="I629">
        <f>IF(OR(A629="",H629=""),"",IF(G629&lt;=H629,"اطلب الآن",""))</f>
        <v/>
      </c>
    </row>
    <row r="630">
      <c r="A630" s="4" t="n"/>
      <c r="B630" s="4" t="n"/>
      <c r="C630" s="4" t="n"/>
      <c r="D630" s="4" t="n"/>
      <c r="E630" s="4" t="n"/>
      <c r="F630">
        <f>IF(A630="","",SUMIFS(المبيعات!$F$2:$F$2000,المبيعات!$D$2:$D$2000,A630))</f>
        <v/>
      </c>
      <c r="G630">
        <f>IF(A630="","",E630-F630)</f>
        <v/>
      </c>
      <c r="H630" s="4" t="n"/>
      <c r="I630">
        <f>IF(OR(A630="",H630=""),"",IF(G630&lt;=H630,"اطلب الآن",""))</f>
        <v/>
      </c>
    </row>
    <row r="631">
      <c r="A631" s="4" t="n"/>
      <c r="B631" s="4" t="n"/>
      <c r="C631" s="4" t="n"/>
      <c r="D631" s="4" t="n"/>
      <c r="E631" s="4" t="n"/>
      <c r="F631">
        <f>IF(A631="","",SUMIFS(المبيعات!$F$2:$F$2000,المبيعات!$D$2:$D$2000,A631))</f>
        <v/>
      </c>
      <c r="G631">
        <f>IF(A631="","",E631-F631)</f>
        <v/>
      </c>
      <c r="H631" s="4" t="n"/>
      <c r="I631">
        <f>IF(OR(A631="",H631=""),"",IF(G631&lt;=H631,"اطلب الآن",""))</f>
        <v/>
      </c>
    </row>
    <row r="632">
      <c r="A632" s="4" t="n"/>
      <c r="B632" s="4" t="n"/>
      <c r="C632" s="4" t="n"/>
      <c r="D632" s="4" t="n"/>
      <c r="E632" s="4" t="n"/>
      <c r="F632">
        <f>IF(A632="","",SUMIFS(المبيعات!$F$2:$F$2000,المبيعات!$D$2:$D$2000,A632))</f>
        <v/>
      </c>
      <c r="G632">
        <f>IF(A632="","",E632-F632)</f>
        <v/>
      </c>
      <c r="H632" s="4" t="n"/>
      <c r="I632">
        <f>IF(OR(A632="",H632=""),"",IF(G632&lt;=H632,"اطلب الآن",""))</f>
        <v/>
      </c>
    </row>
    <row r="633">
      <c r="A633" s="4" t="n"/>
      <c r="B633" s="4" t="n"/>
      <c r="C633" s="4" t="n"/>
      <c r="D633" s="4" t="n"/>
      <c r="E633" s="4" t="n"/>
      <c r="F633">
        <f>IF(A633="","",SUMIFS(المبيعات!$F$2:$F$2000,المبيعات!$D$2:$D$2000,A633))</f>
        <v/>
      </c>
      <c r="G633">
        <f>IF(A633="","",E633-F633)</f>
        <v/>
      </c>
      <c r="H633" s="4" t="n"/>
      <c r="I633">
        <f>IF(OR(A633="",H633=""),"",IF(G633&lt;=H633,"اطلب الآن",""))</f>
        <v/>
      </c>
    </row>
    <row r="634">
      <c r="A634" s="4" t="n"/>
      <c r="B634" s="4" t="n"/>
      <c r="C634" s="4" t="n"/>
      <c r="D634" s="4" t="n"/>
      <c r="E634" s="4" t="n"/>
      <c r="F634">
        <f>IF(A634="","",SUMIFS(المبيعات!$F$2:$F$2000,المبيعات!$D$2:$D$2000,A634))</f>
        <v/>
      </c>
      <c r="G634">
        <f>IF(A634="","",E634-F634)</f>
        <v/>
      </c>
      <c r="H634" s="4" t="n"/>
      <c r="I634">
        <f>IF(OR(A634="",H634=""),"",IF(G634&lt;=H634,"اطلب الآن",""))</f>
        <v/>
      </c>
    </row>
    <row r="635">
      <c r="A635" s="4" t="n"/>
      <c r="B635" s="4" t="n"/>
      <c r="C635" s="4" t="n"/>
      <c r="D635" s="4" t="n"/>
      <c r="E635" s="4" t="n"/>
      <c r="F635">
        <f>IF(A635="","",SUMIFS(المبيعات!$F$2:$F$2000,المبيعات!$D$2:$D$2000,A635))</f>
        <v/>
      </c>
      <c r="G635">
        <f>IF(A635="","",E635-F635)</f>
        <v/>
      </c>
      <c r="H635" s="4" t="n"/>
      <c r="I635">
        <f>IF(OR(A635="",H635=""),"",IF(G635&lt;=H635,"اطلب الآن",""))</f>
        <v/>
      </c>
    </row>
    <row r="636">
      <c r="A636" s="4" t="n"/>
      <c r="B636" s="4" t="n"/>
      <c r="C636" s="4" t="n"/>
      <c r="D636" s="4" t="n"/>
      <c r="E636" s="4" t="n"/>
      <c r="F636">
        <f>IF(A636="","",SUMIFS(المبيعات!$F$2:$F$2000,المبيعات!$D$2:$D$2000,A636))</f>
        <v/>
      </c>
      <c r="G636">
        <f>IF(A636="","",E636-F636)</f>
        <v/>
      </c>
      <c r="H636" s="4" t="n"/>
      <c r="I636">
        <f>IF(OR(A636="",H636=""),"",IF(G636&lt;=H636,"اطلب الآن",""))</f>
        <v/>
      </c>
    </row>
    <row r="637">
      <c r="A637" s="4" t="n"/>
      <c r="B637" s="4" t="n"/>
      <c r="C637" s="4" t="n"/>
      <c r="D637" s="4" t="n"/>
      <c r="E637" s="4" t="n"/>
      <c r="F637">
        <f>IF(A637="","",SUMIFS(المبيعات!$F$2:$F$2000,المبيعات!$D$2:$D$2000,A637))</f>
        <v/>
      </c>
      <c r="G637">
        <f>IF(A637="","",E637-F637)</f>
        <v/>
      </c>
      <c r="H637" s="4" t="n"/>
      <c r="I637">
        <f>IF(OR(A637="",H637=""),"",IF(G637&lt;=H637,"اطلب الآن",""))</f>
        <v/>
      </c>
    </row>
    <row r="638">
      <c r="A638" s="4" t="n"/>
      <c r="B638" s="4" t="n"/>
      <c r="C638" s="4" t="n"/>
      <c r="D638" s="4" t="n"/>
      <c r="E638" s="4" t="n"/>
      <c r="F638">
        <f>IF(A638="","",SUMIFS(المبيعات!$F$2:$F$2000,المبيعات!$D$2:$D$2000,A638))</f>
        <v/>
      </c>
      <c r="G638">
        <f>IF(A638="","",E638-F638)</f>
        <v/>
      </c>
      <c r="H638" s="4" t="n"/>
      <c r="I638">
        <f>IF(OR(A638="",H638=""),"",IF(G638&lt;=H638,"اطلب الآن",""))</f>
        <v/>
      </c>
    </row>
    <row r="639">
      <c r="A639" s="4" t="n"/>
      <c r="B639" s="4" t="n"/>
      <c r="C639" s="4" t="n"/>
      <c r="D639" s="4" t="n"/>
      <c r="E639" s="4" t="n"/>
      <c r="F639">
        <f>IF(A639="","",SUMIFS(المبيعات!$F$2:$F$2000,المبيعات!$D$2:$D$2000,A639))</f>
        <v/>
      </c>
      <c r="G639">
        <f>IF(A639="","",E639-F639)</f>
        <v/>
      </c>
      <c r="H639" s="4" t="n"/>
      <c r="I639">
        <f>IF(OR(A639="",H639=""),"",IF(G639&lt;=H639,"اطلب الآن",""))</f>
        <v/>
      </c>
    </row>
    <row r="640">
      <c r="A640" s="4" t="n"/>
      <c r="B640" s="4" t="n"/>
      <c r="C640" s="4" t="n"/>
      <c r="D640" s="4" t="n"/>
      <c r="E640" s="4" t="n"/>
      <c r="F640">
        <f>IF(A640="","",SUMIFS(المبيعات!$F$2:$F$2000,المبيعات!$D$2:$D$2000,A640))</f>
        <v/>
      </c>
      <c r="G640">
        <f>IF(A640="","",E640-F640)</f>
        <v/>
      </c>
      <c r="H640" s="4" t="n"/>
      <c r="I640">
        <f>IF(OR(A640="",H640=""),"",IF(G640&lt;=H640,"اطلب الآن",""))</f>
        <v/>
      </c>
    </row>
    <row r="641">
      <c r="A641" s="4" t="n"/>
      <c r="B641" s="4" t="n"/>
      <c r="C641" s="4" t="n"/>
      <c r="D641" s="4" t="n"/>
      <c r="E641" s="4" t="n"/>
      <c r="F641">
        <f>IF(A641="","",SUMIFS(المبيعات!$F$2:$F$2000,المبيعات!$D$2:$D$2000,A641))</f>
        <v/>
      </c>
      <c r="G641">
        <f>IF(A641="","",E641-F641)</f>
        <v/>
      </c>
      <c r="H641" s="4" t="n"/>
      <c r="I641">
        <f>IF(OR(A641="",H641=""),"",IF(G641&lt;=H641,"اطلب الآن",""))</f>
        <v/>
      </c>
    </row>
    <row r="642">
      <c r="A642" s="4" t="n"/>
      <c r="B642" s="4" t="n"/>
      <c r="C642" s="4" t="n"/>
      <c r="D642" s="4" t="n"/>
      <c r="E642" s="4" t="n"/>
      <c r="F642">
        <f>IF(A642="","",SUMIFS(المبيعات!$F$2:$F$2000,المبيعات!$D$2:$D$2000,A642))</f>
        <v/>
      </c>
      <c r="G642">
        <f>IF(A642="","",E642-F642)</f>
        <v/>
      </c>
      <c r="H642" s="4" t="n"/>
      <c r="I642">
        <f>IF(OR(A642="",H642=""),"",IF(G642&lt;=H642,"اطلب الآن",""))</f>
        <v/>
      </c>
    </row>
    <row r="643">
      <c r="A643" s="4" t="n"/>
      <c r="B643" s="4" t="n"/>
      <c r="C643" s="4" t="n"/>
      <c r="D643" s="4" t="n"/>
      <c r="E643" s="4" t="n"/>
      <c r="F643">
        <f>IF(A643="","",SUMIFS(المبيعات!$F$2:$F$2000,المبيعات!$D$2:$D$2000,A643))</f>
        <v/>
      </c>
      <c r="G643">
        <f>IF(A643="","",E643-F643)</f>
        <v/>
      </c>
      <c r="H643" s="4" t="n"/>
      <c r="I643">
        <f>IF(OR(A643="",H643=""),"",IF(G643&lt;=H643,"اطلب الآن",""))</f>
        <v/>
      </c>
    </row>
    <row r="644">
      <c r="A644" s="4" t="n"/>
      <c r="B644" s="4" t="n"/>
      <c r="C644" s="4" t="n"/>
      <c r="D644" s="4" t="n"/>
      <c r="E644" s="4" t="n"/>
      <c r="F644">
        <f>IF(A644="","",SUMIFS(المبيعات!$F$2:$F$2000,المبيعات!$D$2:$D$2000,A644))</f>
        <v/>
      </c>
      <c r="G644">
        <f>IF(A644="","",E644-F644)</f>
        <v/>
      </c>
      <c r="H644" s="4" t="n"/>
      <c r="I644">
        <f>IF(OR(A644="",H644=""),"",IF(G644&lt;=H644,"اطلب الآن",""))</f>
        <v/>
      </c>
    </row>
    <row r="645">
      <c r="A645" s="4" t="n"/>
      <c r="B645" s="4" t="n"/>
      <c r="C645" s="4" t="n"/>
      <c r="D645" s="4" t="n"/>
      <c r="E645" s="4" t="n"/>
      <c r="F645">
        <f>IF(A645="","",SUMIFS(المبيعات!$F$2:$F$2000,المبيعات!$D$2:$D$2000,A645))</f>
        <v/>
      </c>
      <c r="G645">
        <f>IF(A645="","",E645-F645)</f>
        <v/>
      </c>
      <c r="H645" s="4" t="n"/>
      <c r="I645">
        <f>IF(OR(A645="",H645=""),"",IF(G645&lt;=H645,"اطلب الآن",""))</f>
        <v/>
      </c>
    </row>
    <row r="646">
      <c r="A646" s="4" t="n"/>
      <c r="B646" s="4" t="n"/>
      <c r="C646" s="4" t="n"/>
      <c r="D646" s="4" t="n"/>
      <c r="E646" s="4" t="n"/>
      <c r="F646">
        <f>IF(A646="","",SUMIFS(المبيعات!$F$2:$F$2000,المبيعات!$D$2:$D$2000,A646))</f>
        <v/>
      </c>
      <c r="G646">
        <f>IF(A646="","",E646-F646)</f>
        <v/>
      </c>
      <c r="H646" s="4" t="n"/>
      <c r="I646">
        <f>IF(OR(A646="",H646=""),"",IF(G646&lt;=H646,"اطلب الآن",""))</f>
        <v/>
      </c>
    </row>
    <row r="647">
      <c r="A647" s="4" t="n"/>
      <c r="B647" s="4" t="n"/>
      <c r="C647" s="4" t="n"/>
      <c r="D647" s="4" t="n"/>
      <c r="E647" s="4" t="n"/>
      <c r="F647">
        <f>IF(A647="","",SUMIFS(المبيعات!$F$2:$F$2000,المبيعات!$D$2:$D$2000,A647))</f>
        <v/>
      </c>
      <c r="G647">
        <f>IF(A647="","",E647-F647)</f>
        <v/>
      </c>
      <c r="H647" s="4" t="n"/>
      <c r="I647">
        <f>IF(OR(A647="",H647=""),"",IF(G647&lt;=H647,"اطلب الآن",""))</f>
        <v/>
      </c>
    </row>
    <row r="648">
      <c r="A648" s="4" t="n"/>
      <c r="B648" s="4" t="n"/>
      <c r="C648" s="4" t="n"/>
      <c r="D648" s="4" t="n"/>
      <c r="E648" s="4" t="n"/>
      <c r="F648">
        <f>IF(A648="","",SUMIFS(المبيعات!$F$2:$F$2000,المبيعات!$D$2:$D$2000,A648))</f>
        <v/>
      </c>
      <c r="G648">
        <f>IF(A648="","",E648-F648)</f>
        <v/>
      </c>
      <c r="H648" s="4" t="n"/>
      <c r="I648">
        <f>IF(OR(A648="",H648=""),"",IF(G648&lt;=H648,"اطلب الآن",""))</f>
        <v/>
      </c>
    </row>
    <row r="649">
      <c r="A649" s="4" t="n"/>
      <c r="B649" s="4" t="n"/>
      <c r="C649" s="4" t="n"/>
      <c r="D649" s="4" t="n"/>
      <c r="E649" s="4" t="n"/>
      <c r="F649">
        <f>IF(A649="","",SUMIFS(المبيعات!$F$2:$F$2000,المبيعات!$D$2:$D$2000,A649))</f>
        <v/>
      </c>
      <c r="G649">
        <f>IF(A649="","",E649-F649)</f>
        <v/>
      </c>
      <c r="H649" s="4" t="n"/>
      <c r="I649">
        <f>IF(OR(A649="",H649=""),"",IF(G649&lt;=H649,"اطلب الآن",""))</f>
        <v/>
      </c>
    </row>
    <row r="650">
      <c r="A650" s="4" t="n"/>
      <c r="B650" s="4" t="n"/>
      <c r="C650" s="4" t="n"/>
      <c r="D650" s="4" t="n"/>
      <c r="E650" s="4" t="n"/>
      <c r="F650">
        <f>IF(A650="","",SUMIFS(المبيعات!$F$2:$F$2000,المبيعات!$D$2:$D$2000,A650))</f>
        <v/>
      </c>
      <c r="G650">
        <f>IF(A650="","",E650-F650)</f>
        <v/>
      </c>
      <c r="H650" s="4" t="n"/>
      <c r="I650">
        <f>IF(OR(A650="",H650=""),"",IF(G650&lt;=H650,"اطلب الآن",""))</f>
        <v/>
      </c>
    </row>
    <row r="651">
      <c r="A651" s="4" t="n"/>
      <c r="B651" s="4" t="n"/>
      <c r="C651" s="4" t="n"/>
      <c r="D651" s="4" t="n"/>
      <c r="E651" s="4" t="n"/>
      <c r="F651">
        <f>IF(A651="","",SUMIFS(المبيعات!$F$2:$F$2000,المبيعات!$D$2:$D$2000,A651))</f>
        <v/>
      </c>
      <c r="G651">
        <f>IF(A651="","",E651-F651)</f>
        <v/>
      </c>
      <c r="H651" s="4" t="n"/>
      <c r="I651">
        <f>IF(OR(A651="",H651=""),"",IF(G651&lt;=H651,"اطلب الآن",""))</f>
        <v/>
      </c>
    </row>
    <row r="652">
      <c r="A652" s="4" t="n"/>
      <c r="B652" s="4" t="n"/>
      <c r="C652" s="4" t="n"/>
      <c r="D652" s="4" t="n"/>
      <c r="E652" s="4" t="n"/>
      <c r="F652">
        <f>IF(A652="","",SUMIFS(المبيعات!$F$2:$F$2000,المبيعات!$D$2:$D$2000,A652))</f>
        <v/>
      </c>
      <c r="G652">
        <f>IF(A652="","",E652-F652)</f>
        <v/>
      </c>
      <c r="H652" s="4" t="n"/>
      <c r="I652">
        <f>IF(OR(A652="",H652=""),"",IF(G652&lt;=H652,"اطلب الآن",""))</f>
        <v/>
      </c>
    </row>
    <row r="653">
      <c r="A653" s="4" t="n"/>
      <c r="B653" s="4" t="n"/>
      <c r="C653" s="4" t="n"/>
      <c r="D653" s="4" t="n"/>
      <c r="E653" s="4" t="n"/>
      <c r="F653">
        <f>IF(A653="","",SUMIFS(المبيعات!$F$2:$F$2000,المبيعات!$D$2:$D$2000,A653))</f>
        <v/>
      </c>
      <c r="G653">
        <f>IF(A653="","",E653-F653)</f>
        <v/>
      </c>
      <c r="H653" s="4" t="n"/>
      <c r="I653">
        <f>IF(OR(A653="",H653=""),"",IF(G653&lt;=H653,"اطلب الآن",""))</f>
        <v/>
      </c>
    </row>
    <row r="654">
      <c r="A654" s="4" t="n"/>
      <c r="B654" s="4" t="n"/>
      <c r="C654" s="4" t="n"/>
      <c r="D654" s="4" t="n"/>
      <c r="E654" s="4" t="n"/>
      <c r="F654">
        <f>IF(A654="","",SUMIFS(المبيعات!$F$2:$F$2000,المبيعات!$D$2:$D$2000,A654))</f>
        <v/>
      </c>
      <c r="G654">
        <f>IF(A654="","",E654-F654)</f>
        <v/>
      </c>
      <c r="H654" s="4" t="n"/>
      <c r="I654">
        <f>IF(OR(A654="",H654=""),"",IF(G654&lt;=H654,"اطلب الآن",""))</f>
        <v/>
      </c>
    </row>
    <row r="655">
      <c r="A655" s="4" t="n"/>
      <c r="B655" s="4" t="n"/>
      <c r="C655" s="4" t="n"/>
      <c r="D655" s="4" t="n"/>
      <c r="E655" s="4" t="n"/>
      <c r="F655">
        <f>IF(A655="","",SUMIFS(المبيعات!$F$2:$F$2000,المبيعات!$D$2:$D$2000,A655))</f>
        <v/>
      </c>
      <c r="G655">
        <f>IF(A655="","",E655-F655)</f>
        <v/>
      </c>
      <c r="H655" s="4" t="n"/>
      <c r="I655">
        <f>IF(OR(A655="",H655=""),"",IF(G655&lt;=H655,"اطلب الآن",""))</f>
        <v/>
      </c>
    </row>
    <row r="656">
      <c r="A656" s="4" t="n"/>
      <c r="B656" s="4" t="n"/>
      <c r="C656" s="4" t="n"/>
      <c r="D656" s="4" t="n"/>
      <c r="E656" s="4" t="n"/>
      <c r="F656">
        <f>IF(A656="","",SUMIFS(المبيعات!$F$2:$F$2000,المبيعات!$D$2:$D$2000,A656))</f>
        <v/>
      </c>
      <c r="G656">
        <f>IF(A656="","",E656-F656)</f>
        <v/>
      </c>
      <c r="H656" s="4" t="n"/>
      <c r="I656">
        <f>IF(OR(A656="",H656=""),"",IF(G656&lt;=H656,"اطلب الآن",""))</f>
        <v/>
      </c>
    </row>
    <row r="657">
      <c r="A657" s="4" t="n"/>
      <c r="B657" s="4" t="n"/>
      <c r="C657" s="4" t="n"/>
      <c r="D657" s="4" t="n"/>
      <c r="E657" s="4" t="n"/>
      <c r="F657">
        <f>IF(A657="","",SUMIFS(المبيعات!$F$2:$F$2000,المبيعات!$D$2:$D$2000,A657))</f>
        <v/>
      </c>
      <c r="G657">
        <f>IF(A657="","",E657-F657)</f>
        <v/>
      </c>
      <c r="H657" s="4" t="n"/>
      <c r="I657">
        <f>IF(OR(A657="",H657=""),"",IF(G657&lt;=H657,"اطلب الآن",""))</f>
        <v/>
      </c>
    </row>
    <row r="658">
      <c r="A658" s="4" t="n"/>
      <c r="B658" s="4" t="n"/>
      <c r="C658" s="4" t="n"/>
      <c r="D658" s="4" t="n"/>
      <c r="E658" s="4" t="n"/>
      <c r="F658">
        <f>IF(A658="","",SUMIFS(المبيعات!$F$2:$F$2000,المبيعات!$D$2:$D$2000,A658))</f>
        <v/>
      </c>
      <c r="G658">
        <f>IF(A658="","",E658-F658)</f>
        <v/>
      </c>
      <c r="H658" s="4" t="n"/>
      <c r="I658">
        <f>IF(OR(A658="",H658=""),"",IF(G658&lt;=H658,"اطلب الآن",""))</f>
        <v/>
      </c>
    </row>
    <row r="659">
      <c r="A659" s="4" t="n"/>
      <c r="B659" s="4" t="n"/>
      <c r="C659" s="4" t="n"/>
      <c r="D659" s="4" t="n"/>
      <c r="E659" s="4" t="n"/>
      <c r="F659">
        <f>IF(A659="","",SUMIFS(المبيعات!$F$2:$F$2000,المبيعات!$D$2:$D$2000,A659))</f>
        <v/>
      </c>
      <c r="G659">
        <f>IF(A659="","",E659-F659)</f>
        <v/>
      </c>
      <c r="H659" s="4" t="n"/>
      <c r="I659">
        <f>IF(OR(A659="",H659=""),"",IF(G659&lt;=H659,"اطلب الآن",""))</f>
        <v/>
      </c>
    </row>
    <row r="660">
      <c r="A660" s="4" t="n"/>
      <c r="B660" s="4" t="n"/>
      <c r="C660" s="4" t="n"/>
      <c r="D660" s="4" t="n"/>
      <c r="E660" s="4" t="n"/>
      <c r="F660">
        <f>IF(A660="","",SUMIFS(المبيعات!$F$2:$F$2000,المبيعات!$D$2:$D$2000,A660))</f>
        <v/>
      </c>
      <c r="G660">
        <f>IF(A660="","",E660-F660)</f>
        <v/>
      </c>
      <c r="H660" s="4" t="n"/>
      <c r="I660">
        <f>IF(OR(A660="",H660=""),"",IF(G660&lt;=H660,"اطلب الآن",""))</f>
        <v/>
      </c>
    </row>
    <row r="661">
      <c r="A661" s="4" t="n"/>
      <c r="B661" s="4" t="n"/>
      <c r="C661" s="4" t="n"/>
      <c r="D661" s="4" t="n"/>
      <c r="E661" s="4" t="n"/>
      <c r="F661">
        <f>IF(A661="","",SUMIFS(المبيعات!$F$2:$F$2000,المبيعات!$D$2:$D$2000,A661))</f>
        <v/>
      </c>
      <c r="G661">
        <f>IF(A661="","",E661-F661)</f>
        <v/>
      </c>
      <c r="H661" s="4" t="n"/>
      <c r="I661">
        <f>IF(OR(A661="",H661=""),"",IF(G661&lt;=H661,"اطلب الآن",""))</f>
        <v/>
      </c>
    </row>
    <row r="662">
      <c r="A662" s="4" t="n"/>
      <c r="B662" s="4" t="n"/>
      <c r="C662" s="4" t="n"/>
      <c r="D662" s="4" t="n"/>
      <c r="E662" s="4" t="n"/>
      <c r="F662">
        <f>IF(A662="","",SUMIFS(المبيعات!$F$2:$F$2000,المبيعات!$D$2:$D$2000,A662))</f>
        <v/>
      </c>
      <c r="G662">
        <f>IF(A662="","",E662-F662)</f>
        <v/>
      </c>
      <c r="H662" s="4" t="n"/>
      <c r="I662">
        <f>IF(OR(A662="",H662=""),"",IF(G662&lt;=H662,"اطلب الآن",""))</f>
        <v/>
      </c>
    </row>
    <row r="663">
      <c r="A663" s="4" t="n"/>
      <c r="B663" s="4" t="n"/>
      <c r="C663" s="4" t="n"/>
      <c r="D663" s="4" t="n"/>
      <c r="E663" s="4" t="n"/>
      <c r="F663">
        <f>IF(A663="","",SUMIFS(المبيعات!$F$2:$F$2000,المبيعات!$D$2:$D$2000,A663))</f>
        <v/>
      </c>
      <c r="G663">
        <f>IF(A663="","",E663-F663)</f>
        <v/>
      </c>
      <c r="H663" s="4" t="n"/>
      <c r="I663">
        <f>IF(OR(A663="",H663=""),"",IF(G663&lt;=H663,"اطلب الآن",""))</f>
        <v/>
      </c>
    </row>
    <row r="664">
      <c r="A664" s="4" t="n"/>
      <c r="B664" s="4" t="n"/>
      <c r="C664" s="4" t="n"/>
      <c r="D664" s="4" t="n"/>
      <c r="E664" s="4" t="n"/>
      <c r="F664">
        <f>IF(A664="","",SUMIFS(المبيعات!$F$2:$F$2000,المبيعات!$D$2:$D$2000,A664))</f>
        <v/>
      </c>
      <c r="G664">
        <f>IF(A664="","",E664-F664)</f>
        <v/>
      </c>
      <c r="H664" s="4" t="n"/>
      <c r="I664">
        <f>IF(OR(A664="",H664=""),"",IF(G664&lt;=H664,"اطلب الآن",""))</f>
        <v/>
      </c>
    </row>
    <row r="665">
      <c r="A665" s="4" t="n"/>
      <c r="B665" s="4" t="n"/>
      <c r="C665" s="4" t="n"/>
      <c r="D665" s="4" t="n"/>
      <c r="E665" s="4" t="n"/>
      <c r="F665">
        <f>IF(A665="","",SUMIFS(المبيعات!$F$2:$F$2000,المبيعات!$D$2:$D$2000,A665))</f>
        <v/>
      </c>
      <c r="G665">
        <f>IF(A665="","",E665-F665)</f>
        <v/>
      </c>
      <c r="H665" s="4" t="n"/>
      <c r="I665">
        <f>IF(OR(A665="",H665=""),"",IF(G665&lt;=H665,"اطلب الآن",""))</f>
        <v/>
      </c>
    </row>
    <row r="666">
      <c r="A666" s="4" t="n"/>
      <c r="B666" s="4" t="n"/>
      <c r="C666" s="4" t="n"/>
      <c r="D666" s="4" t="n"/>
      <c r="E666" s="4" t="n"/>
      <c r="F666">
        <f>IF(A666="","",SUMIFS(المبيعات!$F$2:$F$2000,المبيعات!$D$2:$D$2000,A666))</f>
        <v/>
      </c>
      <c r="G666">
        <f>IF(A666="","",E666-F666)</f>
        <v/>
      </c>
      <c r="H666" s="4" t="n"/>
      <c r="I666">
        <f>IF(OR(A666="",H666=""),"",IF(G666&lt;=H666,"اطلب الآن",""))</f>
        <v/>
      </c>
    </row>
    <row r="667">
      <c r="A667" s="4" t="n"/>
      <c r="B667" s="4" t="n"/>
      <c r="C667" s="4" t="n"/>
      <c r="D667" s="4" t="n"/>
      <c r="E667" s="4" t="n"/>
      <c r="F667">
        <f>IF(A667="","",SUMIFS(المبيعات!$F$2:$F$2000,المبيعات!$D$2:$D$2000,A667))</f>
        <v/>
      </c>
      <c r="G667">
        <f>IF(A667="","",E667-F667)</f>
        <v/>
      </c>
      <c r="H667" s="4" t="n"/>
      <c r="I667">
        <f>IF(OR(A667="",H667=""),"",IF(G667&lt;=H667,"اطلب الآن",""))</f>
        <v/>
      </c>
    </row>
    <row r="668">
      <c r="A668" s="4" t="n"/>
      <c r="B668" s="4" t="n"/>
      <c r="C668" s="4" t="n"/>
      <c r="D668" s="4" t="n"/>
      <c r="E668" s="4" t="n"/>
      <c r="F668">
        <f>IF(A668="","",SUMIFS(المبيعات!$F$2:$F$2000,المبيعات!$D$2:$D$2000,A668))</f>
        <v/>
      </c>
      <c r="G668">
        <f>IF(A668="","",E668-F668)</f>
        <v/>
      </c>
      <c r="H668" s="4" t="n"/>
      <c r="I668">
        <f>IF(OR(A668="",H668=""),"",IF(G668&lt;=H668,"اطلب الآن",""))</f>
        <v/>
      </c>
    </row>
    <row r="669">
      <c r="A669" s="4" t="n"/>
      <c r="B669" s="4" t="n"/>
      <c r="C669" s="4" t="n"/>
      <c r="D669" s="4" t="n"/>
      <c r="E669" s="4" t="n"/>
      <c r="F669">
        <f>IF(A669="","",SUMIFS(المبيعات!$F$2:$F$2000,المبيعات!$D$2:$D$2000,A669))</f>
        <v/>
      </c>
      <c r="G669">
        <f>IF(A669="","",E669-F669)</f>
        <v/>
      </c>
      <c r="H669" s="4" t="n"/>
      <c r="I669">
        <f>IF(OR(A669="",H669=""),"",IF(G669&lt;=H669,"اطلب الآن",""))</f>
        <v/>
      </c>
    </row>
    <row r="670">
      <c r="A670" s="4" t="n"/>
      <c r="B670" s="4" t="n"/>
      <c r="C670" s="4" t="n"/>
      <c r="D670" s="4" t="n"/>
      <c r="E670" s="4" t="n"/>
      <c r="F670">
        <f>IF(A670="","",SUMIFS(المبيعات!$F$2:$F$2000,المبيعات!$D$2:$D$2000,A670))</f>
        <v/>
      </c>
      <c r="G670">
        <f>IF(A670="","",E670-F670)</f>
        <v/>
      </c>
      <c r="H670" s="4" t="n"/>
      <c r="I670">
        <f>IF(OR(A670="",H670=""),"",IF(G670&lt;=H670,"اطلب الآن",""))</f>
        <v/>
      </c>
    </row>
    <row r="671">
      <c r="A671" s="4" t="n"/>
      <c r="B671" s="4" t="n"/>
      <c r="C671" s="4" t="n"/>
      <c r="D671" s="4" t="n"/>
      <c r="E671" s="4" t="n"/>
      <c r="F671">
        <f>IF(A671="","",SUMIFS(المبيعات!$F$2:$F$2000,المبيعات!$D$2:$D$2000,A671))</f>
        <v/>
      </c>
      <c r="G671">
        <f>IF(A671="","",E671-F671)</f>
        <v/>
      </c>
      <c r="H671" s="4" t="n"/>
      <c r="I671">
        <f>IF(OR(A671="",H671=""),"",IF(G671&lt;=H671,"اطلب الآن",""))</f>
        <v/>
      </c>
    </row>
    <row r="672">
      <c r="A672" s="4" t="n"/>
      <c r="B672" s="4" t="n"/>
      <c r="C672" s="4" t="n"/>
      <c r="D672" s="4" t="n"/>
      <c r="E672" s="4" t="n"/>
      <c r="F672">
        <f>IF(A672="","",SUMIFS(المبيعات!$F$2:$F$2000,المبيعات!$D$2:$D$2000,A672))</f>
        <v/>
      </c>
      <c r="G672">
        <f>IF(A672="","",E672-F672)</f>
        <v/>
      </c>
      <c r="H672" s="4" t="n"/>
      <c r="I672">
        <f>IF(OR(A672="",H672=""),"",IF(G672&lt;=H672,"اطلب الآن",""))</f>
        <v/>
      </c>
    </row>
    <row r="673">
      <c r="A673" s="4" t="n"/>
      <c r="B673" s="4" t="n"/>
      <c r="C673" s="4" t="n"/>
      <c r="D673" s="4" t="n"/>
      <c r="E673" s="4" t="n"/>
      <c r="F673">
        <f>IF(A673="","",SUMIFS(المبيعات!$F$2:$F$2000,المبيعات!$D$2:$D$2000,A673))</f>
        <v/>
      </c>
      <c r="G673">
        <f>IF(A673="","",E673-F673)</f>
        <v/>
      </c>
      <c r="H673" s="4" t="n"/>
      <c r="I673">
        <f>IF(OR(A673="",H673=""),"",IF(G673&lt;=H673,"اطلب الآن",""))</f>
        <v/>
      </c>
    </row>
    <row r="674">
      <c r="A674" s="4" t="n"/>
      <c r="B674" s="4" t="n"/>
      <c r="C674" s="4" t="n"/>
      <c r="D674" s="4" t="n"/>
      <c r="E674" s="4" t="n"/>
      <c r="F674">
        <f>IF(A674="","",SUMIFS(المبيعات!$F$2:$F$2000,المبيعات!$D$2:$D$2000,A674))</f>
        <v/>
      </c>
      <c r="G674">
        <f>IF(A674="","",E674-F674)</f>
        <v/>
      </c>
      <c r="H674" s="4" t="n"/>
      <c r="I674">
        <f>IF(OR(A674="",H674=""),"",IF(G674&lt;=H674,"اطلب الآن",""))</f>
        <v/>
      </c>
    </row>
    <row r="675">
      <c r="A675" s="4" t="n"/>
      <c r="B675" s="4" t="n"/>
      <c r="C675" s="4" t="n"/>
      <c r="D675" s="4" t="n"/>
      <c r="E675" s="4" t="n"/>
      <c r="F675">
        <f>IF(A675="","",SUMIFS(المبيعات!$F$2:$F$2000,المبيعات!$D$2:$D$2000,A675))</f>
        <v/>
      </c>
      <c r="G675">
        <f>IF(A675="","",E675-F675)</f>
        <v/>
      </c>
      <c r="H675" s="4" t="n"/>
      <c r="I675">
        <f>IF(OR(A675="",H675=""),"",IF(G675&lt;=H675,"اطلب الآن",""))</f>
        <v/>
      </c>
    </row>
    <row r="676">
      <c r="A676" s="4" t="n"/>
      <c r="B676" s="4" t="n"/>
      <c r="C676" s="4" t="n"/>
      <c r="D676" s="4" t="n"/>
      <c r="E676" s="4" t="n"/>
      <c r="F676">
        <f>IF(A676="","",SUMIFS(المبيعات!$F$2:$F$2000,المبيعات!$D$2:$D$2000,A676))</f>
        <v/>
      </c>
      <c r="G676">
        <f>IF(A676="","",E676-F676)</f>
        <v/>
      </c>
      <c r="H676" s="4" t="n"/>
      <c r="I676">
        <f>IF(OR(A676="",H676=""),"",IF(G676&lt;=H676,"اطلب الآن",""))</f>
        <v/>
      </c>
    </row>
    <row r="677">
      <c r="A677" s="4" t="n"/>
      <c r="B677" s="4" t="n"/>
      <c r="C677" s="4" t="n"/>
      <c r="D677" s="4" t="n"/>
      <c r="E677" s="4" t="n"/>
      <c r="F677">
        <f>IF(A677="","",SUMIFS(المبيعات!$F$2:$F$2000,المبيعات!$D$2:$D$2000,A677))</f>
        <v/>
      </c>
      <c r="G677">
        <f>IF(A677="","",E677-F677)</f>
        <v/>
      </c>
      <c r="H677" s="4" t="n"/>
      <c r="I677">
        <f>IF(OR(A677="",H677=""),"",IF(G677&lt;=H677,"اطلب الآن",""))</f>
        <v/>
      </c>
    </row>
    <row r="678">
      <c r="A678" s="4" t="n"/>
      <c r="B678" s="4" t="n"/>
      <c r="C678" s="4" t="n"/>
      <c r="D678" s="4" t="n"/>
      <c r="E678" s="4" t="n"/>
      <c r="F678">
        <f>IF(A678="","",SUMIFS(المبيعات!$F$2:$F$2000,المبيعات!$D$2:$D$2000,A678))</f>
        <v/>
      </c>
      <c r="G678">
        <f>IF(A678="","",E678-F678)</f>
        <v/>
      </c>
      <c r="H678" s="4" t="n"/>
      <c r="I678">
        <f>IF(OR(A678="",H678=""),"",IF(G678&lt;=H678,"اطلب الآن",""))</f>
        <v/>
      </c>
    </row>
    <row r="679">
      <c r="A679" s="4" t="n"/>
      <c r="B679" s="4" t="n"/>
      <c r="C679" s="4" t="n"/>
      <c r="D679" s="4" t="n"/>
      <c r="E679" s="4" t="n"/>
      <c r="F679">
        <f>IF(A679="","",SUMIFS(المبيعات!$F$2:$F$2000,المبيعات!$D$2:$D$2000,A679))</f>
        <v/>
      </c>
      <c r="G679">
        <f>IF(A679="","",E679-F679)</f>
        <v/>
      </c>
      <c r="H679" s="4" t="n"/>
      <c r="I679">
        <f>IF(OR(A679="",H679=""),"",IF(G679&lt;=H679,"اطلب الآن",""))</f>
        <v/>
      </c>
    </row>
    <row r="680">
      <c r="A680" s="4" t="n"/>
      <c r="B680" s="4" t="n"/>
      <c r="C680" s="4" t="n"/>
      <c r="D680" s="4" t="n"/>
      <c r="E680" s="4" t="n"/>
      <c r="F680">
        <f>IF(A680="","",SUMIFS(المبيعات!$F$2:$F$2000,المبيعات!$D$2:$D$2000,A680))</f>
        <v/>
      </c>
      <c r="G680">
        <f>IF(A680="","",E680-F680)</f>
        <v/>
      </c>
      <c r="H680" s="4" t="n"/>
      <c r="I680">
        <f>IF(OR(A680="",H680=""),"",IF(G680&lt;=H680,"اطلب الآن",""))</f>
        <v/>
      </c>
    </row>
    <row r="681">
      <c r="A681" s="4" t="n"/>
      <c r="B681" s="4" t="n"/>
      <c r="C681" s="4" t="n"/>
      <c r="D681" s="4" t="n"/>
      <c r="E681" s="4" t="n"/>
      <c r="F681">
        <f>IF(A681="","",SUMIFS(المبيعات!$F$2:$F$2000,المبيعات!$D$2:$D$2000,A681))</f>
        <v/>
      </c>
      <c r="G681">
        <f>IF(A681="","",E681-F681)</f>
        <v/>
      </c>
      <c r="H681" s="4" t="n"/>
      <c r="I681">
        <f>IF(OR(A681="",H681=""),"",IF(G681&lt;=H681,"اطلب الآن",""))</f>
        <v/>
      </c>
    </row>
    <row r="682">
      <c r="A682" s="4" t="n"/>
      <c r="B682" s="4" t="n"/>
      <c r="C682" s="4" t="n"/>
      <c r="D682" s="4" t="n"/>
      <c r="E682" s="4" t="n"/>
      <c r="F682">
        <f>IF(A682="","",SUMIFS(المبيعات!$F$2:$F$2000,المبيعات!$D$2:$D$2000,A682))</f>
        <v/>
      </c>
      <c r="G682">
        <f>IF(A682="","",E682-F682)</f>
        <v/>
      </c>
      <c r="H682" s="4" t="n"/>
      <c r="I682">
        <f>IF(OR(A682="",H682=""),"",IF(G682&lt;=H682,"اطلب الآن",""))</f>
        <v/>
      </c>
    </row>
    <row r="683">
      <c r="A683" s="4" t="n"/>
      <c r="B683" s="4" t="n"/>
      <c r="C683" s="4" t="n"/>
      <c r="D683" s="4" t="n"/>
      <c r="E683" s="4" t="n"/>
      <c r="F683">
        <f>IF(A683="","",SUMIFS(المبيعات!$F$2:$F$2000,المبيعات!$D$2:$D$2000,A683))</f>
        <v/>
      </c>
      <c r="G683">
        <f>IF(A683="","",E683-F683)</f>
        <v/>
      </c>
      <c r="H683" s="4" t="n"/>
      <c r="I683">
        <f>IF(OR(A683="",H683=""),"",IF(G683&lt;=H683,"اطلب الآن",""))</f>
        <v/>
      </c>
    </row>
    <row r="684">
      <c r="A684" s="4" t="n"/>
      <c r="B684" s="4" t="n"/>
      <c r="C684" s="4" t="n"/>
      <c r="D684" s="4" t="n"/>
      <c r="E684" s="4" t="n"/>
      <c r="F684">
        <f>IF(A684="","",SUMIFS(المبيعات!$F$2:$F$2000,المبيعات!$D$2:$D$2000,A684))</f>
        <v/>
      </c>
      <c r="G684">
        <f>IF(A684="","",E684-F684)</f>
        <v/>
      </c>
      <c r="H684" s="4" t="n"/>
      <c r="I684">
        <f>IF(OR(A684="",H684=""),"",IF(G684&lt;=H684,"اطلب الآن",""))</f>
        <v/>
      </c>
    </row>
    <row r="685">
      <c r="A685" s="4" t="n"/>
      <c r="B685" s="4" t="n"/>
      <c r="C685" s="4" t="n"/>
      <c r="D685" s="4" t="n"/>
      <c r="E685" s="4" t="n"/>
      <c r="F685">
        <f>IF(A685="","",SUMIFS(المبيعات!$F$2:$F$2000,المبيعات!$D$2:$D$2000,A685))</f>
        <v/>
      </c>
      <c r="G685">
        <f>IF(A685="","",E685-F685)</f>
        <v/>
      </c>
      <c r="H685" s="4" t="n"/>
      <c r="I685">
        <f>IF(OR(A685="",H685=""),"",IF(G685&lt;=H685,"اطلب الآن",""))</f>
        <v/>
      </c>
    </row>
    <row r="686">
      <c r="A686" s="4" t="n"/>
      <c r="B686" s="4" t="n"/>
      <c r="C686" s="4" t="n"/>
      <c r="D686" s="4" t="n"/>
      <c r="E686" s="4" t="n"/>
      <c r="F686">
        <f>IF(A686="","",SUMIFS(المبيعات!$F$2:$F$2000,المبيعات!$D$2:$D$2000,A686))</f>
        <v/>
      </c>
      <c r="G686">
        <f>IF(A686="","",E686-F686)</f>
        <v/>
      </c>
      <c r="H686" s="4" t="n"/>
      <c r="I686">
        <f>IF(OR(A686="",H686=""),"",IF(G686&lt;=H686,"اطلب الآن",""))</f>
        <v/>
      </c>
    </row>
    <row r="687">
      <c r="A687" s="4" t="n"/>
      <c r="B687" s="4" t="n"/>
      <c r="C687" s="4" t="n"/>
      <c r="D687" s="4" t="n"/>
      <c r="E687" s="4" t="n"/>
      <c r="F687">
        <f>IF(A687="","",SUMIFS(المبيعات!$F$2:$F$2000,المبيعات!$D$2:$D$2000,A687))</f>
        <v/>
      </c>
      <c r="G687">
        <f>IF(A687="","",E687-F687)</f>
        <v/>
      </c>
      <c r="H687" s="4" t="n"/>
      <c r="I687">
        <f>IF(OR(A687="",H687=""),"",IF(G687&lt;=H687,"اطلب الآن",""))</f>
        <v/>
      </c>
    </row>
    <row r="688">
      <c r="A688" s="4" t="n"/>
      <c r="B688" s="4" t="n"/>
      <c r="C688" s="4" t="n"/>
      <c r="D688" s="4" t="n"/>
      <c r="E688" s="4" t="n"/>
      <c r="F688">
        <f>IF(A688="","",SUMIFS(المبيعات!$F$2:$F$2000,المبيعات!$D$2:$D$2000,A688))</f>
        <v/>
      </c>
      <c r="G688">
        <f>IF(A688="","",E688-F688)</f>
        <v/>
      </c>
      <c r="H688" s="4" t="n"/>
      <c r="I688">
        <f>IF(OR(A688="",H688=""),"",IF(G688&lt;=H688,"اطلب الآن",""))</f>
        <v/>
      </c>
    </row>
    <row r="689">
      <c r="A689" s="4" t="n"/>
      <c r="B689" s="4" t="n"/>
      <c r="C689" s="4" t="n"/>
      <c r="D689" s="4" t="n"/>
      <c r="E689" s="4" t="n"/>
      <c r="F689">
        <f>IF(A689="","",SUMIFS(المبيعات!$F$2:$F$2000,المبيعات!$D$2:$D$2000,A689))</f>
        <v/>
      </c>
      <c r="G689">
        <f>IF(A689="","",E689-F689)</f>
        <v/>
      </c>
      <c r="H689" s="4" t="n"/>
      <c r="I689">
        <f>IF(OR(A689="",H689=""),"",IF(G689&lt;=H689,"اطلب الآن",""))</f>
        <v/>
      </c>
    </row>
    <row r="690">
      <c r="A690" s="4" t="n"/>
      <c r="B690" s="4" t="n"/>
      <c r="C690" s="4" t="n"/>
      <c r="D690" s="4" t="n"/>
      <c r="E690" s="4" t="n"/>
      <c r="F690">
        <f>IF(A690="","",SUMIFS(المبيعات!$F$2:$F$2000,المبيعات!$D$2:$D$2000,A690))</f>
        <v/>
      </c>
      <c r="G690">
        <f>IF(A690="","",E690-F690)</f>
        <v/>
      </c>
      <c r="H690" s="4" t="n"/>
      <c r="I690">
        <f>IF(OR(A690="",H690=""),"",IF(G690&lt;=H690,"اطلب الآن",""))</f>
        <v/>
      </c>
    </row>
    <row r="691">
      <c r="A691" s="4" t="n"/>
      <c r="B691" s="4" t="n"/>
      <c r="C691" s="4" t="n"/>
      <c r="D691" s="4" t="n"/>
      <c r="E691" s="4" t="n"/>
      <c r="F691">
        <f>IF(A691="","",SUMIFS(المبيعات!$F$2:$F$2000,المبيعات!$D$2:$D$2000,A691))</f>
        <v/>
      </c>
      <c r="G691">
        <f>IF(A691="","",E691-F691)</f>
        <v/>
      </c>
      <c r="H691" s="4" t="n"/>
      <c r="I691">
        <f>IF(OR(A691="",H691=""),"",IF(G691&lt;=H691,"اطلب الآن",""))</f>
        <v/>
      </c>
    </row>
    <row r="692">
      <c r="A692" s="4" t="n"/>
      <c r="B692" s="4" t="n"/>
      <c r="C692" s="4" t="n"/>
      <c r="D692" s="4" t="n"/>
      <c r="E692" s="4" t="n"/>
      <c r="F692">
        <f>IF(A692="","",SUMIFS(المبيعات!$F$2:$F$2000,المبيعات!$D$2:$D$2000,A692))</f>
        <v/>
      </c>
      <c r="G692">
        <f>IF(A692="","",E692-F692)</f>
        <v/>
      </c>
      <c r="H692" s="4" t="n"/>
      <c r="I692">
        <f>IF(OR(A692="",H692=""),"",IF(G692&lt;=H692,"اطلب الآن",""))</f>
        <v/>
      </c>
    </row>
    <row r="693">
      <c r="A693" s="4" t="n"/>
      <c r="B693" s="4" t="n"/>
      <c r="C693" s="4" t="n"/>
      <c r="D693" s="4" t="n"/>
      <c r="E693" s="4" t="n"/>
      <c r="F693">
        <f>IF(A693="","",SUMIFS(المبيعات!$F$2:$F$2000,المبيعات!$D$2:$D$2000,A693))</f>
        <v/>
      </c>
      <c r="G693">
        <f>IF(A693="","",E693-F693)</f>
        <v/>
      </c>
      <c r="H693" s="4" t="n"/>
      <c r="I693">
        <f>IF(OR(A693="",H693=""),"",IF(G693&lt;=H693,"اطلب الآن",""))</f>
        <v/>
      </c>
    </row>
    <row r="694">
      <c r="A694" s="4" t="n"/>
      <c r="B694" s="4" t="n"/>
      <c r="C694" s="4" t="n"/>
      <c r="D694" s="4" t="n"/>
      <c r="E694" s="4" t="n"/>
      <c r="F694">
        <f>IF(A694="","",SUMIFS(المبيعات!$F$2:$F$2000,المبيعات!$D$2:$D$2000,A694))</f>
        <v/>
      </c>
      <c r="G694">
        <f>IF(A694="","",E694-F694)</f>
        <v/>
      </c>
      <c r="H694" s="4" t="n"/>
      <c r="I694">
        <f>IF(OR(A694="",H694=""),"",IF(G694&lt;=H694,"اطلب الآن",""))</f>
        <v/>
      </c>
    </row>
    <row r="695">
      <c r="A695" s="4" t="n"/>
      <c r="B695" s="4" t="n"/>
      <c r="C695" s="4" t="n"/>
      <c r="D695" s="4" t="n"/>
      <c r="E695" s="4" t="n"/>
      <c r="F695">
        <f>IF(A695="","",SUMIFS(المبيعات!$F$2:$F$2000,المبيعات!$D$2:$D$2000,A695))</f>
        <v/>
      </c>
      <c r="G695">
        <f>IF(A695="","",E695-F695)</f>
        <v/>
      </c>
      <c r="H695" s="4" t="n"/>
      <c r="I695">
        <f>IF(OR(A695="",H695=""),"",IF(G695&lt;=H695,"اطلب الآن",""))</f>
        <v/>
      </c>
    </row>
    <row r="696">
      <c r="A696" s="4" t="n"/>
      <c r="B696" s="4" t="n"/>
      <c r="C696" s="4" t="n"/>
      <c r="D696" s="4" t="n"/>
      <c r="E696" s="4" t="n"/>
      <c r="F696">
        <f>IF(A696="","",SUMIFS(المبيعات!$F$2:$F$2000,المبيعات!$D$2:$D$2000,A696))</f>
        <v/>
      </c>
      <c r="G696">
        <f>IF(A696="","",E696-F696)</f>
        <v/>
      </c>
      <c r="H696" s="4" t="n"/>
      <c r="I696">
        <f>IF(OR(A696="",H696=""),"",IF(G696&lt;=H696,"اطلب الآن",""))</f>
        <v/>
      </c>
    </row>
    <row r="697">
      <c r="A697" s="4" t="n"/>
      <c r="B697" s="4" t="n"/>
      <c r="C697" s="4" t="n"/>
      <c r="D697" s="4" t="n"/>
      <c r="E697" s="4" t="n"/>
      <c r="F697">
        <f>IF(A697="","",SUMIFS(المبيعات!$F$2:$F$2000,المبيعات!$D$2:$D$2000,A697))</f>
        <v/>
      </c>
      <c r="G697">
        <f>IF(A697="","",E697-F697)</f>
        <v/>
      </c>
      <c r="H697" s="4" t="n"/>
      <c r="I697">
        <f>IF(OR(A697="",H697=""),"",IF(G697&lt;=H697,"اطلب الآن",""))</f>
        <v/>
      </c>
    </row>
    <row r="698">
      <c r="A698" s="4" t="n"/>
      <c r="B698" s="4" t="n"/>
      <c r="C698" s="4" t="n"/>
      <c r="D698" s="4" t="n"/>
      <c r="E698" s="4" t="n"/>
      <c r="F698">
        <f>IF(A698="","",SUMIFS(المبيعات!$F$2:$F$2000,المبيعات!$D$2:$D$2000,A698))</f>
        <v/>
      </c>
      <c r="G698">
        <f>IF(A698="","",E698-F698)</f>
        <v/>
      </c>
      <c r="H698" s="4" t="n"/>
      <c r="I698">
        <f>IF(OR(A698="",H698=""),"",IF(G698&lt;=H698,"اطلب الآن",""))</f>
        <v/>
      </c>
    </row>
    <row r="699">
      <c r="A699" s="4" t="n"/>
      <c r="B699" s="4" t="n"/>
      <c r="C699" s="4" t="n"/>
      <c r="D699" s="4" t="n"/>
      <c r="E699" s="4" t="n"/>
      <c r="F699">
        <f>IF(A699="","",SUMIFS(المبيعات!$F$2:$F$2000,المبيعات!$D$2:$D$2000,A699))</f>
        <v/>
      </c>
      <c r="G699">
        <f>IF(A699="","",E699-F699)</f>
        <v/>
      </c>
      <c r="H699" s="4" t="n"/>
      <c r="I699">
        <f>IF(OR(A699="",H699=""),"",IF(G699&lt;=H699,"اطلب الآن",""))</f>
        <v/>
      </c>
    </row>
    <row r="700">
      <c r="A700" s="4" t="n"/>
      <c r="B700" s="4" t="n"/>
      <c r="C700" s="4" t="n"/>
      <c r="D700" s="4" t="n"/>
      <c r="E700" s="4" t="n"/>
      <c r="F700">
        <f>IF(A700="","",SUMIFS(المبيعات!$F$2:$F$2000,المبيعات!$D$2:$D$2000,A700))</f>
        <v/>
      </c>
      <c r="G700">
        <f>IF(A700="","",E700-F700)</f>
        <v/>
      </c>
      <c r="H700" s="4" t="n"/>
      <c r="I700">
        <f>IF(OR(A700="",H700=""),"",IF(G700&lt;=H700,"اطلب الآن",""))</f>
        <v/>
      </c>
    </row>
    <row r="701">
      <c r="A701" s="4" t="n"/>
      <c r="B701" s="4" t="n"/>
      <c r="C701" s="4" t="n"/>
      <c r="D701" s="4" t="n"/>
      <c r="E701" s="4" t="n"/>
      <c r="F701">
        <f>IF(A701="","",SUMIFS(المبيعات!$F$2:$F$2000,المبيعات!$D$2:$D$2000,A701))</f>
        <v/>
      </c>
      <c r="G701">
        <f>IF(A701="","",E701-F701)</f>
        <v/>
      </c>
      <c r="H701" s="4" t="n"/>
      <c r="I701">
        <f>IF(OR(A701="",H701=""),"",IF(G701&lt;=H701,"اطلب الآن",""))</f>
        <v/>
      </c>
    </row>
    <row r="702">
      <c r="A702" s="4" t="n"/>
      <c r="B702" s="4" t="n"/>
      <c r="C702" s="4" t="n"/>
      <c r="D702" s="4" t="n"/>
      <c r="E702" s="4" t="n"/>
      <c r="F702">
        <f>IF(A702="","",SUMIFS(المبيعات!$F$2:$F$2000,المبيعات!$D$2:$D$2000,A702))</f>
        <v/>
      </c>
      <c r="G702">
        <f>IF(A702="","",E702-F702)</f>
        <v/>
      </c>
      <c r="H702" s="4" t="n"/>
      <c r="I702">
        <f>IF(OR(A702="",H702=""),"",IF(G702&lt;=H702,"اطلب الآن",""))</f>
        <v/>
      </c>
    </row>
    <row r="703">
      <c r="A703" s="4" t="n"/>
      <c r="B703" s="4" t="n"/>
      <c r="C703" s="4" t="n"/>
      <c r="D703" s="4" t="n"/>
      <c r="E703" s="4" t="n"/>
      <c r="F703">
        <f>IF(A703="","",SUMIFS(المبيعات!$F$2:$F$2000,المبيعات!$D$2:$D$2000,A703))</f>
        <v/>
      </c>
      <c r="G703">
        <f>IF(A703="","",E703-F703)</f>
        <v/>
      </c>
      <c r="H703" s="4" t="n"/>
      <c r="I703">
        <f>IF(OR(A703="",H703=""),"",IF(G703&lt;=H703,"اطلب الآن",""))</f>
        <v/>
      </c>
    </row>
    <row r="704">
      <c r="A704" s="4" t="n"/>
      <c r="B704" s="4" t="n"/>
      <c r="C704" s="4" t="n"/>
      <c r="D704" s="4" t="n"/>
      <c r="E704" s="4" t="n"/>
      <c r="F704">
        <f>IF(A704="","",SUMIFS(المبيعات!$F$2:$F$2000,المبيعات!$D$2:$D$2000,A704))</f>
        <v/>
      </c>
      <c r="G704">
        <f>IF(A704="","",E704-F704)</f>
        <v/>
      </c>
      <c r="H704" s="4" t="n"/>
      <c r="I704">
        <f>IF(OR(A704="",H704=""),"",IF(G704&lt;=H704,"اطلب الآن",""))</f>
        <v/>
      </c>
    </row>
    <row r="705">
      <c r="A705" s="4" t="n"/>
      <c r="B705" s="4" t="n"/>
      <c r="C705" s="4" t="n"/>
      <c r="D705" s="4" t="n"/>
      <c r="E705" s="4" t="n"/>
      <c r="F705">
        <f>IF(A705="","",SUMIFS(المبيعات!$F$2:$F$2000,المبيعات!$D$2:$D$2000,A705))</f>
        <v/>
      </c>
      <c r="G705">
        <f>IF(A705="","",E705-F705)</f>
        <v/>
      </c>
      <c r="H705" s="4" t="n"/>
      <c r="I705">
        <f>IF(OR(A705="",H705=""),"",IF(G705&lt;=H705,"اطلب الآن",""))</f>
        <v/>
      </c>
    </row>
    <row r="706">
      <c r="A706" s="4" t="n"/>
      <c r="B706" s="4" t="n"/>
      <c r="C706" s="4" t="n"/>
      <c r="D706" s="4" t="n"/>
      <c r="E706" s="4" t="n"/>
      <c r="F706">
        <f>IF(A706="","",SUMIFS(المبيعات!$F$2:$F$2000,المبيعات!$D$2:$D$2000,A706))</f>
        <v/>
      </c>
      <c r="G706">
        <f>IF(A706="","",E706-F706)</f>
        <v/>
      </c>
      <c r="H706" s="4" t="n"/>
      <c r="I706">
        <f>IF(OR(A706="",H706=""),"",IF(G706&lt;=H706,"اطلب الآن",""))</f>
        <v/>
      </c>
    </row>
    <row r="707">
      <c r="A707" s="4" t="n"/>
      <c r="B707" s="4" t="n"/>
      <c r="C707" s="4" t="n"/>
      <c r="D707" s="4" t="n"/>
      <c r="E707" s="4" t="n"/>
      <c r="F707">
        <f>IF(A707="","",SUMIFS(المبيعات!$F$2:$F$2000,المبيعات!$D$2:$D$2000,A707))</f>
        <v/>
      </c>
      <c r="G707">
        <f>IF(A707="","",E707-F707)</f>
        <v/>
      </c>
      <c r="H707" s="4" t="n"/>
      <c r="I707">
        <f>IF(OR(A707="",H707=""),"",IF(G707&lt;=H707,"اطلب الآن",""))</f>
        <v/>
      </c>
    </row>
    <row r="708">
      <c r="A708" s="4" t="n"/>
      <c r="B708" s="4" t="n"/>
      <c r="C708" s="4" t="n"/>
      <c r="D708" s="4" t="n"/>
      <c r="E708" s="4" t="n"/>
      <c r="F708">
        <f>IF(A708="","",SUMIFS(المبيعات!$F$2:$F$2000,المبيعات!$D$2:$D$2000,A708))</f>
        <v/>
      </c>
      <c r="G708">
        <f>IF(A708="","",E708-F708)</f>
        <v/>
      </c>
      <c r="H708" s="4" t="n"/>
      <c r="I708">
        <f>IF(OR(A708="",H708=""),"",IF(G708&lt;=H708,"اطلب الآن",""))</f>
        <v/>
      </c>
    </row>
    <row r="709">
      <c r="A709" s="4" t="n"/>
      <c r="B709" s="4" t="n"/>
      <c r="C709" s="4" t="n"/>
      <c r="D709" s="4" t="n"/>
      <c r="E709" s="4" t="n"/>
      <c r="F709">
        <f>IF(A709="","",SUMIFS(المبيعات!$F$2:$F$2000,المبيعات!$D$2:$D$2000,A709))</f>
        <v/>
      </c>
      <c r="G709">
        <f>IF(A709="","",E709-F709)</f>
        <v/>
      </c>
      <c r="H709" s="4" t="n"/>
      <c r="I709">
        <f>IF(OR(A709="",H709=""),"",IF(G709&lt;=H709,"اطلب الآن",""))</f>
        <v/>
      </c>
    </row>
    <row r="710">
      <c r="A710" s="4" t="n"/>
      <c r="B710" s="4" t="n"/>
      <c r="C710" s="4" t="n"/>
      <c r="D710" s="4" t="n"/>
      <c r="E710" s="4" t="n"/>
      <c r="F710">
        <f>IF(A710="","",SUMIFS(المبيعات!$F$2:$F$2000,المبيعات!$D$2:$D$2000,A710))</f>
        <v/>
      </c>
      <c r="G710">
        <f>IF(A710="","",E710-F710)</f>
        <v/>
      </c>
      <c r="H710" s="4" t="n"/>
      <c r="I710">
        <f>IF(OR(A710="",H710=""),"",IF(G710&lt;=H710,"اطلب الآن",""))</f>
        <v/>
      </c>
    </row>
    <row r="711">
      <c r="A711" s="4" t="n"/>
      <c r="B711" s="4" t="n"/>
      <c r="C711" s="4" t="n"/>
      <c r="D711" s="4" t="n"/>
      <c r="E711" s="4" t="n"/>
      <c r="F711">
        <f>IF(A711="","",SUMIFS(المبيعات!$F$2:$F$2000,المبيعات!$D$2:$D$2000,A711))</f>
        <v/>
      </c>
      <c r="G711">
        <f>IF(A711="","",E711-F711)</f>
        <v/>
      </c>
      <c r="H711" s="4" t="n"/>
      <c r="I711">
        <f>IF(OR(A711="",H711=""),"",IF(G711&lt;=H711,"اطلب الآن",""))</f>
        <v/>
      </c>
    </row>
    <row r="712">
      <c r="A712" s="4" t="n"/>
      <c r="B712" s="4" t="n"/>
      <c r="C712" s="4" t="n"/>
      <c r="D712" s="4" t="n"/>
      <c r="E712" s="4" t="n"/>
      <c r="F712">
        <f>IF(A712="","",SUMIFS(المبيعات!$F$2:$F$2000,المبيعات!$D$2:$D$2000,A712))</f>
        <v/>
      </c>
      <c r="G712">
        <f>IF(A712="","",E712-F712)</f>
        <v/>
      </c>
      <c r="H712" s="4" t="n"/>
      <c r="I712">
        <f>IF(OR(A712="",H712=""),"",IF(G712&lt;=H712,"اطلب الآن",""))</f>
        <v/>
      </c>
    </row>
    <row r="713">
      <c r="A713" s="4" t="n"/>
      <c r="B713" s="4" t="n"/>
      <c r="C713" s="4" t="n"/>
      <c r="D713" s="4" t="n"/>
      <c r="E713" s="4" t="n"/>
      <c r="F713">
        <f>IF(A713="","",SUMIFS(المبيعات!$F$2:$F$2000,المبيعات!$D$2:$D$2000,A713))</f>
        <v/>
      </c>
      <c r="G713">
        <f>IF(A713="","",E713-F713)</f>
        <v/>
      </c>
      <c r="H713" s="4" t="n"/>
      <c r="I713">
        <f>IF(OR(A713="",H713=""),"",IF(G713&lt;=H713,"اطلب الآن",""))</f>
        <v/>
      </c>
    </row>
    <row r="714">
      <c r="A714" s="4" t="n"/>
      <c r="B714" s="4" t="n"/>
      <c r="C714" s="4" t="n"/>
      <c r="D714" s="4" t="n"/>
      <c r="E714" s="4" t="n"/>
      <c r="F714">
        <f>IF(A714="","",SUMIFS(المبيعات!$F$2:$F$2000,المبيعات!$D$2:$D$2000,A714))</f>
        <v/>
      </c>
      <c r="G714">
        <f>IF(A714="","",E714-F714)</f>
        <v/>
      </c>
      <c r="H714" s="4" t="n"/>
      <c r="I714">
        <f>IF(OR(A714="",H714=""),"",IF(G714&lt;=H714,"اطلب الآن",""))</f>
        <v/>
      </c>
    </row>
    <row r="715">
      <c r="A715" s="4" t="n"/>
      <c r="B715" s="4" t="n"/>
      <c r="C715" s="4" t="n"/>
      <c r="D715" s="4" t="n"/>
      <c r="E715" s="4" t="n"/>
      <c r="F715">
        <f>IF(A715="","",SUMIFS(المبيعات!$F$2:$F$2000,المبيعات!$D$2:$D$2000,A715))</f>
        <v/>
      </c>
      <c r="G715">
        <f>IF(A715="","",E715-F715)</f>
        <v/>
      </c>
      <c r="H715" s="4" t="n"/>
      <c r="I715">
        <f>IF(OR(A715="",H715=""),"",IF(G715&lt;=H715,"اطلب الآن",""))</f>
        <v/>
      </c>
    </row>
    <row r="716">
      <c r="A716" s="4" t="n"/>
      <c r="B716" s="4" t="n"/>
      <c r="C716" s="4" t="n"/>
      <c r="D716" s="4" t="n"/>
      <c r="E716" s="4" t="n"/>
      <c r="F716">
        <f>IF(A716="","",SUMIFS(المبيعات!$F$2:$F$2000,المبيعات!$D$2:$D$2000,A716))</f>
        <v/>
      </c>
      <c r="G716">
        <f>IF(A716="","",E716-F716)</f>
        <v/>
      </c>
      <c r="H716" s="4" t="n"/>
      <c r="I716">
        <f>IF(OR(A716="",H716=""),"",IF(G716&lt;=H716,"اطلب الآن",""))</f>
        <v/>
      </c>
    </row>
    <row r="717">
      <c r="A717" s="4" t="n"/>
      <c r="B717" s="4" t="n"/>
      <c r="C717" s="4" t="n"/>
      <c r="D717" s="4" t="n"/>
      <c r="E717" s="4" t="n"/>
      <c r="F717">
        <f>IF(A717="","",SUMIFS(المبيعات!$F$2:$F$2000,المبيعات!$D$2:$D$2000,A717))</f>
        <v/>
      </c>
      <c r="G717">
        <f>IF(A717="","",E717-F717)</f>
        <v/>
      </c>
      <c r="H717" s="4" t="n"/>
      <c r="I717">
        <f>IF(OR(A717="",H717=""),"",IF(G717&lt;=H717,"اطلب الآن",""))</f>
        <v/>
      </c>
    </row>
    <row r="718">
      <c r="A718" s="4" t="n"/>
      <c r="B718" s="4" t="n"/>
      <c r="C718" s="4" t="n"/>
      <c r="D718" s="4" t="n"/>
      <c r="E718" s="4" t="n"/>
      <c r="F718">
        <f>IF(A718="","",SUMIFS(المبيعات!$F$2:$F$2000,المبيعات!$D$2:$D$2000,A718))</f>
        <v/>
      </c>
      <c r="G718">
        <f>IF(A718="","",E718-F718)</f>
        <v/>
      </c>
      <c r="H718" s="4" t="n"/>
      <c r="I718">
        <f>IF(OR(A718="",H718=""),"",IF(G718&lt;=H718,"اطلب الآن",""))</f>
        <v/>
      </c>
    </row>
    <row r="719">
      <c r="A719" s="4" t="n"/>
      <c r="B719" s="4" t="n"/>
      <c r="C719" s="4" t="n"/>
      <c r="D719" s="4" t="n"/>
      <c r="E719" s="4" t="n"/>
      <c r="F719">
        <f>IF(A719="","",SUMIFS(المبيعات!$F$2:$F$2000,المبيعات!$D$2:$D$2000,A719))</f>
        <v/>
      </c>
      <c r="G719">
        <f>IF(A719="","",E719-F719)</f>
        <v/>
      </c>
      <c r="H719" s="4" t="n"/>
      <c r="I719">
        <f>IF(OR(A719="",H719=""),"",IF(G719&lt;=H719,"اطلب الآن",""))</f>
        <v/>
      </c>
    </row>
    <row r="720">
      <c r="A720" s="4" t="n"/>
      <c r="B720" s="4" t="n"/>
      <c r="C720" s="4" t="n"/>
      <c r="D720" s="4" t="n"/>
      <c r="E720" s="4" t="n"/>
      <c r="F720">
        <f>IF(A720="","",SUMIFS(المبيعات!$F$2:$F$2000,المبيعات!$D$2:$D$2000,A720))</f>
        <v/>
      </c>
      <c r="G720">
        <f>IF(A720="","",E720-F720)</f>
        <v/>
      </c>
      <c r="H720" s="4" t="n"/>
      <c r="I720">
        <f>IF(OR(A720="",H720=""),"",IF(G720&lt;=H720,"اطلب الآن",""))</f>
        <v/>
      </c>
    </row>
    <row r="721">
      <c r="A721" s="4" t="n"/>
      <c r="B721" s="4" t="n"/>
      <c r="C721" s="4" t="n"/>
      <c r="D721" s="4" t="n"/>
      <c r="E721" s="4" t="n"/>
      <c r="F721">
        <f>IF(A721="","",SUMIFS(المبيعات!$F$2:$F$2000,المبيعات!$D$2:$D$2000,A721))</f>
        <v/>
      </c>
      <c r="G721">
        <f>IF(A721="","",E721-F721)</f>
        <v/>
      </c>
      <c r="H721" s="4" t="n"/>
      <c r="I721">
        <f>IF(OR(A721="",H721=""),"",IF(G721&lt;=H721,"اطلب الآن",""))</f>
        <v/>
      </c>
    </row>
    <row r="722">
      <c r="A722" s="4" t="n"/>
      <c r="B722" s="4" t="n"/>
      <c r="C722" s="4" t="n"/>
      <c r="D722" s="4" t="n"/>
      <c r="E722" s="4" t="n"/>
      <c r="F722">
        <f>IF(A722="","",SUMIFS(المبيعات!$F$2:$F$2000,المبيعات!$D$2:$D$2000,A722))</f>
        <v/>
      </c>
      <c r="G722">
        <f>IF(A722="","",E722-F722)</f>
        <v/>
      </c>
      <c r="H722" s="4" t="n"/>
      <c r="I722">
        <f>IF(OR(A722="",H722=""),"",IF(G722&lt;=H722,"اطلب الآن",""))</f>
        <v/>
      </c>
    </row>
    <row r="723">
      <c r="A723" s="4" t="n"/>
      <c r="B723" s="4" t="n"/>
      <c r="C723" s="4" t="n"/>
      <c r="D723" s="4" t="n"/>
      <c r="E723" s="4" t="n"/>
      <c r="F723">
        <f>IF(A723="","",SUMIFS(المبيعات!$F$2:$F$2000,المبيعات!$D$2:$D$2000,A723))</f>
        <v/>
      </c>
      <c r="G723">
        <f>IF(A723="","",E723-F723)</f>
        <v/>
      </c>
      <c r="H723" s="4" t="n"/>
      <c r="I723">
        <f>IF(OR(A723="",H723=""),"",IF(G723&lt;=H723,"اطلب الآن",""))</f>
        <v/>
      </c>
    </row>
    <row r="724">
      <c r="A724" s="4" t="n"/>
      <c r="B724" s="4" t="n"/>
      <c r="C724" s="4" t="n"/>
      <c r="D724" s="4" t="n"/>
      <c r="E724" s="4" t="n"/>
      <c r="F724">
        <f>IF(A724="","",SUMIFS(المبيعات!$F$2:$F$2000,المبيعات!$D$2:$D$2000,A724))</f>
        <v/>
      </c>
      <c r="G724">
        <f>IF(A724="","",E724-F724)</f>
        <v/>
      </c>
      <c r="H724" s="4" t="n"/>
      <c r="I724">
        <f>IF(OR(A724="",H724=""),"",IF(G724&lt;=H724,"اطلب الآن",""))</f>
        <v/>
      </c>
    </row>
    <row r="725">
      <c r="A725" s="4" t="n"/>
      <c r="B725" s="4" t="n"/>
      <c r="C725" s="4" t="n"/>
      <c r="D725" s="4" t="n"/>
      <c r="E725" s="4" t="n"/>
      <c r="F725">
        <f>IF(A725="","",SUMIFS(المبيعات!$F$2:$F$2000,المبيعات!$D$2:$D$2000,A725))</f>
        <v/>
      </c>
      <c r="G725">
        <f>IF(A725="","",E725-F725)</f>
        <v/>
      </c>
      <c r="H725" s="4" t="n"/>
      <c r="I725">
        <f>IF(OR(A725="",H725=""),"",IF(G725&lt;=H725,"اطلب الآن",""))</f>
        <v/>
      </c>
    </row>
    <row r="726">
      <c r="A726" s="4" t="n"/>
      <c r="B726" s="4" t="n"/>
      <c r="C726" s="4" t="n"/>
      <c r="D726" s="4" t="n"/>
      <c r="E726" s="4" t="n"/>
      <c r="F726">
        <f>IF(A726="","",SUMIFS(المبيعات!$F$2:$F$2000,المبيعات!$D$2:$D$2000,A726))</f>
        <v/>
      </c>
      <c r="G726">
        <f>IF(A726="","",E726-F726)</f>
        <v/>
      </c>
      <c r="H726" s="4" t="n"/>
      <c r="I726">
        <f>IF(OR(A726="",H726=""),"",IF(G726&lt;=H726,"اطلب الآن",""))</f>
        <v/>
      </c>
    </row>
    <row r="727">
      <c r="A727" s="4" t="n"/>
      <c r="B727" s="4" t="n"/>
      <c r="C727" s="4" t="n"/>
      <c r="D727" s="4" t="n"/>
      <c r="E727" s="4" t="n"/>
      <c r="F727">
        <f>IF(A727="","",SUMIFS(المبيعات!$F$2:$F$2000,المبيعات!$D$2:$D$2000,A727))</f>
        <v/>
      </c>
      <c r="G727">
        <f>IF(A727="","",E727-F727)</f>
        <v/>
      </c>
      <c r="H727" s="4" t="n"/>
      <c r="I727">
        <f>IF(OR(A727="",H727=""),"",IF(G727&lt;=H727,"اطلب الآن",""))</f>
        <v/>
      </c>
    </row>
    <row r="728">
      <c r="A728" s="4" t="n"/>
      <c r="B728" s="4" t="n"/>
      <c r="C728" s="4" t="n"/>
      <c r="D728" s="4" t="n"/>
      <c r="E728" s="4" t="n"/>
      <c r="F728">
        <f>IF(A728="","",SUMIFS(المبيعات!$F$2:$F$2000,المبيعات!$D$2:$D$2000,A728))</f>
        <v/>
      </c>
      <c r="G728">
        <f>IF(A728="","",E728-F728)</f>
        <v/>
      </c>
      <c r="H728" s="4" t="n"/>
      <c r="I728">
        <f>IF(OR(A728="",H728=""),"",IF(G728&lt;=H728,"اطلب الآن",""))</f>
        <v/>
      </c>
    </row>
    <row r="729">
      <c r="A729" s="4" t="n"/>
      <c r="B729" s="4" t="n"/>
      <c r="C729" s="4" t="n"/>
      <c r="D729" s="4" t="n"/>
      <c r="E729" s="4" t="n"/>
      <c r="F729">
        <f>IF(A729="","",SUMIFS(المبيعات!$F$2:$F$2000,المبيعات!$D$2:$D$2000,A729))</f>
        <v/>
      </c>
      <c r="G729">
        <f>IF(A729="","",E729-F729)</f>
        <v/>
      </c>
      <c r="H729" s="4" t="n"/>
      <c r="I729">
        <f>IF(OR(A729="",H729=""),"",IF(G729&lt;=H729,"اطلب الآن",""))</f>
        <v/>
      </c>
    </row>
    <row r="730">
      <c r="A730" s="4" t="n"/>
      <c r="B730" s="4" t="n"/>
      <c r="C730" s="4" t="n"/>
      <c r="D730" s="4" t="n"/>
      <c r="E730" s="4" t="n"/>
      <c r="F730">
        <f>IF(A730="","",SUMIFS(المبيعات!$F$2:$F$2000,المبيعات!$D$2:$D$2000,A730))</f>
        <v/>
      </c>
      <c r="G730">
        <f>IF(A730="","",E730-F730)</f>
        <v/>
      </c>
      <c r="H730" s="4" t="n"/>
      <c r="I730">
        <f>IF(OR(A730="",H730=""),"",IF(G730&lt;=H730,"اطلب الآن",""))</f>
        <v/>
      </c>
    </row>
    <row r="731">
      <c r="A731" s="4" t="n"/>
      <c r="B731" s="4" t="n"/>
      <c r="C731" s="4" t="n"/>
      <c r="D731" s="4" t="n"/>
      <c r="E731" s="4" t="n"/>
      <c r="F731">
        <f>IF(A731="","",SUMIFS(المبيعات!$F$2:$F$2000,المبيعات!$D$2:$D$2000,A731))</f>
        <v/>
      </c>
      <c r="G731">
        <f>IF(A731="","",E731-F731)</f>
        <v/>
      </c>
      <c r="H731" s="4" t="n"/>
      <c r="I731">
        <f>IF(OR(A731="",H731=""),"",IF(G731&lt;=H731,"اطلب الآن",""))</f>
        <v/>
      </c>
    </row>
    <row r="732">
      <c r="A732" s="4" t="n"/>
      <c r="B732" s="4" t="n"/>
      <c r="C732" s="4" t="n"/>
      <c r="D732" s="4" t="n"/>
      <c r="E732" s="4" t="n"/>
      <c r="F732">
        <f>IF(A732="","",SUMIFS(المبيعات!$F$2:$F$2000,المبيعات!$D$2:$D$2000,A732))</f>
        <v/>
      </c>
      <c r="G732">
        <f>IF(A732="","",E732-F732)</f>
        <v/>
      </c>
      <c r="H732" s="4" t="n"/>
      <c r="I732">
        <f>IF(OR(A732="",H732=""),"",IF(G732&lt;=H732,"اطلب الآن",""))</f>
        <v/>
      </c>
    </row>
    <row r="733">
      <c r="A733" s="4" t="n"/>
      <c r="B733" s="4" t="n"/>
      <c r="C733" s="4" t="n"/>
      <c r="D733" s="4" t="n"/>
      <c r="E733" s="4" t="n"/>
      <c r="F733">
        <f>IF(A733="","",SUMIFS(المبيعات!$F$2:$F$2000,المبيعات!$D$2:$D$2000,A733))</f>
        <v/>
      </c>
      <c r="G733">
        <f>IF(A733="","",E733-F733)</f>
        <v/>
      </c>
      <c r="H733" s="4" t="n"/>
      <c r="I733">
        <f>IF(OR(A733="",H733=""),"",IF(G733&lt;=H733,"اطلب الآن",""))</f>
        <v/>
      </c>
    </row>
    <row r="734">
      <c r="A734" s="4" t="n"/>
      <c r="B734" s="4" t="n"/>
      <c r="C734" s="4" t="n"/>
      <c r="D734" s="4" t="n"/>
      <c r="E734" s="4" t="n"/>
      <c r="F734">
        <f>IF(A734="","",SUMIFS(المبيعات!$F$2:$F$2000,المبيعات!$D$2:$D$2000,A734))</f>
        <v/>
      </c>
      <c r="G734">
        <f>IF(A734="","",E734-F734)</f>
        <v/>
      </c>
      <c r="H734" s="4" t="n"/>
      <c r="I734">
        <f>IF(OR(A734="",H734=""),"",IF(G734&lt;=H734,"اطلب الآن",""))</f>
        <v/>
      </c>
    </row>
    <row r="735">
      <c r="A735" s="4" t="n"/>
      <c r="B735" s="4" t="n"/>
      <c r="C735" s="4" t="n"/>
      <c r="D735" s="4" t="n"/>
      <c r="E735" s="4" t="n"/>
      <c r="F735">
        <f>IF(A735="","",SUMIFS(المبيعات!$F$2:$F$2000,المبيعات!$D$2:$D$2000,A735))</f>
        <v/>
      </c>
      <c r="G735">
        <f>IF(A735="","",E735-F735)</f>
        <v/>
      </c>
      <c r="H735" s="4" t="n"/>
      <c r="I735">
        <f>IF(OR(A735="",H735=""),"",IF(G735&lt;=H735,"اطلب الآن",""))</f>
        <v/>
      </c>
    </row>
    <row r="736">
      <c r="A736" s="4" t="n"/>
      <c r="B736" s="4" t="n"/>
      <c r="C736" s="4" t="n"/>
      <c r="D736" s="4" t="n"/>
      <c r="E736" s="4" t="n"/>
      <c r="F736">
        <f>IF(A736="","",SUMIFS(المبيعات!$F$2:$F$2000,المبيعات!$D$2:$D$2000,A736))</f>
        <v/>
      </c>
      <c r="G736">
        <f>IF(A736="","",E736-F736)</f>
        <v/>
      </c>
      <c r="H736" s="4" t="n"/>
      <c r="I736">
        <f>IF(OR(A736="",H736=""),"",IF(G736&lt;=H736,"اطلب الآن",""))</f>
        <v/>
      </c>
    </row>
    <row r="737">
      <c r="A737" s="4" t="n"/>
      <c r="B737" s="4" t="n"/>
      <c r="C737" s="4" t="n"/>
      <c r="D737" s="4" t="n"/>
      <c r="E737" s="4" t="n"/>
      <c r="F737">
        <f>IF(A737="","",SUMIFS(المبيعات!$F$2:$F$2000,المبيعات!$D$2:$D$2000,A737))</f>
        <v/>
      </c>
      <c r="G737">
        <f>IF(A737="","",E737-F737)</f>
        <v/>
      </c>
      <c r="H737" s="4" t="n"/>
      <c r="I737">
        <f>IF(OR(A737="",H737=""),"",IF(G737&lt;=H737,"اطلب الآن",""))</f>
        <v/>
      </c>
    </row>
    <row r="738">
      <c r="A738" s="4" t="n"/>
      <c r="B738" s="4" t="n"/>
      <c r="C738" s="4" t="n"/>
      <c r="D738" s="4" t="n"/>
      <c r="E738" s="4" t="n"/>
      <c r="F738">
        <f>IF(A738="","",SUMIFS(المبيعات!$F$2:$F$2000,المبيعات!$D$2:$D$2000,A738))</f>
        <v/>
      </c>
      <c r="G738">
        <f>IF(A738="","",E738-F738)</f>
        <v/>
      </c>
      <c r="H738" s="4" t="n"/>
      <c r="I738">
        <f>IF(OR(A738="",H738=""),"",IF(G738&lt;=H738,"اطلب الآن",""))</f>
        <v/>
      </c>
    </row>
    <row r="739">
      <c r="A739" s="4" t="n"/>
      <c r="B739" s="4" t="n"/>
      <c r="C739" s="4" t="n"/>
      <c r="D739" s="4" t="n"/>
      <c r="E739" s="4" t="n"/>
      <c r="F739">
        <f>IF(A739="","",SUMIFS(المبيعات!$F$2:$F$2000,المبيعات!$D$2:$D$2000,A739))</f>
        <v/>
      </c>
      <c r="G739">
        <f>IF(A739="","",E739-F739)</f>
        <v/>
      </c>
      <c r="H739" s="4" t="n"/>
      <c r="I739">
        <f>IF(OR(A739="",H739=""),"",IF(G739&lt;=H739,"اطلب الآن",""))</f>
        <v/>
      </c>
    </row>
    <row r="740">
      <c r="A740" s="4" t="n"/>
      <c r="B740" s="4" t="n"/>
      <c r="C740" s="4" t="n"/>
      <c r="D740" s="4" t="n"/>
      <c r="E740" s="4" t="n"/>
      <c r="F740">
        <f>IF(A740="","",SUMIFS(المبيعات!$F$2:$F$2000,المبيعات!$D$2:$D$2000,A740))</f>
        <v/>
      </c>
      <c r="G740">
        <f>IF(A740="","",E740-F740)</f>
        <v/>
      </c>
      <c r="H740" s="4" t="n"/>
      <c r="I740">
        <f>IF(OR(A740="",H740=""),"",IF(G740&lt;=H740,"اطلب الآن",""))</f>
        <v/>
      </c>
    </row>
    <row r="741">
      <c r="A741" s="4" t="n"/>
      <c r="B741" s="4" t="n"/>
      <c r="C741" s="4" t="n"/>
      <c r="D741" s="4" t="n"/>
      <c r="E741" s="4" t="n"/>
      <c r="F741">
        <f>IF(A741="","",SUMIFS(المبيعات!$F$2:$F$2000,المبيعات!$D$2:$D$2000,A741))</f>
        <v/>
      </c>
      <c r="G741">
        <f>IF(A741="","",E741-F741)</f>
        <v/>
      </c>
      <c r="H741" s="4" t="n"/>
      <c r="I741">
        <f>IF(OR(A741="",H741=""),"",IF(G741&lt;=H741,"اطلب الآن",""))</f>
        <v/>
      </c>
    </row>
    <row r="742">
      <c r="A742" s="4" t="n"/>
      <c r="B742" s="4" t="n"/>
      <c r="C742" s="4" t="n"/>
      <c r="D742" s="4" t="n"/>
      <c r="E742" s="4" t="n"/>
      <c r="F742">
        <f>IF(A742="","",SUMIFS(المبيعات!$F$2:$F$2000,المبيعات!$D$2:$D$2000,A742))</f>
        <v/>
      </c>
      <c r="G742">
        <f>IF(A742="","",E742-F742)</f>
        <v/>
      </c>
      <c r="H742" s="4" t="n"/>
      <c r="I742">
        <f>IF(OR(A742="",H742=""),"",IF(G742&lt;=H742,"اطلب الآن",""))</f>
        <v/>
      </c>
    </row>
    <row r="743">
      <c r="A743" s="4" t="n"/>
      <c r="B743" s="4" t="n"/>
      <c r="C743" s="4" t="n"/>
      <c r="D743" s="4" t="n"/>
      <c r="E743" s="4" t="n"/>
      <c r="F743">
        <f>IF(A743="","",SUMIFS(المبيعات!$F$2:$F$2000,المبيعات!$D$2:$D$2000,A743))</f>
        <v/>
      </c>
      <c r="G743">
        <f>IF(A743="","",E743-F743)</f>
        <v/>
      </c>
      <c r="H743" s="4" t="n"/>
      <c r="I743">
        <f>IF(OR(A743="",H743=""),"",IF(G743&lt;=H743,"اطلب الآن",""))</f>
        <v/>
      </c>
    </row>
    <row r="744">
      <c r="A744" s="4" t="n"/>
      <c r="B744" s="4" t="n"/>
      <c r="C744" s="4" t="n"/>
      <c r="D744" s="4" t="n"/>
      <c r="E744" s="4" t="n"/>
      <c r="F744">
        <f>IF(A744="","",SUMIFS(المبيعات!$F$2:$F$2000,المبيعات!$D$2:$D$2000,A744))</f>
        <v/>
      </c>
      <c r="G744">
        <f>IF(A744="","",E744-F744)</f>
        <v/>
      </c>
      <c r="H744" s="4" t="n"/>
      <c r="I744">
        <f>IF(OR(A744="",H744=""),"",IF(G744&lt;=H744,"اطلب الآن",""))</f>
        <v/>
      </c>
    </row>
    <row r="745">
      <c r="A745" s="4" t="n"/>
      <c r="B745" s="4" t="n"/>
      <c r="C745" s="4" t="n"/>
      <c r="D745" s="4" t="n"/>
      <c r="E745" s="4" t="n"/>
      <c r="F745">
        <f>IF(A745="","",SUMIFS(المبيعات!$F$2:$F$2000,المبيعات!$D$2:$D$2000,A745))</f>
        <v/>
      </c>
      <c r="G745">
        <f>IF(A745="","",E745-F745)</f>
        <v/>
      </c>
      <c r="H745" s="4" t="n"/>
      <c r="I745">
        <f>IF(OR(A745="",H745=""),"",IF(G745&lt;=H745,"اطلب الآن",""))</f>
        <v/>
      </c>
    </row>
    <row r="746">
      <c r="A746" s="4" t="n"/>
      <c r="B746" s="4" t="n"/>
      <c r="C746" s="4" t="n"/>
      <c r="D746" s="4" t="n"/>
      <c r="E746" s="4" t="n"/>
      <c r="F746">
        <f>IF(A746="","",SUMIFS(المبيعات!$F$2:$F$2000,المبيعات!$D$2:$D$2000,A746))</f>
        <v/>
      </c>
      <c r="G746">
        <f>IF(A746="","",E746-F746)</f>
        <v/>
      </c>
      <c r="H746" s="4" t="n"/>
      <c r="I746">
        <f>IF(OR(A746="",H746=""),"",IF(G746&lt;=H746,"اطلب الآن",""))</f>
        <v/>
      </c>
    </row>
    <row r="747">
      <c r="A747" s="4" t="n"/>
      <c r="B747" s="4" t="n"/>
      <c r="C747" s="4" t="n"/>
      <c r="D747" s="4" t="n"/>
      <c r="E747" s="4" t="n"/>
      <c r="F747">
        <f>IF(A747="","",SUMIFS(المبيعات!$F$2:$F$2000,المبيعات!$D$2:$D$2000,A747))</f>
        <v/>
      </c>
      <c r="G747">
        <f>IF(A747="","",E747-F747)</f>
        <v/>
      </c>
      <c r="H747" s="4" t="n"/>
      <c r="I747">
        <f>IF(OR(A747="",H747=""),"",IF(G747&lt;=H747,"اطلب الآن",""))</f>
        <v/>
      </c>
    </row>
    <row r="748">
      <c r="A748" s="4" t="n"/>
      <c r="B748" s="4" t="n"/>
      <c r="C748" s="4" t="n"/>
      <c r="D748" s="4" t="n"/>
      <c r="E748" s="4" t="n"/>
      <c r="F748">
        <f>IF(A748="","",SUMIFS(المبيعات!$F$2:$F$2000,المبيعات!$D$2:$D$2000,A748))</f>
        <v/>
      </c>
      <c r="G748">
        <f>IF(A748="","",E748-F748)</f>
        <v/>
      </c>
      <c r="H748" s="4" t="n"/>
      <c r="I748">
        <f>IF(OR(A748="",H748=""),"",IF(G748&lt;=H748,"اطلب الآن",""))</f>
        <v/>
      </c>
    </row>
    <row r="749">
      <c r="A749" s="4" t="n"/>
      <c r="B749" s="4" t="n"/>
      <c r="C749" s="4" t="n"/>
      <c r="D749" s="4" t="n"/>
      <c r="E749" s="4" t="n"/>
      <c r="F749">
        <f>IF(A749="","",SUMIFS(المبيعات!$F$2:$F$2000,المبيعات!$D$2:$D$2000,A749))</f>
        <v/>
      </c>
      <c r="G749">
        <f>IF(A749="","",E749-F749)</f>
        <v/>
      </c>
      <c r="H749" s="4" t="n"/>
      <c r="I749">
        <f>IF(OR(A749="",H749=""),"",IF(G749&lt;=H749,"اطلب الآن",""))</f>
        <v/>
      </c>
    </row>
    <row r="750">
      <c r="A750" s="4" t="n"/>
      <c r="B750" s="4" t="n"/>
      <c r="C750" s="4" t="n"/>
      <c r="D750" s="4" t="n"/>
      <c r="E750" s="4" t="n"/>
      <c r="F750">
        <f>IF(A750="","",SUMIFS(المبيعات!$F$2:$F$2000,المبيعات!$D$2:$D$2000,A750))</f>
        <v/>
      </c>
      <c r="G750">
        <f>IF(A750="","",E750-F750)</f>
        <v/>
      </c>
      <c r="H750" s="4" t="n"/>
      <c r="I750">
        <f>IF(OR(A750="",H750=""),"",IF(G750&lt;=H750,"اطلب الآن",""))</f>
        <v/>
      </c>
    </row>
    <row r="751">
      <c r="A751" s="4" t="n"/>
      <c r="B751" s="4" t="n"/>
      <c r="C751" s="4" t="n"/>
      <c r="D751" s="4" t="n"/>
      <c r="E751" s="4" t="n"/>
      <c r="F751">
        <f>IF(A751="","",SUMIFS(المبيعات!$F$2:$F$2000,المبيعات!$D$2:$D$2000,A751))</f>
        <v/>
      </c>
      <c r="G751">
        <f>IF(A751="","",E751-F751)</f>
        <v/>
      </c>
      <c r="H751" s="4" t="n"/>
      <c r="I751">
        <f>IF(OR(A751="",H751=""),"",IF(G751&lt;=H751,"اطلب الآن",""))</f>
        <v/>
      </c>
    </row>
    <row r="752">
      <c r="A752" s="4" t="n"/>
      <c r="B752" s="4" t="n"/>
      <c r="C752" s="4" t="n"/>
      <c r="D752" s="4" t="n"/>
      <c r="E752" s="4" t="n"/>
      <c r="F752">
        <f>IF(A752="","",SUMIFS(المبيعات!$F$2:$F$2000,المبيعات!$D$2:$D$2000,A752))</f>
        <v/>
      </c>
      <c r="G752">
        <f>IF(A752="","",E752-F752)</f>
        <v/>
      </c>
      <c r="H752" s="4" t="n"/>
      <c r="I752">
        <f>IF(OR(A752="",H752=""),"",IF(G752&lt;=H752,"اطلب الآن",""))</f>
        <v/>
      </c>
    </row>
    <row r="753">
      <c r="A753" s="4" t="n"/>
      <c r="B753" s="4" t="n"/>
      <c r="C753" s="4" t="n"/>
      <c r="D753" s="4" t="n"/>
      <c r="E753" s="4" t="n"/>
      <c r="F753">
        <f>IF(A753="","",SUMIFS(المبيعات!$F$2:$F$2000,المبيعات!$D$2:$D$2000,A753))</f>
        <v/>
      </c>
      <c r="G753">
        <f>IF(A753="","",E753-F753)</f>
        <v/>
      </c>
      <c r="H753" s="4" t="n"/>
      <c r="I753">
        <f>IF(OR(A753="",H753=""),"",IF(G753&lt;=H753,"اطلب الآن",""))</f>
        <v/>
      </c>
    </row>
    <row r="754">
      <c r="A754" s="4" t="n"/>
      <c r="B754" s="4" t="n"/>
      <c r="C754" s="4" t="n"/>
      <c r="D754" s="4" t="n"/>
      <c r="E754" s="4" t="n"/>
      <c r="F754">
        <f>IF(A754="","",SUMIFS(المبيعات!$F$2:$F$2000,المبيعات!$D$2:$D$2000,A754))</f>
        <v/>
      </c>
      <c r="G754">
        <f>IF(A754="","",E754-F754)</f>
        <v/>
      </c>
      <c r="H754" s="4" t="n"/>
      <c r="I754">
        <f>IF(OR(A754="",H754=""),"",IF(G754&lt;=H754,"اطلب الآن",""))</f>
        <v/>
      </c>
    </row>
    <row r="755">
      <c r="A755" s="4" t="n"/>
      <c r="B755" s="4" t="n"/>
      <c r="C755" s="4" t="n"/>
      <c r="D755" s="4" t="n"/>
      <c r="E755" s="4" t="n"/>
      <c r="F755">
        <f>IF(A755="","",SUMIFS(المبيعات!$F$2:$F$2000,المبيعات!$D$2:$D$2000,A755))</f>
        <v/>
      </c>
      <c r="G755">
        <f>IF(A755="","",E755-F755)</f>
        <v/>
      </c>
      <c r="H755" s="4" t="n"/>
      <c r="I755">
        <f>IF(OR(A755="",H755=""),"",IF(G755&lt;=H755,"اطلب الآن",""))</f>
        <v/>
      </c>
    </row>
    <row r="756">
      <c r="A756" s="4" t="n"/>
      <c r="B756" s="4" t="n"/>
      <c r="C756" s="4" t="n"/>
      <c r="D756" s="4" t="n"/>
      <c r="E756" s="4" t="n"/>
      <c r="F756">
        <f>IF(A756="","",SUMIFS(المبيعات!$F$2:$F$2000,المبيعات!$D$2:$D$2000,A756))</f>
        <v/>
      </c>
      <c r="G756">
        <f>IF(A756="","",E756-F756)</f>
        <v/>
      </c>
      <c r="H756" s="4" t="n"/>
      <c r="I756">
        <f>IF(OR(A756="",H756=""),"",IF(G756&lt;=H756,"اطلب الآن",""))</f>
        <v/>
      </c>
    </row>
    <row r="757">
      <c r="A757" s="4" t="n"/>
      <c r="B757" s="4" t="n"/>
      <c r="C757" s="4" t="n"/>
      <c r="D757" s="4" t="n"/>
      <c r="E757" s="4" t="n"/>
      <c r="F757">
        <f>IF(A757="","",SUMIFS(المبيعات!$F$2:$F$2000,المبيعات!$D$2:$D$2000,A757))</f>
        <v/>
      </c>
      <c r="G757">
        <f>IF(A757="","",E757-F757)</f>
        <v/>
      </c>
      <c r="H757" s="4" t="n"/>
      <c r="I757">
        <f>IF(OR(A757="",H757=""),"",IF(G757&lt;=H757,"اطلب الآن",""))</f>
        <v/>
      </c>
    </row>
    <row r="758">
      <c r="A758" s="4" t="n"/>
      <c r="B758" s="4" t="n"/>
      <c r="C758" s="4" t="n"/>
      <c r="D758" s="4" t="n"/>
      <c r="E758" s="4" t="n"/>
      <c r="F758">
        <f>IF(A758="","",SUMIFS(المبيعات!$F$2:$F$2000,المبيعات!$D$2:$D$2000,A758))</f>
        <v/>
      </c>
      <c r="G758">
        <f>IF(A758="","",E758-F758)</f>
        <v/>
      </c>
      <c r="H758" s="4" t="n"/>
      <c r="I758">
        <f>IF(OR(A758="",H758=""),"",IF(G758&lt;=H758,"اطلب الآن",""))</f>
        <v/>
      </c>
    </row>
    <row r="759">
      <c r="A759" s="4" t="n"/>
      <c r="B759" s="4" t="n"/>
      <c r="C759" s="4" t="n"/>
      <c r="D759" s="4" t="n"/>
      <c r="E759" s="4" t="n"/>
      <c r="F759">
        <f>IF(A759="","",SUMIFS(المبيعات!$F$2:$F$2000,المبيعات!$D$2:$D$2000,A759))</f>
        <v/>
      </c>
      <c r="G759">
        <f>IF(A759="","",E759-F759)</f>
        <v/>
      </c>
      <c r="H759" s="4" t="n"/>
      <c r="I759">
        <f>IF(OR(A759="",H759=""),"",IF(G759&lt;=H759,"اطلب الآن",""))</f>
        <v/>
      </c>
    </row>
    <row r="760">
      <c r="A760" s="4" t="n"/>
      <c r="B760" s="4" t="n"/>
      <c r="C760" s="4" t="n"/>
      <c r="D760" s="4" t="n"/>
      <c r="E760" s="4" t="n"/>
      <c r="F760">
        <f>IF(A760="","",SUMIFS(المبيعات!$F$2:$F$2000,المبيعات!$D$2:$D$2000,A760))</f>
        <v/>
      </c>
      <c r="G760">
        <f>IF(A760="","",E760-F760)</f>
        <v/>
      </c>
      <c r="H760" s="4" t="n"/>
      <c r="I760">
        <f>IF(OR(A760="",H760=""),"",IF(G760&lt;=H760,"اطلب الآن",""))</f>
        <v/>
      </c>
    </row>
    <row r="761">
      <c r="A761" s="4" t="n"/>
      <c r="B761" s="4" t="n"/>
      <c r="C761" s="4" t="n"/>
      <c r="D761" s="4" t="n"/>
      <c r="E761" s="4" t="n"/>
      <c r="F761">
        <f>IF(A761="","",SUMIFS(المبيعات!$F$2:$F$2000,المبيعات!$D$2:$D$2000,A761))</f>
        <v/>
      </c>
      <c r="G761">
        <f>IF(A761="","",E761-F761)</f>
        <v/>
      </c>
      <c r="H761" s="4" t="n"/>
      <c r="I761">
        <f>IF(OR(A761="",H761=""),"",IF(G761&lt;=H761,"اطلب الآن",""))</f>
        <v/>
      </c>
    </row>
    <row r="762">
      <c r="A762" s="4" t="n"/>
      <c r="B762" s="4" t="n"/>
      <c r="C762" s="4" t="n"/>
      <c r="D762" s="4" t="n"/>
      <c r="E762" s="4" t="n"/>
      <c r="F762">
        <f>IF(A762="","",SUMIFS(المبيعات!$F$2:$F$2000,المبيعات!$D$2:$D$2000,A762))</f>
        <v/>
      </c>
      <c r="G762">
        <f>IF(A762="","",E762-F762)</f>
        <v/>
      </c>
      <c r="H762" s="4" t="n"/>
      <c r="I762">
        <f>IF(OR(A762="",H762=""),"",IF(G762&lt;=H762,"اطلب الآن",""))</f>
        <v/>
      </c>
    </row>
    <row r="763">
      <c r="A763" s="4" t="n"/>
      <c r="B763" s="4" t="n"/>
      <c r="C763" s="4" t="n"/>
      <c r="D763" s="4" t="n"/>
      <c r="E763" s="4" t="n"/>
      <c r="F763">
        <f>IF(A763="","",SUMIFS(المبيعات!$F$2:$F$2000,المبيعات!$D$2:$D$2000,A763))</f>
        <v/>
      </c>
      <c r="G763">
        <f>IF(A763="","",E763-F763)</f>
        <v/>
      </c>
      <c r="H763" s="4" t="n"/>
      <c r="I763">
        <f>IF(OR(A763="",H763=""),"",IF(G763&lt;=H763,"اطلب الآن",""))</f>
        <v/>
      </c>
    </row>
    <row r="764">
      <c r="A764" s="4" t="n"/>
      <c r="B764" s="4" t="n"/>
      <c r="C764" s="4" t="n"/>
      <c r="D764" s="4" t="n"/>
      <c r="E764" s="4" t="n"/>
      <c r="F764">
        <f>IF(A764="","",SUMIFS(المبيعات!$F$2:$F$2000,المبيعات!$D$2:$D$2000,A764))</f>
        <v/>
      </c>
      <c r="G764">
        <f>IF(A764="","",E764-F764)</f>
        <v/>
      </c>
      <c r="H764" s="4" t="n"/>
      <c r="I764">
        <f>IF(OR(A764="",H764=""),"",IF(G764&lt;=H764,"اطلب الآن",""))</f>
        <v/>
      </c>
    </row>
    <row r="765">
      <c r="A765" s="4" t="n"/>
      <c r="B765" s="4" t="n"/>
      <c r="C765" s="4" t="n"/>
      <c r="D765" s="4" t="n"/>
      <c r="E765" s="4" t="n"/>
      <c r="F765">
        <f>IF(A765="","",SUMIFS(المبيعات!$F$2:$F$2000,المبيعات!$D$2:$D$2000,A765))</f>
        <v/>
      </c>
      <c r="G765">
        <f>IF(A765="","",E765-F765)</f>
        <v/>
      </c>
      <c r="H765" s="4" t="n"/>
      <c r="I765">
        <f>IF(OR(A765="",H765=""),"",IF(G765&lt;=H765,"اطلب الآن",""))</f>
        <v/>
      </c>
    </row>
    <row r="766">
      <c r="A766" s="4" t="n"/>
      <c r="B766" s="4" t="n"/>
      <c r="C766" s="4" t="n"/>
      <c r="D766" s="4" t="n"/>
      <c r="E766" s="4" t="n"/>
      <c r="F766">
        <f>IF(A766="","",SUMIFS(المبيعات!$F$2:$F$2000,المبيعات!$D$2:$D$2000,A766))</f>
        <v/>
      </c>
      <c r="G766">
        <f>IF(A766="","",E766-F766)</f>
        <v/>
      </c>
      <c r="H766" s="4" t="n"/>
      <c r="I766">
        <f>IF(OR(A766="",H766=""),"",IF(G766&lt;=H766,"اطلب الآن",""))</f>
        <v/>
      </c>
    </row>
    <row r="767">
      <c r="A767" s="4" t="n"/>
      <c r="B767" s="4" t="n"/>
      <c r="C767" s="4" t="n"/>
      <c r="D767" s="4" t="n"/>
      <c r="E767" s="4" t="n"/>
      <c r="F767">
        <f>IF(A767="","",SUMIFS(المبيعات!$F$2:$F$2000,المبيعات!$D$2:$D$2000,A767))</f>
        <v/>
      </c>
      <c r="G767">
        <f>IF(A767="","",E767-F767)</f>
        <v/>
      </c>
      <c r="H767" s="4" t="n"/>
      <c r="I767">
        <f>IF(OR(A767="",H767=""),"",IF(G767&lt;=H767,"اطلب الآن",""))</f>
        <v/>
      </c>
    </row>
    <row r="768">
      <c r="A768" s="4" t="n"/>
      <c r="B768" s="4" t="n"/>
      <c r="C768" s="4" t="n"/>
      <c r="D768" s="4" t="n"/>
      <c r="E768" s="4" t="n"/>
      <c r="F768">
        <f>IF(A768="","",SUMIFS(المبيعات!$F$2:$F$2000,المبيعات!$D$2:$D$2000,A768))</f>
        <v/>
      </c>
      <c r="G768">
        <f>IF(A768="","",E768-F768)</f>
        <v/>
      </c>
      <c r="H768" s="4" t="n"/>
      <c r="I768">
        <f>IF(OR(A768="",H768=""),"",IF(G768&lt;=H768,"اطلب الآن",""))</f>
        <v/>
      </c>
    </row>
    <row r="769">
      <c r="A769" s="4" t="n"/>
      <c r="B769" s="4" t="n"/>
      <c r="C769" s="4" t="n"/>
      <c r="D769" s="4" t="n"/>
      <c r="E769" s="4" t="n"/>
      <c r="F769">
        <f>IF(A769="","",SUMIFS(المبيعات!$F$2:$F$2000,المبيعات!$D$2:$D$2000,A769))</f>
        <v/>
      </c>
      <c r="G769">
        <f>IF(A769="","",E769-F769)</f>
        <v/>
      </c>
      <c r="H769" s="4" t="n"/>
      <c r="I769">
        <f>IF(OR(A769="",H769=""),"",IF(G769&lt;=H769,"اطلب الآن",""))</f>
        <v/>
      </c>
    </row>
    <row r="770">
      <c r="A770" s="4" t="n"/>
      <c r="B770" s="4" t="n"/>
      <c r="C770" s="4" t="n"/>
      <c r="D770" s="4" t="n"/>
      <c r="E770" s="4" t="n"/>
      <c r="F770">
        <f>IF(A770="","",SUMIFS(المبيعات!$F$2:$F$2000,المبيعات!$D$2:$D$2000,A770))</f>
        <v/>
      </c>
      <c r="G770">
        <f>IF(A770="","",E770-F770)</f>
        <v/>
      </c>
      <c r="H770" s="4" t="n"/>
      <c r="I770">
        <f>IF(OR(A770="",H770=""),"",IF(G770&lt;=H770,"اطلب الآن",""))</f>
        <v/>
      </c>
    </row>
    <row r="771">
      <c r="A771" s="4" t="n"/>
      <c r="B771" s="4" t="n"/>
      <c r="C771" s="4" t="n"/>
      <c r="D771" s="4" t="n"/>
      <c r="E771" s="4" t="n"/>
      <c r="F771">
        <f>IF(A771="","",SUMIFS(المبيعات!$F$2:$F$2000,المبيعات!$D$2:$D$2000,A771))</f>
        <v/>
      </c>
      <c r="G771">
        <f>IF(A771="","",E771-F771)</f>
        <v/>
      </c>
      <c r="H771" s="4" t="n"/>
      <c r="I771">
        <f>IF(OR(A771="",H771=""),"",IF(G771&lt;=H771,"اطلب الآن",""))</f>
        <v/>
      </c>
    </row>
    <row r="772">
      <c r="A772" s="4" t="n"/>
      <c r="B772" s="4" t="n"/>
      <c r="C772" s="4" t="n"/>
      <c r="D772" s="4" t="n"/>
      <c r="E772" s="4" t="n"/>
      <c r="F772">
        <f>IF(A772="","",SUMIFS(المبيعات!$F$2:$F$2000,المبيعات!$D$2:$D$2000,A772))</f>
        <v/>
      </c>
      <c r="G772">
        <f>IF(A772="","",E772-F772)</f>
        <v/>
      </c>
      <c r="H772" s="4" t="n"/>
      <c r="I772">
        <f>IF(OR(A772="",H772=""),"",IF(G772&lt;=H772,"اطلب الآن",""))</f>
        <v/>
      </c>
    </row>
    <row r="773">
      <c r="A773" s="4" t="n"/>
      <c r="B773" s="4" t="n"/>
      <c r="C773" s="4" t="n"/>
      <c r="D773" s="4" t="n"/>
      <c r="E773" s="4" t="n"/>
      <c r="F773">
        <f>IF(A773="","",SUMIFS(المبيعات!$F$2:$F$2000,المبيعات!$D$2:$D$2000,A773))</f>
        <v/>
      </c>
      <c r="G773">
        <f>IF(A773="","",E773-F773)</f>
        <v/>
      </c>
      <c r="H773" s="4" t="n"/>
      <c r="I773">
        <f>IF(OR(A773="",H773=""),"",IF(G773&lt;=H773,"اطلب الآن",""))</f>
        <v/>
      </c>
    </row>
    <row r="774">
      <c r="A774" s="4" t="n"/>
      <c r="B774" s="4" t="n"/>
      <c r="C774" s="4" t="n"/>
      <c r="D774" s="4" t="n"/>
      <c r="E774" s="4" t="n"/>
      <c r="F774">
        <f>IF(A774="","",SUMIFS(المبيعات!$F$2:$F$2000,المبيعات!$D$2:$D$2000,A774))</f>
        <v/>
      </c>
      <c r="G774">
        <f>IF(A774="","",E774-F774)</f>
        <v/>
      </c>
      <c r="H774" s="4" t="n"/>
      <c r="I774">
        <f>IF(OR(A774="",H774=""),"",IF(G774&lt;=H774,"اطلب الآن",""))</f>
        <v/>
      </c>
    </row>
    <row r="775">
      <c r="A775" s="4" t="n"/>
      <c r="B775" s="4" t="n"/>
      <c r="C775" s="4" t="n"/>
      <c r="D775" s="4" t="n"/>
      <c r="E775" s="4" t="n"/>
      <c r="F775">
        <f>IF(A775="","",SUMIFS(المبيعات!$F$2:$F$2000,المبيعات!$D$2:$D$2000,A775))</f>
        <v/>
      </c>
      <c r="G775">
        <f>IF(A775="","",E775-F775)</f>
        <v/>
      </c>
      <c r="H775" s="4" t="n"/>
      <c r="I775">
        <f>IF(OR(A775="",H775=""),"",IF(G775&lt;=H775,"اطلب الآن",""))</f>
        <v/>
      </c>
    </row>
    <row r="776">
      <c r="A776" s="4" t="n"/>
      <c r="B776" s="4" t="n"/>
      <c r="C776" s="4" t="n"/>
      <c r="D776" s="4" t="n"/>
      <c r="E776" s="4" t="n"/>
      <c r="F776">
        <f>IF(A776="","",SUMIFS(المبيعات!$F$2:$F$2000,المبيعات!$D$2:$D$2000,A776))</f>
        <v/>
      </c>
      <c r="G776">
        <f>IF(A776="","",E776-F776)</f>
        <v/>
      </c>
      <c r="H776" s="4" t="n"/>
      <c r="I776">
        <f>IF(OR(A776="",H776=""),"",IF(G776&lt;=H776,"اطلب الآن",""))</f>
        <v/>
      </c>
    </row>
    <row r="777">
      <c r="A777" s="4" t="n"/>
      <c r="B777" s="4" t="n"/>
      <c r="C777" s="4" t="n"/>
      <c r="D777" s="4" t="n"/>
      <c r="E777" s="4" t="n"/>
      <c r="F777">
        <f>IF(A777="","",SUMIFS(المبيعات!$F$2:$F$2000,المبيعات!$D$2:$D$2000,A777))</f>
        <v/>
      </c>
      <c r="G777">
        <f>IF(A777="","",E777-F777)</f>
        <v/>
      </c>
      <c r="H777" s="4" t="n"/>
      <c r="I777">
        <f>IF(OR(A777="",H777=""),"",IF(G777&lt;=H777,"اطلب الآن",""))</f>
        <v/>
      </c>
    </row>
    <row r="778">
      <c r="A778" s="4" t="n"/>
      <c r="B778" s="4" t="n"/>
      <c r="C778" s="4" t="n"/>
      <c r="D778" s="4" t="n"/>
      <c r="E778" s="4" t="n"/>
      <c r="F778">
        <f>IF(A778="","",SUMIFS(المبيعات!$F$2:$F$2000,المبيعات!$D$2:$D$2000,A778))</f>
        <v/>
      </c>
      <c r="G778">
        <f>IF(A778="","",E778-F778)</f>
        <v/>
      </c>
      <c r="H778" s="4" t="n"/>
      <c r="I778">
        <f>IF(OR(A778="",H778=""),"",IF(G778&lt;=H778,"اطلب الآن",""))</f>
        <v/>
      </c>
    </row>
    <row r="779">
      <c r="A779" s="4" t="n"/>
      <c r="B779" s="4" t="n"/>
      <c r="C779" s="4" t="n"/>
      <c r="D779" s="4" t="n"/>
      <c r="E779" s="4" t="n"/>
      <c r="F779">
        <f>IF(A779="","",SUMIFS(المبيعات!$F$2:$F$2000,المبيعات!$D$2:$D$2000,A779))</f>
        <v/>
      </c>
      <c r="G779">
        <f>IF(A779="","",E779-F779)</f>
        <v/>
      </c>
      <c r="H779" s="4" t="n"/>
      <c r="I779">
        <f>IF(OR(A779="",H779=""),"",IF(G779&lt;=H779,"اطلب الآن",""))</f>
        <v/>
      </c>
    </row>
    <row r="780">
      <c r="A780" s="4" t="n"/>
      <c r="B780" s="4" t="n"/>
      <c r="C780" s="4" t="n"/>
      <c r="D780" s="4" t="n"/>
      <c r="E780" s="4" t="n"/>
      <c r="F780">
        <f>IF(A780="","",SUMIFS(المبيعات!$F$2:$F$2000,المبيعات!$D$2:$D$2000,A780))</f>
        <v/>
      </c>
      <c r="G780">
        <f>IF(A780="","",E780-F780)</f>
        <v/>
      </c>
      <c r="H780" s="4" t="n"/>
      <c r="I780">
        <f>IF(OR(A780="",H780=""),"",IF(G780&lt;=H780,"اطلب الآن",""))</f>
        <v/>
      </c>
    </row>
    <row r="781">
      <c r="A781" s="4" t="n"/>
      <c r="B781" s="4" t="n"/>
      <c r="C781" s="4" t="n"/>
      <c r="D781" s="4" t="n"/>
      <c r="E781" s="4" t="n"/>
      <c r="F781">
        <f>IF(A781="","",SUMIFS(المبيعات!$F$2:$F$2000,المبيعات!$D$2:$D$2000,A781))</f>
        <v/>
      </c>
      <c r="G781">
        <f>IF(A781="","",E781-F781)</f>
        <v/>
      </c>
      <c r="H781" s="4" t="n"/>
      <c r="I781">
        <f>IF(OR(A781="",H781=""),"",IF(G781&lt;=H781,"اطلب الآن",""))</f>
        <v/>
      </c>
    </row>
    <row r="782">
      <c r="A782" s="4" t="n"/>
      <c r="B782" s="4" t="n"/>
      <c r="C782" s="4" t="n"/>
      <c r="D782" s="4" t="n"/>
      <c r="E782" s="4" t="n"/>
      <c r="F782">
        <f>IF(A782="","",SUMIFS(المبيعات!$F$2:$F$2000,المبيعات!$D$2:$D$2000,A782))</f>
        <v/>
      </c>
      <c r="G782">
        <f>IF(A782="","",E782-F782)</f>
        <v/>
      </c>
      <c r="H782" s="4" t="n"/>
      <c r="I782">
        <f>IF(OR(A782="",H782=""),"",IF(G782&lt;=H782,"اطلب الآن",""))</f>
        <v/>
      </c>
    </row>
    <row r="783">
      <c r="A783" s="4" t="n"/>
      <c r="B783" s="4" t="n"/>
      <c r="C783" s="4" t="n"/>
      <c r="D783" s="4" t="n"/>
      <c r="E783" s="4" t="n"/>
      <c r="F783">
        <f>IF(A783="","",SUMIFS(المبيعات!$F$2:$F$2000,المبيعات!$D$2:$D$2000,A783))</f>
        <v/>
      </c>
      <c r="G783">
        <f>IF(A783="","",E783-F783)</f>
        <v/>
      </c>
      <c r="H783" s="4" t="n"/>
      <c r="I783">
        <f>IF(OR(A783="",H783=""),"",IF(G783&lt;=H783,"اطلب الآن",""))</f>
        <v/>
      </c>
    </row>
    <row r="784">
      <c r="A784" s="4" t="n"/>
      <c r="B784" s="4" t="n"/>
      <c r="C784" s="4" t="n"/>
      <c r="D784" s="4" t="n"/>
      <c r="E784" s="4" t="n"/>
      <c r="F784">
        <f>IF(A784="","",SUMIFS(المبيعات!$F$2:$F$2000,المبيعات!$D$2:$D$2000,A784))</f>
        <v/>
      </c>
      <c r="G784">
        <f>IF(A784="","",E784-F784)</f>
        <v/>
      </c>
      <c r="H784" s="4" t="n"/>
      <c r="I784">
        <f>IF(OR(A784="",H784=""),"",IF(G784&lt;=H784,"اطلب الآن",""))</f>
        <v/>
      </c>
    </row>
    <row r="785">
      <c r="A785" s="4" t="n"/>
      <c r="B785" s="4" t="n"/>
      <c r="C785" s="4" t="n"/>
      <c r="D785" s="4" t="n"/>
      <c r="E785" s="4" t="n"/>
      <c r="F785">
        <f>IF(A785="","",SUMIFS(المبيعات!$F$2:$F$2000,المبيعات!$D$2:$D$2000,A785))</f>
        <v/>
      </c>
      <c r="G785">
        <f>IF(A785="","",E785-F785)</f>
        <v/>
      </c>
      <c r="H785" s="4" t="n"/>
      <c r="I785">
        <f>IF(OR(A785="",H785=""),"",IF(G785&lt;=H785,"اطلب الآن",""))</f>
        <v/>
      </c>
    </row>
    <row r="786">
      <c r="A786" s="4" t="n"/>
      <c r="B786" s="4" t="n"/>
      <c r="C786" s="4" t="n"/>
      <c r="D786" s="4" t="n"/>
      <c r="E786" s="4" t="n"/>
      <c r="F786">
        <f>IF(A786="","",SUMIFS(المبيعات!$F$2:$F$2000,المبيعات!$D$2:$D$2000,A786))</f>
        <v/>
      </c>
      <c r="G786">
        <f>IF(A786="","",E786-F786)</f>
        <v/>
      </c>
      <c r="H786" s="4" t="n"/>
      <c r="I786">
        <f>IF(OR(A786="",H786=""),"",IF(G786&lt;=H786,"اطلب الآن",""))</f>
        <v/>
      </c>
    </row>
    <row r="787">
      <c r="A787" s="4" t="n"/>
      <c r="B787" s="4" t="n"/>
      <c r="C787" s="4" t="n"/>
      <c r="D787" s="4" t="n"/>
      <c r="E787" s="4" t="n"/>
      <c r="F787">
        <f>IF(A787="","",SUMIFS(المبيعات!$F$2:$F$2000,المبيعات!$D$2:$D$2000,A787))</f>
        <v/>
      </c>
      <c r="G787">
        <f>IF(A787="","",E787-F787)</f>
        <v/>
      </c>
      <c r="H787" s="4" t="n"/>
      <c r="I787">
        <f>IF(OR(A787="",H787=""),"",IF(G787&lt;=H787,"اطلب الآن",""))</f>
        <v/>
      </c>
    </row>
    <row r="788">
      <c r="A788" s="4" t="n"/>
      <c r="B788" s="4" t="n"/>
      <c r="C788" s="4" t="n"/>
      <c r="D788" s="4" t="n"/>
      <c r="E788" s="4" t="n"/>
      <c r="F788">
        <f>IF(A788="","",SUMIFS(المبيعات!$F$2:$F$2000,المبيعات!$D$2:$D$2000,A788))</f>
        <v/>
      </c>
      <c r="G788">
        <f>IF(A788="","",E788-F788)</f>
        <v/>
      </c>
      <c r="H788" s="4" t="n"/>
      <c r="I788">
        <f>IF(OR(A788="",H788=""),"",IF(G788&lt;=H788,"اطلب الآن",""))</f>
        <v/>
      </c>
    </row>
    <row r="789">
      <c r="A789" s="4" t="n"/>
      <c r="B789" s="4" t="n"/>
      <c r="C789" s="4" t="n"/>
      <c r="D789" s="4" t="n"/>
      <c r="E789" s="4" t="n"/>
      <c r="F789">
        <f>IF(A789="","",SUMIFS(المبيعات!$F$2:$F$2000,المبيعات!$D$2:$D$2000,A789))</f>
        <v/>
      </c>
      <c r="G789">
        <f>IF(A789="","",E789-F789)</f>
        <v/>
      </c>
      <c r="H789" s="4" t="n"/>
      <c r="I789">
        <f>IF(OR(A789="",H789=""),"",IF(G789&lt;=H789,"اطلب الآن",""))</f>
        <v/>
      </c>
    </row>
    <row r="790">
      <c r="A790" s="4" t="n"/>
      <c r="B790" s="4" t="n"/>
      <c r="C790" s="4" t="n"/>
      <c r="D790" s="4" t="n"/>
      <c r="E790" s="4" t="n"/>
      <c r="F790">
        <f>IF(A790="","",SUMIFS(المبيعات!$F$2:$F$2000,المبيعات!$D$2:$D$2000,A790))</f>
        <v/>
      </c>
      <c r="G790">
        <f>IF(A790="","",E790-F790)</f>
        <v/>
      </c>
      <c r="H790" s="4" t="n"/>
      <c r="I790">
        <f>IF(OR(A790="",H790=""),"",IF(G790&lt;=H790,"اطلب الآن",""))</f>
        <v/>
      </c>
    </row>
    <row r="791">
      <c r="A791" s="4" t="n"/>
      <c r="B791" s="4" t="n"/>
      <c r="C791" s="4" t="n"/>
      <c r="D791" s="4" t="n"/>
      <c r="E791" s="4" t="n"/>
      <c r="F791">
        <f>IF(A791="","",SUMIFS(المبيعات!$F$2:$F$2000,المبيعات!$D$2:$D$2000,A791))</f>
        <v/>
      </c>
      <c r="G791">
        <f>IF(A791="","",E791-F791)</f>
        <v/>
      </c>
      <c r="H791" s="4" t="n"/>
      <c r="I791">
        <f>IF(OR(A791="",H791=""),"",IF(G791&lt;=H791,"اطلب الآن",""))</f>
        <v/>
      </c>
    </row>
    <row r="792">
      <c r="A792" s="4" t="n"/>
      <c r="B792" s="4" t="n"/>
      <c r="C792" s="4" t="n"/>
      <c r="D792" s="4" t="n"/>
      <c r="E792" s="4" t="n"/>
      <c r="F792">
        <f>IF(A792="","",SUMIFS(المبيعات!$F$2:$F$2000,المبيعات!$D$2:$D$2000,A792))</f>
        <v/>
      </c>
      <c r="G792">
        <f>IF(A792="","",E792-F792)</f>
        <v/>
      </c>
      <c r="H792" s="4" t="n"/>
      <c r="I792">
        <f>IF(OR(A792="",H792=""),"",IF(G792&lt;=H792,"اطلب الآن",""))</f>
        <v/>
      </c>
    </row>
    <row r="793">
      <c r="A793" s="4" t="n"/>
      <c r="B793" s="4" t="n"/>
      <c r="C793" s="4" t="n"/>
      <c r="D793" s="4" t="n"/>
      <c r="E793" s="4" t="n"/>
      <c r="F793">
        <f>IF(A793="","",SUMIFS(المبيعات!$F$2:$F$2000,المبيعات!$D$2:$D$2000,A793))</f>
        <v/>
      </c>
      <c r="G793">
        <f>IF(A793="","",E793-F793)</f>
        <v/>
      </c>
      <c r="H793" s="4" t="n"/>
      <c r="I793">
        <f>IF(OR(A793="",H793=""),"",IF(G793&lt;=H793,"اطلب الآن",""))</f>
        <v/>
      </c>
    </row>
    <row r="794">
      <c r="A794" s="4" t="n"/>
      <c r="B794" s="4" t="n"/>
      <c r="C794" s="4" t="n"/>
      <c r="D794" s="4" t="n"/>
      <c r="E794" s="4" t="n"/>
      <c r="F794">
        <f>IF(A794="","",SUMIFS(المبيعات!$F$2:$F$2000,المبيعات!$D$2:$D$2000,A794))</f>
        <v/>
      </c>
      <c r="G794">
        <f>IF(A794="","",E794-F794)</f>
        <v/>
      </c>
      <c r="H794" s="4" t="n"/>
      <c r="I794">
        <f>IF(OR(A794="",H794=""),"",IF(G794&lt;=H794,"اطلب الآن",""))</f>
        <v/>
      </c>
    </row>
    <row r="795">
      <c r="A795" s="4" t="n"/>
      <c r="B795" s="4" t="n"/>
      <c r="C795" s="4" t="n"/>
      <c r="D795" s="4" t="n"/>
      <c r="E795" s="4" t="n"/>
      <c r="F795">
        <f>IF(A795="","",SUMIFS(المبيعات!$F$2:$F$2000,المبيعات!$D$2:$D$2000,A795))</f>
        <v/>
      </c>
      <c r="G795">
        <f>IF(A795="","",E795-F795)</f>
        <v/>
      </c>
      <c r="H795" s="4" t="n"/>
      <c r="I795">
        <f>IF(OR(A795="",H795=""),"",IF(G795&lt;=H795,"اطلب الآن",""))</f>
        <v/>
      </c>
    </row>
    <row r="796">
      <c r="A796" s="4" t="n"/>
      <c r="B796" s="4" t="n"/>
      <c r="C796" s="4" t="n"/>
      <c r="D796" s="4" t="n"/>
      <c r="E796" s="4" t="n"/>
      <c r="F796">
        <f>IF(A796="","",SUMIFS(المبيعات!$F$2:$F$2000,المبيعات!$D$2:$D$2000,A796))</f>
        <v/>
      </c>
      <c r="G796">
        <f>IF(A796="","",E796-F796)</f>
        <v/>
      </c>
      <c r="H796" s="4" t="n"/>
      <c r="I796">
        <f>IF(OR(A796="",H796=""),"",IF(G796&lt;=H796,"اطلب الآن",""))</f>
        <v/>
      </c>
    </row>
    <row r="797">
      <c r="A797" s="4" t="n"/>
      <c r="B797" s="4" t="n"/>
      <c r="C797" s="4" t="n"/>
      <c r="D797" s="4" t="n"/>
      <c r="E797" s="4" t="n"/>
      <c r="F797">
        <f>IF(A797="","",SUMIFS(المبيعات!$F$2:$F$2000,المبيعات!$D$2:$D$2000,A797))</f>
        <v/>
      </c>
      <c r="G797">
        <f>IF(A797="","",E797-F797)</f>
        <v/>
      </c>
      <c r="H797" s="4" t="n"/>
      <c r="I797">
        <f>IF(OR(A797="",H797=""),"",IF(G797&lt;=H797,"اطلب الآن",""))</f>
        <v/>
      </c>
    </row>
    <row r="798">
      <c r="A798" s="4" t="n"/>
      <c r="B798" s="4" t="n"/>
      <c r="C798" s="4" t="n"/>
      <c r="D798" s="4" t="n"/>
      <c r="E798" s="4" t="n"/>
      <c r="F798">
        <f>IF(A798="","",SUMIFS(المبيعات!$F$2:$F$2000,المبيعات!$D$2:$D$2000,A798))</f>
        <v/>
      </c>
      <c r="G798">
        <f>IF(A798="","",E798-F798)</f>
        <v/>
      </c>
      <c r="H798" s="4" t="n"/>
      <c r="I798">
        <f>IF(OR(A798="",H798=""),"",IF(G798&lt;=H798,"اطلب الآن",""))</f>
        <v/>
      </c>
    </row>
    <row r="799">
      <c r="A799" s="4" t="n"/>
      <c r="B799" s="4" t="n"/>
      <c r="C799" s="4" t="n"/>
      <c r="D799" s="4" t="n"/>
      <c r="E799" s="4" t="n"/>
      <c r="F799">
        <f>IF(A799="","",SUMIFS(المبيعات!$F$2:$F$2000,المبيعات!$D$2:$D$2000,A799))</f>
        <v/>
      </c>
      <c r="G799">
        <f>IF(A799="","",E799-F799)</f>
        <v/>
      </c>
      <c r="H799" s="4" t="n"/>
      <c r="I799">
        <f>IF(OR(A799="",H799=""),"",IF(G799&lt;=H799,"اطلب الآن",""))</f>
        <v/>
      </c>
    </row>
    <row r="800">
      <c r="A800" s="4" t="n"/>
      <c r="B800" s="4" t="n"/>
      <c r="C800" s="4" t="n"/>
      <c r="D800" s="4" t="n"/>
      <c r="E800" s="4" t="n"/>
      <c r="F800">
        <f>IF(A800="","",SUMIFS(المبيعات!$F$2:$F$2000,المبيعات!$D$2:$D$2000,A800))</f>
        <v/>
      </c>
      <c r="G800">
        <f>IF(A800="","",E800-F800)</f>
        <v/>
      </c>
      <c r="H800" s="4" t="n"/>
      <c r="I800">
        <f>IF(OR(A800="",H800=""),"",IF(G800&lt;=H800,"اطلب الآن",""))</f>
        <v/>
      </c>
    </row>
    <row r="801">
      <c r="A801" s="4" t="n"/>
      <c r="B801" s="4" t="n"/>
      <c r="C801" s="4" t="n"/>
      <c r="D801" s="4" t="n"/>
      <c r="E801" s="4" t="n"/>
      <c r="F801">
        <f>IF(A801="","",SUMIFS(المبيعات!$F$2:$F$2000,المبيعات!$D$2:$D$2000,A801))</f>
        <v/>
      </c>
      <c r="G801">
        <f>IF(A801="","",E801-F801)</f>
        <v/>
      </c>
      <c r="H801" s="4" t="n"/>
      <c r="I801">
        <f>IF(OR(A801="",H801=""),"",IF(G801&lt;=H801,"اطلب الآن",""))</f>
        <v/>
      </c>
    </row>
    <row r="802">
      <c r="A802" s="4" t="n"/>
      <c r="B802" s="4" t="n"/>
      <c r="C802" s="4" t="n"/>
      <c r="D802" s="4" t="n"/>
      <c r="E802" s="4" t="n"/>
      <c r="F802">
        <f>IF(A802="","",SUMIFS(المبيعات!$F$2:$F$2000,المبيعات!$D$2:$D$2000,A802))</f>
        <v/>
      </c>
      <c r="G802">
        <f>IF(A802="","",E802-F802)</f>
        <v/>
      </c>
      <c r="H802" s="4" t="n"/>
      <c r="I802">
        <f>IF(OR(A802="",H802=""),"",IF(G802&lt;=H802,"اطلب الآن",""))</f>
        <v/>
      </c>
    </row>
    <row r="803">
      <c r="A803" s="4" t="n"/>
      <c r="B803" s="4" t="n"/>
      <c r="C803" s="4" t="n"/>
      <c r="D803" s="4" t="n"/>
      <c r="E803" s="4" t="n"/>
      <c r="F803">
        <f>IF(A803="","",SUMIFS(المبيعات!$F$2:$F$2000,المبيعات!$D$2:$D$2000,A803))</f>
        <v/>
      </c>
      <c r="G803">
        <f>IF(A803="","",E803-F803)</f>
        <v/>
      </c>
      <c r="H803" s="4" t="n"/>
      <c r="I803">
        <f>IF(OR(A803="",H803=""),"",IF(G803&lt;=H803,"اطلب الآن",""))</f>
        <v/>
      </c>
    </row>
    <row r="804">
      <c r="A804" s="4" t="n"/>
      <c r="B804" s="4" t="n"/>
      <c r="C804" s="4" t="n"/>
      <c r="D804" s="4" t="n"/>
      <c r="E804" s="4" t="n"/>
      <c r="F804">
        <f>IF(A804="","",SUMIFS(المبيعات!$F$2:$F$2000,المبيعات!$D$2:$D$2000,A804))</f>
        <v/>
      </c>
      <c r="G804">
        <f>IF(A804="","",E804-F804)</f>
        <v/>
      </c>
      <c r="H804" s="4" t="n"/>
      <c r="I804">
        <f>IF(OR(A804="",H804=""),"",IF(G804&lt;=H804,"اطلب الآن",""))</f>
        <v/>
      </c>
    </row>
    <row r="805">
      <c r="A805" s="4" t="n"/>
      <c r="B805" s="4" t="n"/>
      <c r="C805" s="4" t="n"/>
      <c r="D805" s="4" t="n"/>
      <c r="E805" s="4" t="n"/>
      <c r="F805">
        <f>IF(A805="","",SUMIFS(المبيعات!$F$2:$F$2000,المبيعات!$D$2:$D$2000,A805))</f>
        <v/>
      </c>
      <c r="G805">
        <f>IF(A805="","",E805-F805)</f>
        <v/>
      </c>
      <c r="H805" s="4" t="n"/>
      <c r="I805">
        <f>IF(OR(A805="",H805=""),"",IF(G805&lt;=H805,"اطلب الآن",""))</f>
        <v/>
      </c>
    </row>
    <row r="806">
      <c r="A806" s="4" t="n"/>
      <c r="B806" s="4" t="n"/>
      <c r="C806" s="4" t="n"/>
      <c r="D806" s="4" t="n"/>
      <c r="E806" s="4" t="n"/>
      <c r="F806">
        <f>IF(A806="","",SUMIFS(المبيعات!$F$2:$F$2000,المبيعات!$D$2:$D$2000,A806))</f>
        <v/>
      </c>
      <c r="G806">
        <f>IF(A806="","",E806-F806)</f>
        <v/>
      </c>
      <c r="H806" s="4" t="n"/>
      <c r="I806">
        <f>IF(OR(A806="",H806=""),"",IF(G806&lt;=H806,"اطلب الآن",""))</f>
        <v/>
      </c>
    </row>
    <row r="807">
      <c r="A807" s="4" t="n"/>
      <c r="B807" s="4" t="n"/>
      <c r="C807" s="4" t="n"/>
      <c r="D807" s="4" t="n"/>
      <c r="E807" s="4" t="n"/>
      <c r="F807">
        <f>IF(A807="","",SUMIFS(المبيعات!$F$2:$F$2000,المبيعات!$D$2:$D$2000,A807))</f>
        <v/>
      </c>
      <c r="G807">
        <f>IF(A807="","",E807-F807)</f>
        <v/>
      </c>
      <c r="H807" s="4" t="n"/>
      <c r="I807">
        <f>IF(OR(A807="",H807=""),"",IF(G807&lt;=H807,"اطلب الآن",""))</f>
        <v/>
      </c>
    </row>
    <row r="808">
      <c r="A808" s="4" t="n"/>
      <c r="B808" s="4" t="n"/>
      <c r="C808" s="4" t="n"/>
      <c r="D808" s="4" t="n"/>
      <c r="E808" s="4" t="n"/>
      <c r="F808">
        <f>IF(A808="","",SUMIFS(المبيعات!$F$2:$F$2000,المبيعات!$D$2:$D$2000,A808))</f>
        <v/>
      </c>
      <c r="G808">
        <f>IF(A808="","",E808-F808)</f>
        <v/>
      </c>
      <c r="H808" s="4" t="n"/>
      <c r="I808">
        <f>IF(OR(A808="",H808=""),"",IF(G808&lt;=H808,"اطلب الآن",""))</f>
        <v/>
      </c>
    </row>
    <row r="809">
      <c r="A809" s="4" t="n"/>
      <c r="B809" s="4" t="n"/>
      <c r="C809" s="4" t="n"/>
      <c r="D809" s="4" t="n"/>
      <c r="E809" s="4" t="n"/>
      <c r="F809">
        <f>IF(A809="","",SUMIFS(المبيعات!$F$2:$F$2000,المبيعات!$D$2:$D$2000,A809))</f>
        <v/>
      </c>
      <c r="G809">
        <f>IF(A809="","",E809-F809)</f>
        <v/>
      </c>
      <c r="H809" s="4" t="n"/>
      <c r="I809">
        <f>IF(OR(A809="",H809=""),"",IF(G809&lt;=H809,"اطلب الآن",""))</f>
        <v/>
      </c>
    </row>
    <row r="810">
      <c r="A810" s="4" t="n"/>
      <c r="B810" s="4" t="n"/>
      <c r="C810" s="4" t="n"/>
      <c r="D810" s="4" t="n"/>
      <c r="E810" s="4" t="n"/>
      <c r="F810">
        <f>IF(A810="","",SUMIFS(المبيعات!$F$2:$F$2000,المبيعات!$D$2:$D$2000,A810))</f>
        <v/>
      </c>
      <c r="G810">
        <f>IF(A810="","",E810-F810)</f>
        <v/>
      </c>
      <c r="H810" s="4" t="n"/>
      <c r="I810">
        <f>IF(OR(A810="",H810=""),"",IF(G810&lt;=H810,"اطلب الآن",""))</f>
        <v/>
      </c>
    </row>
    <row r="811">
      <c r="A811" s="4" t="n"/>
      <c r="B811" s="4" t="n"/>
      <c r="C811" s="4" t="n"/>
      <c r="D811" s="4" t="n"/>
      <c r="E811" s="4" t="n"/>
      <c r="F811">
        <f>IF(A811="","",SUMIFS(المبيعات!$F$2:$F$2000,المبيعات!$D$2:$D$2000,A811))</f>
        <v/>
      </c>
      <c r="G811">
        <f>IF(A811="","",E811-F811)</f>
        <v/>
      </c>
      <c r="H811" s="4" t="n"/>
      <c r="I811">
        <f>IF(OR(A811="",H811=""),"",IF(G811&lt;=H811,"اطلب الآن",""))</f>
        <v/>
      </c>
    </row>
    <row r="812">
      <c r="A812" s="4" t="n"/>
      <c r="B812" s="4" t="n"/>
      <c r="C812" s="4" t="n"/>
      <c r="D812" s="4" t="n"/>
      <c r="E812" s="4" t="n"/>
      <c r="F812">
        <f>IF(A812="","",SUMIFS(المبيعات!$F$2:$F$2000,المبيعات!$D$2:$D$2000,A812))</f>
        <v/>
      </c>
      <c r="G812">
        <f>IF(A812="","",E812-F812)</f>
        <v/>
      </c>
      <c r="H812" s="4" t="n"/>
      <c r="I812">
        <f>IF(OR(A812="",H812=""),"",IF(G812&lt;=H812,"اطلب الآن",""))</f>
        <v/>
      </c>
    </row>
    <row r="813">
      <c r="A813" s="4" t="n"/>
      <c r="B813" s="4" t="n"/>
      <c r="C813" s="4" t="n"/>
      <c r="D813" s="4" t="n"/>
      <c r="E813" s="4" t="n"/>
      <c r="F813">
        <f>IF(A813="","",SUMIFS(المبيعات!$F$2:$F$2000,المبيعات!$D$2:$D$2000,A813))</f>
        <v/>
      </c>
      <c r="G813">
        <f>IF(A813="","",E813-F813)</f>
        <v/>
      </c>
      <c r="H813" s="4" t="n"/>
      <c r="I813">
        <f>IF(OR(A813="",H813=""),"",IF(G813&lt;=H813,"اطلب الآن",""))</f>
        <v/>
      </c>
    </row>
    <row r="814">
      <c r="A814" s="4" t="n"/>
      <c r="B814" s="4" t="n"/>
      <c r="C814" s="4" t="n"/>
      <c r="D814" s="4" t="n"/>
      <c r="E814" s="4" t="n"/>
      <c r="F814">
        <f>IF(A814="","",SUMIFS(المبيعات!$F$2:$F$2000,المبيعات!$D$2:$D$2000,A814))</f>
        <v/>
      </c>
      <c r="G814">
        <f>IF(A814="","",E814-F814)</f>
        <v/>
      </c>
      <c r="H814" s="4" t="n"/>
      <c r="I814">
        <f>IF(OR(A814="",H814=""),"",IF(G814&lt;=H814,"اطلب الآن",""))</f>
        <v/>
      </c>
    </row>
    <row r="815">
      <c r="A815" s="4" t="n"/>
      <c r="B815" s="4" t="n"/>
      <c r="C815" s="4" t="n"/>
      <c r="D815" s="4" t="n"/>
      <c r="E815" s="4" t="n"/>
      <c r="F815">
        <f>IF(A815="","",SUMIFS(المبيعات!$F$2:$F$2000,المبيعات!$D$2:$D$2000,A815))</f>
        <v/>
      </c>
      <c r="G815">
        <f>IF(A815="","",E815-F815)</f>
        <v/>
      </c>
      <c r="H815" s="4" t="n"/>
      <c r="I815">
        <f>IF(OR(A815="",H815=""),"",IF(G815&lt;=H815,"اطلب الآن",""))</f>
        <v/>
      </c>
    </row>
    <row r="816">
      <c r="A816" s="4" t="n"/>
      <c r="B816" s="4" t="n"/>
      <c r="C816" s="4" t="n"/>
      <c r="D816" s="4" t="n"/>
      <c r="E816" s="4" t="n"/>
      <c r="F816">
        <f>IF(A816="","",SUMIFS(المبيعات!$F$2:$F$2000,المبيعات!$D$2:$D$2000,A816))</f>
        <v/>
      </c>
      <c r="G816">
        <f>IF(A816="","",E816-F816)</f>
        <v/>
      </c>
      <c r="H816" s="4" t="n"/>
      <c r="I816">
        <f>IF(OR(A816="",H816=""),"",IF(G816&lt;=H816,"اطلب الآن",""))</f>
        <v/>
      </c>
    </row>
    <row r="817">
      <c r="A817" s="4" t="n"/>
      <c r="B817" s="4" t="n"/>
      <c r="C817" s="4" t="n"/>
      <c r="D817" s="4" t="n"/>
      <c r="E817" s="4" t="n"/>
      <c r="F817">
        <f>IF(A817="","",SUMIFS(المبيعات!$F$2:$F$2000,المبيعات!$D$2:$D$2000,A817))</f>
        <v/>
      </c>
      <c r="G817">
        <f>IF(A817="","",E817-F817)</f>
        <v/>
      </c>
      <c r="H817" s="4" t="n"/>
      <c r="I817">
        <f>IF(OR(A817="",H817=""),"",IF(G817&lt;=H817,"اطلب الآن",""))</f>
        <v/>
      </c>
    </row>
    <row r="818">
      <c r="A818" s="4" t="n"/>
      <c r="B818" s="4" t="n"/>
      <c r="C818" s="4" t="n"/>
      <c r="D818" s="4" t="n"/>
      <c r="E818" s="4" t="n"/>
      <c r="F818">
        <f>IF(A818="","",SUMIFS(المبيعات!$F$2:$F$2000,المبيعات!$D$2:$D$2000,A818))</f>
        <v/>
      </c>
      <c r="G818">
        <f>IF(A818="","",E818-F818)</f>
        <v/>
      </c>
      <c r="H818" s="4" t="n"/>
      <c r="I818">
        <f>IF(OR(A818="",H818=""),"",IF(G818&lt;=H818,"اطلب الآن",""))</f>
        <v/>
      </c>
    </row>
    <row r="819">
      <c r="A819" s="4" t="n"/>
      <c r="B819" s="4" t="n"/>
      <c r="C819" s="4" t="n"/>
      <c r="D819" s="4" t="n"/>
      <c r="E819" s="4" t="n"/>
      <c r="F819">
        <f>IF(A819="","",SUMIFS(المبيعات!$F$2:$F$2000,المبيعات!$D$2:$D$2000,A819))</f>
        <v/>
      </c>
      <c r="G819">
        <f>IF(A819="","",E819-F819)</f>
        <v/>
      </c>
      <c r="H819" s="4" t="n"/>
      <c r="I819">
        <f>IF(OR(A819="",H819=""),"",IF(G819&lt;=H819,"اطلب الآن",""))</f>
        <v/>
      </c>
    </row>
    <row r="820">
      <c r="A820" s="4" t="n"/>
      <c r="B820" s="4" t="n"/>
      <c r="C820" s="4" t="n"/>
      <c r="D820" s="4" t="n"/>
      <c r="E820" s="4" t="n"/>
      <c r="F820">
        <f>IF(A820="","",SUMIFS(المبيعات!$F$2:$F$2000,المبيعات!$D$2:$D$2000,A820))</f>
        <v/>
      </c>
      <c r="G820">
        <f>IF(A820="","",E820-F820)</f>
        <v/>
      </c>
      <c r="H820" s="4" t="n"/>
      <c r="I820">
        <f>IF(OR(A820="",H820=""),"",IF(G820&lt;=H820,"اطلب الآن",""))</f>
        <v/>
      </c>
    </row>
    <row r="821">
      <c r="A821" s="4" t="n"/>
      <c r="B821" s="4" t="n"/>
      <c r="C821" s="4" t="n"/>
      <c r="D821" s="4" t="n"/>
      <c r="E821" s="4" t="n"/>
      <c r="F821">
        <f>IF(A821="","",SUMIFS(المبيعات!$F$2:$F$2000,المبيعات!$D$2:$D$2000,A821))</f>
        <v/>
      </c>
      <c r="G821">
        <f>IF(A821="","",E821-F821)</f>
        <v/>
      </c>
      <c r="H821" s="4" t="n"/>
      <c r="I821">
        <f>IF(OR(A821="",H821=""),"",IF(G821&lt;=H821,"اطلب الآن",""))</f>
        <v/>
      </c>
    </row>
    <row r="822">
      <c r="A822" s="4" t="n"/>
      <c r="B822" s="4" t="n"/>
      <c r="C822" s="4" t="n"/>
      <c r="D822" s="4" t="n"/>
      <c r="E822" s="4" t="n"/>
      <c r="F822">
        <f>IF(A822="","",SUMIFS(المبيعات!$F$2:$F$2000,المبيعات!$D$2:$D$2000,A822))</f>
        <v/>
      </c>
      <c r="G822">
        <f>IF(A822="","",E822-F822)</f>
        <v/>
      </c>
      <c r="H822" s="4" t="n"/>
      <c r="I822">
        <f>IF(OR(A822="",H822=""),"",IF(G822&lt;=H822,"اطلب الآن",""))</f>
        <v/>
      </c>
    </row>
    <row r="823">
      <c r="A823" s="4" t="n"/>
      <c r="B823" s="4" t="n"/>
      <c r="C823" s="4" t="n"/>
      <c r="D823" s="4" t="n"/>
      <c r="E823" s="4" t="n"/>
      <c r="F823">
        <f>IF(A823="","",SUMIFS(المبيعات!$F$2:$F$2000,المبيعات!$D$2:$D$2000,A823))</f>
        <v/>
      </c>
      <c r="G823">
        <f>IF(A823="","",E823-F823)</f>
        <v/>
      </c>
      <c r="H823" s="4" t="n"/>
      <c r="I823">
        <f>IF(OR(A823="",H823=""),"",IF(G823&lt;=H823,"اطلب الآن",""))</f>
        <v/>
      </c>
    </row>
    <row r="824">
      <c r="A824" s="4" t="n"/>
      <c r="B824" s="4" t="n"/>
      <c r="C824" s="4" t="n"/>
      <c r="D824" s="4" t="n"/>
      <c r="E824" s="4" t="n"/>
      <c r="F824">
        <f>IF(A824="","",SUMIFS(المبيعات!$F$2:$F$2000,المبيعات!$D$2:$D$2000,A824))</f>
        <v/>
      </c>
      <c r="G824">
        <f>IF(A824="","",E824-F824)</f>
        <v/>
      </c>
      <c r="H824" s="4" t="n"/>
      <c r="I824">
        <f>IF(OR(A824="",H824=""),"",IF(G824&lt;=H824,"اطلب الآن",""))</f>
        <v/>
      </c>
    </row>
    <row r="825">
      <c r="A825" s="4" t="n"/>
      <c r="B825" s="4" t="n"/>
      <c r="C825" s="4" t="n"/>
      <c r="D825" s="4" t="n"/>
      <c r="E825" s="4" t="n"/>
      <c r="F825">
        <f>IF(A825="","",SUMIFS(المبيعات!$F$2:$F$2000,المبيعات!$D$2:$D$2000,A825))</f>
        <v/>
      </c>
      <c r="G825">
        <f>IF(A825="","",E825-F825)</f>
        <v/>
      </c>
      <c r="H825" s="4" t="n"/>
      <c r="I825">
        <f>IF(OR(A825="",H825=""),"",IF(G825&lt;=H825,"اطلب الآن",""))</f>
        <v/>
      </c>
    </row>
    <row r="826">
      <c r="A826" s="4" t="n"/>
      <c r="B826" s="4" t="n"/>
      <c r="C826" s="4" t="n"/>
      <c r="D826" s="4" t="n"/>
      <c r="E826" s="4" t="n"/>
      <c r="F826">
        <f>IF(A826="","",SUMIFS(المبيعات!$F$2:$F$2000,المبيعات!$D$2:$D$2000,A826))</f>
        <v/>
      </c>
      <c r="G826">
        <f>IF(A826="","",E826-F826)</f>
        <v/>
      </c>
      <c r="H826" s="4" t="n"/>
      <c r="I826">
        <f>IF(OR(A826="",H826=""),"",IF(G826&lt;=H826,"اطلب الآن",""))</f>
        <v/>
      </c>
    </row>
    <row r="827">
      <c r="A827" s="4" t="n"/>
      <c r="B827" s="4" t="n"/>
      <c r="C827" s="4" t="n"/>
      <c r="D827" s="4" t="n"/>
      <c r="E827" s="4" t="n"/>
      <c r="F827">
        <f>IF(A827="","",SUMIFS(المبيعات!$F$2:$F$2000,المبيعات!$D$2:$D$2000,A827))</f>
        <v/>
      </c>
      <c r="G827">
        <f>IF(A827="","",E827-F827)</f>
        <v/>
      </c>
      <c r="H827" s="4" t="n"/>
      <c r="I827">
        <f>IF(OR(A827="",H827=""),"",IF(G827&lt;=H827,"اطلب الآن",""))</f>
        <v/>
      </c>
    </row>
    <row r="828">
      <c r="A828" s="4" t="n"/>
      <c r="B828" s="4" t="n"/>
      <c r="C828" s="4" t="n"/>
      <c r="D828" s="4" t="n"/>
      <c r="E828" s="4" t="n"/>
      <c r="F828">
        <f>IF(A828="","",SUMIFS(المبيعات!$F$2:$F$2000,المبيعات!$D$2:$D$2000,A828))</f>
        <v/>
      </c>
      <c r="G828">
        <f>IF(A828="","",E828-F828)</f>
        <v/>
      </c>
      <c r="H828" s="4" t="n"/>
      <c r="I828">
        <f>IF(OR(A828="",H828=""),"",IF(G828&lt;=H828,"اطلب الآن",""))</f>
        <v/>
      </c>
    </row>
    <row r="829">
      <c r="A829" s="4" t="n"/>
      <c r="B829" s="4" t="n"/>
      <c r="C829" s="4" t="n"/>
      <c r="D829" s="4" t="n"/>
      <c r="E829" s="4" t="n"/>
      <c r="F829">
        <f>IF(A829="","",SUMIFS(المبيعات!$F$2:$F$2000,المبيعات!$D$2:$D$2000,A829))</f>
        <v/>
      </c>
      <c r="G829">
        <f>IF(A829="","",E829-F829)</f>
        <v/>
      </c>
      <c r="H829" s="4" t="n"/>
      <c r="I829">
        <f>IF(OR(A829="",H829=""),"",IF(G829&lt;=H829,"اطلب الآن",""))</f>
        <v/>
      </c>
    </row>
    <row r="830">
      <c r="A830" s="4" t="n"/>
      <c r="B830" s="4" t="n"/>
      <c r="C830" s="4" t="n"/>
      <c r="D830" s="4" t="n"/>
      <c r="E830" s="4" t="n"/>
      <c r="F830">
        <f>IF(A830="","",SUMIFS(المبيعات!$F$2:$F$2000,المبيعات!$D$2:$D$2000,A830))</f>
        <v/>
      </c>
      <c r="G830">
        <f>IF(A830="","",E830-F830)</f>
        <v/>
      </c>
      <c r="H830" s="4" t="n"/>
      <c r="I830">
        <f>IF(OR(A830="",H830=""),"",IF(G830&lt;=H830,"اطلب الآن",""))</f>
        <v/>
      </c>
    </row>
    <row r="831">
      <c r="A831" s="4" t="n"/>
      <c r="B831" s="4" t="n"/>
      <c r="C831" s="4" t="n"/>
      <c r="D831" s="4" t="n"/>
      <c r="E831" s="4" t="n"/>
      <c r="F831">
        <f>IF(A831="","",SUMIFS(المبيعات!$F$2:$F$2000,المبيعات!$D$2:$D$2000,A831))</f>
        <v/>
      </c>
      <c r="G831">
        <f>IF(A831="","",E831-F831)</f>
        <v/>
      </c>
      <c r="H831" s="4" t="n"/>
      <c r="I831">
        <f>IF(OR(A831="",H831=""),"",IF(G831&lt;=H831,"اطلب الآن",""))</f>
        <v/>
      </c>
    </row>
    <row r="832">
      <c r="A832" s="4" t="n"/>
      <c r="B832" s="4" t="n"/>
      <c r="C832" s="4" t="n"/>
      <c r="D832" s="4" t="n"/>
      <c r="E832" s="4" t="n"/>
      <c r="F832">
        <f>IF(A832="","",SUMIFS(المبيعات!$F$2:$F$2000,المبيعات!$D$2:$D$2000,A832))</f>
        <v/>
      </c>
      <c r="G832">
        <f>IF(A832="","",E832-F832)</f>
        <v/>
      </c>
      <c r="H832" s="4" t="n"/>
      <c r="I832">
        <f>IF(OR(A832="",H832=""),"",IF(G832&lt;=H832,"اطلب الآن",""))</f>
        <v/>
      </c>
    </row>
    <row r="833">
      <c r="A833" s="4" t="n"/>
      <c r="B833" s="4" t="n"/>
      <c r="C833" s="4" t="n"/>
      <c r="D833" s="4" t="n"/>
      <c r="E833" s="4" t="n"/>
      <c r="F833">
        <f>IF(A833="","",SUMIFS(المبيعات!$F$2:$F$2000,المبيعات!$D$2:$D$2000,A833))</f>
        <v/>
      </c>
      <c r="G833">
        <f>IF(A833="","",E833-F833)</f>
        <v/>
      </c>
      <c r="H833" s="4" t="n"/>
      <c r="I833">
        <f>IF(OR(A833="",H833=""),"",IF(G833&lt;=H833,"اطلب الآن",""))</f>
        <v/>
      </c>
    </row>
    <row r="834">
      <c r="A834" s="4" t="n"/>
      <c r="B834" s="4" t="n"/>
      <c r="C834" s="4" t="n"/>
      <c r="D834" s="4" t="n"/>
      <c r="E834" s="4" t="n"/>
      <c r="F834">
        <f>IF(A834="","",SUMIFS(المبيعات!$F$2:$F$2000,المبيعات!$D$2:$D$2000,A834))</f>
        <v/>
      </c>
      <c r="G834">
        <f>IF(A834="","",E834-F834)</f>
        <v/>
      </c>
      <c r="H834" s="4" t="n"/>
      <c r="I834">
        <f>IF(OR(A834="",H834=""),"",IF(G834&lt;=H834,"اطلب الآن",""))</f>
        <v/>
      </c>
    </row>
    <row r="835">
      <c r="A835" s="4" t="n"/>
      <c r="B835" s="4" t="n"/>
      <c r="C835" s="4" t="n"/>
      <c r="D835" s="4" t="n"/>
      <c r="E835" s="4" t="n"/>
      <c r="F835">
        <f>IF(A835="","",SUMIFS(المبيعات!$F$2:$F$2000,المبيعات!$D$2:$D$2000,A835))</f>
        <v/>
      </c>
      <c r="G835">
        <f>IF(A835="","",E835-F835)</f>
        <v/>
      </c>
      <c r="H835" s="4" t="n"/>
      <c r="I835">
        <f>IF(OR(A835="",H835=""),"",IF(G835&lt;=H835,"اطلب الآن",""))</f>
        <v/>
      </c>
    </row>
    <row r="836">
      <c r="A836" s="4" t="n"/>
      <c r="B836" s="4" t="n"/>
      <c r="C836" s="4" t="n"/>
      <c r="D836" s="4" t="n"/>
      <c r="E836" s="4" t="n"/>
      <c r="F836">
        <f>IF(A836="","",SUMIFS(المبيعات!$F$2:$F$2000,المبيعات!$D$2:$D$2000,A836))</f>
        <v/>
      </c>
      <c r="G836">
        <f>IF(A836="","",E836-F836)</f>
        <v/>
      </c>
      <c r="H836" s="4" t="n"/>
      <c r="I836">
        <f>IF(OR(A836="",H836=""),"",IF(G836&lt;=H836,"اطلب الآن",""))</f>
        <v/>
      </c>
    </row>
    <row r="837">
      <c r="A837" s="4" t="n"/>
      <c r="B837" s="4" t="n"/>
      <c r="C837" s="4" t="n"/>
      <c r="D837" s="4" t="n"/>
      <c r="E837" s="4" t="n"/>
      <c r="F837">
        <f>IF(A837="","",SUMIFS(المبيعات!$F$2:$F$2000,المبيعات!$D$2:$D$2000,A837))</f>
        <v/>
      </c>
      <c r="G837">
        <f>IF(A837="","",E837-F837)</f>
        <v/>
      </c>
      <c r="H837" s="4" t="n"/>
      <c r="I837">
        <f>IF(OR(A837="",H837=""),"",IF(G837&lt;=H837,"اطلب الآن",""))</f>
        <v/>
      </c>
    </row>
    <row r="838">
      <c r="A838" s="4" t="n"/>
      <c r="B838" s="4" t="n"/>
      <c r="C838" s="4" t="n"/>
      <c r="D838" s="4" t="n"/>
      <c r="E838" s="4" t="n"/>
      <c r="F838">
        <f>IF(A838="","",SUMIFS(المبيعات!$F$2:$F$2000,المبيعات!$D$2:$D$2000,A838))</f>
        <v/>
      </c>
      <c r="G838">
        <f>IF(A838="","",E838-F838)</f>
        <v/>
      </c>
      <c r="H838" s="4" t="n"/>
      <c r="I838">
        <f>IF(OR(A838="",H838=""),"",IF(G838&lt;=H838,"اطلب الآن",""))</f>
        <v/>
      </c>
    </row>
    <row r="839">
      <c r="A839" s="4" t="n"/>
      <c r="B839" s="4" t="n"/>
      <c r="C839" s="4" t="n"/>
      <c r="D839" s="4" t="n"/>
      <c r="E839" s="4" t="n"/>
      <c r="F839">
        <f>IF(A839="","",SUMIFS(المبيعات!$F$2:$F$2000,المبيعات!$D$2:$D$2000,A839))</f>
        <v/>
      </c>
      <c r="G839">
        <f>IF(A839="","",E839-F839)</f>
        <v/>
      </c>
      <c r="H839" s="4" t="n"/>
      <c r="I839">
        <f>IF(OR(A839="",H839=""),"",IF(G839&lt;=H839,"اطلب الآن",""))</f>
        <v/>
      </c>
    </row>
    <row r="840">
      <c r="A840" s="4" t="n"/>
      <c r="B840" s="4" t="n"/>
      <c r="C840" s="4" t="n"/>
      <c r="D840" s="4" t="n"/>
      <c r="E840" s="4" t="n"/>
      <c r="F840">
        <f>IF(A840="","",SUMIFS(المبيعات!$F$2:$F$2000,المبيعات!$D$2:$D$2000,A840))</f>
        <v/>
      </c>
      <c r="G840">
        <f>IF(A840="","",E840-F840)</f>
        <v/>
      </c>
      <c r="H840" s="4" t="n"/>
      <c r="I840">
        <f>IF(OR(A840="",H840=""),"",IF(G840&lt;=H840,"اطلب الآن",""))</f>
        <v/>
      </c>
    </row>
    <row r="841">
      <c r="A841" s="4" t="n"/>
      <c r="B841" s="4" t="n"/>
      <c r="C841" s="4" t="n"/>
      <c r="D841" s="4" t="n"/>
      <c r="E841" s="4" t="n"/>
      <c r="F841">
        <f>IF(A841="","",SUMIFS(المبيعات!$F$2:$F$2000,المبيعات!$D$2:$D$2000,A841))</f>
        <v/>
      </c>
      <c r="G841">
        <f>IF(A841="","",E841-F841)</f>
        <v/>
      </c>
      <c r="H841" s="4" t="n"/>
      <c r="I841">
        <f>IF(OR(A841="",H841=""),"",IF(G841&lt;=H841,"اطلب الآن",""))</f>
        <v/>
      </c>
    </row>
    <row r="842">
      <c r="A842" s="4" t="n"/>
      <c r="B842" s="4" t="n"/>
      <c r="C842" s="4" t="n"/>
      <c r="D842" s="4" t="n"/>
      <c r="E842" s="4" t="n"/>
      <c r="F842">
        <f>IF(A842="","",SUMIFS(المبيعات!$F$2:$F$2000,المبيعات!$D$2:$D$2000,A842))</f>
        <v/>
      </c>
      <c r="G842">
        <f>IF(A842="","",E842-F842)</f>
        <v/>
      </c>
      <c r="H842" s="4" t="n"/>
      <c r="I842">
        <f>IF(OR(A842="",H842=""),"",IF(G842&lt;=H842,"اطلب الآن",""))</f>
        <v/>
      </c>
    </row>
    <row r="843">
      <c r="A843" s="4" t="n"/>
      <c r="B843" s="4" t="n"/>
      <c r="C843" s="4" t="n"/>
      <c r="D843" s="4" t="n"/>
      <c r="E843" s="4" t="n"/>
      <c r="F843">
        <f>IF(A843="","",SUMIFS(المبيعات!$F$2:$F$2000,المبيعات!$D$2:$D$2000,A843))</f>
        <v/>
      </c>
      <c r="G843">
        <f>IF(A843="","",E843-F843)</f>
        <v/>
      </c>
      <c r="H843" s="4" t="n"/>
      <c r="I843">
        <f>IF(OR(A843="",H843=""),"",IF(G843&lt;=H843,"اطلب الآن",""))</f>
        <v/>
      </c>
    </row>
    <row r="844">
      <c r="A844" s="4" t="n"/>
      <c r="B844" s="4" t="n"/>
      <c r="C844" s="4" t="n"/>
      <c r="D844" s="4" t="n"/>
      <c r="E844" s="4" t="n"/>
      <c r="F844">
        <f>IF(A844="","",SUMIFS(المبيعات!$F$2:$F$2000,المبيعات!$D$2:$D$2000,A844))</f>
        <v/>
      </c>
      <c r="G844">
        <f>IF(A844="","",E844-F844)</f>
        <v/>
      </c>
      <c r="H844" s="4" t="n"/>
      <c r="I844">
        <f>IF(OR(A844="",H844=""),"",IF(G844&lt;=H844,"اطلب الآن",""))</f>
        <v/>
      </c>
    </row>
    <row r="845">
      <c r="A845" s="4" t="n"/>
      <c r="B845" s="4" t="n"/>
      <c r="C845" s="4" t="n"/>
      <c r="D845" s="4" t="n"/>
      <c r="E845" s="4" t="n"/>
      <c r="F845">
        <f>IF(A845="","",SUMIFS(المبيعات!$F$2:$F$2000,المبيعات!$D$2:$D$2000,A845))</f>
        <v/>
      </c>
      <c r="G845">
        <f>IF(A845="","",E845-F845)</f>
        <v/>
      </c>
      <c r="H845" s="4" t="n"/>
      <c r="I845">
        <f>IF(OR(A845="",H845=""),"",IF(G845&lt;=H845,"اطلب الآن",""))</f>
        <v/>
      </c>
    </row>
    <row r="846">
      <c r="A846" s="4" t="n"/>
      <c r="B846" s="4" t="n"/>
      <c r="C846" s="4" t="n"/>
      <c r="D846" s="4" t="n"/>
      <c r="E846" s="4" t="n"/>
      <c r="F846">
        <f>IF(A846="","",SUMIFS(المبيعات!$F$2:$F$2000,المبيعات!$D$2:$D$2000,A846))</f>
        <v/>
      </c>
      <c r="G846">
        <f>IF(A846="","",E846-F846)</f>
        <v/>
      </c>
      <c r="H846" s="4" t="n"/>
      <c r="I846">
        <f>IF(OR(A846="",H846=""),"",IF(G846&lt;=H846,"اطلب الآن",""))</f>
        <v/>
      </c>
    </row>
    <row r="847">
      <c r="A847" s="4" t="n"/>
      <c r="B847" s="4" t="n"/>
      <c r="C847" s="4" t="n"/>
      <c r="D847" s="4" t="n"/>
      <c r="E847" s="4" t="n"/>
      <c r="F847">
        <f>IF(A847="","",SUMIFS(المبيعات!$F$2:$F$2000,المبيعات!$D$2:$D$2000,A847))</f>
        <v/>
      </c>
      <c r="G847">
        <f>IF(A847="","",E847-F847)</f>
        <v/>
      </c>
      <c r="H847" s="4" t="n"/>
      <c r="I847">
        <f>IF(OR(A847="",H847=""),"",IF(G847&lt;=H847,"اطلب الآن",""))</f>
        <v/>
      </c>
    </row>
    <row r="848">
      <c r="A848" s="4" t="n"/>
      <c r="B848" s="4" t="n"/>
      <c r="C848" s="4" t="n"/>
      <c r="D848" s="4" t="n"/>
      <c r="E848" s="4" t="n"/>
      <c r="F848">
        <f>IF(A848="","",SUMIFS(المبيعات!$F$2:$F$2000,المبيعات!$D$2:$D$2000,A848))</f>
        <v/>
      </c>
      <c r="G848">
        <f>IF(A848="","",E848-F848)</f>
        <v/>
      </c>
      <c r="H848" s="4" t="n"/>
      <c r="I848">
        <f>IF(OR(A848="",H848=""),"",IF(G848&lt;=H848,"اطلب الآن",""))</f>
        <v/>
      </c>
    </row>
    <row r="849">
      <c r="A849" s="4" t="n"/>
      <c r="B849" s="4" t="n"/>
      <c r="C849" s="4" t="n"/>
      <c r="D849" s="4" t="n"/>
      <c r="E849" s="4" t="n"/>
      <c r="F849">
        <f>IF(A849="","",SUMIFS(المبيعات!$F$2:$F$2000,المبيعات!$D$2:$D$2000,A849))</f>
        <v/>
      </c>
      <c r="G849">
        <f>IF(A849="","",E849-F849)</f>
        <v/>
      </c>
      <c r="H849" s="4" t="n"/>
      <c r="I849">
        <f>IF(OR(A849="",H849=""),"",IF(G849&lt;=H849,"اطلب الآن",""))</f>
        <v/>
      </c>
    </row>
    <row r="850">
      <c r="A850" s="4" t="n"/>
      <c r="B850" s="4" t="n"/>
      <c r="C850" s="4" t="n"/>
      <c r="D850" s="4" t="n"/>
      <c r="E850" s="4" t="n"/>
      <c r="F850">
        <f>IF(A850="","",SUMIFS(المبيعات!$F$2:$F$2000,المبيعات!$D$2:$D$2000,A850))</f>
        <v/>
      </c>
      <c r="G850">
        <f>IF(A850="","",E850-F850)</f>
        <v/>
      </c>
      <c r="H850" s="4" t="n"/>
      <c r="I850">
        <f>IF(OR(A850="",H850=""),"",IF(G850&lt;=H850,"اطلب الآن",""))</f>
        <v/>
      </c>
    </row>
    <row r="851">
      <c r="A851" s="4" t="n"/>
      <c r="B851" s="4" t="n"/>
      <c r="C851" s="4" t="n"/>
      <c r="D851" s="4" t="n"/>
      <c r="E851" s="4" t="n"/>
      <c r="F851">
        <f>IF(A851="","",SUMIFS(المبيعات!$F$2:$F$2000,المبيعات!$D$2:$D$2000,A851))</f>
        <v/>
      </c>
      <c r="G851">
        <f>IF(A851="","",E851-F851)</f>
        <v/>
      </c>
      <c r="H851" s="4" t="n"/>
      <c r="I851">
        <f>IF(OR(A851="",H851=""),"",IF(G851&lt;=H851,"اطلب الآن",""))</f>
        <v/>
      </c>
    </row>
    <row r="852">
      <c r="A852" s="4" t="n"/>
      <c r="B852" s="4" t="n"/>
      <c r="C852" s="4" t="n"/>
      <c r="D852" s="4" t="n"/>
      <c r="E852" s="4" t="n"/>
      <c r="F852">
        <f>IF(A852="","",SUMIFS(المبيعات!$F$2:$F$2000,المبيعات!$D$2:$D$2000,A852))</f>
        <v/>
      </c>
      <c r="G852">
        <f>IF(A852="","",E852-F852)</f>
        <v/>
      </c>
      <c r="H852" s="4" t="n"/>
      <c r="I852">
        <f>IF(OR(A852="",H852=""),"",IF(G852&lt;=H852,"اطلب الآن",""))</f>
        <v/>
      </c>
    </row>
    <row r="853">
      <c r="A853" s="4" t="n"/>
      <c r="B853" s="4" t="n"/>
      <c r="C853" s="4" t="n"/>
      <c r="D853" s="4" t="n"/>
      <c r="E853" s="4" t="n"/>
      <c r="F853">
        <f>IF(A853="","",SUMIFS(المبيعات!$F$2:$F$2000,المبيعات!$D$2:$D$2000,A853))</f>
        <v/>
      </c>
      <c r="G853">
        <f>IF(A853="","",E853-F853)</f>
        <v/>
      </c>
      <c r="H853" s="4" t="n"/>
      <c r="I853">
        <f>IF(OR(A853="",H853=""),"",IF(G853&lt;=H853,"اطلب الآن",""))</f>
        <v/>
      </c>
    </row>
    <row r="854">
      <c r="A854" s="4" t="n"/>
      <c r="B854" s="4" t="n"/>
      <c r="C854" s="4" t="n"/>
      <c r="D854" s="4" t="n"/>
      <c r="E854" s="4" t="n"/>
      <c r="F854">
        <f>IF(A854="","",SUMIFS(المبيعات!$F$2:$F$2000,المبيعات!$D$2:$D$2000,A854))</f>
        <v/>
      </c>
      <c r="G854">
        <f>IF(A854="","",E854-F854)</f>
        <v/>
      </c>
      <c r="H854" s="4" t="n"/>
      <c r="I854">
        <f>IF(OR(A854="",H854=""),"",IF(G854&lt;=H854,"اطلب الآن",""))</f>
        <v/>
      </c>
    </row>
    <row r="855">
      <c r="A855" s="4" t="n"/>
      <c r="B855" s="4" t="n"/>
      <c r="C855" s="4" t="n"/>
      <c r="D855" s="4" t="n"/>
      <c r="E855" s="4" t="n"/>
      <c r="F855">
        <f>IF(A855="","",SUMIFS(المبيعات!$F$2:$F$2000,المبيعات!$D$2:$D$2000,A855))</f>
        <v/>
      </c>
      <c r="G855">
        <f>IF(A855="","",E855-F855)</f>
        <v/>
      </c>
      <c r="H855" s="4" t="n"/>
      <c r="I855">
        <f>IF(OR(A855="",H855=""),"",IF(G855&lt;=H855,"اطلب الآن",""))</f>
        <v/>
      </c>
    </row>
    <row r="856">
      <c r="A856" s="4" t="n"/>
      <c r="B856" s="4" t="n"/>
      <c r="C856" s="4" t="n"/>
      <c r="D856" s="4" t="n"/>
      <c r="E856" s="4" t="n"/>
      <c r="F856">
        <f>IF(A856="","",SUMIFS(المبيعات!$F$2:$F$2000,المبيعات!$D$2:$D$2000,A856))</f>
        <v/>
      </c>
      <c r="G856">
        <f>IF(A856="","",E856-F856)</f>
        <v/>
      </c>
      <c r="H856" s="4" t="n"/>
      <c r="I856">
        <f>IF(OR(A856="",H856=""),"",IF(G856&lt;=H856,"اطلب الآن",""))</f>
        <v/>
      </c>
    </row>
    <row r="857">
      <c r="A857" s="4" t="n"/>
      <c r="B857" s="4" t="n"/>
      <c r="C857" s="4" t="n"/>
      <c r="D857" s="4" t="n"/>
      <c r="E857" s="4" t="n"/>
      <c r="F857">
        <f>IF(A857="","",SUMIFS(المبيعات!$F$2:$F$2000,المبيعات!$D$2:$D$2000,A857))</f>
        <v/>
      </c>
      <c r="G857">
        <f>IF(A857="","",E857-F857)</f>
        <v/>
      </c>
      <c r="H857" s="4" t="n"/>
      <c r="I857">
        <f>IF(OR(A857="",H857=""),"",IF(G857&lt;=H857,"اطلب الآن",""))</f>
        <v/>
      </c>
    </row>
    <row r="858">
      <c r="A858" s="4" t="n"/>
      <c r="B858" s="4" t="n"/>
      <c r="C858" s="4" t="n"/>
      <c r="D858" s="4" t="n"/>
      <c r="E858" s="4" t="n"/>
      <c r="F858">
        <f>IF(A858="","",SUMIFS(المبيعات!$F$2:$F$2000,المبيعات!$D$2:$D$2000,A858))</f>
        <v/>
      </c>
      <c r="G858">
        <f>IF(A858="","",E858-F858)</f>
        <v/>
      </c>
      <c r="H858" s="4" t="n"/>
      <c r="I858">
        <f>IF(OR(A858="",H858=""),"",IF(G858&lt;=H858,"اطلب الآن",""))</f>
        <v/>
      </c>
    </row>
    <row r="859">
      <c r="A859" s="4" t="n"/>
      <c r="B859" s="4" t="n"/>
      <c r="C859" s="4" t="n"/>
      <c r="D859" s="4" t="n"/>
      <c r="E859" s="4" t="n"/>
      <c r="F859">
        <f>IF(A859="","",SUMIFS(المبيعات!$F$2:$F$2000,المبيعات!$D$2:$D$2000,A859))</f>
        <v/>
      </c>
      <c r="G859">
        <f>IF(A859="","",E859-F859)</f>
        <v/>
      </c>
      <c r="H859" s="4" t="n"/>
      <c r="I859">
        <f>IF(OR(A859="",H859=""),"",IF(G859&lt;=H859,"اطلب الآن",""))</f>
        <v/>
      </c>
    </row>
    <row r="860">
      <c r="A860" s="4" t="n"/>
      <c r="B860" s="4" t="n"/>
      <c r="C860" s="4" t="n"/>
      <c r="D860" s="4" t="n"/>
      <c r="E860" s="4" t="n"/>
      <c r="F860">
        <f>IF(A860="","",SUMIFS(المبيعات!$F$2:$F$2000,المبيعات!$D$2:$D$2000,A860))</f>
        <v/>
      </c>
      <c r="G860">
        <f>IF(A860="","",E860-F860)</f>
        <v/>
      </c>
      <c r="H860" s="4" t="n"/>
      <c r="I860">
        <f>IF(OR(A860="",H860=""),"",IF(G860&lt;=H860,"اطلب الآن",""))</f>
        <v/>
      </c>
    </row>
    <row r="861">
      <c r="A861" s="4" t="n"/>
      <c r="B861" s="4" t="n"/>
      <c r="C861" s="4" t="n"/>
      <c r="D861" s="4" t="n"/>
      <c r="E861" s="4" t="n"/>
      <c r="F861">
        <f>IF(A861="","",SUMIFS(المبيعات!$F$2:$F$2000,المبيعات!$D$2:$D$2000,A861))</f>
        <v/>
      </c>
      <c r="G861">
        <f>IF(A861="","",E861-F861)</f>
        <v/>
      </c>
      <c r="H861" s="4" t="n"/>
      <c r="I861">
        <f>IF(OR(A861="",H861=""),"",IF(G861&lt;=H861,"اطلب الآن",""))</f>
        <v/>
      </c>
    </row>
    <row r="862">
      <c r="A862" s="4" t="n"/>
      <c r="B862" s="4" t="n"/>
      <c r="C862" s="4" t="n"/>
      <c r="D862" s="4" t="n"/>
      <c r="E862" s="4" t="n"/>
      <c r="F862">
        <f>IF(A862="","",SUMIFS(المبيعات!$F$2:$F$2000,المبيعات!$D$2:$D$2000,A862))</f>
        <v/>
      </c>
      <c r="G862">
        <f>IF(A862="","",E862-F862)</f>
        <v/>
      </c>
      <c r="H862" s="4" t="n"/>
      <c r="I862">
        <f>IF(OR(A862="",H862=""),"",IF(G862&lt;=H862,"اطلب الآن",""))</f>
        <v/>
      </c>
    </row>
    <row r="863">
      <c r="A863" s="4" t="n"/>
      <c r="B863" s="4" t="n"/>
      <c r="C863" s="4" t="n"/>
      <c r="D863" s="4" t="n"/>
      <c r="E863" s="4" t="n"/>
      <c r="F863">
        <f>IF(A863="","",SUMIFS(المبيعات!$F$2:$F$2000,المبيعات!$D$2:$D$2000,A863))</f>
        <v/>
      </c>
      <c r="G863">
        <f>IF(A863="","",E863-F863)</f>
        <v/>
      </c>
      <c r="H863" s="4" t="n"/>
      <c r="I863">
        <f>IF(OR(A863="",H863=""),"",IF(G863&lt;=H863,"اطلب الآن",""))</f>
        <v/>
      </c>
    </row>
    <row r="864">
      <c r="A864" s="4" t="n"/>
      <c r="B864" s="4" t="n"/>
      <c r="C864" s="4" t="n"/>
      <c r="D864" s="4" t="n"/>
      <c r="E864" s="4" t="n"/>
      <c r="F864">
        <f>IF(A864="","",SUMIFS(المبيعات!$F$2:$F$2000,المبيعات!$D$2:$D$2000,A864))</f>
        <v/>
      </c>
      <c r="G864">
        <f>IF(A864="","",E864-F864)</f>
        <v/>
      </c>
      <c r="H864" s="4" t="n"/>
      <c r="I864">
        <f>IF(OR(A864="",H864=""),"",IF(G864&lt;=H864,"اطلب الآن",""))</f>
        <v/>
      </c>
    </row>
    <row r="865">
      <c r="A865" s="4" t="n"/>
      <c r="B865" s="4" t="n"/>
      <c r="C865" s="4" t="n"/>
      <c r="D865" s="4" t="n"/>
      <c r="E865" s="4" t="n"/>
      <c r="F865">
        <f>IF(A865="","",SUMIFS(المبيعات!$F$2:$F$2000,المبيعات!$D$2:$D$2000,A865))</f>
        <v/>
      </c>
      <c r="G865">
        <f>IF(A865="","",E865-F865)</f>
        <v/>
      </c>
      <c r="H865" s="4" t="n"/>
      <c r="I865">
        <f>IF(OR(A865="",H865=""),"",IF(G865&lt;=H865,"اطلب الآن",""))</f>
        <v/>
      </c>
    </row>
    <row r="866">
      <c r="A866" s="4" t="n"/>
      <c r="B866" s="4" t="n"/>
      <c r="C866" s="4" t="n"/>
      <c r="D866" s="4" t="n"/>
      <c r="E866" s="4" t="n"/>
      <c r="F866">
        <f>IF(A866="","",SUMIFS(المبيعات!$F$2:$F$2000,المبيعات!$D$2:$D$2000,A866))</f>
        <v/>
      </c>
      <c r="G866">
        <f>IF(A866="","",E866-F866)</f>
        <v/>
      </c>
      <c r="H866" s="4" t="n"/>
      <c r="I866">
        <f>IF(OR(A866="",H866=""),"",IF(G866&lt;=H866,"اطلب الآن",""))</f>
        <v/>
      </c>
    </row>
    <row r="867">
      <c r="A867" s="4" t="n"/>
      <c r="B867" s="4" t="n"/>
      <c r="C867" s="4" t="n"/>
      <c r="D867" s="4" t="n"/>
      <c r="E867" s="4" t="n"/>
      <c r="F867">
        <f>IF(A867="","",SUMIFS(المبيعات!$F$2:$F$2000,المبيعات!$D$2:$D$2000,A867))</f>
        <v/>
      </c>
      <c r="G867">
        <f>IF(A867="","",E867-F867)</f>
        <v/>
      </c>
      <c r="H867" s="4" t="n"/>
      <c r="I867">
        <f>IF(OR(A867="",H867=""),"",IF(G867&lt;=H867,"اطلب الآن",""))</f>
        <v/>
      </c>
    </row>
    <row r="868">
      <c r="A868" s="4" t="n"/>
      <c r="B868" s="4" t="n"/>
      <c r="C868" s="4" t="n"/>
      <c r="D868" s="4" t="n"/>
      <c r="E868" s="4" t="n"/>
      <c r="F868">
        <f>IF(A868="","",SUMIFS(المبيعات!$F$2:$F$2000,المبيعات!$D$2:$D$2000,A868))</f>
        <v/>
      </c>
      <c r="G868">
        <f>IF(A868="","",E868-F868)</f>
        <v/>
      </c>
      <c r="H868" s="4" t="n"/>
      <c r="I868">
        <f>IF(OR(A868="",H868=""),"",IF(G868&lt;=H868,"اطلب الآن",""))</f>
        <v/>
      </c>
    </row>
    <row r="869">
      <c r="A869" s="4" t="n"/>
      <c r="B869" s="4" t="n"/>
      <c r="C869" s="4" t="n"/>
      <c r="D869" s="4" t="n"/>
      <c r="E869" s="4" t="n"/>
      <c r="F869">
        <f>IF(A869="","",SUMIFS(المبيعات!$F$2:$F$2000,المبيعات!$D$2:$D$2000,A869))</f>
        <v/>
      </c>
      <c r="G869">
        <f>IF(A869="","",E869-F869)</f>
        <v/>
      </c>
      <c r="H869" s="4" t="n"/>
      <c r="I869">
        <f>IF(OR(A869="",H869=""),"",IF(G869&lt;=H869,"اطلب الآن",""))</f>
        <v/>
      </c>
    </row>
    <row r="870">
      <c r="A870" s="4" t="n"/>
      <c r="B870" s="4" t="n"/>
      <c r="C870" s="4" t="n"/>
      <c r="D870" s="4" t="n"/>
      <c r="E870" s="4" t="n"/>
      <c r="F870">
        <f>IF(A870="","",SUMIFS(المبيعات!$F$2:$F$2000,المبيعات!$D$2:$D$2000,A870))</f>
        <v/>
      </c>
      <c r="G870">
        <f>IF(A870="","",E870-F870)</f>
        <v/>
      </c>
      <c r="H870" s="4" t="n"/>
      <c r="I870">
        <f>IF(OR(A870="",H870=""),"",IF(G870&lt;=H870,"اطلب الآن",""))</f>
        <v/>
      </c>
    </row>
    <row r="871">
      <c r="A871" s="4" t="n"/>
      <c r="B871" s="4" t="n"/>
      <c r="C871" s="4" t="n"/>
      <c r="D871" s="4" t="n"/>
      <c r="E871" s="4" t="n"/>
      <c r="F871">
        <f>IF(A871="","",SUMIFS(المبيعات!$F$2:$F$2000,المبيعات!$D$2:$D$2000,A871))</f>
        <v/>
      </c>
      <c r="G871">
        <f>IF(A871="","",E871-F871)</f>
        <v/>
      </c>
      <c r="H871" s="4" t="n"/>
      <c r="I871">
        <f>IF(OR(A871="",H871=""),"",IF(G871&lt;=H871,"اطلب الآن",""))</f>
        <v/>
      </c>
    </row>
    <row r="872">
      <c r="A872" s="4" t="n"/>
      <c r="B872" s="4" t="n"/>
      <c r="C872" s="4" t="n"/>
      <c r="D872" s="4" t="n"/>
      <c r="E872" s="4" t="n"/>
      <c r="F872">
        <f>IF(A872="","",SUMIFS(المبيعات!$F$2:$F$2000,المبيعات!$D$2:$D$2000,A872))</f>
        <v/>
      </c>
      <c r="G872">
        <f>IF(A872="","",E872-F872)</f>
        <v/>
      </c>
      <c r="H872" s="4" t="n"/>
      <c r="I872">
        <f>IF(OR(A872="",H872=""),"",IF(G872&lt;=H872,"اطلب الآن",""))</f>
        <v/>
      </c>
    </row>
    <row r="873">
      <c r="A873" s="4" t="n"/>
      <c r="B873" s="4" t="n"/>
      <c r="C873" s="4" t="n"/>
      <c r="D873" s="4" t="n"/>
      <c r="E873" s="4" t="n"/>
      <c r="F873">
        <f>IF(A873="","",SUMIFS(المبيعات!$F$2:$F$2000,المبيعات!$D$2:$D$2000,A873))</f>
        <v/>
      </c>
      <c r="G873">
        <f>IF(A873="","",E873-F873)</f>
        <v/>
      </c>
      <c r="H873" s="4" t="n"/>
      <c r="I873">
        <f>IF(OR(A873="",H873=""),"",IF(G873&lt;=H873,"اطلب الآن",""))</f>
        <v/>
      </c>
    </row>
    <row r="874">
      <c r="A874" s="4" t="n"/>
      <c r="B874" s="4" t="n"/>
      <c r="C874" s="4" t="n"/>
      <c r="D874" s="4" t="n"/>
      <c r="E874" s="4" t="n"/>
      <c r="F874">
        <f>IF(A874="","",SUMIFS(المبيعات!$F$2:$F$2000,المبيعات!$D$2:$D$2000,A874))</f>
        <v/>
      </c>
      <c r="G874">
        <f>IF(A874="","",E874-F874)</f>
        <v/>
      </c>
      <c r="H874" s="4" t="n"/>
      <c r="I874">
        <f>IF(OR(A874="",H874=""),"",IF(G874&lt;=H874,"اطلب الآن",""))</f>
        <v/>
      </c>
    </row>
    <row r="875">
      <c r="A875" s="4" t="n"/>
      <c r="B875" s="4" t="n"/>
      <c r="C875" s="4" t="n"/>
      <c r="D875" s="4" t="n"/>
      <c r="E875" s="4" t="n"/>
      <c r="F875">
        <f>IF(A875="","",SUMIFS(المبيعات!$F$2:$F$2000,المبيعات!$D$2:$D$2000,A875))</f>
        <v/>
      </c>
      <c r="G875">
        <f>IF(A875="","",E875-F875)</f>
        <v/>
      </c>
      <c r="H875" s="4" t="n"/>
      <c r="I875">
        <f>IF(OR(A875="",H875=""),"",IF(G875&lt;=H875,"اطلب الآن",""))</f>
        <v/>
      </c>
    </row>
    <row r="876">
      <c r="A876" s="4" t="n"/>
      <c r="B876" s="4" t="n"/>
      <c r="C876" s="4" t="n"/>
      <c r="D876" s="4" t="n"/>
      <c r="E876" s="4" t="n"/>
      <c r="F876">
        <f>IF(A876="","",SUMIFS(المبيعات!$F$2:$F$2000,المبيعات!$D$2:$D$2000,A876))</f>
        <v/>
      </c>
      <c r="G876">
        <f>IF(A876="","",E876-F876)</f>
        <v/>
      </c>
      <c r="H876" s="4" t="n"/>
      <c r="I876">
        <f>IF(OR(A876="",H876=""),"",IF(G876&lt;=H876,"اطلب الآن",""))</f>
        <v/>
      </c>
    </row>
    <row r="877">
      <c r="A877" s="4" t="n"/>
      <c r="B877" s="4" t="n"/>
      <c r="C877" s="4" t="n"/>
      <c r="D877" s="4" t="n"/>
      <c r="E877" s="4" t="n"/>
      <c r="F877">
        <f>IF(A877="","",SUMIFS(المبيعات!$F$2:$F$2000,المبيعات!$D$2:$D$2000,A877))</f>
        <v/>
      </c>
      <c r="G877">
        <f>IF(A877="","",E877-F877)</f>
        <v/>
      </c>
      <c r="H877" s="4" t="n"/>
      <c r="I877">
        <f>IF(OR(A877="",H877=""),"",IF(G877&lt;=H877,"اطلب الآن",""))</f>
        <v/>
      </c>
    </row>
    <row r="878">
      <c r="A878" s="4" t="n"/>
      <c r="B878" s="4" t="n"/>
      <c r="C878" s="4" t="n"/>
      <c r="D878" s="4" t="n"/>
      <c r="E878" s="4" t="n"/>
      <c r="F878">
        <f>IF(A878="","",SUMIFS(المبيعات!$F$2:$F$2000,المبيعات!$D$2:$D$2000,A878))</f>
        <v/>
      </c>
      <c r="G878">
        <f>IF(A878="","",E878-F878)</f>
        <v/>
      </c>
      <c r="H878" s="4" t="n"/>
      <c r="I878">
        <f>IF(OR(A878="",H878=""),"",IF(G878&lt;=H878,"اطلب الآن",""))</f>
        <v/>
      </c>
    </row>
    <row r="879">
      <c r="A879" s="4" t="n"/>
      <c r="B879" s="4" t="n"/>
      <c r="C879" s="4" t="n"/>
      <c r="D879" s="4" t="n"/>
      <c r="E879" s="4" t="n"/>
      <c r="F879">
        <f>IF(A879="","",SUMIFS(المبيعات!$F$2:$F$2000,المبيعات!$D$2:$D$2000,A879))</f>
        <v/>
      </c>
      <c r="G879">
        <f>IF(A879="","",E879-F879)</f>
        <v/>
      </c>
      <c r="H879" s="4" t="n"/>
      <c r="I879">
        <f>IF(OR(A879="",H879=""),"",IF(G879&lt;=H879,"اطلب الآن",""))</f>
        <v/>
      </c>
    </row>
    <row r="880">
      <c r="A880" s="4" t="n"/>
      <c r="B880" s="4" t="n"/>
      <c r="C880" s="4" t="n"/>
      <c r="D880" s="4" t="n"/>
      <c r="E880" s="4" t="n"/>
      <c r="F880">
        <f>IF(A880="","",SUMIFS(المبيعات!$F$2:$F$2000,المبيعات!$D$2:$D$2000,A880))</f>
        <v/>
      </c>
      <c r="G880">
        <f>IF(A880="","",E880-F880)</f>
        <v/>
      </c>
      <c r="H880" s="4" t="n"/>
      <c r="I880">
        <f>IF(OR(A880="",H880=""),"",IF(G880&lt;=H880,"اطلب الآن",""))</f>
        <v/>
      </c>
    </row>
    <row r="881">
      <c r="A881" s="4" t="n"/>
      <c r="B881" s="4" t="n"/>
      <c r="C881" s="4" t="n"/>
      <c r="D881" s="4" t="n"/>
      <c r="E881" s="4" t="n"/>
      <c r="F881">
        <f>IF(A881="","",SUMIFS(المبيعات!$F$2:$F$2000,المبيعات!$D$2:$D$2000,A881))</f>
        <v/>
      </c>
      <c r="G881">
        <f>IF(A881="","",E881-F881)</f>
        <v/>
      </c>
      <c r="H881" s="4" t="n"/>
      <c r="I881">
        <f>IF(OR(A881="",H881=""),"",IF(G881&lt;=H881,"اطلب الآن",""))</f>
        <v/>
      </c>
    </row>
    <row r="882">
      <c r="A882" s="4" t="n"/>
      <c r="B882" s="4" t="n"/>
      <c r="C882" s="4" t="n"/>
      <c r="D882" s="4" t="n"/>
      <c r="E882" s="4" t="n"/>
      <c r="F882">
        <f>IF(A882="","",SUMIFS(المبيعات!$F$2:$F$2000,المبيعات!$D$2:$D$2000,A882))</f>
        <v/>
      </c>
      <c r="G882">
        <f>IF(A882="","",E882-F882)</f>
        <v/>
      </c>
      <c r="H882" s="4" t="n"/>
      <c r="I882">
        <f>IF(OR(A882="",H882=""),"",IF(G882&lt;=H882,"اطلب الآن",""))</f>
        <v/>
      </c>
    </row>
    <row r="883">
      <c r="A883" s="4" t="n"/>
      <c r="B883" s="4" t="n"/>
      <c r="C883" s="4" t="n"/>
      <c r="D883" s="4" t="n"/>
      <c r="E883" s="4" t="n"/>
      <c r="F883">
        <f>IF(A883="","",SUMIFS(المبيعات!$F$2:$F$2000,المبيعات!$D$2:$D$2000,A883))</f>
        <v/>
      </c>
      <c r="G883">
        <f>IF(A883="","",E883-F883)</f>
        <v/>
      </c>
      <c r="H883" s="4" t="n"/>
      <c r="I883">
        <f>IF(OR(A883="",H883=""),"",IF(G883&lt;=H883,"اطلب الآن",""))</f>
        <v/>
      </c>
    </row>
    <row r="884">
      <c r="A884" s="4" t="n"/>
      <c r="B884" s="4" t="n"/>
      <c r="C884" s="4" t="n"/>
      <c r="D884" s="4" t="n"/>
      <c r="E884" s="4" t="n"/>
      <c r="F884">
        <f>IF(A884="","",SUMIFS(المبيعات!$F$2:$F$2000,المبيعات!$D$2:$D$2000,A884))</f>
        <v/>
      </c>
      <c r="G884">
        <f>IF(A884="","",E884-F884)</f>
        <v/>
      </c>
      <c r="H884" s="4" t="n"/>
      <c r="I884">
        <f>IF(OR(A884="",H884=""),"",IF(G884&lt;=H884,"اطلب الآن",""))</f>
        <v/>
      </c>
    </row>
    <row r="885">
      <c r="A885" s="4" t="n"/>
      <c r="B885" s="4" t="n"/>
      <c r="C885" s="4" t="n"/>
      <c r="D885" s="4" t="n"/>
      <c r="E885" s="4" t="n"/>
      <c r="F885">
        <f>IF(A885="","",SUMIFS(المبيعات!$F$2:$F$2000,المبيعات!$D$2:$D$2000,A885))</f>
        <v/>
      </c>
      <c r="G885">
        <f>IF(A885="","",E885-F885)</f>
        <v/>
      </c>
      <c r="H885" s="4" t="n"/>
      <c r="I885">
        <f>IF(OR(A885="",H885=""),"",IF(G885&lt;=H885,"اطلب الآن",""))</f>
        <v/>
      </c>
    </row>
    <row r="886">
      <c r="A886" s="4" t="n"/>
      <c r="B886" s="4" t="n"/>
      <c r="C886" s="4" t="n"/>
      <c r="D886" s="4" t="n"/>
      <c r="E886" s="4" t="n"/>
      <c r="F886">
        <f>IF(A886="","",SUMIFS(المبيعات!$F$2:$F$2000,المبيعات!$D$2:$D$2000,A886))</f>
        <v/>
      </c>
      <c r="G886">
        <f>IF(A886="","",E886-F886)</f>
        <v/>
      </c>
      <c r="H886" s="4" t="n"/>
      <c r="I886">
        <f>IF(OR(A886="",H886=""),"",IF(G886&lt;=H886,"اطلب الآن",""))</f>
        <v/>
      </c>
    </row>
    <row r="887">
      <c r="A887" s="4" t="n"/>
      <c r="B887" s="4" t="n"/>
      <c r="C887" s="4" t="n"/>
      <c r="D887" s="4" t="n"/>
      <c r="E887" s="4" t="n"/>
      <c r="F887">
        <f>IF(A887="","",SUMIFS(المبيعات!$F$2:$F$2000,المبيعات!$D$2:$D$2000,A887))</f>
        <v/>
      </c>
      <c r="G887">
        <f>IF(A887="","",E887-F887)</f>
        <v/>
      </c>
      <c r="H887" s="4" t="n"/>
      <c r="I887">
        <f>IF(OR(A887="",H887=""),"",IF(G887&lt;=H887,"اطلب الآن",""))</f>
        <v/>
      </c>
    </row>
    <row r="888">
      <c r="A888" s="4" t="n"/>
      <c r="B888" s="4" t="n"/>
      <c r="C888" s="4" t="n"/>
      <c r="D888" s="4" t="n"/>
      <c r="E888" s="4" t="n"/>
      <c r="F888">
        <f>IF(A888="","",SUMIFS(المبيعات!$F$2:$F$2000,المبيعات!$D$2:$D$2000,A888))</f>
        <v/>
      </c>
      <c r="G888">
        <f>IF(A888="","",E888-F888)</f>
        <v/>
      </c>
      <c r="H888" s="4" t="n"/>
      <c r="I888">
        <f>IF(OR(A888="",H888=""),"",IF(G888&lt;=H888,"اطلب الآن",""))</f>
        <v/>
      </c>
    </row>
    <row r="889">
      <c r="A889" s="4" t="n"/>
      <c r="B889" s="4" t="n"/>
      <c r="C889" s="4" t="n"/>
      <c r="D889" s="4" t="n"/>
      <c r="E889" s="4" t="n"/>
      <c r="F889">
        <f>IF(A889="","",SUMIFS(المبيعات!$F$2:$F$2000,المبيعات!$D$2:$D$2000,A889))</f>
        <v/>
      </c>
      <c r="G889">
        <f>IF(A889="","",E889-F889)</f>
        <v/>
      </c>
      <c r="H889" s="4" t="n"/>
      <c r="I889">
        <f>IF(OR(A889="",H889=""),"",IF(G889&lt;=H889,"اطلب الآن",""))</f>
        <v/>
      </c>
    </row>
    <row r="890">
      <c r="A890" s="4" t="n"/>
      <c r="B890" s="4" t="n"/>
      <c r="C890" s="4" t="n"/>
      <c r="D890" s="4" t="n"/>
      <c r="E890" s="4" t="n"/>
      <c r="F890">
        <f>IF(A890="","",SUMIFS(المبيعات!$F$2:$F$2000,المبيعات!$D$2:$D$2000,A890))</f>
        <v/>
      </c>
      <c r="G890">
        <f>IF(A890="","",E890-F890)</f>
        <v/>
      </c>
      <c r="H890" s="4" t="n"/>
      <c r="I890">
        <f>IF(OR(A890="",H890=""),"",IF(G890&lt;=H890,"اطلب الآن",""))</f>
        <v/>
      </c>
    </row>
    <row r="891">
      <c r="A891" s="4" t="n"/>
      <c r="B891" s="4" t="n"/>
      <c r="C891" s="4" t="n"/>
      <c r="D891" s="4" t="n"/>
      <c r="E891" s="4" t="n"/>
      <c r="F891">
        <f>IF(A891="","",SUMIFS(المبيعات!$F$2:$F$2000,المبيعات!$D$2:$D$2000,A891))</f>
        <v/>
      </c>
      <c r="G891">
        <f>IF(A891="","",E891-F891)</f>
        <v/>
      </c>
      <c r="H891" s="4" t="n"/>
      <c r="I891">
        <f>IF(OR(A891="",H891=""),"",IF(G891&lt;=H891,"اطلب الآن",""))</f>
        <v/>
      </c>
    </row>
    <row r="892">
      <c r="A892" s="4" t="n"/>
      <c r="B892" s="4" t="n"/>
      <c r="C892" s="4" t="n"/>
      <c r="D892" s="4" t="n"/>
      <c r="E892" s="4" t="n"/>
      <c r="F892">
        <f>IF(A892="","",SUMIFS(المبيعات!$F$2:$F$2000,المبيعات!$D$2:$D$2000,A892))</f>
        <v/>
      </c>
      <c r="G892">
        <f>IF(A892="","",E892-F892)</f>
        <v/>
      </c>
      <c r="H892" s="4" t="n"/>
      <c r="I892">
        <f>IF(OR(A892="",H892=""),"",IF(G892&lt;=H892,"اطلب الآن",""))</f>
        <v/>
      </c>
    </row>
    <row r="893">
      <c r="A893" s="4" t="n"/>
      <c r="B893" s="4" t="n"/>
      <c r="C893" s="4" t="n"/>
      <c r="D893" s="4" t="n"/>
      <c r="E893" s="4" t="n"/>
      <c r="F893">
        <f>IF(A893="","",SUMIFS(المبيعات!$F$2:$F$2000,المبيعات!$D$2:$D$2000,A893))</f>
        <v/>
      </c>
      <c r="G893">
        <f>IF(A893="","",E893-F893)</f>
        <v/>
      </c>
      <c r="H893" s="4" t="n"/>
      <c r="I893">
        <f>IF(OR(A893="",H893=""),"",IF(G893&lt;=H893,"اطلب الآن",""))</f>
        <v/>
      </c>
    </row>
    <row r="894">
      <c r="A894" s="4" t="n"/>
      <c r="B894" s="4" t="n"/>
      <c r="C894" s="4" t="n"/>
      <c r="D894" s="4" t="n"/>
      <c r="E894" s="4" t="n"/>
      <c r="F894">
        <f>IF(A894="","",SUMIFS(المبيعات!$F$2:$F$2000,المبيعات!$D$2:$D$2000,A894))</f>
        <v/>
      </c>
      <c r="G894">
        <f>IF(A894="","",E894-F894)</f>
        <v/>
      </c>
      <c r="H894" s="4" t="n"/>
      <c r="I894">
        <f>IF(OR(A894="",H894=""),"",IF(G894&lt;=H894,"اطلب الآن",""))</f>
        <v/>
      </c>
    </row>
    <row r="895">
      <c r="A895" s="4" t="n"/>
      <c r="B895" s="4" t="n"/>
      <c r="C895" s="4" t="n"/>
      <c r="D895" s="4" t="n"/>
      <c r="E895" s="4" t="n"/>
      <c r="F895">
        <f>IF(A895="","",SUMIFS(المبيعات!$F$2:$F$2000,المبيعات!$D$2:$D$2000,A895))</f>
        <v/>
      </c>
      <c r="G895">
        <f>IF(A895="","",E895-F895)</f>
        <v/>
      </c>
      <c r="H895" s="4" t="n"/>
      <c r="I895">
        <f>IF(OR(A895="",H895=""),"",IF(G895&lt;=H895,"اطلب الآن",""))</f>
        <v/>
      </c>
    </row>
    <row r="896">
      <c r="A896" s="4" t="n"/>
      <c r="B896" s="4" t="n"/>
      <c r="C896" s="4" t="n"/>
      <c r="D896" s="4" t="n"/>
      <c r="E896" s="4" t="n"/>
      <c r="F896">
        <f>IF(A896="","",SUMIFS(المبيعات!$F$2:$F$2000,المبيعات!$D$2:$D$2000,A896))</f>
        <v/>
      </c>
      <c r="G896">
        <f>IF(A896="","",E896-F896)</f>
        <v/>
      </c>
      <c r="H896" s="4" t="n"/>
      <c r="I896">
        <f>IF(OR(A896="",H896=""),"",IF(G896&lt;=H896,"اطلب الآن",""))</f>
        <v/>
      </c>
    </row>
    <row r="897">
      <c r="A897" s="4" t="n"/>
      <c r="B897" s="4" t="n"/>
      <c r="C897" s="4" t="n"/>
      <c r="D897" s="4" t="n"/>
      <c r="E897" s="4" t="n"/>
      <c r="F897">
        <f>IF(A897="","",SUMIFS(المبيعات!$F$2:$F$2000,المبيعات!$D$2:$D$2000,A897))</f>
        <v/>
      </c>
      <c r="G897">
        <f>IF(A897="","",E897-F897)</f>
        <v/>
      </c>
      <c r="H897" s="4" t="n"/>
      <c r="I897">
        <f>IF(OR(A897="",H897=""),"",IF(G897&lt;=H897,"اطلب الآن",""))</f>
        <v/>
      </c>
    </row>
    <row r="898">
      <c r="A898" s="4" t="n"/>
      <c r="B898" s="4" t="n"/>
      <c r="C898" s="4" t="n"/>
      <c r="D898" s="4" t="n"/>
      <c r="E898" s="4" t="n"/>
      <c r="F898">
        <f>IF(A898="","",SUMIFS(المبيعات!$F$2:$F$2000,المبيعات!$D$2:$D$2000,A898))</f>
        <v/>
      </c>
      <c r="G898">
        <f>IF(A898="","",E898-F898)</f>
        <v/>
      </c>
      <c r="H898" s="4" t="n"/>
      <c r="I898">
        <f>IF(OR(A898="",H898=""),"",IF(G898&lt;=H898,"اطلب الآن",""))</f>
        <v/>
      </c>
    </row>
    <row r="899">
      <c r="A899" s="4" t="n"/>
      <c r="B899" s="4" t="n"/>
      <c r="C899" s="4" t="n"/>
      <c r="D899" s="4" t="n"/>
      <c r="E899" s="4" t="n"/>
      <c r="F899">
        <f>IF(A899="","",SUMIFS(المبيعات!$F$2:$F$2000,المبيعات!$D$2:$D$2000,A899))</f>
        <v/>
      </c>
      <c r="G899">
        <f>IF(A899="","",E899-F899)</f>
        <v/>
      </c>
      <c r="H899" s="4" t="n"/>
      <c r="I899">
        <f>IF(OR(A899="",H899=""),"",IF(G899&lt;=H899,"اطلب الآن",""))</f>
        <v/>
      </c>
    </row>
    <row r="900">
      <c r="A900" s="4" t="n"/>
      <c r="B900" s="4" t="n"/>
      <c r="C900" s="4" t="n"/>
      <c r="D900" s="4" t="n"/>
      <c r="E900" s="4" t="n"/>
      <c r="F900">
        <f>IF(A900="","",SUMIFS(المبيعات!$F$2:$F$2000,المبيعات!$D$2:$D$2000,A900))</f>
        <v/>
      </c>
      <c r="G900">
        <f>IF(A900="","",E900-F900)</f>
        <v/>
      </c>
      <c r="H900" s="4" t="n"/>
      <c r="I900">
        <f>IF(OR(A900="",H900=""),"",IF(G900&lt;=H900,"اطلب الآن",""))</f>
        <v/>
      </c>
    </row>
    <row r="901">
      <c r="A901" s="4" t="n"/>
      <c r="B901" s="4" t="n"/>
      <c r="C901" s="4" t="n"/>
      <c r="D901" s="4" t="n"/>
      <c r="E901" s="4" t="n"/>
      <c r="F901">
        <f>IF(A901="","",SUMIFS(المبيعات!$F$2:$F$2000,المبيعات!$D$2:$D$2000,A901))</f>
        <v/>
      </c>
      <c r="G901">
        <f>IF(A901="","",E901-F901)</f>
        <v/>
      </c>
      <c r="H901" s="4" t="n"/>
      <c r="I901">
        <f>IF(OR(A901="",H901=""),"",IF(G901&lt;=H901,"اطلب الآن",""))</f>
        <v/>
      </c>
    </row>
    <row r="902">
      <c r="A902" s="4" t="n"/>
      <c r="B902" s="4" t="n"/>
      <c r="C902" s="4" t="n"/>
      <c r="D902" s="4" t="n"/>
      <c r="E902" s="4" t="n"/>
      <c r="F902">
        <f>IF(A902="","",SUMIFS(المبيعات!$F$2:$F$2000,المبيعات!$D$2:$D$2000,A902))</f>
        <v/>
      </c>
      <c r="G902">
        <f>IF(A902="","",E902-F902)</f>
        <v/>
      </c>
      <c r="H902" s="4" t="n"/>
      <c r="I902">
        <f>IF(OR(A902="",H902=""),"",IF(G902&lt;=H902,"اطلب الآن",""))</f>
        <v/>
      </c>
    </row>
    <row r="903">
      <c r="A903" s="4" t="n"/>
      <c r="B903" s="4" t="n"/>
      <c r="C903" s="4" t="n"/>
      <c r="D903" s="4" t="n"/>
      <c r="E903" s="4" t="n"/>
      <c r="F903">
        <f>IF(A903="","",SUMIFS(المبيعات!$F$2:$F$2000,المبيعات!$D$2:$D$2000,A903))</f>
        <v/>
      </c>
      <c r="G903">
        <f>IF(A903="","",E903-F903)</f>
        <v/>
      </c>
      <c r="H903" s="4" t="n"/>
      <c r="I903">
        <f>IF(OR(A903="",H903=""),"",IF(G903&lt;=H903,"اطلب الآن",""))</f>
        <v/>
      </c>
    </row>
    <row r="904">
      <c r="A904" s="4" t="n"/>
      <c r="B904" s="4" t="n"/>
      <c r="C904" s="4" t="n"/>
      <c r="D904" s="4" t="n"/>
      <c r="E904" s="4" t="n"/>
      <c r="F904">
        <f>IF(A904="","",SUMIFS(المبيعات!$F$2:$F$2000,المبيعات!$D$2:$D$2000,A904))</f>
        <v/>
      </c>
      <c r="G904">
        <f>IF(A904="","",E904-F904)</f>
        <v/>
      </c>
      <c r="H904" s="4" t="n"/>
      <c r="I904">
        <f>IF(OR(A904="",H904=""),"",IF(G904&lt;=H904,"اطلب الآن",""))</f>
        <v/>
      </c>
    </row>
    <row r="905">
      <c r="A905" s="4" t="n"/>
      <c r="B905" s="4" t="n"/>
      <c r="C905" s="4" t="n"/>
      <c r="D905" s="4" t="n"/>
      <c r="E905" s="4" t="n"/>
      <c r="F905">
        <f>IF(A905="","",SUMIFS(المبيعات!$F$2:$F$2000,المبيعات!$D$2:$D$2000,A905))</f>
        <v/>
      </c>
      <c r="G905">
        <f>IF(A905="","",E905-F905)</f>
        <v/>
      </c>
      <c r="H905" s="4" t="n"/>
      <c r="I905">
        <f>IF(OR(A905="",H905=""),"",IF(G905&lt;=H905,"اطلب الآن",""))</f>
        <v/>
      </c>
    </row>
    <row r="906">
      <c r="A906" s="4" t="n"/>
      <c r="B906" s="4" t="n"/>
      <c r="C906" s="4" t="n"/>
      <c r="D906" s="4" t="n"/>
      <c r="E906" s="4" t="n"/>
      <c r="F906">
        <f>IF(A906="","",SUMIFS(المبيعات!$F$2:$F$2000,المبيعات!$D$2:$D$2000,A906))</f>
        <v/>
      </c>
      <c r="G906">
        <f>IF(A906="","",E906-F906)</f>
        <v/>
      </c>
      <c r="H906" s="4" t="n"/>
      <c r="I906">
        <f>IF(OR(A906="",H906=""),"",IF(G906&lt;=H906,"اطلب الآن",""))</f>
        <v/>
      </c>
    </row>
    <row r="907">
      <c r="A907" s="4" t="n"/>
      <c r="B907" s="4" t="n"/>
      <c r="C907" s="4" t="n"/>
      <c r="D907" s="4" t="n"/>
      <c r="E907" s="4" t="n"/>
      <c r="F907">
        <f>IF(A907="","",SUMIFS(المبيعات!$F$2:$F$2000,المبيعات!$D$2:$D$2000,A907))</f>
        <v/>
      </c>
      <c r="G907">
        <f>IF(A907="","",E907-F907)</f>
        <v/>
      </c>
      <c r="H907" s="4" t="n"/>
      <c r="I907">
        <f>IF(OR(A907="",H907=""),"",IF(G907&lt;=H907,"اطلب الآن",""))</f>
        <v/>
      </c>
    </row>
    <row r="908">
      <c r="A908" s="4" t="n"/>
      <c r="B908" s="4" t="n"/>
      <c r="C908" s="4" t="n"/>
      <c r="D908" s="4" t="n"/>
      <c r="E908" s="4" t="n"/>
      <c r="F908">
        <f>IF(A908="","",SUMIFS(المبيعات!$F$2:$F$2000,المبيعات!$D$2:$D$2000,A908))</f>
        <v/>
      </c>
      <c r="G908">
        <f>IF(A908="","",E908-F908)</f>
        <v/>
      </c>
      <c r="H908" s="4" t="n"/>
      <c r="I908">
        <f>IF(OR(A908="",H908=""),"",IF(G908&lt;=H908,"اطلب الآن",""))</f>
        <v/>
      </c>
    </row>
    <row r="909">
      <c r="A909" s="4" t="n"/>
      <c r="B909" s="4" t="n"/>
      <c r="C909" s="4" t="n"/>
      <c r="D909" s="4" t="n"/>
      <c r="E909" s="4" t="n"/>
      <c r="F909">
        <f>IF(A909="","",SUMIFS(المبيعات!$F$2:$F$2000,المبيعات!$D$2:$D$2000,A909))</f>
        <v/>
      </c>
      <c r="G909">
        <f>IF(A909="","",E909-F909)</f>
        <v/>
      </c>
      <c r="H909" s="4" t="n"/>
      <c r="I909">
        <f>IF(OR(A909="",H909=""),"",IF(G909&lt;=H909,"اطلب الآن",""))</f>
        <v/>
      </c>
    </row>
    <row r="910">
      <c r="A910" s="4" t="n"/>
      <c r="B910" s="4" t="n"/>
      <c r="C910" s="4" t="n"/>
      <c r="D910" s="4" t="n"/>
      <c r="E910" s="4" t="n"/>
      <c r="F910">
        <f>IF(A910="","",SUMIFS(المبيعات!$F$2:$F$2000,المبيعات!$D$2:$D$2000,A910))</f>
        <v/>
      </c>
      <c r="G910">
        <f>IF(A910="","",E910-F910)</f>
        <v/>
      </c>
      <c r="H910" s="4" t="n"/>
      <c r="I910">
        <f>IF(OR(A910="",H910=""),"",IF(G910&lt;=H910,"اطلب الآن",""))</f>
        <v/>
      </c>
    </row>
    <row r="911">
      <c r="A911" s="4" t="n"/>
      <c r="B911" s="4" t="n"/>
      <c r="C911" s="4" t="n"/>
      <c r="D911" s="4" t="n"/>
      <c r="E911" s="4" t="n"/>
      <c r="F911">
        <f>IF(A911="","",SUMIFS(المبيعات!$F$2:$F$2000,المبيعات!$D$2:$D$2000,A911))</f>
        <v/>
      </c>
      <c r="G911">
        <f>IF(A911="","",E911-F911)</f>
        <v/>
      </c>
      <c r="H911" s="4" t="n"/>
      <c r="I911">
        <f>IF(OR(A911="",H911=""),"",IF(G911&lt;=H911,"اطلب الآن",""))</f>
        <v/>
      </c>
    </row>
    <row r="912">
      <c r="A912" s="4" t="n"/>
      <c r="B912" s="4" t="n"/>
      <c r="C912" s="4" t="n"/>
      <c r="D912" s="4" t="n"/>
      <c r="E912" s="4" t="n"/>
      <c r="F912">
        <f>IF(A912="","",SUMIFS(المبيعات!$F$2:$F$2000,المبيعات!$D$2:$D$2000,A912))</f>
        <v/>
      </c>
      <c r="G912">
        <f>IF(A912="","",E912-F912)</f>
        <v/>
      </c>
      <c r="H912" s="4" t="n"/>
      <c r="I912">
        <f>IF(OR(A912="",H912=""),"",IF(G912&lt;=H912,"اطلب الآن",""))</f>
        <v/>
      </c>
    </row>
    <row r="913">
      <c r="A913" s="4" t="n"/>
      <c r="B913" s="4" t="n"/>
      <c r="C913" s="4" t="n"/>
      <c r="D913" s="4" t="n"/>
      <c r="E913" s="4" t="n"/>
      <c r="F913">
        <f>IF(A913="","",SUMIFS(المبيعات!$F$2:$F$2000,المبيعات!$D$2:$D$2000,A913))</f>
        <v/>
      </c>
      <c r="G913">
        <f>IF(A913="","",E913-F913)</f>
        <v/>
      </c>
      <c r="H913" s="4" t="n"/>
      <c r="I913">
        <f>IF(OR(A913="",H913=""),"",IF(G913&lt;=H913,"اطلب الآن",""))</f>
        <v/>
      </c>
    </row>
    <row r="914">
      <c r="A914" s="4" t="n"/>
      <c r="B914" s="4" t="n"/>
      <c r="C914" s="4" t="n"/>
      <c r="D914" s="4" t="n"/>
      <c r="E914" s="4" t="n"/>
      <c r="F914">
        <f>IF(A914="","",SUMIFS(المبيعات!$F$2:$F$2000,المبيعات!$D$2:$D$2000,A914))</f>
        <v/>
      </c>
      <c r="G914">
        <f>IF(A914="","",E914-F914)</f>
        <v/>
      </c>
      <c r="H914" s="4" t="n"/>
      <c r="I914">
        <f>IF(OR(A914="",H914=""),"",IF(G914&lt;=H914,"اطلب الآن",""))</f>
        <v/>
      </c>
    </row>
    <row r="915">
      <c r="A915" s="4" t="n"/>
      <c r="B915" s="4" t="n"/>
      <c r="C915" s="4" t="n"/>
      <c r="D915" s="4" t="n"/>
      <c r="E915" s="4" t="n"/>
      <c r="F915">
        <f>IF(A915="","",SUMIFS(المبيعات!$F$2:$F$2000,المبيعات!$D$2:$D$2000,A915))</f>
        <v/>
      </c>
      <c r="G915">
        <f>IF(A915="","",E915-F915)</f>
        <v/>
      </c>
      <c r="H915" s="4" t="n"/>
      <c r="I915">
        <f>IF(OR(A915="",H915=""),"",IF(G915&lt;=H915,"اطلب الآن",""))</f>
        <v/>
      </c>
    </row>
    <row r="916">
      <c r="A916" s="4" t="n"/>
      <c r="B916" s="4" t="n"/>
      <c r="C916" s="4" t="n"/>
      <c r="D916" s="4" t="n"/>
      <c r="E916" s="4" t="n"/>
      <c r="F916">
        <f>IF(A916="","",SUMIFS(المبيعات!$F$2:$F$2000,المبيعات!$D$2:$D$2000,A916))</f>
        <v/>
      </c>
      <c r="G916">
        <f>IF(A916="","",E916-F916)</f>
        <v/>
      </c>
      <c r="H916" s="4" t="n"/>
      <c r="I916">
        <f>IF(OR(A916="",H916=""),"",IF(G916&lt;=H916,"اطلب الآن",""))</f>
        <v/>
      </c>
    </row>
    <row r="917">
      <c r="A917" s="4" t="n"/>
      <c r="B917" s="4" t="n"/>
      <c r="C917" s="4" t="n"/>
      <c r="D917" s="4" t="n"/>
      <c r="E917" s="4" t="n"/>
      <c r="F917">
        <f>IF(A917="","",SUMIFS(المبيعات!$F$2:$F$2000,المبيعات!$D$2:$D$2000,A917))</f>
        <v/>
      </c>
      <c r="G917">
        <f>IF(A917="","",E917-F917)</f>
        <v/>
      </c>
      <c r="H917" s="4" t="n"/>
      <c r="I917">
        <f>IF(OR(A917="",H917=""),"",IF(G917&lt;=H917,"اطلب الآن",""))</f>
        <v/>
      </c>
    </row>
    <row r="918">
      <c r="A918" s="4" t="n"/>
      <c r="B918" s="4" t="n"/>
      <c r="C918" s="4" t="n"/>
      <c r="D918" s="4" t="n"/>
      <c r="E918" s="4" t="n"/>
      <c r="F918">
        <f>IF(A918="","",SUMIFS(المبيعات!$F$2:$F$2000,المبيعات!$D$2:$D$2000,A918))</f>
        <v/>
      </c>
      <c r="G918">
        <f>IF(A918="","",E918-F918)</f>
        <v/>
      </c>
      <c r="H918" s="4" t="n"/>
      <c r="I918">
        <f>IF(OR(A918="",H918=""),"",IF(G918&lt;=H918,"اطلب الآن",""))</f>
        <v/>
      </c>
    </row>
    <row r="919">
      <c r="A919" s="4" t="n"/>
      <c r="B919" s="4" t="n"/>
      <c r="C919" s="4" t="n"/>
      <c r="D919" s="4" t="n"/>
      <c r="E919" s="4" t="n"/>
      <c r="F919">
        <f>IF(A919="","",SUMIFS(المبيعات!$F$2:$F$2000,المبيعات!$D$2:$D$2000,A919))</f>
        <v/>
      </c>
      <c r="G919">
        <f>IF(A919="","",E919-F919)</f>
        <v/>
      </c>
      <c r="H919" s="4" t="n"/>
      <c r="I919">
        <f>IF(OR(A919="",H919=""),"",IF(G919&lt;=H919,"اطلب الآن",""))</f>
        <v/>
      </c>
    </row>
    <row r="920">
      <c r="A920" s="4" t="n"/>
      <c r="B920" s="4" t="n"/>
      <c r="C920" s="4" t="n"/>
      <c r="D920" s="4" t="n"/>
      <c r="E920" s="4" t="n"/>
      <c r="F920">
        <f>IF(A920="","",SUMIFS(المبيعات!$F$2:$F$2000,المبيعات!$D$2:$D$2000,A920))</f>
        <v/>
      </c>
      <c r="G920">
        <f>IF(A920="","",E920-F920)</f>
        <v/>
      </c>
      <c r="H920" s="4" t="n"/>
      <c r="I920">
        <f>IF(OR(A920="",H920=""),"",IF(G920&lt;=H920,"اطلب الآن",""))</f>
        <v/>
      </c>
    </row>
    <row r="921">
      <c r="A921" s="4" t="n"/>
      <c r="B921" s="4" t="n"/>
      <c r="C921" s="4" t="n"/>
      <c r="D921" s="4" t="n"/>
      <c r="E921" s="4" t="n"/>
      <c r="F921">
        <f>IF(A921="","",SUMIFS(المبيعات!$F$2:$F$2000,المبيعات!$D$2:$D$2000,A921))</f>
        <v/>
      </c>
      <c r="G921">
        <f>IF(A921="","",E921-F921)</f>
        <v/>
      </c>
      <c r="H921" s="4" t="n"/>
      <c r="I921">
        <f>IF(OR(A921="",H921=""),"",IF(G921&lt;=H921,"اطلب الآن",""))</f>
        <v/>
      </c>
    </row>
    <row r="922">
      <c r="A922" s="4" t="n"/>
      <c r="B922" s="4" t="n"/>
      <c r="C922" s="4" t="n"/>
      <c r="D922" s="4" t="n"/>
      <c r="E922" s="4" t="n"/>
      <c r="F922">
        <f>IF(A922="","",SUMIFS(المبيعات!$F$2:$F$2000,المبيعات!$D$2:$D$2000,A922))</f>
        <v/>
      </c>
      <c r="G922">
        <f>IF(A922="","",E922-F922)</f>
        <v/>
      </c>
      <c r="H922" s="4" t="n"/>
      <c r="I922">
        <f>IF(OR(A922="",H922=""),"",IF(G922&lt;=H922,"اطلب الآن",""))</f>
        <v/>
      </c>
    </row>
    <row r="923">
      <c r="A923" s="4" t="n"/>
      <c r="B923" s="4" t="n"/>
      <c r="C923" s="4" t="n"/>
      <c r="D923" s="4" t="n"/>
      <c r="E923" s="4" t="n"/>
      <c r="F923">
        <f>IF(A923="","",SUMIFS(المبيعات!$F$2:$F$2000,المبيعات!$D$2:$D$2000,A923))</f>
        <v/>
      </c>
      <c r="G923">
        <f>IF(A923="","",E923-F923)</f>
        <v/>
      </c>
      <c r="H923" s="4" t="n"/>
      <c r="I923">
        <f>IF(OR(A923="",H923=""),"",IF(G923&lt;=H923,"اطلب الآن",""))</f>
        <v/>
      </c>
    </row>
    <row r="924">
      <c r="A924" s="4" t="n"/>
      <c r="B924" s="4" t="n"/>
      <c r="C924" s="4" t="n"/>
      <c r="D924" s="4" t="n"/>
      <c r="E924" s="4" t="n"/>
      <c r="F924">
        <f>IF(A924="","",SUMIFS(المبيعات!$F$2:$F$2000,المبيعات!$D$2:$D$2000,A924))</f>
        <v/>
      </c>
      <c r="G924">
        <f>IF(A924="","",E924-F924)</f>
        <v/>
      </c>
      <c r="H924" s="4" t="n"/>
      <c r="I924">
        <f>IF(OR(A924="",H924=""),"",IF(G924&lt;=H924,"اطلب الآن",""))</f>
        <v/>
      </c>
    </row>
    <row r="925">
      <c r="A925" s="4" t="n"/>
      <c r="B925" s="4" t="n"/>
      <c r="C925" s="4" t="n"/>
      <c r="D925" s="4" t="n"/>
      <c r="E925" s="4" t="n"/>
      <c r="F925">
        <f>IF(A925="","",SUMIFS(المبيعات!$F$2:$F$2000,المبيعات!$D$2:$D$2000,A925))</f>
        <v/>
      </c>
      <c r="G925">
        <f>IF(A925="","",E925-F925)</f>
        <v/>
      </c>
      <c r="H925" s="4" t="n"/>
      <c r="I925">
        <f>IF(OR(A925="",H925=""),"",IF(G925&lt;=H925,"اطلب الآن",""))</f>
        <v/>
      </c>
    </row>
    <row r="926">
      <c r="A926" s="4" t="n"/>
      <c r="B926" s="4" t="n"/>
      <c r="C926" s="4" t="n"/>
      <c r="D926" s="4" t="n"/>
      <c r="E926" s="4" t="n"/>
      <c r="F926">
        <f>IF(A926="","",SUMIFS(المبيعات!$F$2:$F$2000,المبيعات!$D$2:$D$2000,A926))</f>
        <v/>
      </c>
      <c r="G926">
        <f>IF(A926="","",E926-F926)</f>
        <v/>
      </c>
      <c r="H926" s="4" t="n"/>
      <c r="I926">
        <f>IF(OR(A926="",H926=""),"",IF(G926&lt;=H926,"اطلب الآن",""))</f>
        <v/>
      </c>
    </row>
    <row r="927">
      <c r="A927" s="4" t="n"/>
      <c r="B927" s="4" t="n"/>
      <c r="C927" s="4" t="n"/>
      <c r="D927" s="4" t="n"/>
      <c r="E927" s="4" t="n"/>
      <c r="F927">
        <f>IF(A927="","",SUMIFS(المبيعات!$F$2:$F$2000,المبيعات!$D$2:$D$2000,A927))</f>
        <v/>
      </c>
      <c r="G927">
        <f>IF(A927="","",E927-F927)</f>
        <v/>
      </c>
      <c r="H927" s="4" t="n"/>
      <c r="I927">
        <f>IF(OR(A927="",H927=""),"",IF(G927&lt;=H927,"اطلب الآن",""))</f>
        <v/>
      </c>
    </row>
    <row r="928">
      <c r="A928" s="4" t="n"/>
      <c r="B928" s="4" t="n"/>
      <c r="C928" s="4" t="n"/>
      <c r="D928" s="4" t="n"/>
      <c r="E928" s="4" t="n"/>
      <c r="F928">
        <f>IF(A928="","",SUMIFS(المبيعات!$F$2:$F$2000,المبيعات!$D$2:$D$2000,A928))</f>
        <v/>
      </c>
      <c r="G928">
        <f>IF(A928="","",E928-F928)</f>
        <v/>
      </c>
      <c r="H928" s="4" t="n"/>
      <c r="I928">
        <f>IF(OR(A928="",H928=""),"",IF(G928&lt;=H928,"اطلب الآن",""))</f>
        <v/>
      </c>
    </row>
    <row r="929">
      <c r="A929" s="4" t="n"/>
      <c r="B929" s="4" t="n"/>
      <c r="C929" s="4" t="n"/>
      <c r="D929" s="4" t="n"/>
      <c r="E929" s="4" t="n"/>
      <c r="F929">
        <f>IF(A929="","",SUMIFS(المبيعات!$F$2:$F$2000,المبيعات!$D$2:$D$2000,A929))</f>
        <v/>
      </c>
      <c r="G929">
        <f>IF(A929="","",E929-F929)</f>
        <v/>
      </c>
      <c r="H929" s="4" t="n"/>
      <c r="I929">
        <f>IF(OR(A929="",H929=""),"",IF(G929&lt;=H929,"اطلب الآن",""))</f>
        <v/>
      </c>
    </row>
    <row r="930">
      <c r="A930" s="4" t="n"/>
      <c r="B930" s="4" t="n"/>
      <c r="C930" s="4" t="n"/>
      <c r="D930" s="4" t="n"/>
      <c r="E930" s="4" t="n"/>
      <c r="F930">
        <f>IF(A930="","",SUMIFS(المبيعات!$F$2:$F$2000,المبيعات!$D$2:$D$2000,A930))</f>
        <v/>
      </c>
      <c r="G930">
        <f>IF(A930="","",E930-F930)</f>
        <v/>
      </c>
      <c r="H930" s="4" t="n"/>
      <c r="I930">
        <f>IF(OR(A930="",H930=""),"",IF(G930&lt;=H930,"اطلب الآن",""))</f>
        <v/>
      </c>
    </row>
    <row r="931">
      <c r="A931" s="4" t="n"/>
      <c r="B931" s="4" t="n"/>
      <c r="C931" s="4" t="n"/>
      <c r="D931" s="4" t="n"/>
      <c r="E931" s="4" t="n"/>
      <c r="F931">
        <f>IF(A931="","",SUMIFS(المبيعات!$F$2:$F$2000,المبيعات!$D$2:$D$2000,A931))</f>
        <v/>
      </c>
      <c r="G931">
        <f>IF(A931="","",E931-F931)</f>
        <v/>
      </c>
      <c r="H931" s="4" t="n"/>
      <c r="I931">
        <f>IF(OR(A931="",H931=""),"",IF(G931&lt;=H931,"اطلب الآن",""))</f>
        <v/>
      </c>
    </row>
    <row r="932">
      <c r="A932" s="4" t="n"/>
      <c r="B932" s="4" t="n"/>
      <c r="C932" s="4" t="n"/>
      <c r="D932" s="4" t="n"/>
      <c r="E932" s="4" t="n"/>
      <c r="F932">
        <f>IF(A932="","",SUMIFS(المبيعات!$F$2:$F$2000,المبيعات!$D$2:$D$2000,A932))</f>
        <v/>
      </c>
      <c r="G932">
        <f>IF(A932="","",E932-F932)</f>
        <v/>
      </c>
      <c r="H932" s="4" t="n"/>
      <c r="I932">
        <f>IF(OR(A932="",H932=""),"",IF(G932&lt;=H932,"اطلب الآن",""))</f>
        <v/>
      </c>
    </row>
    <row r="933">
      <c r="A933" s="4" t="n"/>
      <c r="B933" s="4" t="n"/>
      <c r="C933" s="4" t="n"/>
      <c r="D933" s="4" t="n"/>
      <c r="E933" s="4" t="n"/>
      <c r="F933">
        <f>IF(A933="","",SUMIFS(المبيعات!$F$2:$F$2000,المبيعات!$D$2:$D$2000,A933))</f>
        <v/>
      </c>
      <c r="G933">
        <f>IF(A933="","",E933-F933)</f>
        <v/>
      </c>
      <c r="H933" s="4" t="n"/>
      <c r="I933">
        <f>IF(OR(A933="",H933=""),"",IF(G933&lt;=H933,"اطلب الآن",""))</f>
        <v/>
      </c>
    </row>
    <row r="934">
      <c r="A934" s="4" t="n"/>
      <c r="B934" s="4" t="n"/>
      <c r="C934" s="4" t="n"/>
      <c r="D934" s="4" t="n"/>
      <c r="E934" s="4" t="n"/>
      <c r="F934">
        <f>IF(A934="","",SUMIFS(المبيعات!$F$2:$F$2000,المبيعات!$D$2:$D$2000,A934))</f>
        <v/>
      </c>
      <c r="G934">
        <f>IF(A934="","",E934-F934)</f>
        <v/>
      </c>
      <c r="H934" s="4" t="n"/>
      <c r="I934">
        <f>IF(OR(A934="",H934=""),"",IF(G934&lt;=H934,"اطلب الآن",""))</f>
        <v/>
      </c>
    </row>
    <row r="935">
      <c r="A935" s="4" t="n"/>
      <c r="B935" s="4" t="n"/>
      <c r="C935" s="4" t="n"/>
      <c r="D935" s="4" t="n"/>
      <c r="E935" s="4" t="n"/>
      <c r="F935">
        <f>IF(A935="","",SUMIFS(المبيعات!$F$2:$F$2000,المبيعات!$D$2:$D$2000,A935))</f>
        <v/>
      </c>
      <c r="G935">
        <f>IF(A935="","",E935-F935)</f>
        <v/>
      </c>
      <c r="H935" s="4" t="n"/>
      <c r="I935">
        <f>IF(OR(A935="",H935=""),"",IF(G935&lt;=H935,"اطلب الآن",""))</f>
        <v/>
      </c>
    </row>
    <row r="936">
      <c r="A936" s="4" t="n"/>
      <c r="B936" s="4" t="n"/>
      <c r="C936" s="4" t="n"/>
      <c r="D936" s="4" t="n"/>
      <c r="E936" s="4" t="n"/>
      <c r="F936">
        <f>IF(A936="","",SUMIFS(المبيعات!$F$2:$F$2000,المبيعات!$D$2:$D$2000,A936))</f>
        <v/>
      </c>
      <c r="G936">
        <f>IF(A936="","",E936-F936)</f>
        <v/>
      </c>
      <c r="H936" s="4" t="n"/>
      <c r="I936">
        <f>IF(OR(A936="",H936=""),"",IF(G936&lt;=H936,"اطلب الآن",""))</f>
        <v/>
      </c>
    </row>
    <row r="937">
      <c r="A937" s="4" t="n"/>
      <c r="B937" s="4" t="n"/>
      <c r="C937" s="4" t="n"/>
      <c r="D937" s="4" t="n"/>
      <c r="E937" s="4" t="n"/>
      <c r="F937">
        <f>IF(A937="","",SUMIFS(المبيعات!$F$2:$F$2000,المبيعات!$D$2:$D$2000,A937))</f>
        <v/>
      </c>
      <c r="G937">
        <f>IF(A937="","",E937-F937)</f>
        <v/>
      </c>
      <c r="H937" s="4" t="n"/>
      <c r="I937">
        <f>IF(OR(A937="",H937=""),"",IF(G937&lt;=H937,"اطلب الآن",""))</f>
        <v/>
      </c>
    </row>
    <row r="938">
      <c r="A938" s="4" t="n"/>
      <c r="B938" s="4" t="n"/>
      <c r="C938" s="4" t="n"/>
      <c r="D938" s="4" t="n"/>
      <c r="E938" s="4" t="n"/>
      <c r="F938">
        <f>IF(A938="","",SUMIFS(المبيعات!$F$2:$F$2000,المبيعات!$D$2:$D$2000,A938))</f>
        <v/>
      </c>
      <c r="G938">
        <f>IF(A938="","",E938-F938)</f>
        <v/>
      </c>
      <c r="H938" s="4" t="n"/>
      <c r="I938">
        <f>IF(OR(A938="",H938=""),"",IF(G938&lt;=H938,"اطلب الآن",""))</f>
        <v/>
      </c>
    </row>
    <row r="939">
      <c r="A939" s="4" t="n"/>
      <c r="B939" s="4" t="n"/>
      <c r="C939" s="4" t="n"/>
      <c r="D939" s="4" t="n"/>
      <c r="E939" s="4" t="n"/>
      <c r="F939">
        <f>IF(A939="","",SUMIFS(المبيعات!$F$2:$F$2000,المبيعات!$D$2:$D$2000,A939))</f>
        <v/>
      </c>
      <c r="G939">
        <f>IF(A939="","",E939-F939)</f>
        <v/>
      </c>
      <c r="H939" s="4" t="n"/>
      <c r="I939">
        <f>IF(OR(A939="",H939=""),"",IF(G939&lt;=H939,"اطلب الآن",""))</f>
        <v/>
      </c>
    </row>
    <row r="940">
      <c r="A940" s="4" t="n"/>
      <c r="B940" s="4" t="n"/>
      <c r="C940" s="4" t="n"/>
      <c r="D940" s="4" t="n"/>
      <c r="E940" s="4" t="n"/>
      <c r="F940">
        <f>IF(A940="","",SUMIFS(المبيعات!$F$2:$F$2000,المبيعات!$D$2:$D$2000,A940))</f>
        <v/>
      </c>
      <c r="G940">
        <f>IF(A940="","",E940-F940)</f>
        <v/>
      </c>
      <c r="H940" s="4" t="n"/>
      <c r="I940">
        <f>IF(OR(A940="",H940=""),"",IF(G940&lt;=H940,"اطلب الآن",""))</f>
        <v/>
      </c>
    </row>
    <row r="941">
      <c r="A941" s="4" t="n"/>
      <c r="B941" s="4" t="n"/>
      <c r="C941" s="4" t="n"/>
      <c r="D941" s="4" t="n"/>
      <c r="E941" s="4" t="n"/>
      <c r="F941">
        <f>IF(A941="","",SUMIFS(المبيعات!$F$2:$F$2000,المبيعات!$D$2:$D$2000,A941))</f>
        <v/>
      </c>
      <c r="G941">
        <f>IF(A941="","",E941-F941)</f>
        <v/>
      </c>
      <c r="H941" s="4" t="n"/>
      <c r="I941">
        <f>IF(OR(A941="",H941=""),"",IF(G941&lt;=H941,"اطلب الآن",""))</f>
        <v/>
      </c>
    </row>
    <row r="942">
      <c r="A942" s="4" t="n"/>
      <c r="B942" s="4" t="n"/>
      <c r="C942" s="4" t="n"/>
      <c r="D942" s="4" t="n"/>
      <c r="E942" s="4" t="n"/>
      <c r="F942">
        <f>IF(A942="","",SUMIFS(المبيعات!$F$2:$F$2000,المبيعات!$D$2:$D$2000,A942))</f>
        <v/>
      </c>
      <c r="G942">
        <f>IF(A942="","",E942-F942)</f>
        <v/>
      </c>
      <c r="H942" s="4" t="n"/>
      <c r="I942">
        <f>IF(OR(A942="",H942=""),"",IF(G942&lt;=H942,"اطلب الآن",""))</f>
        <v/>
      </c>
    </row>
    <row r="943">
      <c r="A943" s="4" t="n"/>
      <c r="B943" s="4" t="n"/>
      <c r="C943" s="4" t="n"/>
      <c r="D943" s="4" t="n"/>
      <c r="E943" s="4" t="n"/>
      <c r="F943">
        <f>IF(A943="","",SUMIFS(المبيعات!$F$2:$F$2000,المبيعات!$D$2:$D$2000,A943))</f>
        <v/>
      </c>
      <c r="G943">
        <f>IF(A943="","",E943-F943)</f>
        <v/>
      </c>
      <c r="H943" s="4" t="n"/>
      <c r="I943">
        <f>IF(OR(A943="",H943=""),"",IF(G943&lt;=H943,"اطلب الآن",""))</f>
        <v/>
      </c>
    </row>
    <row r="944">
      <c r="A944" s="4" t="n"/>
      <c r="B944" s="4" t="n"/>
      <c r="C944" s="4" t="n"/>
      <c r="D944" s="4" t="n"/>
      <c r="E944" s="4" t="n"/>
      <c r="F944">
        <f>IF(A944="","",SUMIFS(المبيعات!$F$2:$F$2000,المبيعات!$D$2:$D$2000,A944))</f>
        <v/>
      </c>
      <c r="G944">
        <f>IF(A944="","",E944-F944)</f>
        <v/>
      </c>
      <c r="H944" s="4" t="n"/>
      <c r="I944">
        <f>IF(OR(A944="",H944=""),"",IF(G944&lt;=H944,"اطلب الآن",""))</f>
        <v/>
      </c>
    </row>
    <row r="945">
      <c r="A945" s="4" t="n"/>
      <c r="B945" s="4" t="n"/>
      <c r="C945" s="4" t="n"/>
      <c r="D945" s="4" t="n"/>
      <c r="E945" s="4" t="n"/>
      <c r="F945">
        <f>IF(A945="","",SUMIFS(المبيعات!$F$2:$F$2000,المبيعات!$D$2:$D$2000,A945))</f>
        <v/>
      </c>
      <c r="G945">
        <f>IF(A945="","",E945-F945)</f>
        <v/>
      </c>
      <c r="H945" s="4" t="n"/>
      <c r="I945">
        <f>IF(OR(A945="",H945=""),"",IF(G945&lt;=H945,"اطلب الآن",""))</f>
        <v/>
      </c>
    </row>
    <row r="946">
      <c r="A946" s="4" t="n"/>
      <c r="B946" s="4" t="n"/>
      <c r="C946" s="4" t="n"/>
      <c r="D946" s="4" t="n"/>
      <c r="E946" s="4" t="n"/>
      <c r="F946">
        <f>IF(A946="","",SUMIFS(المبيعات!$F$2:$F$2000,المبيعات!$D$2:$D$2000,A946))</f>
        <v/>
      </c>
      <c r="G946">
        <f>IF(A946="","",E946-F946)</f>
        <v/>
      </c>
      <c r="H946" s="4" t="n"/>
      <c r="I946">
        <f>IF(OR(A946="",H946=""),"",IF(G946&lt;=H946,"اطلب الآن",""))</f>
        <v/>
      </c>
    </row>
    <row r="947">
      <c r="A947" s="4" t="n"/>
      <c r="B947" s="4" t="n"/>
      <c r="C947" s="4" t="n"/>
      <c r="D947" s="4" t="n"/>
      <c r="E947" s="4" t="n"/>
      <c r="F947">
        <f>IF(A947="","",SUMIFS(المبيعات!$F$2:$F$2000,المبيعات!$D$2:$D$2000,A947))</f>
        <v/>
      </c>
      <c r="G947">
        <f>IF(A947="","",E947-F947)</f>
        <v/>
      </c>
      <c r="H947" s="4" t="n"/>
      <c r="I947">
        <f>IF(OR(A947="",H947=""),"",IF(G947&lt;=H947,"اطلب الآن",""))</f>
        <v/>
      </c>
    </row>
    <row r="948">
      <c r="A948" s="4" t="n"/>
      <c r="B948" s="4" t="n"/>
      <c r="C948" s="4" t="n"/>
      <c r="D948" s="4" t="n"/>
      <c r="E948" s="4" t="n"/>
      <c r="F948">
        <f>IF(A948="","",SUMIFS(المبيعات!$F$2:$F$2000,المبيعات!$D$2:$D$2000,A948))</f>
        <v/>
      </c>
      <c r="G948">
        <f>IF(A948="","",E948-F948)</f>
        <v/>
      </c>
      <c r="H948" s="4" t="n"/>
      <c r="I948">
        <f>IF(OR(A948="",H948=""),"",IF(G948&lt;=H948,"اطلب الآن",""))</f>
        <v/>
      </c>
    </row>
    <row r="949">
      <c r="A949" s="4" t="n"/>
      <c r="B949" s="4" t="n"/>
      <c r="C949" s="4" t="n"/>
      <c r="D949" s="4" t="n"/>
      <c r="E949" s="4" t="n"/>
      <c r="F949">
        <f>IF(A949="","",SUMIFS(المبيعات!$F$2:$F$2000,المبيعات!$D$2:$D$2000,A949))</f>
        <v/>
      </c>
      <c r="G949">
        <f>IF(A949="","",E949-F949)</f>
        <v/>
      </c>
      <c r="H949" s="4" t="n"/>
      <c r="I949">
        <f>IF(OR(A949="",H949=""),"",IF(G949&lt;=H949,"اطلب الآن",""))</f>
        <v/>
      </c>
    </row>
    <row r="950">
      <c r="A950" s="4" t="n"/>
      <c r="B950" s="4" t="n"/>
      <c r="C950" s="4" t="n"/>
      <c r="D950" s="4" t="n"/>
      <c r="E950" s="4" t="n"/>
      <c r="F950">
        <f>IF(A950="","",SUMIFS(المبيعات!$F$2:$F$2000,المبيعات!$D$2:$D$2000,A950))</f>
        <v/>
      </c>
      <c r="G950">
        <f>IF(A950="","",E950-F950)</f>
        <v/>
      </c>
      <c r="H950" s="4" t="n"/>
      <c r="I950">
        <f>IF(OR(A950="",H950=""),"",IF(G950&lt;=H950,"اطلب الآن",""))</f>
        <v/>
      </c>
    </row>
    <row r="951">
      <c r="A951" s="4" t="n"/>
      <c r="B951" s="4" t="n"/>
      <c r="C951" s="4" t="n"/>
      <c r="D951" s="4" t="n"/>
      <c r="E951" s="4" t="n"/>
      <c r="F951">
        <f>IF(A951="","",SUMIFS(المبيعات!$F$2:$F$2000,المبيعات!$D$2:$D$2000,A951))</f>
        <v/>
      </c>
      <c r="G951">
        <f>IF(A951="","",E951-F951)</f>
        <v/>
      </c>
      <c r="H951" s="4" t="n"/>
      <c r="I951">
        <f>IF(OR(A951="",H951=""),"",IF(G951&lt;=H951,"اطلب الآن",""))</f>
        <v/>
      </c>
    </row>
    <row r="952">
      <c r="A952" s="4" t="n"/>
      <c r="B952" s="4" t="n"/>
      <c r="C952" s="4" t="n"/>
      <c r="D952" s="4" t="n"/>
      <c r="E952" s="4" t="n"/>
      <c r="F952">
        <f>IF(A952="","",SUMIFS(المبيعات!$F$2:$F$2000,المبيعات!$D$2:$D$2000,A952))</f>
        <v/>
      </c>
      <c r="G952">
        <f>IF(A952="","",E952-F952)</f>
        <v/>
      </c>
      <c r="H952" s="4" t="n"/>
      <c r="I952">
        <f>IF(OR(A952="",H952=""),"",IF(G952&lt;=H952,"اطلب الآن",""))</f>
        <v/>
      </c>
    </row>
    <row r="953">
      <c r="A953" s="4" t="n"/>
      <c r="B953" s="4" t="n"/>
      <c r="C953" s="4" t="n"/>
      <c r="D953" s="4" t="n"/>
      <c r="E953" s="4" t="n"/>
      <c r="F953">
        <f>IF(A953="","",SUMIFS(المبيعات!$F$2:$F$2000,المبيعات!$D$2:$D$2000,A953))</f>
        <v/>
      </c>
      <c r="G953">
        <f>IF(A953="","",E953-F953)</f>
        <v/>
      </c>
      <c r="H953" s="4" t="n"/>
      <c r="I953">
        <f>IF(OR(A953="",H953=""),"",IF(G953&lt;=H953,"اطلب الآن",""))</f>
        <v/>
      </c>
    </row>
    <row r="954">
      <c r="A954" s="4" t="n"/>
      <c r="B954" s="4" t="n"/>
      <c r="C954" s="4" t="n"/>
      <c r="D954" s="4" t="n"/>
      <c r="E954" s="4" t="n"/>
      <c r="F954">
        <f>IF(A954="","",SUMIFS(المبيعات!$F$2:$F$2000,المبيعات!$D$2:$D$2000,A954))</f>
        <v/>
      </c>
      <c r="G954">
        <f>IF(A954="","",E954-F954)</f>
        <v/>
      </c>
      <c r="H954" s="4" t="n"/>
      <c r="I954">
        <f>IF(OR(A954="",H954=""),"",IF(G954&lt;=H954,"اطلب الآن",""))</f>
        <v/>
      </c>
    </row>
    <row r="955">
      <c r="A955" s="4" t="n"/>
      <c r="B955" s="4" t="n"/>
      <c r="C955" s="4" t="n"/>
      <c r="D955" s="4" t="n"/>
      <c r="E955" s="4" t="n"/>
      <c r="F955">
        <f>IF(A955="","",SUMIFS(المبيعات!$F$2:$F$2000,المبيعات!$D$2:$D$2000,A955))</f>
        <v/>
      </c>
      <c r="G955">
        <f>IF(A955="","",E955-F955)</f>
        <v/>
      </c>
      <c r="H955" s="4" t="n"/>
      <c r="I955">
        <f>IF(OR(A955="",H955=""),"",IF(G955&lt;=H955,"اطلب الآن",""))</f>
        <v/>
      </c>
    </row>
    <row r="956">
      <c r="A956" s="4" t="n"/>
      <c r="B956" s="4" t="n"/>
      <c r="C956" s="4" t="n"/>
      <c r="D956" s="4" t="n"/>
      <c r="E956" s="4" t="n"/>
      <c r="F956">
        <f>IF(A956="","",SUMIFS(المبيعات!$F$2:$F$2000,المبيعات!$D$2:$D$2000,A956))</f>
        <v/>
      </c>
      <c r="G956">
        <f>IF(A956="","",E956-F956)</f>
        <v/>
      </c>
      <c r="H956" s="4" t="n"/>
      <c r="I956">
        <f>IF(OR(A956="",H956=""),"",IF(G956&lt;=H956,"اطلب الآن",""))</f>
        <v/>
      </c>
    </row>
    <row r="957">
      <c r="A957" s="4" t="n"/>
      <c r="B957" s="4" t="n"/>
      <c r="C957" s="4" t="n"/>
      <c r="D957" s="4" t="n"/>
      <c r="E957" s="4" t="n"/>
      <c r="F957">
        <f>IF(A957="","",SUMIFS(المبيعات!$F$2:$F$2000,المبيعات!$D$2:$D$2000,A957))</f>
        <v/>
      </c>
      <c r="G957">
        <f>IF(A957="","",E957-F957)</f>
        <v/>
      </c>
      <c r="H957" s="4" t="n"/>
      <c r="I957">
        <f>IF(OR(A957="",H957=""),"",IF(G957&lt;=H957,"اطلب الآن",""))</f>
        <v/>
      </c>
    </row>
    <row r="958">
      <c r="A958" s="4" t="n"/>
      <c r="B958" s="4" t="n"/>
      <c r="C958" s="4" t="n"/>
      <c r="D958" s="4" t="n"/>
      <c r="E958" s="4" t="n"/>
      <c r="F958">
        <f>IF(A958="","",SUMIFS(المبيعات!$F$2:$F$2000,المبيعات!$D$2:$D$2000,A958))</f>
        <v/>
      </c>
      <c r="G958">
        <f>IF(A958="","",E958-F958)</f>
        <v/>
      </c>
      <c r="H958" s="4" t="n"/>
      <c r="I958">
        <f>IF(OR(A958="",H958=""),"",IF(G958&lt;=H958,"اطلب الآن",""))</f>
        <v/>
      </c>
    </row>
    <row r="959">
      <c r="A959" s="4" t="n"/>
      <c r="B959" s="4" t="n"/>
      <c r="C959" s="4" t="n"/>
      <c r="D959" s="4" t="n"/>
      <c r="E959" s="4" t="n"/>
      <c r="F959">
        <f>IF(A959="","",SUMIFS(المبيعات!$F$2:$F$2000,المبيعات!$D$2:$D$2000,A959))</f>
        <v/>
      </c>
      <c r="G959">
        <f>IF(A959="","",E959-F959)</f>
        <v/>
      </c>
      <c r="H959" s="4" t="n"/>
      <c r="I959">
        <f>IF(OR(A959="",H959=""),"",IF(G959&lt;=H959,"اطلب الآن",""))</f>
        <v/>
      </c>
    </row>
    <row r="960">
      <c r="A960" s="4" t="n"/>
      <c r="B960" s="4" t="n"/>
      <c r="C960" s="4" t="n"/>
      <c r="D960" s="4" t="n"/>
      <c r="E960" s="4" t="n"/>
      <c r="F960">
        <f>IF(A960="","",SUMIFS(المبيعات!$F$2:$F$2000,المبيعات!$D$2:$D$2000,A960))</f>
        <v/>
      </c>
      <c r="G960">
        <f>IF(A960="","",E960-F960)</f>
        <v/>
      </c>
      <c r="H960" s="4" t="n"/>
      <c r="I960">
        <f>IF(OR(A960="",H960=""),"",IF(G960&lt;=H960,"اطلب الآن",""))</f>
        <v/>
      </c>
    </row>
    <row r="961">
      <c r="A961" s="4" t="n"/>
      <c r="B961" s="4" t="n"/>
      <c r="C961" s="4" t="n"/>
      <c r="D961" s="4" t="n"/>
      <c r="E961" s="4" t="n"/>
      <c r="F961">
        <f>IF(A961="","",SUMIFS(المبيعات!$F$2:$F$2000,المبيعات!$D$2:$D$2000,A961))</f>
        <v/>
      </c>
      <c r="G961">
        <f>IF(A961="","",E961-F961)</f>
        <v/>
      </c>
      <c r="H961" s="4" t="n"/>
      <c r="I961">
        <f>IF(OR(A961="",H961=""),"",IF(G961&lt;=H961,"اطلب الآن",""))</f>
        <v/>
      </c>
    </row>
    <row r="962">
      <c r="A962" s="4" t="n"/>
      <c r="B962" s="4" t="n"/>
      <c r="C962" s="4" t="n"/>
      <c r="D962" s="4" t="n"/>
      <c r="E962" s="4" t="n"/>
      <c r="F962">
        <f>IF(A962="","",SUMIFS(المبيعات!$F$2:$F$2000,المبيعات!$D$2:$D$2000,A962))</f>
        <v/>
      </c>
      <c r="G962">
        <f>IF(A962="","",E962-F962)</f>
        <v/>
      </c>
      <c r="H962" s="4" t="n"/>
      <c r="I962">
        <f>IF(OR(A962="",H962=""),"",IF(G962&lt;=H962,"اطلب الآن",""))</f>
        <v/>
      </c>
    </row>
    <row r="963">
      <c r="A963" s="4" t="n"/>
      <c r="B963" s="4" t="n"/>
      <c r="C963" s="4" t="n"/>
      <c r="D963" s="4" t="n"/>
      <c r="E963" s="4" t="n"/>
      <c r="F963">
        <f>IF(A963="","",SUMIFS(المبيعات!$F$2:$F$2000,المبيعات!$D$2:$D$2000,A963))</f>
        <v/>
      </c>
      <c r="G963">
        <f>IF(A963="","",E963-F963)</f>
        <v/>
      </c>
      <c r="H963" s="4" t="n"/>
      <c r="I963">
        <f>IF(OR(A963="",H963=""),"",IF(G963&lt;=H963,"اطلب الآن",""))</f>
        <v/>
      </c>
    </row>
    <row r="964">
      <c r="A964" s="4" t="n"/>
      <c r="B964" s="4" t="n"/>
      <c r="C964" s="4" t="n"/>
      <c r="D964" s="4" t="n"/>
      <c r="E964" s="4" t="n"/>
      <c r="F964">
        <f>IF(A964="","",SUMIFS(المبيعات!$F$2:$F$2000,المبيعات!$D$2:$D$2000,A964))</f>
        <v/>
      </c>
      <c r="G964">
        <f>IF(A964="","",E964-F964)</f>
        <v/>
      </c>
      <c r="H964" s="4" t="n"/>
      <c r="I964">
        <f>IF(OR(A964="",H964=""),"",IF(G964&lt;=H964,"اطلب الآن",""))</f>
        <v/>
      </c>
    </row>
    <row r="965">
      <c r="A965" s="4" t="n"/>
      <c r="B965" s="4" t="n"/>
      <c r="C965" s="4" t="n"/>
      <c r="D965" s="4" t="n"/>
      <c r="E965" s="4" t="n"/>
      <c r="F965">
        <f>IF(A965="","",SUMIFS(المبيعات!$F$2:$F$2000,المبيعات!$D$2:$D$2000,A965))</f>
        <v/>
      </c>
      <c r="G965">
        <f>IF(A965="","",E965-F965)</f>
        <v/>
      </c>
      <c r="H965" s="4" t="n"/>
      <c r="I965">
        <f>IF(OR(A965="",H965=""),"",IF(G965&lt;=H965,"اطلب الآن",""))</f>
        <v/>
      </c>
    </row>
    <row r="966">
      <c r="A966" s="4" t="n"/>
      <c r="B966" s="4" t="n"/>
      <c r="C966" s="4" t="n"/>
      <c r="D966" s="4" t="n"/>
      <c r="E966" s="4" t="n"/>
      <c r="F966">
        <f>IF(A966="","",SUMIFS(المبيعات!$F$2:$F$2000,المبيعات!$D$2:$D$2000,A966))</f>
        <v/>
      </c>
      <c r="G966">
        <f>IF(A966="","",E966-F966)</f>
        <v/>
      </c>
      <c r="H966" s="4" t="n"/>
      <c r="I966">
        <f>IF(OR(A966="",H966=""),"",IF(G966&lt;=H966,"اطلب الآن",""))</f>
        <v/>
      </c>
    </row>
    <row r="967">
      <c r="A967" s="4" t="n"/>
      <c r="B967" s="4" t="n"/>
      <c r="C967" s="4" t="n"/>
      <c r="D967" s="4" t="n"/>
      <c r="E967" s="4" t="n"/>
      <c r="F967">
        <f>IF(A967="","",SUMIFS(المبيعات!$F$2:$F$2000,المبيعات!$D$2:$D$2000,A967))</f>
        <v/>
      </c>
      <c r="G967">
        <f>IF(A967="","",E967-F967)</f>
        <v/>
      </c>
      <c r="H967" s="4" t="n"/>
      <c r="I967">
        <f>IF(OR(A967="",H967=""),"",IF(G967&lt;=H967,"اطلب الآن",""))</f>
        <v/>
      </c>
    </row>
    <row r="968">
      <c r="A968" s="4" t="n"/>
      <c r="B968" s="4" t="n"/>
      <c r="C968" s="4" t="n"/>
      <c r="D968" s="4" t="n"/>
      <c r="E968" s="4" t="n"/>
      <c r="F968">
        <f>IF(A968="","",SUMIFS(المبيعات!$F$2:$F$2000,المبيعات!$D$2:$D$2000,A968))</f>
        <v/>
      </c>
      <c r="G968">
        <f>IF(A968="","",E968-F968)</f>
        <v/>
      </c>
      <c r="H968" s="4" t="n"/>
      <c r="I968">
        <f>IF(OR(A968="",H968=""),"",IF(G968&lt;=H968,"اطلب الآن",""))</f>
        <v/>
      </c>
    </row>
    <row r="969">
      <c r="A969" s="4" t="n"/>
      <c r="B969" s="4" t="n"/>
      <c r="C969" s="4" t="n"/>
      <c r="D969" s="4" t="n"/>
      <c r="E969" s="4" t="n"/>
      <c r="F969">
        <f>IF(A969="","",SUMIFS(المبيعات!$F$2:$F$2000,المبيعات!$D$2:$D$2000,A969))</f>
        <v/>
      </c>
      <c r="G969">
        <f>IF(A969="","",E969-F969)</f>
        <v/>
      </c>
      <c r="H969" s="4" t="n"/>
      <c r="I969">
        <f>IF(OR(A969="",H969=""),"",IF(G969&lt;=H969,"اطلب الآن",""))</f>
        <v/>
      </c>
    </row>
    <row r="970">
      <c r="A970" s="4" t="n"/>
      <c r="B970" s="4" t="n"/>
      <c r="C970" s="4" t="n"/>
      <c r="D970" s="4" t="n"/>
      <c r="E970" s="4" t="n"/>
      <c r="F970">
        <f>IF(A970="","",SUMIFS(المبيعات!$F$2:$F$2000,المبيعات!$D$2:$D$2000,A970))</f>
        <v/>
      </c>
      <c r="G970">
        <f>IF(A970="","",E970-F970)</f>
        <v/>
      </c>
      <c r="H970" s="4" t="n"/>
      <c r="I970">
        <f>IF(OR(A970="",H970=""),"",IF(G970&lt;=H970,"اطلب الآن",""))</f>
        <v/>
      </c>
    </row>
    <row r="971">
      <c r="A971" s="4" t="n"/>
      <c r="B971" s="4" t="n"/>
      <c r="C971" s="4" t="n"/>
      <c r="D971" s="4" t="n"/>
      <c r="E971" s="4" t="n"/>
      <c r="F971">
        <f>IF(A971="","",SUMIFS(المبيعات!$F$2:$F$2000,المبيعات!$D$2:$D$2000,A971))</f>
        <v/>
      </c>
      <c r="G971">
        <f>IF(A971="","",E971-F971)</f>
        <v/>
      </c>
      <c r="H971" s="4" t="n"/>
      <c r="I971">
        <f>IF(OR(A971="",H971=""),"",IF(G971&lt;=H971,"اطلب الآن",""))</f>
        <v/>
      </c>
    </row>
    <row r="972">
      <c r="A972" s="4" t="n"/>
      <c r="B972" s="4" t="n"/>
      <c r="C972" s="4" t="n"/>
      <c r="D972" s="4" t="n"/>
      <c r="E972" s="4" t="n"/>
      <c r="F972">
        <f>IF(A972="","",SUMIFS(المبيعات!$F$2:$F$2000,المبيعات!$D$2:$D$2000,A972))</f>
        <v/>
      </c>
      <c r="G972">
        <f>IF(A972="","",E972-F972)</f>
        <v/>
      </c>
      <c r="H972" s="4" t="n"/>
      <c r="I972">
        <f>IF(OR(A972="",H972=""),"",IF(G972&lt;=H972,"اطلب الآن",""))</f>
        <v/>
      </c>
    </row>
    <row r="973">
      <c r="A973" s="4" t="n"/>
      <c r="B973" s="4" t="n"/>
      <c r="C973" s="4" t="n"/>
      <c r="D973" s="4" t="n"/>
      <c r="E973" s="4" t="n"/>
      <c r="F973">
        <f>IF(A973="","",SUMIFS(المبيعات!$F$2:$F$2000,المبيعات!$D$2:$D$2000,A973))</f>
        <v/>
      </c>
      <c r="G973">
        <f>IF(A973="","",E973-F973)</f>
        <v/>
      </c>
      <c r="H973" s="4" t="n"/>
      <c r="I973">
        <f>IF(OR(A973="",H973=""),"",IF(G973&lt;=H973,"اطلب الآن",""))</f>
        <v/>
      </c>
    </row>
    <row r="974">
      <c r="A974" s="4" t="n"/>
      <c r="B974" s="4" t="n"/>
      <c r="C974" s="4" t="n"/>
      <c r="D974" s="4" t="n"/>
      <c r="E974" s="4" t="n"/>
      <c r="F974">
        <f>IF(A974="","",SUMIFS(المبيعات!$F$2:$F$2000,المبيعات!$D$2:$D$2000,A974))</f>
        <v/>
      </c>
      <c r="G974">
        <f>IF(A974="","",E974-F974)</f>
        <v/>
      </c>
      <c r="H974" s="4" t="n"/>
      <c r="I974">
        <f>IF(OR(A974="",H974=""),"",IF(G974&lt;=H974,"اطلب الآن",""))</f>
        <v/>
      </c>
    </row>
    <row r="975">
      <c r="A975" s="4" t="n"/>
      <c r="B975" s="4" t="n"/>
      <c r="C975" s="4" t="n"/>
      <c r="D975" s="4" t="n"/>
      <c r="E975" s="4" t="n"/>
      <c r="F975">
        <f>IF(A975="","",SUMIFS(المبيعات!$F$2:$F$2000,المبيعات!$D$2:$D$2000,A975))</f>
        <v/>
      </c>
      <c r="G975">
        <f>IF(A975="","",E975-F975)</f>
        <v/>
      </c>
      <c r="H975" s="4" t="n"/>
      <c r="I975">
        <f>IF(OR(A975="",H975=""),"",IF(G975&lt;=H975,"اطلب الآن",""))</f>
        <v/>
      </c>
    </row>
    <row r="976">
      <c r="A976" s="4" t="n"/>
      <c r="B976" s="4" t="n"/>
      <c r="C976" s="4" t="n"/>
      <c r="D976" s="4" t="n"/>
      <c r="E976" s="4" t="n"/>
      <c r="F976">
        <f>IF(A976="","",SUMIFS(المبيعات!$F$2:$F$2000,المبيعات!$D$2:$D$2000,A976))</f>
        <v/>
      </c>
      <c r="G976">
        <f>IF(A976="","",E976-F976)</f>
        <v/>
      </c>
      <c r="H976" s="4" t="n"/>
      <c r="I976">
        <f>IF(OR(A976="",H976=""),"",IF(G976&lt;=H976,"اطلب الآن",""))</f>
        <v/>
      </c>
    </row>
    <row r="977">
      <c r="A977" s="4" t="n"/>
      <c r="B977" s="4" t="n"/>
      <c r="C977" s="4" t="n"/>
      <c r="D977" s="4" t="n"/>
      <c r="E977" s="4" t="n"/>
      <c r="F977">
        <f>IF(A977="","",SUMIFS(المبيعات!$F$2:$F$2000,المبيعات!$D$2:$D$2000,A977))</f>
        <v/>
      </c>
      <c r="G977">
        <f>IF(A977="","",E977-F977)</f>
        <v/>
      </c>
      <c r="H977" s="4" t="n"/>
      <c r="I977">
        <f>IF(OR(A977="",H977=""),"",IF(G977&lt;=H977,"اطلب الآن",""))</f>
        <v/>
      </c>
    </row>
    <row r="978">
      <c r="A978" s="4" t="n"/>
      <c r="B978" s="4" t="n"/>
      <c r="C978" s="4" t="n"/>
      <c r="D978" s="4" t="n"/>
      <c r="E978" s="4" t="n"/>
      <c r="F978">
        <f>IF(A978="","",SUMIFS(المبيعات!$F$2:$F$2000,المبيعات!$D$2:$D$2000,A978))</f>
        <v/>
      </c>
      <c r="G978">
        <f>IF(A978="","",E978-F978)</f>
        <v/>
      </c>
      <c r="H978" s="4" t="n"/>
      <c r="I978">
        <f>IF(OR(A978="",H978=""),"",IF(G978&lt;=H978,"اطلب الآن",""))</f>
        <v/>
      </c>
    </row>
    <row r="979">
      <c r="A979" s="4" t="n"/>
      <c r="B979" s="4" t="n"/>
      <c r="C979" s="4" t="n"/>
      <c r="D979" s="4" t="n"/>
      <c r="E979" s="4" t="n"/>
      <c r="F979">
        <f>IF(A979="","",SUMIFS(المبيعات!$F$2:$F$2000,المبيعات!$D$2:$D$2000,A979))</f>
        <v/>
      </c>
      <c r="G979">
        <f>IF(A979="","",E979-F979)</f>
        <v/>
      </c>
      <c r="H979" s="4" t="n"/>
      <c r="I979">
        <f>IF(OR(A979="",H979=""),"",IF(G979&lt;=H979,"اطلب الآن",""))</f>
        <v/>
      </c>
    </row>
    <row r="980">
      <c r="A980" s="4" t="n"/>
      <c r="B980" s="4" t="n"/>
      <c r="C980" s="4" t="n"/>
      <c r="D980" s="4" t="n"/>
      <c r="E980" s="4" t="n"/>
      <c r="F980">
        <f>IF(A980="","",SUMIFS(المبيعات!$F$2:$F$2000,المبيعات!$D$2:$D$2000,A980))</f>
        <v/>
      </c>
      <c r="G980">
        <f>IF(A980="","",E980-F980)</f>
        <v/>
      </c>
      <c r="H980" s="4" t="n"/>
      <c r="I980">
        <f>IF(OR(A980="",H980=""),"",IF(G980&lt;=H980,"اطلب الآن",""))</f>
        <v/>
      </c>
    </row>
    <row r="981">
      <c r="A981" s="4" t="n"/>
      <c r="B981" s="4" t="n"/>
      <c r="C981" s="4" t="n"/>
      <c r="D981" s="4" t="n"/>
      <c r="E981" s="4" t="n"/>
      <c r="F981">
        <f>IF(A981="","",SUMIFS(المبيعات!$F$2:$F$2000,المبيعات!$D$2:$D$2000,A981))</f>
        <v/>
      </c>
      <c r="G981">
        <f>IF(A981="","",E981-F981)</f>
        <v/>
      </c>
      <c r="H981" s="4" t="n"/>
      <c r="I981">
        <f>IF(OR(A981="",H981=""),"",IF(G981&lt;=H981,"اطلب الآن",""))</f>
        <v/>
      </c>
    </row>
    <row r="982">
      <c r="A982" s="4" t="n"/>
      <c r="B982" s="4" t="n"/>
      <c r="C982" s="4" t="n"/>
      <c r="D982" s="4" t="n"/>
      <c r="E982" s="4" t="n"/>
      <c r="F982">
        <f>IF(A982="","",SUMIFS(المبيعات!$F$2:$F$2000,المبيعات!$D$2:$D$2000,A982))</f>
        <v/>
      </c>
      <c r="G982">
        <f>IF(A982="","",E982-F982)</f>
        <v/>
      </c>
      <c r="H982" s="4" t="n"/>
      <c r="I982">
        <f>IF(OR(A982="",H982=""),"",IF(G982&lt;=H982,"اطلب الآن",""))</f>
        <v/>
      </c>
    </row>
    <row r="983">
      <c r="A983" s="4" t="n"/>
      <c r="B983" s="4" t="n"/>
      <c r="C983" s="4" t="n"/>
      <c r="D983" s="4" t="n"/>
      <c r="E983" s="4" t="n"/>
      <c r="F983">
        <f>IF(A983="","",SUMIFS(المبيعات!$F$2:$F$2000,المبيعات!$D$2:$D$2000,A983))</f>
        <v/>
      </c>
      <c r="G983">
        <f>IF(A983="","",E983-F983)</f>
        <v/>
      </c>
      <c r="H983" s="4" t="n"/>
      <c r="I983">
        <f>IF(OR(A983="",H983=""),"",IF(G983&lt;=H983,"اطلب الآن",""))</f>
        <v/>
      </c>
    </row>
    <row r="984">
      <c r="A984" s="4" t="n"/>
      <c r="B984" s="4" t="n"/>
      <c r="C984" s="4" t="n"/>
      <c r="D984" s="4" t="n"/>
      <c r="E984" s="4" t="n"/>
      <c r="F984">
        <f>IF(A984="","",SUMIFS(المبيعات!$F$2:$F$2000,المبيعات!$D$2:$D$2000,A984))</f>
        <v/>
      </c>
      <c r="G984">
        <f>IF(A984="","",E984-F984)</f>
        <v/>
      </c>
      <c r="H984" s="4" t="n"/>
      <c r="I984">
        <f>IF(OR(A984="",H984=""),"",IF(G984&lt;=H984,"اطلب الآن",""))</f>
        <v/>
      </c>
    </row>
    <row r="985">
      <c r="A985" s="4" t="n"/>
      <c r="B985" s="4" t="n"/>
      <c r="C985" s="4" t="n"/>
      <c r="D985" s="4" t="n"/>
      <c r="E985" s="4" t="n"/>
      <c r="F985">
        <f>IF(A985="","",SUMIFS(المبيعات!$F$2:$F$2000,المبيعات!$D$2:$D$2000,A985))</f>
        <v/>
      </c>
      <c r="G985">
        <f>IF(A985="","",E985-F985)</f>
        <v/>
      </c>
      <c r="H985" s="4" t="n"/>
      <c r="I985">
        <f>IF(OR(A985="",H985=""),"",IF(G985&lt;=H985,"اطلب الآن",""))</f>
        <v/>
      </c>
    </row>
    <row r="986">
      <c r="A986" s="4" t="n"/>
      <c r="B986" s="4" t="n"/>
      <c r="C986" s="4" t="n"/>
      <c r="D986" s="4" t="n"/>
      <c r="E986" s="4" t="n"/>
      <c r="F986">
        <f>IF(A986="","",SUMIFS(المبيعات!$F$2:$F$2000,المبيعات!$D$2:$D$2000,A986))</f>
        <v/>
      </c>
      <c r="G986">
        <f>IF(A986="","",E986-F986)</f>
        <v/>
      </c>
      <c r="H986" s="4" t="n"/>
      <c r="I986">
        <f>IF(OR(A986="",H986=""),"",IF(G986&lt;=H986,"اطلب الآن",""))</f>
        <v/>
      </c>
    </row>
    <row r="987">
      <c r="A987" s="4" t="n"/>
      <c r="B987" s="4" t="n"/>
      <c r="C987" s="4" t="n"/>
      <c r="D987" s="4" t="n"/>
      <c r="E987" s="4" t="n"/>
      <c r="F987">
        <f>IF(A987="","",SUMIFS(المبيعات!$F$2:$F$2000,المبيعات!$D$2:$D$2000,A987))</f>
        <v/>
      </c>
      <c r="G987">
        <f>IF(A987="","",E987-F987)</f>
        <v/>
      </c>
      <c r="H987" s="4" t="n"/>
      <c r="I987">
        <f>IF(OR(A987="",H987=""),"",IF(G987&lt;=H987,"اطلب الآن",""))</f>
        <v/>
      </c>
    </row>
    <row r="988">
      <c r="A988" s="4" t="n"/>
      <c r="B988" s="4" t="n"/>
      <c r="C988" s="4" t="n"/>
      <c r="D988" s="4" t="n"/>
      <c r="E988" s="4" t="n"/>
      <c r="F988">
        <f>IF(A988="","",SUMIFS(المبيعات!$F$2:$F$2000,المبيعات!$D$2:$D$2000,A988))</f>
        <v/>
      </c>
      <c r="G988">
        <f>IF(A988="","",E988-F988)</f>
        <v/>
      </c>
      <c r="H988" s="4" t="n"/>
      <c r="I988">
        <f>IF(OR(A988="",H988=""),"",IF(G988&lt;=H988,"اطلب الآن",""))</f>
        <v/>
      </c>
    </row>
    <row r="989">
      <c r="A989" s="4" t="n"/>
      <c r="B989" s="4" t="n"/>
      <c r="C989" s="4" t="n"/>
      <c r="D989" s="4" t="n"/>
      <c r="E989" s="4" t="n"/>
      <c r="F989">
        <f>IF(A989="","",SUMIFS(المبيعات!$F$2:$F$2000,المبيعات!$D$2:$D$2000,A989))</f>
        <v/>
      </c>
      <c r="G989">
        <f>IF(A989="","",E989-F989)</f>
        <v/>
      </c>
      <c r="H989" s="4" t="n"/>
      <c r="I989">
        <f>IF(OR(A989="",H989=""),"",IF(G989&lt;=H989,"اطلب الآن",""))</f>
        <v/>
      </c>
    </row>
    <row r="990">
      <c r="A990" s="4" t="n"/>
      <c r="B990" s="4" t="n"/>
      <c r="C990" s="4" t="n"/>
      <c r="D990" s="4" t="n"/>
      <c r="E990" s="4" t="n"/>
      <c r="F990">
        <f>IF(A990="","",SUMIFS(المبيعات!$F$2:$F$2000,المبيعات!$D$2:$D$2000,A990))</f>
        <v/>
      </c>
      <c r="G990">
        <f>IF(A990="","",E990-F990)</f>
        <v/>
      </c>
      <c r="H990" s="4" t="n"/>
      <c r="I990">
        <f>IF(OR(A990="",H990=""),"",IF(G990&lt;=H990,"اطلب الآن",""))</f>
        <v/>
      </c>
    </row>
    <row r="991">
      <c r="A991" s="4" t="n"/>
      <c r="B991" s="4" t="n"/>
      <c r="C991" s="4" t="n"/>
      <c r="D991" s="4" t="n"/>
      <c r="E991" s="4" t="n"/>
      <c r="F991">
        <f>IF(A991="","",SUMIFS(المبيعات!$F$2:$F$2000,المبيعات!$D$2:$D$2000,A991))</f>
        <v/>
      </c>
      <c r="G991">
        <f>IF(A991="","",E991-F991)</f>
        <v/>
      </c>
      <c r="H991" s="4" t="n"/>
      <c r="I991">
        <f>IF(OR(A991="",H991=""),"",IF(G991&lt;=H991,"اطلب الآن",""))</f>
        <v/>
      </c>
    </row>
    <row r="992">
      <c r="A992" s="4" t="n"/>
      <c r="B992" s="4" t="n"/>
      <c r="C992" s="4" t="n"/>
      <c r="D992" s="4" t="n"/>
      <c r="E992" s="4" t="n"/>
      <c r="F992">
        <f>IF(A992="","",SUMIFS(المبيعات!$F$2:$F$2000,المبيعات!$D$2:$D$2000,A992))</f>
        <v/>
      </c>
      <c r="G992">
        <f>IF(A992="","",E992-F992)</f>
        <v/>
      </c>
      <c r="H992" s="4" t="n"/>
      <c r="I992">
        <f>IF(OR(A992="",H992=""),"",IF(G992&lt;=H992,"اطلب الآن",""))</f>
        <v/>
      </c>
    </row>
    <row r="993">
      <c r="A993" s="4" t="n"/>
      <c r="B993" s="4" t="n"/>
      <c r="C993" s="4" t="n"/>
      <c r="D993" s="4" t="n"/>
      <c r="E993" s="4" t="n"/>
      <c r="F993">
        <f>IF(A993="","",SUMIFS(المبيعات!$F$2:$F$2000,المبيعات!$D$2:$D$2000,A993))</f>
        <v/>
      </c>
      <c r="G993">
        <f>IF(A993="","",E993-F993)</f>
        <v/>
      </c>
      <c r="H993" s="4" t="n"/>
      <c r="I993">
        <f>IF(OR(A993="",H993=""),"",IF(G993&lt;=H993,"اطلب الآن",""))</f>
        <v/>
      </c>
    </row>
    <row r="994">
      <c r="A994" s="4" t="n"/>
      <c r="B994" s="4" t="n"/>
      <c r="C994" s="4" t="n"/>
      <c r="D994" s="4" t="n"/>
      <c r="E994" s="4" t="n"/>
      <c r="F994">
        <f>IF(A994="","",SUMIFS(المبيعات!$F$2:$F$2000,المبيعات!$D$2:$D$2000,A994))</f>
        <v/>
      </c>
      <c r="G994">
        <f>IF(A994="","",E994-F994)</f>
        <v/>
      </c>
      <c r="H994" s="4" t="n"/>
      <c r="I994">
        <f>IF(OR(A994="",H994=""),"",IF(G994&lt;=H994,"اطلب الآن",""))</f>
        <v/>
      </c>
    </row>
    <row r="995">
      <c r="A995" s="4" t="n"/>
      <c r="B995" s="4" t="n"/>
      <c r="C995" s="4" t="n"/>
      <c r="D995" s="4" t="n"/>
      <c r="E995" s="4" t="n"/>
      <c r="F995">
        <f>IF(A995="","",SUMIFS(المبيعات!$F$2:$F$2000,المبيعات!$D$2:$D$2000,A995))</f>
        <v/>
      </c>
      <c r="G995">
        <f>IF(A995="","",E995-F995)</f>
        <v/>
      </c>
      <c r="H995" s="4" t="n"/>
      <c r="I995">
        <f>IF(OR(A995="",H995=""),"",IF(G995&lt;=H995,"اطلب الآن",""))</f>
        <v/>
      </c>
    </row>
    <row r="996">
      <c r="A996" s="4" t="n"/>
      <c r="B996" s="4" t="n"/>
      <c r="C996" s="4" t="n"/>
      <c r="D996" s="4" t="n"/>
      <c r="E996" s="4" t="n"/>
      <c r="F996">
        <f>IF(A996="","",SUMIFS(المبيعات!$F$2:$F$2000,المبيعات!$D$2:$D$2000,A996))</f>
        <v/>
      </c>
      <c r="G996">
        <f>IF(A996="","",E996-F996)</f>
        <v/>
      </c>
      <c r="H996" s="4" t="n"/>
      <c r="I996">
        <f>IF(OR(A996="",H996=""),"",IF(G996&lt;=H996,"اطلب الآن",""))</f>
        <v/>
      </c>
    </row>
    <row r="997">
      <c r="A997" s="4" t="n"/>
      <c r="B997" s="4" t="n"/>
      <c r="C997" s="4" t="n"/>
      <c r="D997" s="4" t="n"/>
      <c r="E997" s="4" t="n"/>
      <c r="F997">
        <f>IF(A997="","",SUMIFS(المبيعات!$F$2:$F$2000,المبيعات!$D$2:$D$2000,A997))</f>
        <v/>
      </c>
      <c r="G997">
        <f>IF(A997="","",E997-F997)</f>
        <v/>
      </c>
      <c r="H997" s="4" t="n"/>
      <c r="I997">
        <f>IF(OR(A997="",H997=""),"",IF(G997&lt;=H997,"اطلب الآن",""))</f>
        <v/>
      </c>
    </row>
    <row r="998">
      <c r="A998" s="4" t="n"/>
      <c r="B998" s="4" t="n"/>
      <c r="C998" s="4" t="n"/>
      <c r="D998" s="4" t="n"/>
      <c r="E998" s="4" t="n"/>
      <c r="F998">
        <f>IF(A998="","",SUMIFS(المبيعات!$F$2:$F$2000,المبيعات!$D$2:$D$2000,A998))</f>
        <v/>
      </c>
      <c r="G998">
        <f>IF(A998="","",E998-F998)</f>
        <v/>
      </c>
      <c r="H998" s="4" t="n"/>
      <c r="I998">
        <f>IF(OR(A998="",H998=""),"",IF(G998&lt;=H998,"اطلب الآن",""))</f>
        <v/>
      </c>
    </row>
    <row r="999">
      <c r="A999" s="4" t="n"/>
      <c r="B999" s="4" t="n"/>
      <c r="C999" s="4" t="n"/>
      <c r="D999" s="4" t="n"/>
      <c r="E999" s="4" t="n"/>
      <c r="F999">
        <f>IF(A999="","",SUMIFS(المبيعات!$F$2:$F$2000,المبيعات!$D$2:$D$2000,A999))</f>
        <v/>
      </c>
      <c r="G999">
        <f>IF(A999="","",E999-F999)</f>
        <v/>
      </c>
      <c r="H999" s="4" t="n"/>
      <c r="I999">
        <f>IF(OR(A999="",H999=""),"",IF(G999&lt;=H999,"اطلب الآن",""))</f>
        <v/>
      </c>
    </row>
    <row r="1000">
      <c r="A1000" s="4" t="n"/>
      <c r="B1000" s="4" t="n"/>
      <c r="C1000" s="4" t="n"/>
      <c r="D1000" s="4" t="n"/>
      <c r="E1000" s="4" t="n"/>
      <c r="F1000">
        <f>IF(A1000="","",SUMIFS(المبيعات!$F$2:$F$2000,المبيعات!$D$2:$D$2000,A1000))</f>
        <v/>
      </c>
      <c r="G1000">
        <f>IF(A1000="","",E1000-F1000)</f>
        <v/>
      </c>
      <c r="H1000" s="4" t="n"/>
      <c r="I1000">
        <f>IF(OR(A1000="",H1000=""),"",IF(G1000&lt;=H1000,"اطلب الآن",""))</f>
        <v/>
      </c>
    </row>
    <row r="1001">
      <c r="A1001" s="4" t="n"/>
      <c r="B1001" s="4" t="n"/>
      <c r="C1001" s="4" t="n"/>
      <c r="D1001" s="4" t="n"/>
      <c r="E1001" s="4" t="n"/>
      <c r="F1001">
        <f>IF(A1001="","",SUMIFS(المبيعات!$F$2:$F$2000,المبيعات!$D$2:$D$2000,A1001))</f>
        <v/>
      </c>
      <c r="G1001">
        <f>IF(A1001="","",E1001-F1001)</f>
        <v/>
      </c>
      <c r="H1001" s="4" t="n"/>
      <c r="I1001">
        <f>IF(OR(A1001="",H1001=""),"",IF(G1001&lt;=H1001,"اطلب الآن",""))</f>
        <v/>
      </c>
    </row>
    <row r="1002">
      <c r="A1002" s="4" t="n"/>
      <c r="B1002" s="4" t="n"/>
      <c r="C1002" s="4" t="n"/>
      <c r="D1002" s="4" t="n"/>
      <c r="E1002" s="4" t="n"/>
      <c r="F1002">
        <f>IF(A1002="","",SUMIFS(المبيعات!$F$2:$F$2000,المبيعات!$D$2:$D$2000,A1002))</f>
        <v/>
      </c>
      <c r="G1002">
        <f>IF(A1002="","",E1002-F1002)</f>
        <v/>
      </c>
      <c r="H1002" s="4" t="n"/>
      <c r="I1002">
        <f>IF(OR(A1002="",H1002=""),"",IF(G1002&lt;=H1002,"اطلب الآن",""))</f>
        <v/>
      </c>
    </row>
    <row r="1003">
      <c r="A1003" s="4" t="n"/>
      <c r="B1003" s="4" t="n"/>
      <c r="C1003" s="4" t="n"/>
      <c r="D1003" s="4" t="n"/>
      <c r="E1003" s="4" t="n"/>
      <c r="F1003">
        <f>IF(A1003="","",SUMIFS(المبيعات!$F$2:$F$2000,المبيعات!$D$2:$D$2000,A1003))</f>
        <v/>
      </c>
      <c r="G1003">
        <f>IF(A1003="","",E1003-F1003)</f>
        <v/>
      </c>
      <c r="H1003" s="4" t="n"/>
      <c r="I1003">
        <f>IF(OR(A1003="",H1003=""),"",IF(G1003&lt;=H1003,"اطلب الآن",""))</f>
        <v/>
      </c>
    </row>
    <row r="1004">
      <c r="A1004" s="4" t="n"/>
      <c r="B1004" s="4" t="n"/>
      <c r="C1004" s="4" t="n"/>
      <c r="D1004" s="4" t="n"/>
      <c r="E1004" s="4" t="n"/>
      <c r="F1004">
        <f>IF(A1004="","",SUMIFS(المبيعات!$F$2:$F$2000,المبيعات!$D$2:$D$2000,A1004))</f>
        <v/>
      </c>
      <c r="G1004">
        <f>IF(A1004="","",E1004-F1004)</f>
        <v/>
      </c>
      <c r="H1004" s="4" t="n"/>
      <c r="I1004">
        <f>IF(OR(A1004="",H1004=""),"",IF(G1004&lt;=H1004,"اطلب الآن",""))</f>
        <v/>
      </c>
    </row>
    <row r="1005">
      <c r="A1005" s="4" t="n"/>
      <c r="B1005" s="4" t="n"/>
      <c r="C1005" s="4" t="n"/>
      <c r="D1005" s="4" t="n"/>
      <c r="E1005" s="4" t="n"/>
      <c r="F1005">
        <f>IF(A1005="","",SUMIFS(المبيعات!$F$2:$F$2000,المبيعات!$D$2:$D$2000,A1005))</f>
        <v/>
      </c>
      <c r="G1005">
        <f>IF(A1005="","",E1005-F1005)</f>
        <v/>
      </c>
      <c r="H1005" s="4" t="n"/>
      <c r="I1005">
        <f>IF(OR(A1005="",H1005=""),"",IF(G1005&lt;=H1005,"اطلب الآن",""))</f>
        <v/>
      </c>
    </row>
    <row r="1006">
      <c r="A1006" s="4" t="n"/>
      <c r="B1006" s="4" t="n"/>
      <c r="C1006" s="4" t="n"/>
      <c r="D1006" s="4" t="n"/>
      <c r="E1006" s="4" t="n"/>
      <c r="F1006">
        <f>IF(A1006="","",SUMIFS(المبيعات!$F$2:$F$2000,المبيعات!$D$2:$D$2000,A1006))</f>
        <v/>
      </c>
      <c r="G1006">
        <f>IF(A1006="","",E1006-F1006)</f>
        <v/>
      </c>
      <c r="H1006" s="4" t="n"/>
      <c r="I1006">
        <f>IF(OR(A1006="",H1006=""),"",IF(G1006&lt;=H1006,"اطلب الآن",""))</f>
        <v/>
      </c>
    </row>
    <row r="1007">
      <c r="A1007" s="4" t="n"/>
      <c r="B1007" s="4" t="n"/>
      <c r="C1007" s="4" t="n"/>
      <c r="D1007" s="4" t="n"/>
      <c r="E1007" s="4" t="n"/>
      <c r="F1007">
        <f>IF(A1007="","",SUMIFS(المبيعات!$F$2:$F$2000,المبيعات!$D$2:$D$2000,A1007))</f>
        <v/>
      </c>
      <c r="G1007">
        <f>IF(A1007="","",E1007-F1007)</f>
        <v/>
      </c>
      <c r="H1007" s="4" t="n"/>
      <c r="I1007">
        <f>IF(OR(A1007="",H1007=""),"",IF(G1007&lt;=H1007,"اطلب الآن",""))</f>
        <v/>
      </c>
    </row>
    <row r="1008">
      <c r="A1008" s="4" t="n"/>
      <c r="B1008" s="4" t="n"/>
      <c r="C1008" s="4" t="n"/>
      <c r="D1008" s="4" t="n"/>
      <c r="E1008" s="4" t="n"/>
      <c r="F1008">
        <f>IF(A1008="","",SUMIFS(المبيعات!$F$2:$F$2000,المبيعات!$D$2:$D$2000,A1008))</f>
        <v/>
      </c>
      <c r="G1008">
        <f>IF(A1008="","",E1008-F1008)</f>
        <v/>
      </c>
      <c r="H1008" s="4" t="n"/>
      <c r="I1008">
        <f>IF(OR(A1008="",H1008=""),"",IF(G1008&lt;=H1008,"اطلب الآن",""))</f>
        <v/>
      </c>
    </row>
    <row r="1009">
      <c r="A1009" s="4" t="n"/>
      <c r="B1009" s="4" t="n"/>
      <c r="C1009" s="4" t="n"/>
      <c r="D1009" s="4" t="n"/>
      <c r="E1009" s="4" t="n"/>
      <c r="F1009">
        <f>IF(A1009="","",SUMIFS(المبيعات!$F$2:$F$2000,المبيعات!$D$2:$D$2000,A1009))</f>
        <v/>
      </c>
      <c r="G1009">
        <f>IF(A1009="","",E1009-F1009)</f>
        <v/>
      </c>
      <c r="H1009" s="4" t="n"/>
      <c r="I1009">
        <f>IF(OR(A1009="",H1009=""),"",IF(G1009&lt;=H1009,"اطلب الآن",""))</f>
        <v/>
      </c>
    </row>
    <row r="1010">
      <c r="A1010" s="4" t="n"/>
      <c r="B1010" s="4" t="n"/>
      <c r="C1010" s="4" t="n"/>
      <c r="D1010" s="4" t="n"/>
      <c r="E1010" s="4" t="n"/>
      <c r="F1010">
        <f>IF(A1010="","",SUMIFS(المبيعات!$F$2:$F$2000,المبيعات!$D$2:$D$2000,A1010))</f>
        <v/>
      </c>
      <c r="G1010">
        <f>IF(A1010="","",E1010-F1010)</f>
        <v/>
      </c>
      <c r="H1010" s="4" t="n"/>
      <c r="I1010">
        <f>IF(OR(A1010="",H1010=""),"",IF(G1010&lt;=H1010,"اطلب الآن",""))</f>
        <v/>
      </c>
    </row>
    <row r="1011">
      <c r="A1011" s="4" t="n"/>
      <c r="B1011" s="4" t="n"/>
      <c r="C1011" s="4" t="n"/>
      <c r="D1011" s="4" t="n"/>
      <c r="E1011" s="4" t="n"/>
      <c r="F1011">
        <f>IF(A1011="","",SUMIFS(المبيعات!$F$2:$F$2000,المبيعات!$D$2:$D$2000,A1011))</f>
        <v/>
      </c>
      <c r="G1011">
        <f>IF(A1011="","",E1011-F1011)</f>
        <v/>
      </c>
      <c r="H1011" s="4" t="n"/>
      <c r="I1011">
        <f>IF(OR(A1011="",H1011=""),"",IF(G1011&lt;=H1011,"اطلب الآن",""))</f>
        <v/>
      </c>
    </row>
    <row r="1012">
      <c r="A1012" s="4" t="n"/>
      <c r="B1012" s="4" t="n"/>
      <c r="C1012" s="4" t="n"/>
      <c r="D1012" s="4" t="n"/>
      <c r="E1012" s="4" t="n"/>
      <c r="F1012">
        <f>IF(A1012="","",SUMIFS(المبيعات!$F$2:$F$2000,المبيعات!$D$2:$D$2000,A1012))</f>
        <v/>
      </c>
      <c r="G1012">
        <f>IF(A1012="","",E1012-F1012)</f>
        <v/>
      </c>
      <c r="H1012" s="4" t="n"/>
      <c r="I1012">
        <f>IF(OR(A1012="",H1012=""),"",IF(G1012&lt;=H1012,"اطلب الآن",""))</f>
        <v/>
      </c>
    </row>
    <row r="1013">
      <c r="A1013" s="4" t="n"/>
      <c r="B1013" s="4" t="n"/>
      <c r="C1013" s="4" t="n"/>
      <c r="D1013" s="4" t="n"/>
      <c r="E1013" s="4" t="n"/>
      <c r="F1013">
        <f>IF(A1013="","",SUMIFS(المبيعات!$F$2:$F$2000,المبيعات!$D$2:$D$2000,A1013))</f>
        <v/>
      </c>
      <c r="G1013">
        <f>IF(A1013="","",E1013-F1013)</f>
        <v/>
      </c>
      <c r="H1013" s="4" t="n"/>
      <c r="I1013">
        <f>IF(OR(A1013="",H1013=""),"",IF(G1013&lt;=H1013,"اطلب الآن",""))</f>
        <v/>
      </c>
    </row>
    <row r="1014">
      <c r="A1014" s="4" t="n"/>
      <c r="B1014" s="4" t="n"/>
      <c r="C1014" s="4" t="n"/>
      <c r="D1014" s="4" t="n"/>
      <c r="E1014" s="4" t="n"/>
      <c r="F1014">
        <f>IF(A1014="","",SUMIFS(المبيعات!$F$2:$F$2000,المبيعات!$D$2:$D$2000,A1014))</f>
        <v/>
      </c>
      <c r="G1014">
        <f>IF(A1014="","",E1014-F1014)</f>
        <v/>
      </c>
      <c r="H1014" s="4" t="n"/>
      <c r="I1014">
        <f>IF(OR(A1014="",H1014=""),"",IF(G1014&lt;=H1014,"اطلب الآن",""))</f>
        <v/>
      </c>
    </row>
    <row r="1015">
      <c r="A1015" s="4" t="n"/>
      <c r="B1015" s="4" t="n"/>
      <c r="C1015" s="4" t="n"/>
      <c r="D1015" s="4" t="n"/>
      <c r="E1015" s="4" t="n"/>
      <c r="F1015">
        <f>IF(A1015="","",SUMIFS(المبيعات!$F$2:$F$2000,المبيعات!$D$2:$D$2000,A1015))</f>
        <v/>
      </c>
      <c r="G1015">
        <f>IF(A1015="","",E1015-F1015)</f>
        <v/>
      </c>
      <c r="H1015" s="4" t="n"/>
      <c r="I1015">
        <f>IF(OR(A1015="",H1015=""),"",IF(G1015&lt;=H1015,"اطلب الآن",""))</f>
        <v/>
      </c>
    </row>
    <row r="1016">
      <c r="A1016" s="4" t="n"/>
      <c r="B1016" s="4" t="n"/>
      <c r="C1016" s="4" t="n"/>
      <c r="D1016" s="4" t="n"/>
      <c r="E1016" s="4" t="n"/>
      <c r="F1016">
        <f>IF(A1016="","",SUMIFS(المبيعات!$F$2:$F$2000,المبيعات!$D$2:$D$2000,A1016))</f>
        <v/>
      </c>
      <c r="G1016">
        <f>IF(A1016="","",E1016-F1016)</f>
        <v/>
      </c>
      <c r="H1016" s="4" t="n"/>
      <c r="I1016">
        <f>IF(OR(A1016="",H1016=""),"",IF(G1016&lt;=H1016,"اطلب الآن",""))</f>
        <v/>
      </c>
    </row>
    <row r="1017">
      <c r="A1017" s="4" t="n"/>
      <c r="B1017" s="4" t="n"/>
      <c r="C1017" s="4" t="n"/>
      <c r="D1017" s="4" t="n"/>
      <c r="E1017" s="4" t="n"/>
      <c r="F1017">
        <f>IF(A1017="","",SUMIFS(المبيعات!$F$2:$F$2000,المبيعات!$D$2:$D$2000,A1017))</f>
        <v/>
      </c>
      <c r="G1017">
        <f>IF(A1017="","",E1017-F1017)</f>
        <v/>
      </c>
      <c r="H1017" s="4" t="n"/>
      <c r="I1017">
        <f>IF(OR(A1017="",H1017=""),"",IF(G1017&lt;=H1017,"اطلب الآن",""))</f>
        <v/>
      </c>
    </row>
    <row r="1018">
      <c r="A1018" s="4" t="n"/>
      <c r="B1018" s="4" t="n"/>
      <c r="C1018" s="4" t="n"/>
      <c r="D1018" s="4" t="n"/>
      <c r="E1018" s="4" t="n"/>
      <c r="F1018">
        <f>IF(A1018="","",SUMIFS(المبيعات!$F$2:$F$2000,المبيعات!$D$2:$D$2000,A1018))</f>
        <v/>
      </c>
      <c r="G1018">
        <f>IF(A1018="","",E1018-F1018)</f>
        <v/>
      </c>
      <c r="H1018" s="4" t="n"/>
      <c r="I1018">
        <f>IF(OR(A1018="",H1018=""),"",IF(G1018&lt;=H1018,"اطلب الآن",""))</f>
        <v/>
      </c>
    </row>
    <row r="1019">
      <c r="A1019" s="4" t="n"/>
      <c r="B1019" s="4" t="n"/>
      <c r="C1019" s="4" t="n"/>
      <c r="D1019" s="4" t="n"/>
      <c r="E1019" s="4" t="n"/>
      <c r="F1019">
        <f>IF(A1019="","",SUMIFS(المبيعات!$F$2:$F$2000,المبيعات!$D$2:$D$2000,A1019))</f>
        <v/>
      </c>
      <c r="G1019">
        <f>IF(A1019="","",E1019-F1019)</f>
        <v/>
      </c>
      <c r="H1019" s="4" t="n"/>
      <c r="I1019">
        <f>IF(OR(A1019="",H1019=""),"",IF(G1019&lt;=H1019,"اطلب الآن",""))</f>
        <v/>
      </c>
    </row>
    <row r="1020">
      <c r="A1020" s="4" t="n"/>
      <c r="B1020" s="4" t="n"/>
      <c r="C1020" s="4" t="n"/>
      <c r="D1020" s="4" t="n"/>
      <c r="E1020" s="4" t="n"/>
      <c r="F1020">
        <f>IF(A1020="","",SUMIFS(المبيعات!$F$2:$F$2000,المبيعات!$D$2:$D$2000,A1020))</f>
        <v/>
      </c>
      <c r="G1020">
        <f>IF(A1020="","",E1020-F1020)</f>
        <v/>
      </c>
      <c r="H1020" s="4" t="n"/>
      <c r="I1020">
        <f>IF(OR(A1020="",H1020=""),"",IF(G1020&lt;=H1020,"اطلب الآن",""))</f>
        <v/>
      </c>
    </row>
    <row r="1021">
      <c r="A1021" s="4" t="n"/>
      <c r="B1021" s="4" t="n"/>
      <c r="C1021" s="4" t="n"/>
      <c r="D1021" s="4" t="n"/>
      <c r="E1021" s="4" t="n"/>
      <c r="F1021">
        <f>IF(A1021="","",SUMIFS(المبيعات!$F$2:$F$2000,المبيعات!$D$2:$D$2000,A1021))</f>
        <v/>
      </c>
      <c r="G1021">
        <f>IF(A1021="","",E1021-F1021)</f>
        <v/>
      </c>
      <c r="H1021" s="4" t="n"/>
      <c r="I1021">
        <f>IF(OR(A1021="",H1021=""),"",IF(G1021&lt;=H1021,"اطلب الآن",""))</f>
        <v/>
      </c>
    </row>
    <row r="1022">
      <c r="A1022" s="4" t="n"/>
      <c r="B1022" s="4" t="n"/>
      <c r="C1022" s="4" t="n"/>
      <c r="D1022" s="4" t="n"/>
      <c r="E1022" s="4" t="n"/>
      <c r="F1022">
        <f>IF(A1022="","",SUMIFS(المبيعات!$F$2:$F$2000,المبيعات!$D$2:$D$2000,A1022))</f>
        <v/>
      </c>
      <c r="G1022">
        <f>IF(A1022="","",E1022-F1022)</f>
        <v/>
      </c>
      <c r="H1022" s="4" t="n"/>
      <c r="I1022">
        <f>IF(OR(A1022="",H1022=""),"",IF(G1022&lt;=H1022,"اطلب الآن",""))</f>
        <v/>
      </c>
    </row>
    <row r="1023">
      <c r="A1023" s="4" t="n"/>
      <c r="B1023" s="4" t="n"/>
      <c r="C1023" s="4" t="n"/>
      <c r="D1023" s="4" t="n"/>
      <c r="E1023" s="4" t="n"/>
      <c r="F1023">
        <f>IF(A1023="","",SUMIFS(المبيعات!$F$2:$F$2000,المبيعات!$D$2:$D$2000,A1023))</f>
        <v/>
      </c>
      <c r="G1023">
        <f>IF(A1023="","",E1023-F1023)</f>
        <v/>
      </c>
      <c r="H1023" s="4" t="n"/>
      <c r="I1023">
        <f>IF(OR(A1023="",H1023=""),"",IF(G1023&lt;=H1023,"اطلب الآن",""))</f>
        <v/>
      </c>
    </row>
    <row r="1024">
      <c r="A1024" s="4" t="n"/>
      <c r="B1024" s="4" t="n"/>
      <c r="C1024" s="4" t="n"/>
      <c r="D1024" s="4" t="n"/>
      <c r="E1024" s="4" t="n"/>
      <c r="F1024">
        <f>IF(A1024="","",SUMIFS(المبيعات!$F$2:$F$2000,المبيعات!$D$2:$D$2000,A1024))</f>
        <v/>
      </c>
      <c r="G1024">
        <f>IF(A1024="","",E1024-F1024)</f>
        <v/>
      </c>
      <c r="H1024" s="4" t="n"/>
      <c r="I1024">
        <f>IF(OR(A1024="",H1024=""),"",IF(G1024&lt;=H1024,"اطلب الآن",""))</f>
        <v/>
      </c>
    </row>
    <row r="1025">
      <c r="A1025" s="4" t="n"/>
      <c r="B1025" s="4" t="n"/>
      <c r="C1025" s="4" t="n"/>
      <c r="D1025" s="4" t="n"/>
      <c r="E1025" s="4" t="n"/>
      <c r="F1025">
        <f>IF(A1025="","",SUMIFS(المبيعات!$F$2:$F$2000,المبيعات!$D$2:$D$2000,A1025))</f>
        <v/>
      </c>
      <c r="G1025">
        <f>IF(A1025="","",E1025-F1025)</f>
        <v/>
      </c>
      <c r="H1025" s="4" t="n"/>
      <c r="I1025">
        <f>IF(OR(A1025="",H1025=""),"",IF(G1025&lt;=H1025,"اطلب الآن",""))</f>
        <v/>
      </c>
    </row>
    <row r="1026">
      <c r="A1026" s="4" t="n"/>
      <c r="B1026" s="4" t="n"/>
      <c r="C1026" s="4" t="n"/>
      <c r="D1026" s="4" t="n"/>
      <c r="E1026" s="4" t="n"/>
      <c r="F1026">
        <f>IF(A1026="","",SUMIFS(المبيعات!$F$2:$F$2000,المبيعات!$D$2:$D$2000,A1026))</f>
        <v/>
      </c>
      <c r="G1026">
        <f>IF(A1026="","",E1026-F1026)</f>
        <v/>
      </c>
      <c r="H1026" s="4" t="n"/>
      <c r="I1026">
        <f>IF(OR(A1026="",H1026=""),"",IF(G1026&lt;=H1026,"اطلب الآن",""))</f>
        <v/>
      </c>
    </row>
    <row r="1027">
      <c r="A1027" s="4" t="n"/>
      <c r="B1027" s="4" t="n"/>
      <c r="C1027" s="4" t="n"/>
      <c r="D1027" s="4" t="n"/>
      <c r="E1027" s="4" t="n"/>
      <c r="F1027">
        <f>IF(A1027="","",SUMIFS(المبيعات!$F$2:$F$2000,المبيعات!$D$2:$D$2000,A1027))</f>
        <v/>
      </c>
      <c r="G1027">
        <f>IF(A1027="","",E1027-F1027)</f>
        <v/>
      </c>
      <c r="H1027" s="4" t="n"/>
      <c r="I1027">
        <f>IF(OR(A1027="",H1027=""),"",IF(G1027&lt;=H1027,"اطلب الآن",""))</f>
        <v/>
      </c>
    </row>
    <row r="1028">
      <c r="A1028" s="4" t="n"/>
      <c r="B1028" s="4" t="n"/>
      <c r="C1028" s="4" t="n"/>
      <c r="D1028" s="4" t="n"/>
      <c r="E1028" s="4" t="n"/>
      <c r="F1028">
        <f>IF(A1028="","",SUMIFS(المبيعات!$F$2:$F$2000,المبيعات!$D$2:$D$2000,A1028))</f>
        <v/>
      </c>
      <c r="G1028">
        <f>IF(A1028="","",E1028-F1028)</f>
        <v/>
      </c>
      <c r="H1028" s="4" t="n"/>
      <c r="I1028">
        <f>IF(OR(A1028="",H1028=""),"",IF(G1028&lt;=H1028,"اطلب الآن",""))</f>
        <v/>
      </c>
    </row>
    <row r="1029">
      <c r="A1029" s="4" t="n"/>
      <c r="B1029" s="4" t="n"/>
      <c r="C1029" s="4" t="n"/>
      <c r="D1029" s="4" t="n"/>
      <c r="E1029" s="4" t="n"/>
      <c r="F1029">
        <f>IF(A1029="","",SUMIFS(المبيعات!$F$2:$F$2000,المبيعات!$D$2:$D$2000,A1029))</f>
        <v/>
      </c>
      <c r="G1029">
        <f>IF(A1029="","",E1029-F1029)</f>
        <v/>
      </c>
      <c r="H1029" s="4" t="n"/>
      <c r="I1029">
        <f>IF(OR(A1029="",H1029=""),"",IF(G1029&lt;=H1029,"اطلب الآن",""))</f>
        <v/>
      </c>
    </row>
    <row r="1030">
      <c r="A1030" s="4" t="n"/>
      <c r="B1030" s="4" t="n"/>
      <c r="C1030" s="4" t="n"/>
      <c r="D1030" s="4" t="n"/>
      <c r="E1030" s="4" t="n"/>
      <c r="F1030">
        <f>IF(A1030="","",SUMIFS(المبيعات!$F$2:$F$2000,المبيعات!$D$2:$D$2000,A1030))</f>
        <v/>
      </c>
      <c r="G1030">
        <f>IF(A1030="","",E1030-F1030)</f>
        <v/>
      </c>
      <c r="H1030" s="4" t="n"/>
      <c r="I1030">
        <f>IF(OR(A1030="",H1030=""),"",IF(G1030&lt;=H1030,"اطلب الآن",""))</f>
        <v/>
      </c>
    </row>
    <row r="1031">
      <c r="A1031" s="4" t="n"/>
      <c r="B1031" s="4" t="n"/>
      <c r="C1031" s="4" t="n"/>
      <c r="D1031" s="4" t="n"/>
      <c r="E1031" s="4" t="n"/>
      <c r="F1031">
        <f>IF(A1031="","",SUMIFS(المبيعات!$F$2:$F$2000,المبيعات!$D$2:$D$2000,A1031))</f>
        <v/>
      </c>
      <c r="G1031">
        <f>IF(A1031="","",E1031-F1031)</f>
        <v/>
      </c>
      <c r="H1031" s="4" t="n"/>
      <c r="I1031">
        <f>IF(OR(A1031="",H1031=""),"",IF(G1031&lt;=H1031,"اطلب الآن",""))</f>
        <v/>
      </c>
    </row>
    <row r="1032">
      <c r="A1032" s="4" t="n"/>
      <c r="B1032" s="4" t="n"/>
      <c r="C1032" s="4" t="n"/>
      <c r="D1032" s="4" t="n"/>
      <c r="E1032" s="4" t="n"/>
      <c r="F1032">
        <f>IF(A1032="","",SUMIFS(المبيعات!$F$2:$F$2000,المبيعات!$D$2:$D$2000,A1032))</f>
        <v/>
      </c>
      <c r="G1032">
        <f>IF(A1032="","",E1032-F1032)</f>
        <v/>
      </c>
      <c r="H1032" s="4" t="n"/>
      <c r="I1032">
        <f>IF(OR(A1032="",H1032=""),"",IF(G1032&lt;=H1032,"اطلب الآن",""))</f>
        <v/>
      </c>
    </row>
    <row r="1033">
      <c r="A1033" s="4" t="n"/>
      <c r="B1033" s="4" t="n"/>
      <c r="C1033" s="4" t="n"/>
      <c r="D1033" s="4" t="n"/>
      <c r="E1033" s="4" t="n"/>
      <c r="F1033">
        <f>IF(A1033="","",SUMIFS(المبيعات!$F$2:$F$2000,المبيعات!$D$2:$D$2000,A1033))</f>
        <v/>
      </c>
      <c r="G1033">
        <f>IF(A1033="","",E1033-F1033)</f>
        <v/>
      </c>
      <c r="H1033" s="4" t="n"/>
      <c r="I1033">
        <f>IF(OR(A1033="",H1033=""),"",IF(G1033&lt;=H1033,"اطلب الآن",""))</f>
        <v/>
      </c>
    </row>
    <row r="1034">
      <c r="A1034" s="4" t="n"/>
      <c r="B1034" s="4" t="n"/>
      <c r="C1034" s="4" t="n"/>
      <c r="D1034" s="4" t="n"/>
      <c r="E1034" s="4" t="n"/>
      <c r="F1034">
        <f>IF(A1034="","",SUMIFS(المبيعات!$F$2:$F$2000,المبيعات!$D$2:$D$2000,A1034))</f>
        <v/>
      </c>
      <c r="G1034">
        <f>IF(A1034="","",E1034-F1034)</f>
        <v/>
      </c>
      <c r="H1034" s="4" t="n"/>
      <c r="I1034">
        <f>IF(OR(A1034="",H1034=""),"",IF(G1034&lt;=H1034,"اطلب الآن",""))</f>
        <v/>
      </c>
    </row>
    <row r="1035">
      <c r="A1035" s="4" t="n"/>
      <c r="B1035" s="4" t="n"/>
      <c r="C1035" s="4" t="n"/>
      <c r="D1035" s="4" t="n"/>
      <c r="E1035" s="4" t="n"/>
      <c r="F1035">
        <f>IF(A1035="","",SUMIFS(المبيعات!$F$2:$F$2000,المبيعات!$D$2:$D$2000,A1035))</f>
        <v/>
      </c>
      <c r="G1035">
        <f>IF(A1035="","",E1035-F1035)</f>
        <v/>
      </c>
      <c r="H1035" s="4" t="n"/>
      <c r="I1035">
        <f>IF(OR(A1035="",H1035=""),"",IF(G1035&lt;=H1035,"اطلب الآن",""))</f>
        <v/>
      </c>
    </row>
    <row r="1036">
      <c r="A1036" s="4" t="n"/>
      <c r="B1036" s="4" t="n"/>
      <c r="C1036" s="4" t="n"/>
      <c r="D1036" s="4" t="n"/>
      <c r="E1036" s="4" t="n"/>
      <c r="F1036">
        <f>IF(A1036="","",SUMIFS(المبيعات!$F$2:$F$2000,المبيعات!$D$2:$D$2000,A1036))</f>
        <v/>
      </c>
      <c r="G1036">
        <f>IF(A1036="","",E1036-F1036)</f>
        <v/>
      </c>
      <c r="H1036" s="4" t="n"/>
      <c r="I1036">
        <f>IF(OR(A1036="",H1036=""),"",IF(G1036&lt;=H1036,"اطلب الآن",""))</f>
        <v/>
      </c>
    </row>
    <row r="1037">
      <c r="A1037" s="4" t="n"/>
      <c r="B1037" s="4" t="n"/>
      <c r="C1037" s="4" t="n"/>
      <c r="D1037" s="4" t="n"/>
      <c r="E1037" s="4" t="n"/>
      <c r="F1037">
        <f>IF(A1037="","",SUMIFS(المبيعات!$F$2:$F$2000,المبيعات!$D$2:$D$2000,A1037))</f>
        <v/>
      </c>
      <c r="G1037">
        <f>IF(A1037="","",E1037-F1037)</f>
        <v/>
      </c>
      <c r="H1037" s="4" t="n"/>
      <c r="I1037">
        <f>IF(OR(A1037="",H1037=""),"",IF(G1037&lt;=H1037,"اطلب الآن",""))</f>
        <v/>
      </c>
    </row>
    <row r="1038">
      <c r="A1038" s="4" t="n"/>
      <c r="B1038" s="4" t="n"/>
      <c r="C1038" s="4" t="n"/>
      <c r="D1038" s="4" t="n"/>
      <c r="E1038" s="4" t="n"/>
      <c r="F1038">
        <f>IF(A1038="","",SUMIFS(المبيعات!$F$2:$F$2000,المبيعات!$D$2:$D$2000,A1038))</f>
        <v/>
      </c>
      <c r="G1038">
        <f>IF(A1038="","",E1038-F1038)</f>
        <v/>
      </c>
      <c r="H1038" s="4" t="n"/>
      <c r="I1038">
        <f>IF(OR(A1038="",H1038=""),"",IF(G1038&lt;=H1038,"اطلب الآن",""))</f>
        <v/>
      </c>
    </row>
    <row r="1039">
      <c r="A1039" s="4" t="n"/>
      <c r="B1039" s="4" t="n"/>
      <c r="C1039" s="4" t="n"/>
      <c r="D1039" s="4" t="n"/>
      <c r="E1039" s="4" t="n"/>
      <c r="F1039">
        <f>IF(A1039="","",SUMIFS(المبيعات!$F$2:$F$2000,المبيعات!$D$2:$D$2000,A1039))</f>
        <v/>
      </c>
      <c r="G1039">
        <f>IF(A1039="","",E1039-F1039)</f>
        <v/>
      </c>
      <c r="H1039" s="4" t="n"/>
      <c r="I1039">
        <f>IF(OR(A1039="",H1039=""),"",IF(G1039&lt;=H1039,"اطلب الآن",""))</f>
        <v/>
      </c>
    </row>
    <row r="1040">
      <c r="A1040" s="4" t="n"/>
      <c r="B1040" s="4" t="n"/>
      <c r="C1040" s="4" t="n"/>
      <c r="D1040" s="4" t="n"/>
      <c r="E1040" s="4" t="n"/>
      <c r="F1040">
        <f>IF(A1040="","",SUMIFS(المبيعات!$F$2:$F$2000,المبيعات!$D$2:$D$2000,A1040))</f>
        <v/>
      </c>
      <c r="G1040">
        <f>IF(A1040="","",E1040-F1040)</f>
        <v/>
      </c>
      <c r="H1040" s="4" t="n"/>
      <c r="I1040">
        <f>IF(OR(A1040="",H1040=""),"",IF(G1040&lt;=H1040,"اطلب الآن",""))</f>
        <v/>
      </c>
    </row>
    <row r="1041">
      <c r="A1041" s="4" t="n"/>
      <c r="B1041" s="4" t="n"/>
      <c r="C1041" s="4" t="n"/>
      <c r="D1041" s="4" t="n"/>
      <c r="E1041" s="4" t="n"/>
      <c r="F1041">
        <f>IF(A1041="","",SUMIFS(المبيعات!$F$2:$F$2000,المبيعات!$D$2:$D$2000,A1041))</f>
        <v/>
      </c>
      <c r="G1041">
        <f>IF(A1041="","",E1041-F1041)</f>
        <v/>
      </c>
      <c r="H1041" s="4" t="n"/>
      <c r="I1041">
        <f>IF(OR(A1041="",H1041=""),"",IF(G1041&lt;=H1041,"اطلب الآن",""))</f>
        <v/>
      </c>
    </row>
    <row r="1042">
      <c r="A1042" s="4" t="n"/>
      <c r="B1042" s="4" t="n"/>
      <c r="C1042" s="4" t="n"/>
      <c r="D1042" s="4" t="n"/>
      <c r="E1042" s="4" t="n"/>
      <c r="F1042">
        <f>IF(A1042="","",SUMIFS(المبيعات!$F$2:$F$2000,المبيعات!$D$2:$D$2000,A1042))</f>
        <v/>
      </c>
      <c r="G1042">
        <f>IF(A1042="","",E1042-F1042)</f>
        <v/>
      </c>
      <c r="H1042" s="4" t="n"/>
      <c r="I1042">
        <f>IF(OR(A1042="",H1042=""),"",IF(G1042&lt;=H1042,"اطلب الآن",""))</f>
        <v/>
      </c>
    </row>
    <row r="1043">
      <c r="A1043" s="4" t="n"/>
      <c r="B1043" s="4" t="n"/>
      <c r="C1043" s="4" t="n"/>
      <c r="D1043" s="4" t="n"/>
      <c r="E1043" s="4" t="n"/>
      <c r="F1043">
        <f>IF(A1043="","",SUMIFS(المبيعات!$F$2:$F$2000,المبيعات!$D$2:$D$2000,A1043))</f>
        <v/>
      </c>
      <c r="G1043">
        <f>IF(A1043="","",E1043-F1043)</f>
        <v/>
      </c>
      <c r="H1043" s="4" t="n"/>
      <c r="I1043">
        <f>IF(OR(A1043="",H1043=""),"",IF(G1043&lt;=H1043,"اطلب الآن",""))</f>
        <v/>
      </c>
    </row>
    <row r="1044">
      <c r="A1044" s="4" t="n"/>
      <c r="B1044" s="4" t="n"/>
      <c r="C1044" s="4" t="n"/>
      <c r="D1044" s="4" t="n"/>
      <c r="E1044" s="4" t="n"/>
      <c r="F1044">
        <f>IF(A1044="","",SUMIFS(المبيعات!$F$2:$F$2000,المبيعات!$D$2:$D$2000,A1044))</f>
        <v/>
      </c>
      <c r="G1044">
        <f>IF(A1044="","",E1044-F1044)</f>
        <v/>
      </c>
      <c r="H1044" s="4" t="n"/>
      <c r="I1044">
        <f>IF(OR(A1044="",H1044=""),"",IF(G1044&lt;=H1044,"اطلب الآن",""))</f>
        <v/>
      </c>
    </row>
    <row r="1045">
      <c r="A1045" s="4" t="n"/>
      <c r="B1045" s="4" t="n"/>
      <c r="C1045" s="4" t="n"/>
      <c r="D1045" s="4" t="n"/>
      <c r="E1045" s="4" t="n"/>
      <c r="F1045">
        <f>IF(A1045="","",SUMIFS(المبيعات!$F$2:$F$2000,المبيعات!$D$2:$D$2000,A1045))</f>
        <v/>
      </c>
      <c r="G1045">
        <f>IF(A1045="","",E1045-F1045)</f>
        <v/>
      </c>
      <c r="H1045" s="4" t="n"/>
      <c r="I1045">
        <f>IF(OR(A1045="",H1045=""),"",IF(G1045&lt;=H1045,"اطلب الآن",""))</f>
        <v/>
      </c>
    </row>
    <row r="1046">
      <c r="A1046" s="4" t="n"/>
      <c r="B1046" s="4" t="n"/>
      <c r="C1046" s="4" t="n"/>
      <c r="D1046" s="4" t="n"/>
      <c r="E1046" s="4" t="n"/>
      <c r="F1046">
        <f>IF(A1046="","",SUMIFS(المبيعات!$F$2:$F$2000,المبيعات!$D$2:$D$2000,A1046))</f>
        <v/>
      </c>
      <c r="G1046">
        <f>IF(A1046="","",E1046-F1046)</f>
        <v/>
      </c>
      <c r="H1046" s="4" t="n"/>
      <c r="I1046">
        <f>IF(OR(A1046="",H1046=""),"",IF(G1046&lt;=H1046,"اطلب الآن",""))</f>
        <v/>
      </c>
    </row>
    <row r="1047">
      <c r="A1047" s="4" t="n"/>
      <c r="B1047" s="4" t="n"/>
      <c r="C1047" s="4" t="n"/>
      <c r="D1047" s="4" t="n"/>
      <c r="E1047" s="4" t="n"/>
      <c r="F1047">
        <f>IF(A1047="","",SUMIFS(المبيعات!$F$2:$F$2000,المبيعات!$D$2:$D$2000,A1047))</f>
        <v/>
      </c>
      <c r="G1047">
        <f>IF(A1047="","",E1047-F1047)</f>
        <v/>
      </c>
      <c r="H1047" s="4" t="n"/>
      <c r="I1047">
        <f>IF(OR(A1047="",H1047=""),"",IF(G1047&lt;=H1047,"اطلب الآن",""))</f>
        <v/>
      </c>
    </row>
    <row r="1048">
      <c r="A1048" s="4" t="n"/>
      <c r="B1048" s="4" t="n"/>
      <c r="C1048" s="4" t="n"/>
      <c r="D1048" s="4" t="n"/>
      <c r="E1048" s="4" t="n"/>
      <c r="F1048">
        <f>IF(A1048="","",SUMIFS(المبيعات!$F$2:$F$2000,المبيعات!$D$2:$D$2000,A1048))</f>
        <v/>
      </c>
      <c r="G1048">
        <f>IF(A1048="","",E1048-F1048)</f>
        <v/>
      </c>
      <c r="H1048" s="4" t="n"/>
      <c r="I1048">
        <f>IF(OR(A1048="",H1048=""),"",IF(G1048&lt;=H1048,"اطلب الآن",""))</f>
        <v/>
      </c>
    </row>
    <row r="1049">
      <c r="A1049" s="4" t="n"/>
      <c r="B1049" s="4" t="n"/>
      <c r="C1049" s="4" t="n"/>
      <c r="D1049" s="4" t="n"/>
      <c r="E1049" s="4" t="n"/>
      <c r="F1049">
        <f>IF(A1049="","",SUMIFS(المبيعات!$F$2:$F$2000,المبيعات!$D$2:$D$2000,A1049))</f>
        <v/>
      </c>
      <c r="G1049">
        <f>IF(A1049="","",E1049-F1049)</f>
        <v/>
      </c>
      <c r="H1049" s="4" t="n"/>
      <c r="I1049">
        <f>IF(OR(A1049="",H1049=""),"",IF(G1049&lt;=H1049,"اطلب الآن",""))</f>
        <v/>
      </c>
    </row>
    <row r="1050">
      <c r="A1050" s="4" t="n"/>
      <c r="B1050" s="4" t="n"/>
      <c r="C1050" s="4" t="n"/>
      <c r="D1050" s="4" t="n"/>
      <c r="E1050" s="4" t="n"/>
      <c r="F1050">
        <f>IF(A1050="","",SUMIFS(المبيعات!$F$2:$F$2000,المبيعات!$D$2:$D$2000,A1050))</f>
        <v/>
      </c>
      <c r="G1050">
        <f>IF(A1050="","",E1050-F1050)</f>
        <v/>
      </c>
      <c r="H1050" s="4" t="n"/>
      <c r="I1050">
        <f>IF(OR(A1050="",H1050=""),"",IF(G1050&lt;=H1050,"اطلب الآن",""))</f>
        <v/>
      </c>
    </row>
    <row r="1051">
      <c r="A1051" s="4" t="n"/>
      <c r="B1051" s="4" t="n"/>
      <c r="C1051" s="4" t="n"/>
      <c r="D1051" s="4" t="n"/>
      <c r="E1051" s="4" t="n"/>
      <c r="F1051">
        <f>IF(A1051="","",SUMIFS(المبيعات!$F$2:$F$2000,المبيعات!$D$2:$D$2000,A1051))</f>
        <v/>
      </c>
      <c r="G1051">
        <f>IF(A1051="","",E1051-F1051)</f>
        <v/>
      </c>
      <c r="H1051" s="4" t="n"/>
      <c r="I1051">
        <f>IF(OR(A1051="",H1051=""),"",IF(G1051&lt;=H1051,"اطلب الآن",""))</f>
        <v/>
      </c>
    </row>
    <row r="1052">
      <c r="A1052" s="4" t="n"/>
      <c r="B1052" s="4" t="n"/>
      <c r="C1052" s="4" t="n"/>
      <c r="D1052" s="4" t="n"/>
      <c r="E1052" s="4" t="n"/>
      <c r="F1052">
        <f>IF(A1052="","",SUMIFS(المبيعات!$F$2:$F$2000,المبيعات!$D$2:$D$2000,A1052))</f>
        <v/>
      </c>
      <c r="G1052">
        <f>IF(A1052="","",E1052-F1052)</f>
        <v/>
      </c>
      <c r="H1052" s="4" t="n"/>
      <c r="I1052">
        <f>IF(OR(A1052="",H1052=""),"",IF(G1052&lt;=H1052,"اطلب الآن",""))</f>
        <v/>
      </c>
    </row>
    <row r="1053">
      <c r="A1053" s="4" t="n"/>
      <c r="B1053" s="4" t="n"/>
      <c r="C1053" s="4" t="n"/>
      <c r="D1053" s="4" t="n"/>
      <c r="E1053" s="4" t="n"/>
      <c r="F1053">
        <f>IF(A1053="","",SUMIFS(المبيعات!$F$2:$F$2000,المبيعات!$D$2:$D$2000,A1053))</f>
        <v/>
      </c>
      <c r="G1053">
        <f>IF(A1053="","",E1053-F1053)</f>
        <v/>
      </c>
      <c r="H1053" s="4" t="n"/>
      <c r="I1053">
        <f>IF(OR(A1053="",H1053=""),"",IF(G1053&lt;=H1053,"اطلب الآن",""))</f>
        <v/>
      </c>
    </row>
    <row r="1054">
      <c r="A1054" s="4" t="n"/>
      <c r="B1054" s="4" t="n"/>
      <c r="C1054" s="4" t="n"/>
      <c r="D1054" s="4" t="n"/>
      <c r="E1054" s="4" t="n"/>
      <c r="F1054">
        <f>IF(A1054="","",SUMIFS(المبيعات!$F$2:$F$2000,المبيعات!$D$2:$D$2000,A1054))</f>
        <v/>
      </c>
      <c r="G1054">
        <f>IF(A1054="","",E1054-F1054)</f>
        <v/>
      </c>
      <c r="H1054" s="4" t="n"/>
      <c r="I1054">
        <f>IF(OR(A1054="",H1054=""),"",IF(G1054&lt;=H1054,"اطلب الآن",""))</f>
        <v/>
      </c>
    </row>
    <row r="1055">
      <c r="A1055" s="4" t="n"/>
      <c r="B1055" s="4" t="n"/>
      <c r="C1055" s="4" t="n"/>
      <c r="D1055" s="4" t="n"/>
      <c r="E1055" s="4" t="n"/>
      <c r="F1055">
        <f>IF(A1055="","",SUMIFS(المبيعات!$F$2:$F$2000,المبيعات!$D$2:$D$2000,A1055))</f>
        <v/>
      </c>
      <c r="G1055">
        <f>IF(A1055="","",E1055-F1055)</f>
        <v/>
      </c>
      <c r="H1055" s="4" t="n"/>
      <c r="I1055">
        <f>IF(OR(A1055="",H1055=""),"",IF(G1055&lt;=H1055,"اطلب الآن",""))</f>
        <v/>
      </c>
    </row>
    <row r="1056">
      <c r="A1056" s="4" t="n"/>
      <c r="B1056" s="4" t="n"/>
      <c r="C1056" s="4" t="n"/>
      <c r="D1056" s="4" t="n"/>
      <c r="E1056" s="4" t="n"/>
      <c r="F1056">
        <f>IF(A1056="","",SUMIFS(المبيعات!$F$2:$F$2000,المبيعات!$D$2:$D$2000,A1056))</f>
        <v/>
      </c>
      <c r="G1056">
        <f>IF(A1056="","",E1056-F1056)</f>
        <v/>
      </c>
      <c r="H1056" s="4" t="n"/>
      <c r="I1056">
        <f>IF(OR(A1056="",H1056=""),"",IF(G1056&lt;=H1056,"اطلب الآن",""))</f>
        <v/>
      </c>
    </row>
    <row r="1057">
      <c r="A1057" s="4" t="n"/>
      <c r="B1057" s="4" t="n"/>
      <c r="C1057" s="4" t="n"/>
      <c r="D1057" s="4" t="n"/>
      <c r="E1057" s="4" t="n"/>
      <c r="F1057">
        <f>IF(A1057="","",SUMIFS(المبيعات!$F$2:$F$2000,المبيعات!$D$2:$D$2000,A1057))</f>
        <v/>
      </c>
      <c r="G1057">
        <f>IF(A1057="","",E1057-F1057)</f>
        <v/>
      </c>
      <c r="H1057" s="4" t="n"/>
      <c r="I1057">
        <f>IF(OR(A1057="",H1057=""),"",IF(G1057&lt;=H1057,"اطلب الآن",""))</f>
        <v/>
      </c>
    </row>
    <row r="1058">
      <c r="A1058" s="4" t="n"/>
      <c r="B1058" s="4" t="n"/>
      <c r="C1058" s="4" t="n"/>
      <c r="D1058" s="4" t="n"/>
      <c r="E1058" s="4" t="n"/>
      <c r="F1058">
        <f>IF(A1058="","",SUMIFS(المبيعات!$F$2:$F$2000,المبيعات!$D$2:$D$2000,A1058))</f>
        <v/>
      </c>
      <c r="G1058">
        <f>IF(A1058="","",E1058-F1058)</f>
        <v/>
      </c>
      <c r="H1058" s="4" t="n"/>
      <c r="I1058">
        <f>IF(OR(A1058="",H1058=""),"",IF(G1058&lt;=H1058,"اطلب الآن",""))</f>
        <v/>
      </c>
    </row>
    <row r="1059">
      <c r="A1059" s="4" t="n"/>
      <c r="B1059" s="4" t="n"/>
      <c r="C1059" s="4" t="n"/>
      <c r="D1059" s="4" t="n"/>
      <c r="E1059" s="4" t="n"/>
      <c r="F1059">
        <f>IF(A1059="","",SUMIFS(المبيعات!$F$2:$F$2000,المبيعات!$D$2:$D$2000,A1059))</f>
        <v/>
      </c>
      <c r="G1059">
        <f>IF(A1059="","",E1059-F1059)</f>
        <v/>
      </c>
      <c r="H1059" s="4" t="n"/>
      <c r="I1059">
        <f>IF(OR(A1059="",H1059=""),"",IF(G1059&lt;=H1059,"اطلب الآن",""))</f>
        <v/>
      </c>
    </row>
    <row r="1060">
      <c r="A1060" s="4" t="n"/>
      <c r="B1060" s="4" t="n"/>
      <c r="C1060" s="4" t="n"/>
      <c r="D1060" s="4" t="n"/>
      <c r="E1060" s="4" t="n"/>
      <c r="F1060">
        <f>IF(A1060="","",SUMIFS(المبيعات!$F$2:$F$2000,المبيعات!$D$2:$D$2000,A1060))</f>
        <v/>
      </c>
      <c r="G1060">
        <f>IF(A1060="","",E1060-F1060)</f>
        <v/>
      </c>
      <c r="H1060" s="4" t="n"/>
      <c r="I1060">
        <f>IF(OR(A1060="",H1060=""),"",IF(G1060&lt;=H1060,"اطلب الآن",""))</f>
        <v/>
      </c>
    </row>
    <row r="1061">
      <c r="A1061" s="4" t="n"/>
      <c r="B1061" s="4" t="n"/>
      <c r="C1061" s="4" t="n"/>
      <c r="D1061" s="4" t="n"/>
      <c r="E1061" s="4" t="n"/>
      <c r="F1061">
        <f>IF(A1061="","",SUMIFS(المبيعات!$F$2:$F$2000,المبيعات!$D$2:$D$2000,A1061))</f>
        <v/>
      </c>
      <c r="G1061">
        <f>IF(A1061="","",E1061-F1061)</f>
        <v/>
      </c>
      <c r="H1061" s="4" t="n"/>
      <c r="I1061">
        <f>IF(OR(A1061="",H1061=""),"",IF(G1061&lt;=H1061,"اطلب الآن",""))</f>
        <v/>
      </c>
    </row>
    <row r="1062">
      <c r="A1062" s="4" t="n"/>
      <c r="B1062" s="4" t="n"/>
      <c r="C1062" s="4" t="n"/>
      <c r="D1062" s="4" t="n"/>
      <c r="E1062" s="4" t="n"/>
      <c r="F1062">
        <f>IF(A1062="","",SUMIFS(المبيعات!$F$2:$F$2000,المبيعات!$D$2:$D$2000,A1062))</f>
        <v/>
      </c>
      <c r="G1062">
        <f>IF(A1062="","",E1062-F1062)</f>
        <v/>
      </c>
      <c r="H1062" s="4" t="n"/>
      <c r="I1062">
        <f>IF(OR(A1062="",H1062=""),"",IF(G1062&lt;=H1062,"اطلب الآن",""))</f>
        <v/>
      </c>
    </row>
    <row r="1063">
      <c r="A1063" s="4" t="n"/>
      <c r="B1063" s="4" t="n"/>
      <c r="C1063" s="4" t="n"/>
      <c r="D1063" s="4" t="n"/>
      <c r="E1063" s="4" t="n"/>
      <c r="F1063">
        <f>IF(A1063="","",SUMIFS(المبيعات!$F$2:$F$2000,المبيعات!$D$2:$D$2000,A1063))</f>
        <v/>
      </c>
      <c r="G1063">
        <f>IF(A1063="","",E1063-F1063)</f>
        <v/>
      </c>
      <c r="H1063" s="4" t="n"/>
      <c r="I1063">
        <f>IF(OR(A1063="",H1063=""),"",IF(G1063&lt;=H1063,"اطلب الآن",""))</f>
        <v/>
      </c>
    </row>
    <row r="1064">
      <c r="A1064" s="4" t="n"/>
      <c r="B1064" s="4" t="n"/>
      <c r="C1064" s="4" t="n"/>
      <c r="D1064" s="4" t="n"/>
      <c r="E1064" s="4" t="n"/>
      <c r="F1064">
        <f>IF(A1064="","",SUMIFS(المبيعات!$F$2:$F$2000,المبيعات!$D$2:$D$2000,A1064))</f>
        <v/>
      </c>
      <c r="G1064">
        <f>IF(A1064="","",E1064-F1064)</f>
        <v/>
      </c>
      <c r="H1064" s="4" t="n"/>
      <c r="I1064">
        <f>IF(OR(A1064="",H1064=""),"",IF(G1064&lt;=H1064,"اطلب الآن",""))</f>
        <v/>
      </c>
    </row>
    <row r="1065">
      <c r="A1065" s="4" t="n"/>
      <c r="B1065" s="4" t="n"/>
      <c r="C1065" s="4" t="n"/>
      <c r="D1065" s="4" t="n"/>
      <c r="E1065" s="4" t="n"/>
      <c r="F1065">
        <f>IF(A1065="","",SUMIFS(المبيعات!$F$2:$F$2000,المبيعات!$D$2:$D$2000,A1065))</f>
        <v/>
      </c>
      <c r="G1065">
        <f>IF(A1065="","",E1065-F1065)</f>
        <v/>
      </c>
      <c r="H1065" s="4" t="n"/>
      <c r="I1065">
        <f>IF(OR(A1065="",H1065=""),"",IF(G1065&lt;=H1065,"اطلب الآن",""))</f>
        <v/>
      </c>
    </row>
    <row r="1066">
      <c r="A1066" s="4" t="n"/>
      <c r="B1066" s="4" t="n"/>
      <c r="C1066" s="4" t="n"/>
      <c r="D1066" s="4" t="n"/>
      <c r="E1066" s="4" t="n"/>
      <c r="F1066">
        <f>IF(A1066="","",SUMIFS(المبيعات!$F$2:$F$2000,المبيعات!$D$2:$D$2000,A1066))</f>
        <v/>
      </c>
      <c r="G1066">
        <f>IF(A1066="","",E1066-F1066)</f>
        <v/>
      </c>
      <c r="H1066" s="4" t="n"/>
      <c r="I1066">
        <f>IF(OR(A1066="",H1066=""),"",IF(G1066&lt;=H1066,"اطلب الآن",""))</f>
        <v/>
      </c>
    </row>
    <row r="1067">
      <c r="A1067" s="4" t="n"/>
      <c r="B1067" s="4" t="n"/>
      <c r="C1067" s="4" t="n"/>
      <c r="D1067" s="4" t="n"/>
      <c r="E1067" s="4" t="n"/>
      <c r="F1067">
        <f>IF(A1067="","",SUMIFS(المبيعات!$F$2:$F$2000,المبيعات!$D$2:$D$2000,A1067))</f>
        <v/>
      </c>
      <c r="G1067">
        <f>IF(A1067="","",E1067-F1067)</f>
        <v/>
      </c>
      <c r="H1067" s="4" t="n"/>
      <c r="I1067">
        <f>IF(OR(A1067="",H1067=""),"",IF(G1067&lt;=H1067,"اطلب الآن",""))</f>
        <v/>
      </c>
    </row>
    <row r="1068">
      <c r="A1068" s="4" t="n"/>
      <c r="B1068" s="4" t="n"/>
      <c r="C1068" s="4" t="n"/>
      <c r="D1068" s="4" t="n"/>
      <c r="E1068" s="4" t="n"/>
      <c r="F1068">
        <f>IF(A1068="","",SUMIFS(المبيعات!$F$2:$F$2000,المبيعات!$D$2:$D$2000,A1068))</f>
        <v/>
      </c>
      <c r="G1068">
        <f>IF(A1068="","",E1068-F1068)</f>
        <v/>
      </c>
      <c r="H1068" s="4" t="n"/>
      <c r="I1068">
        <f>IF(OR(A1068="",H1068=""),"",IF(G1068&lt;=H1068,"اطلب الآن",""))</f>
        <v/>
      </c>
    </row>
    <row r="1069">
      <c r="A1069" s="4" t="n"/>
      <c r="B1069" s="4" t="n"/>
      <c r="C1069" s="4" t="n"/>
      <c r="D1069" s="4" t="n"/>
      <c r="E1069" s="4" t="n"/>
      <c r="F1069">
        <f>IF(A1069="","",SUMIFS(المبيعات!$F$2:$F$2000,المبيعات!$D$2:$D$2000,A1069))</f>
        <v/>
      </c>
      <c r="G1069">
        <f>IF(A1069="","",E1069-F1069)</f>
        <v/>
      </c>
      <c r="H1069" s="4" t="n"/>
      <c r="I1069">
        <f>IF(OR(A1069="",H1069=""),"",IF(G1069&lt;=H1069,"اطلب الآن",""))</f>
        <v/>
      </c>
    </row>
    <row r="1070">
      <c r="A1070" s="4" t="n"/>
      <c r="B1070" s="4" t="n"/>
      <c r="C1070" s="4" t="n"/>
      <c r="D1070" s="4" t="n"/>
      <c r="E1070" s="4" t="n"/>
      <c r="F1070">
        <f>IF(A1070="","",SUMIFS(المبيعات!$F$2:$F$2000,المبيعات!$D$2:$D$2000,A1070))</f>
        <v/>
      </c>
      <c r="G1070">
        <f>IF(A1070="","",E1070-F1070)</f>
        <v/>
      </c>
      <c r="H1070" s="4" t="n"/>
      <c r="I1070">
        <f>IF(OR(A1070="",H1070=""),"",IF(G1070&lt;=H1070,"اطلب الآن",""))</f>
        <v/>
      </c>
    </row>
    <row r="1071">
      <c r="A1071" s="4" t="n"/>
      <c r="B1071" s="4" t="n"/>
      <c r="C1071" s="4" t="n"/>
      <c r="D1071" s="4" t="n"/>
      <c r="E1071" s="4" t="n"/>
      <c r="F1071">
        <f>IF(A1071="","",SUMIFS(المبيعات!$F$2:$F$2000,المبيعات!$D$2:$D$2000,A1071))</f>
        <v/>
      </c>
      <c r="G1071">
        <f>IF(A1071="","",E1071-F1071)</f>
        <v/>
      </c>
      <c r="H1071" s="4" t="n"/>
      <c r="I1071">
        <f>IF(OR(A1071="",H1071=""),"",IF(G1071&lt;=H1071,"اطلب الآن",""))</f>
        <v/>
      </c>
    </row>
    <row r="1072">
      <c r="A1072" s="4" t="n"/>
      <c r="B1072" s="4" t="n"/>
      <c r="C1072" s="4" t="n"/>
      <c r="D1072" s="4" t="n"/>
      <c r="E1072" s="4" t="n"/>
      <c r="F1072">
        <f>IF(A1072="","",SUMIFS(المبيعات!$F$2:$F$2000,المبيعات!$D$2:$D$2000,A1072))</f>
        <v/>
      </c>
      <c r="G1072">
        <f>IF(A1072="","",E1072-F1072)</f>
        <v/>
      </c>
      <c r="H1072" s="4" t="n"/>
      <c r="I1072">
        <f>IF(OR(A1072="",H1072=""),"",IF(G1072&lt;=H1072,"اطلب الآن",""))</f>
        <v/>
      </c>
    </row>
    <row r="1073">
      <c r="A1073" s="4" t="n"/>
      <c r="B1073" s="4" t="n"/>
      <c r="C1073" s="4" t="n"/>
      <c r="D1073" s="4" t="n"/>
      <c r="E1073" s="4" t="n"/>
      <c r="F1073">
        <f>IF(A1073="","",SUMIFS(المبيعات!$F$2:$F$2000,المبيعات!$D$2:$D$2000,A1073))</f>
        <v/>
      </c>
      <c r="G1073">
        <f>IF(A1073="","",E1073-F1073)</f>
        <v/>
      </c>
      <c r="H1073" s="4" t="n"/>
      <c r="I1073">
        <f>IF(OR(A1073="",H1073=""),"",IF(G1073&lt;=H1073,"اطلب الآن",""))</f>
        <v/>
      </c>
    </row>
    <row r="1074">
      <c r="A1074" s="4" t="n"/>
      <c r="B1074" s="4" t="n"/>
      <c r="C1074" s="4" t="n"/>
      <c r="D1074" s="4" t="n"/>
      <c r="E1074" s="4" t="n"/>
      <c r="F1074">
        <f>IF(A1074="","",SUMIFS(المبيعات!$F$2:$F$2000,المبيعات!$D$2:$D$2000,A1074))</f>
        <v/>
      </c>
      <c r="G1074">
        <f>IF(A1074="","",E1074-F1074)</f>
        <v/>
      </c>
      <c r="H1074" s="4" t="n"/>
      <c r="I1074">
        <f>IF(OR(A1074="",H1074=""),"",IF(G1074&lt;=H1074,"اطلب الآن",""))</f>
        <v/>
      </c>
    </row>
    <row r="1075">
      <c r="A1075" s="4" t="n"/>
      <c r="B1075" s="4" t="n"/>
      <c r="C1075" s="4" t="n"/>
      <c r="D1075" s="4" t="n"/>
      <c r="E1075" s="4" t="n"/>
      <c r="F1075">
        <f>IF(A1075="","",SUMIFS(المبيعات!$F$2:$F$2000,المبيعات!$D$2:$D$2000,A1075))</f>
        <v/>
      </c>
      <c r="G1075">
        <f>IF(A1075="","",E1075-F1075)</f>
        <v/>
      </c>
      <c r="H1075" s="4" t="n"/>
      <c r="I1075">
        <f>IF(OR(A1075="",H1075=""),"",IF(G1075&lt;=H1075,"اطلب الآن",""))</f>
        <v/>
      </c>
    </row>
    <row r="1076">
      <c r="A1076" s="4" t="n"/>
      <c r="B1076" s="4" t="n"/>
      <c r="C1076" s="4" t="n"/>
      <c r="D1076" s="4" t="n"/>
      <c r="E1076" s="4" t="n"/>
      <c r="F1076">
        <f>IF(A1076="","",SUMIFS(المبيعات!$F$2:$F$2000,المبيعات!$D$2:$D$2000,A1076))</f>
        <v/>
      </c>
      <c r="G1076">
        <f>IF(A1076="","",E1076-F1076)</f>
        <v/>
      </c>
      <c r="H1076" s="4" t="n"/>
      <c r="I1076">
        <f>IF(OR(A1076="",H1076=""),"",IF(G1076&lt;=H1076,"اطلب الآن",""))</f>
        <v/>
      </c>
    </row>
    <row r="1077">
      <c r="A1077" s="4" t="n"/>
      <c r="B1077" s="4" t="n"/>
      <c r="C1077" s="4" t="n"/>
      <c r="D1077" s="4" t="n"/>
      <c r="E1077" s="4" t="n"/>
      <c r="F1077">
        <f>IF(A1077="","",SUMIFS(المبيعات!$F$2:$F$2000,المبيعات!$D$2:$D$2000,A1077))</f>
        <v/>
      </c>
      <c r="G1077">
        <f>IF(A1077="","",E1077-F1077)</f>
        <v/>
      </c>
      <c r="H1077" s="4" t="n"/>
      <c r="I1077">
        <f>IF(OR(A1077="",H1077=""),"",IF(G1077&lt;=H1077,"اطلب الآن",""))</f>
        <v/>
      </c>
    </row>
    <row r="1078">
      <c r="A1078" s="4" t="n"/>
      <c r="B1078" s="4" t="n"/>
      <c r="C1078" s="4" t="n"/>
      <c r="D1078" s="4" t="n"/>
      <c r="E1078" s="4" t="n"/>
      <c r="F1078">
        <f>IF(A1078="","",SUMIFS(المبيعات!$F$2:$F$2000,المبيعات!$D$2:$D$2000,A1078))</f>
        <v/>
      </c>
      <c r="G1078">
        <f>IF(A1078="","",E1078-F1078)</f>
        <v/>
      </c>
      <c r="H1078" s="4" t="n"/>
      <c r="I1078">
        <f>IF(OR(A1078="",H1078=""),"",IF(G1078&lt;=H1078,"اطلب الآن",""))</f>
        <v/>
      </c>
    </row>
    <row r="1079">
      <c r="A1079" s="4" t="n"/>
      <c r="B1079" s="4" t="n"/>
      <c r="C1079" s="4" t="n"/>
      <c r="D1079" s="4" t="n"/>
      <c r="E1079" s="4" t="n"/>
      <c r="F1079">
        <f>IF(A1079="","",SUMIFS(المبيعات!$F$2:$F$2000,المبيعات!$D$2:$D$2000,A1079))</f>
        <v/>
      </c>
      <c r="G1079">
        <f>IF(A1079="","",E1079-F1079)</f>
        <v/>
      </c>
      <c r="H1079" s="4" t="n"/>
      <c r="I1079">
        <f>IF(OR(A1079="",H1079=""),"",IF(G1079&lt;=H1079,"اطلب الآن",""))</f>
        <v/>
      </c>
    </row>
    <row r="1080">
      <c r="A1080" s="4" t="n"/>
      <c r="B1080" s="4" t="n"/>
      <c r="C1080" s="4" t="n"/>
      <c r="D1080" s="4" t="n"/>
      <c r="E1080" s="4" t="n"/>
      <c r="F1080">
        <f>IF(A1080="","",SUMIFS(المبيعات!$F$2:$F$2000,المبيعات!$D$2:$D$2000,A1080))</f>
        <v/>
      </c>
      <c r="G1080">
        <f>IF(A1080="","",E1080-F1080)</f>
        <v/>
      </c>
      <c r="H1080" s="4" t="n"/>
      <c r="I1080">
        <f>IF(OR(A1080="",H1080=""),"",IF(G1080&lt;=H1080,"اطلب الآن",""))</f>
        <v/>
      </c>
    </row>
    <row r="1081">
      <c r="A1081" s="4" t="n"/>
      <c r="B1081" s="4" t="n"/>
      <c r="C1081" s="4" t="n"/>
      <c r="D1081" s="4" t="n"/>
      <c r="E1081" s="4" t="n"/>
      <c r="F1081">
        <f>IF(A1081="","",SUMIFS(المبيعات!$F$2:$F$2000,المبيعات!$D$2:$D$2000,A1081))</f>
        <v/>
      </c>
      <c r="G1081">
        <f>IF(A1081="","",E1081-F1081)</f>
        <v/>
      </c>
      <c r="H1081" s="4" t="n"/>
      <c r="I1081">
        <f>IF(OR(A1081="",H1081=""),"",IF(G1081&lt;=H1081,"اطلب الآن",""))</f>
        <v/>
      </c>
    </row>
    <row r="1082">
      <c r="A1082" s="4" t="n"/>
      <c r="B1082" s="4" t="n"/>
      <c r="C1082" s="4" t="n"/>
      <c r="D1082" s="4" t="n"/>
      <c r="E1082" s="4" t="n"/>
      <c r="F1082">
        <f>IF(A1082="","",SUMIFS(المبيعات!$F$2:$F$2000,المبيعات!$D$2:$D$2000,A1082))</f>
        <v/>
      </c>
      <c r="G1082">
        <f>IF(A1082="","",E1082-F1082)</f>
        <v/>
      </c>
      <c r="H1082" s="4" t="n"/>
      <c r="I1082">
        <f>IF(OR(A1082="",H1082=""),"",IF(G1082&lt;=H1082,"اطلب الآن",""))</f>
        <v/>
      </c>
    </row>
    <row r="1083">
      <c r="A1083" s="4" t="n"/>
      <c r="B1083" s="4" t="n"/>
      <c r="C1083" s="4" t="n"/>
      <c r="D1083" s="4" t="n"/>
      <c r="E1083" s="4" t="n"/>
      <c r="F1083">
        <f>IF(A1083="","",SUMIFS(المبيعات!$F$2:$F$2000,المبيعات!$D$2:$D$2000,A1083))</f>
        <v/>
      </c>
      <c r="G1083">
        <f>IF(A1083="","",E1083-F1083)</f>
        <v/>
      </c>
      <c r="H1083" s="4" t="n"/>
      <c r="I1083">
        <f>IF(OR(A1083="",H1083=""),"",IF(G1083&lt;=H1083,"اطلب الآن",""))</f>
        <v/>
      </c>
    </row>
    <row r="1084">
      <c r="A1084" s="4" t="n"/>
      <c r="B1084" s="4" t="n"/>
      <c r="C1084" s="4" t="n"/>
      <c r="D1084" s="4" t="n"/>
      <c r="E1084" s="4" t="n"/>
      <c r="F1084">
        <f>IF(A1084="","",SUMIFS(المبيعات!$F$2:$F$2000,المبيعات!$D$2:$D$2000,A1084))</f>
        <v/>
      </c>
      <c r="G1084">
        <f>IF(A1084="","",E1084-F1084)</f>
        <v/>
      </c>
      <c r="H1084" s="4" t="n"/>
      <c r="I1084">
        <f>IF(OR(A1084="",H1084=""),"",IF(G1084&lt;=H1084,"اطلب الآن",""))</f>
        <v/>
      </c>
    </row>
    <row r="1085">
      <c r="A1085" s="4" t="n"/>
      <c r="B1085" s="4" t="n"/>
      <c r="C1085" s="4" t="n"/>
      <c r="D1085" s="4" t="n"/>
      <c r="E1085" s="4" t="n"/>
      <c r="F1085">
        <f>IF(A1085="","",SUMIFS(المبيعات!$F$2:$F$2000,المبيعات!$D$2:$D$2000,A1085))</f>
        <v/>
      </c>
      <c r="G1085">
        <f>IF(A1085="","",E1085-F1085)</f>
        <v/>
      </c>
      <c r="H1085" s="4" t="n"/>
      <c r="I1085">
        <f>IF(OR(A1085="",H1085=""),"",IF(G1085&lt;=H1085,"اطلب الآن",""))</f>
        <v/>
      </c>
    </row>
    <row r="1086">
      <c r="A1086" s="4" t="n"/>
      <c r="B1086" s="4" t="n"/>
      <c r="C1086" s="4" t="n"/>
      <c r="D1086" s="4" t="n"/>
      <c r="E1086" s="4" t="n"/>
      <c r="F1086">
        <f>IF(A1086="","",SUMIFS(المبيعات!$F$2:$F$2000,المبيعات!$D$2:$D$2000,A1086))</f>
        <v/>
      </c>
      <c r="G1086">
        <f>IF(A1086="","",E1086-F1086)</f>
        <v/>
      </c>
      <c r="H1086" s="4" t="n"/>
      <c r="I1086">
        <f>IF(OR(A1086="",H1086=""),"",IF(G1086&lt;=H1086,"اطلب الآن",""))</f>
        <v/>
      </c>
    </row>
    <row r="1087">
      <c r="A1087" s="4" t="n"/>
      <c r="B1087" s="4" t="n"/>
      <c r="C1087" s="4" t="n"/>
      <c r="D1087" s="4" t="n"/>
      <c r="E1087" s="4" t="n"/>
      <c r="F1087">
        <f>IF(A1087="","",SUMIFS(المبيعات!$F$2:$F$2000,المبيعات!$D$2:$D$2000,A1087))</f>
        <v/>
      </c>
      <c r="G1087">
        <f>IF(A1087="","",E1087-F1087)</f>
        <v/>
      </c>
      <c r="H1087" s="4" t="n"/>
      <c r="I1087">
        <f>IF(OR(A1087="",H1087=""),"",IF(G1087&lt;=H1087,"اطلب الآن",""))</f>
        <v/>
      </c>
    </row>
    <row r="1088">
      <c r="A1088" s="4" t="n"/>
      <c r="B1088" s="4" t="n"/>
      <c r="C1088" s="4" t="n"/>
      <c r="D1088" s="4" t="n"/>
      <c r="E1088" s="4" t="n"/>
      <c r="F1088">
        <f>IF(A1088="","",SUMIFS(المبيعات!$F$2:$F$2000,المبيعات!$D$2:$D$2000,A1088))</f>
        <v/>
      </c>
      <c r="G1088">
        <f>IF(A1088="","",E1088-F1088)</f>
        <v/>
      </c>
      <c r="H1088" s="4" t="n"/>
      <c r="I1088">
        <f>IF(OR(A1088="",H1088=""),"",IF(G1088&lt;=H1088,"اطلب الآن",""))</f>
        <v/>
      </c>
    </row>
    <row r="1089">
      <c r="A1089" s="4" t="n"/>
      <c r="B1089" s="4" t="n"/>
      <c r="C1089" s="4" t="n"/>
      <c r="D1089" s="4" t="n"/>
      <c r="E1089" s="4" t="n"/>
      <c r="F1089">
        <f>IF(A1089="","",SUMIFS(المبيعات!$F$2:$F$2000,المبيعات!$D$2:$D$2000,A1089))</f>
        <v/>
      </c>
      <c r="G1089">
        <f>IF(A1089="","",E1089-F1089)</f>
        <v/>
      </c>
      <c r="H1089" s="4" t="n"/>
      <c r="I1089">
        <f>IF(OR(A1089="",H1089=""),"",IF(G1089&lt;=H1089,"اطلب الآن",""))</f>
        <v/>
      </c>
    </row>
    <row r="1090">
      <c r="A1090" s="4" t="n"/>
      <c r="B1090" s="4" t="n"/>
      <c r="C1090" s="4" t="n"/>
      <c r="D1090" s="4" t="n"/>
      <c r="E1090" s="4" t="n"/>
      <c r="F1090">
        <f>IF(A1090="","",SUMIFS(المبيعات!$F$2:$F$2000,المبيعات!$D$2:$D$2000,A1090))</f>
        <v/>
      </c>
      <c r="G1090">
        <f>IF(A1090="","",E1090-F1090)</f>
        <v/>
      </c>
      <c r="H1090" s="4" t="n"/>
      <c r="I1090">
        <f>IF(OR(A1090="",H1090=""),"",IF(G1090&lt;=H1090,"اطلب الآن",""))</f>
        <v/>
      </c>
    </row>
    <row r="1091">
      <c r="A1091" s="4" t="n"/>
      <c r="B1091" s="4" t="n"/>
      <c r="C1091" s="4" t="n"/>
      <c r="D1091" s="4" t="n"/>
      <c r="E1091" s="4" t="n"/>
      <c r="F1091">
        <f>IF(A1091="","",SUMIFS(المبيعات!$F$2:$F$2000,المبيعات!$D$2:$D$2000,A1091))</f>
        <v/>
      </c>
      <c r="G1091">
        <f>IF(A1091="","",E1091-F1091)</f>
        <v/>
      </c>
      <c r="H1091" s="4" t="n"/>
      <c r="I1091">
        <f>IF(OR(A1091="",H1091=""),"",IF(G1091&lt;=H1091,"اطلب الآن",""))</f>
        <v/>
      </c>
    </row>
    <row r="1092">
      <c r="A1092" s="4" t="n"/>
      <c r="B1092" s="4" t="n"/>
      <c r="C1092" s="4" t="n"/>
      <c r="D1092" s="4" t="n"/>
      <c r="E1092" s="4" t="n"/>
      <c r="F1092">
        <f>IF(A1092="","",SUMIFS(المبيعات!$F$2:$F$2000,المبيعات!$D$2:$D$2000,A1092))</f>
        <v/>
      </c>
      <c r="G1092">
        <f>IF(A1092="","",E1092-F1092)</f>
        <v/>
      </c>
      <c r="H1092" s="4" t="n"/>
      <c r="I1092">
        <f>IF(OR(A1092="",H1092=""),"",IF(G1092&lt;=H1092,"اطلب الآن",""))</f>
        <v/>
      </c>
    </row>
    <row r="1093">
      <c r="A1093" s="4" t="n"/>
      <c r="B1093" s="4" t="n"/>
      <c r="C1093" s="4" t="n"/>
      <c r="D1093" s="4" t="n"/>
      <c r="E1093" s="4" t="n"/>
      <c r="F1093">
        <f>IF(A1093="","",SUMIFS(المبيعات!$F$2:$F$2000,المبيعات!$D$2:$D$2000,A1093))</f>
        <v/>
      </c>
      <c r="G1093">
        <f>IF(A1093="","",E1093-F1093)</f>
        <v/>
      </c>
      <c r="H1093" s="4" t="n"/>
      <c r="I1093">
        <f>IF(OR(A1093="",H1093=""),"",IF(G1093&lt;=H1093,"اطلب الآن",""))</f>
        <v/>
      </c>
    </row>
    <row r="1094">
      <c r="A1094" s="4" t="n"/>
      <c r="B1094" s="4" t="n"/>
      <c r="C1094" s="4" t="n"/>
      <c r="D1094" s="4" t="n"/>
      <c r="E1094" s="4" t="n"/>
      <c r="F1094">
        <f>IF(A1094="","",SUMIFS(المبيعات!$F$2:$F$2000,المبيعات!$D$2:$D$2000,A1094))</f>
        <v/>
      </c>
      <c r="G1094">
        <f>IF(A1094="","",E1094-F1094)</f>
        <v/>
      </c>
      <c r="H1094" s="4" t="n"/>
      <c r="I1094">
        <f>IF(OR(A1094="",H1094=""),"",IF(G1094&lt;=H1094,"اطلب الآن",""))</f>
        <v/>
      </c>
    </row>
    <row r="1095">
      <c r="A1095" s="4" t="n"/>
      <c r="B1095" s="4" t="n"/>
      <c r="C1095" s="4" t="n"/>
      <c r="D1095" s="4" t="n"/>
      <c r="E1095" s="4" t="n"/>
      <c r="F1095">
        <f>IF(A1095="","",SUMIFS(المبيعات!$F$2:$F$2000,المبيعات!$D$2:$D$2000,A1095))</f>
        <v/>
      </c>
      <c r="G1095">
        <f>IF(A1095="","",E1095-F1095)</f>
        <v/>
      </c>
      <c r="H1095" s="4" t="n"/>
      <c r="I1095">
        <f>IF(OR(A1095="",H1095=""),"",IF(G1095&lt;=H1095,"اطلب الآن",""))</f>
        <v/>
      </c>
    </row>
    <row r="1096">
      <c r="A1096" s="4" t="n"/>
      <c r="B1096" s="4" t="n"/>
      <c r="C1096" s="4" t="n"/>
      <c r="D1096" s="4" t="n"/>
      <c r="E1096" s="4" t="n"/>
      <c r="F1096">
        <f>IF(A1096="","",SUMIFS(المبيعات!$F$2:$F$2000,المبيعات!$D$2:$D$2000,A1096))</f>
        <v/>
      </c>
      <c r="G1096">
        <f>IF(A1096="","",E1096-F1096)</f>
        <v/>
      </c>
      <c r="H1096" s="4" t="n"/>
      <c r="I1096">
        <f>IF(OR(A1096="",H1096=""),"",IF(G1096&lt;=H1096,"اطلب الآن",""))</f>
        <v/>
      </c>
    </row>
    <row r="1097">
      <c r="A1097" s="4" t="n"/>
      <c r="B1097" s="4" t="n"/>
      <c r="C1097" s="4" t="n"/>
      <c r="D1097" s="4" t="n"/>
      <c r="E1097" s="4" t="n"/>
      <c r="F1097">
        <f>IF(A1097="","",SUMIFS(المبيعات!$F$2:$F$2000,المبيعات!$D$2:$D$2000,A1097))</f>
        <v/>
      </c>
      <c r="G1097">
        <f>IF(A1097="","",E1097-F1097)</f>
        <v/>
      </c>
      <c r="H1097" s="4" t="n"/>
      <c r="I1097">
        <f>IF(OR(A1097="",H1097=""),"",IF(G1097&lt;=H1097,"اطلب الآن",""))</f>
        <v/>
      </c>
    </row>
    <row r="1098">
      <c r="A1098" s="4" t="n"/>
      <c r="B1098" s="4" t="n"/>
      <c r="C1098" s="4" t="n"/>
      <c r="D1098" s="4" t="n"/>
      <c r="E1098" s="4" t="n"/>
      <c r="F1098">
        <f>IF(A1098="","",SUMIFS(المبيعات!$F$2:$F$2000,المبيعات!$D$2:$D$2000,A1098))</f>
        <v/>
      </c>
      <c r="G1098">
        <f>IF(A1098="","",E1098-F1098)</f>
        <v/>
      </c>
      <c r="H1098" s="4" t="n"/>
      <c r="I1098">
        <f>IF(OR(A1098="",H1098=""),"",IF(G1098&lt;=H1098,"اطلب الآن",""))</f>
        <v/>
      </c>
    </row>
    <row r="1099">
      <c r="A1099" s="4" t="n"/>
      <c r="B1099" s="4" t="n"/>
      <c r="C1099" s="4" t="n"/>
      <c r="D1099" s="4" t="n"/>
      <c r="E1099" s="4" t="n"/>
      <c r="F1099">
        <f>IF(A1099="","",SUMIFS(المبيعات!$F$2:$F$2000,المبيعات!$D$2:$D$2000,A1099))</f>
        <v/>
      </c>
      <c r="G1099">
        <f>IF(A1099="","",E1099-F1099)</f>
        <v/>
      </c>
      <c r="H1099" s="4" t="n"/>
      <c r="I1099">
        <f>IF(OR(A1099="",H1099=""),"",IF(G1099&lt;=H1099,"اطلب الآن",""))</f>
        <v/>
      </c>
    </row>
    <row r="1100">
      <c r="A1100" s="4" t="n"/>
      <c r="B1100" s="4" t="n"/>
      <c r="C1100" s="4" t="n"/>
      <c r="D1100" s="4" t="n"/>
      <c r="E1100" s="4" t="n"/>
      <c r="F1100">
        <f>IF(A1100="","",SUMIFS(المبيعات!$F$2:$F$2000,المبيعات!$D$2:$D$2000,A1100))</f>
        <v/>
      </c>
      <c r="G1100">
        <f>IF(A1100="","",E1100-F1100)</f>
        <v/>
      </c>
      <c r="H1100" s="4" t="n"/>
      <c r="I1100">
        <f>IF(OR(A1100="",H1100=""),"",IF(G1100&lt;=H1100,"اطلب الآن",""))</f>
        <v/>
      </c>
    </row>
    <row r="1101">
      <c r="A1101" s="4" t="n"/>
      <c r="B1101" s="4" t="n"/>
      <c r="C1101" s="4" t="n"/>
      <c r="D1101" s="4" t="n"/>
      <c r="E1101" s="4" t="n"/>
      <c r="F1101">
        <f>IF(A1101="","",SUMIFS(المبيعات!$F$2:$F$2000,المبيعات!$D$2:$D$2000,A1101))</f>
        <v/>
      </c>
      <c r="G1101">
        <f>IF(A1101="","",E1101-F1101)</f>
        <v/>
      </c>
      <c r="H1101" s="4" t="n"/>
      <c r="I1101">
        <f>IF(OR(A1101="",H1101=""),"",IF(G1101&lt;=H1101,"اطلب الآن",""))</f>
        <v/>
      </c>
    </row>
    <row r="1102">
      <c r="A1102" s="4" t="n"/>
      <c r="B1102" s="4" t="n"/>
      <c r="C1102" s="4" t="n"/>
      <c r="D1102" s="4" t="n"/>
      <c r="E1102" s="4" t="n"/>
      <c r="F1102">
        <f>IF(A1102="","",SUMIFS(المبيعات!$F$2:$F$2000,المبيعات!$D$2:$D$2000,A1102))</f>
        <v/>
      </c>
      <c r="G1102">
        <f>IF(A1102="","",E1102-F1102)</f>
        <v/>
      </c>
      <c r="H1102" s="4" t="n"/>
      <c r="I1102">
        <f>IF(OR(A1102="",H1102=""),"",IF(G1102&lt;=H1102,"اطلب الآن",""))</f>
        <v/>
      </c>
    </row>
    <row r="1103">
      <c r="A1103" s="4" t="n"/>
      <c r="B1103" s="4" t="n"/>
      <c r="C1103" s="4" t="n"/>
      <c r="D1103" s="4" t="n"/>
      <c r="E1103" s="4" t="n"/>
      <c r="F1103">
        <f>IF(A1103="","",SUMIFS(المبيعات!$F$2:$F$2000,المبيعات!$D$2:$D$2000,A1103))</f>
        <v/>
      </c>
      <c r="G1103">
        <f>IF(A1103="","",E1103-F1103)</f>
        <v/>
      </c>
      <c r="H1103" s="4" t="n"/>
      <c r="I1103">
        <f>IF(OR(A1103="",H1103=""),"",IF(G1103&lt;=H1103,"اطلب الآن",""))</f>
        <v/>
      </c>
    </row>
    <row r="1104">
      <c r="A1104" s="4" t="n"/>
      <c r="B1104" s="4" t="n"/>
      <c r="C1104" s="4" t="n"/>
      <c r="D1104" s="4" t="n"/>
      <c r="E1104" s="4" t="n"/>
      <c r="F1104">
        <f>IF(A1104="","",SUMIFS(المبيعات!$F$2:$F$2000,المبيعات!$D$2:$D$2000,A1104))</f>
        <v/>
      </c>
      <c r="G1104">
        <f>IF(A1104="","",E1104-F1104)</f>
        <v/>
      </c>
      <c r="H1104" s="4" t="n"/>
      <c r="I1104">
        <f>IF(OR(A1104="",H1104=""),"",IF(G1104&lt;=H1104,"اطلب الآن",""))</f>
        <v/>
      </c>
    </row>
    <row r="1105">
      <c r="A1105" s="4" t="n"/>
      <c r="B1105" s="4" t="n"/>
      <c r="C1105" s="4" t="n"/>
      <c r="D1105" s="4" t="n"/>
      <c r="E1105" s="4" t="n"/>
      <c r="F1105">
        <f>IF(A1105="","",SUMIFS(المبيعات!$F$2:$F$2000,المبيعات!$D$2:$D$2000,A1105))</f>
        <v/>
      </c>
      <c r="G1105">
        <f>IF(A1105="","",E1105-F1105)</f>
        <v/>
      </c>
      <c r="H1105" s="4" t="n"/>
      <c r="I1105">
        <f>IF(OR(A1105="",H1105=""),"",IF(G1105&lt;=H1105,"اطلب الآن",""))</f>
        <v/>
      </c>
    </row>
    <row r="1106">
      <c r="A1106" s="4" t="n"/>
      <c r="B1106" s="4" t="n"/>
      <c r="C1106" s="4" t="n"/>
      <c r="D1106" s="4" t="n"/>
      <c r="E1106" s="4" t="n"/>
      <c r="F1106">
        <f>IF(A1106="","",SUMIFS(المبيعات!$F$2:$F$2000,المبيعات!$D$2:$D$2000,A1106))</f>
        <v/>
      </c>
      <c r="G1106">
        <f>IF(A1106="","",E1106-F1106)</f>
        <v/>
      </c>
      <c r="H1106" s="4" t="n"/>
      <c r="I1106">
        <f>IF(OR(A1106="",H1106=""),"",IF(G1106&lt;=H1106,"اطلب الآن",""))</f>
        <v/>
      </c>
    </row>
    <row r="1107">
      <c r="A1107" s="4" t="n"/>
      <c r="B1107" s="4" t="n"/>
      <c r="C1107" s="4" t="n"/>
      <c r="D1107" s="4" t="n"/>
      <c r="E1107" s="4" t="n"/>
      <c r="F1107">
        <f>IF(A1107="","",SUMIFS(المبيعات!$F$2:$F$2000,المبيعات!$D$2:$D$2000,A1107))</f>
        <v/>
      </c>
      <c r="G1107">
        <f>IF(A1107="","",E1107-F1107)</f>
        <v/>
      </c>
      <c r="H1107" s="4" t="n"/>
      <c r="I1107">
        <f>IF(OR(A1107="",H1107=""),"",IF(G1107&lt;=H1107,"اطلب الآن",""))</f>
        <v/>
      </c>
    </row>
    <row r="1108">
      <c r="A1108" s="4" t="n"/>
      <c r="B1108" s="4" t="n"/>
      <c r="C1108" s="4" t="n"/>
      <c r="D1108" s="4" t="n"/>
      <c r="E1108" s="4" t="n"/>
      <c r="F1108">
        <f>IF(A1108="","",SUMIFS(المبيعات!$F$2:$F$2000,المبيعات!$D$2:$D$2000,A1108))</f>
        <v/>
      </c>
      <c r="G1108">
        <f>IF(A1108="","",E1108-F1108)</f>
        <v/>
      </c>
      <c r="H1108" s="4" t="n"/>
      <c r="I1108">
        <f>IF(OR(A1108="",H1108=""),"",IF(G1108&lt;=H1108,"اطلب الآن",""))</f>
        <v/>
      </c>
    </row>
    <row r="1109">
      <c r="A1109" s="4" t="n"/>
      <c r="B1109" s="4" t="n"/>
      <c r="C1109" s="4" t="n"/>
      <c r="D1109" s="4" t="n"/>
      <c r="E1109" s="4" t="n"/>
      <c r="F1109">
        <f>IF(A1109="","",SUMIFS(المبيعات!$F$2:$F$2000,المبيعات!$D$2:$D$2000,A1109))</f>
        <v/>
      </c>
      <c r="G1109">
        <f>IF(A1109="","",E1109-F1109)</f>
        <v/>
      </c>
      <c r="H1109" s="4" t="n"/>
      <c r="I1109">
        <f>IF(OR(A1109="",H1109=""),"",IF(G1109&lt;=H1109,"اطلب الآن",""))</f>
        <v/>
      </c>
    </row>
    <row r="1110">
      <c r="A1110" s="4" t="n"/>
      <c r="B1110" s="4" t="n"/>
      <c r="C1110" s="4" t="n"/>
      <c r="D1110" s="4" t="n"/>
      <c r="E1110" s="4" t="n"/>
      <c r="F1110">
        <f>IF(A1110="","",SUMIFS(المبيعات!$F$2:$F$2000,المبيعات!$D$2:$D$2000,A1110))</f>
        <v/>
      </c>
      <c r="G1110">
        <f>IF(A1110="","",E1110-F1110)</f>
        <v/>
      </c>
      <c r="H1110" s="4" t="n"/>
      <c r="I1110">
        <f>IF(OR(A1110="",H1110=""),"",IF(G1110&lt;=H1110,"اطلب الآن",""))</f>
        <v/>
      </c>
    </row>
    <row r="1111">
      <c r="A1111" s="4" t="n"/>
      <c r="B1111" s="4" t="n"/>
      <c r="C1111" s="4" t="n"/>
      <c r="D1111" s="4" t="n"/>
      <c r="E1111" s="4" t="n"/>
      <c r="F1111">
        <f>IF(A1111="","",SUMIFS(المبيعات!$F$2:$F$2000,المبيعات!$D$2:$D$2000,A1111))</f>
        <v/>
      </c>
      <c r="G1111">
        <f>IF(A1111="","",E1111-F1111)</f>
        <v/>
      </c>
      <c r="H1111" s="4" t="n"/>
      <c r="I1111">
        <f>IF(OR(A1111="",H1111=""),"",IF(G1111&lt;=H1111,"اطلب الآن",""))</f>
        <v/>
      </c>
    </row>
    <row r="1112">
      <c r="A1112" s="4" t="n"/>
      <c r="B1112" s="4" t="n"/>
      <c r="C1112" s="4" t="n"/>
      <c r="D1112" s="4" t="n"/>
      <c r="E1112" s="4" t="n"/>
      <c r="F1112">
        <f>IF(A1112="","",SUMIFS(المبيعات!$F$2:$F$2000,المبيعات!$D$2:$D$2000,A1112))</f>
        <v/>
      </c>
      <c r="G1112">
        <f>IF(A1112="","",E1112-F1112)</f>
        <v/>
      </c>
      <c r="H1112" s="4" t="n"/>
      <c r="I1112">
        <f>IF(OR(A1112="",H1112=""),"",IF(G1112&lt;=H1112,"اطلب الآن",""))</f>
        <v/>
      </c>
    </row>
    <row r="1113">
      <c r="A1113" s="4" t="n"/>
      <c r="B1113" s="4" t="n"/>
      <c r="C1113" s="4" t="n"/>
      <c r="D1113" s="4" t="n"/>
      <c r="E1113" s="4" t="n"/>
      <c r="F1113">
        <f>IF(A1113="","",SUMIFS(المبيعات!$F$2:$F$2000,المبيعات!$D$2:$D$2000,A1113))</f>
        <v/>
      </c>
      <c r="G1113">
        <f>IF(A1113="","",E1113-F1113)</f>
        <v/>
      </c>
      <c r="H1113" s="4" t="n"/>
      <c r="I1113">
        <f>IF(OR(A1113="",H1113=""),"",IF(G1113&lt;=H1113,"اطلب الآن",""))</f>
        <v/>
      </c>
    </row>
    <row r="1114">
      <c r="A1114" s="4" t="n"/>
      <c r="B1114" s="4" t="n"/>
      <c r="C1114" s="4" t="n"/>
      <c r="D1114" s="4" t="n"/>
      <c r="E1114" s="4" t="n"/>
      <c r="F1114">
        <f>IF(A1114="","",SUMIFS(المبيعات!$F$2:$F$2000,المبيعات!$D$2:$D$2000,A1114))</f>
        <v/>
      </c>
      <c r="G1114">
        <f>IF(A1114="","",E1114-F1114)</f>
        <v/>
      </c>
      <c r="H1114" s="4" t="n"/>
      <c r="I1114">
        <f>IF(OR(A1114="",H1114=""),"",IF(G1114&lt;=H1114,"اطلب الآن",""))</f>
        <v/>
      </c>
    </row>
    <row r="1115">
      <c r="A1115" s="4" t="n"/>
      <c r="B1115" s="4" t="n"/>
      <c r="C1115" s="4" t="n"/>
      <c r="D1115" s="4" t="n"/>
      <c r="E1115" s="4" t="n"/>
      <c r="F1115">
        <f>IF(A1115="","",SUMIFS(المبيعات!$F$2:$F$2000,المبيعات!$D$2:$D$2000,A1115))</f>
        <v/>
      </c>
      <c r="G1115">
        <f>IF(A1115="","",E1115-F1115)</f>
        <v/>
      </c>
      <c r="H1115" s="4" t="n"/>
      <c r="I1115">
        <f>IF(OR(A1115="",H1115=""),"",IF(G1115&lt;=H1115,"اطلب الآن",""))</f>
        <v/>
      </c>
    </row>
    <row r="1116">
      <c r="A1116" s="4" t="n"/>
      <c r="B1116" s="4" t="n"/>
      <c r="C1116" s="4" t="n"/>
      <c r="D1116" s="4" t="n"/>
      <c r="E1116" s="4" t="n"/>
      <c r="F1116">
        <f>IF(A1116="","",SUMIFS(المبيعات!$F$2:$F$2000,المبيعات!$D$2:$D$2000,A1116))</f>
        <v/>
      </c>
      <c r="G1116">
        <f>IF(A1116="","",E1116-F1116)</f>
        <v/>
      </c>
      <c r="H1116" s="4" t="n"/>
      <c r="I1116">
        <f>IF(OR(A1116="",H1116=""),"",IF(G1116&lt;=H1116,"اطلب الآن",""))</f>
        <v/>
      </c>
    </row>
    <row r="1117">
      <c r="A1117" s="4" t="n"/>
      <c r="B1117" s="4" t="n"/>
      <c r="C1117" s="4" t="n"/>
      <c r="D1117" s="4" t="n"/>
      <c r="E1117" s="4" t="n"/>
      <c r="F1117">
        <f>IF(A1117="","",SUMIFS(المبيعات!$F$2:$F$2000,المبيعات!$D$2:$D$2000,A1117))</f>
        <v/>
      </c>
      <c r="G1117">
        <f>IF(A1117="","",E1117-F1117)</f>
        <v/>
      </c>
      <c r="H1117" s="4" t="n"/>
      <c r="I1117">
        <f>IF(OR(A1117="",H1117=""),"",IF(G1117&lt;=H1117,"اطلب الآن",""))</f>
        <v/>
      </c>
    </row>
    <row r="1118">
      <c r="A1118" s="4" t="n"/>
      <c r="B1118" s="4" t="n"/>
      <c r="C1118" s="4" t="n"/>
      <c r="D1118" s="4" t="n"/>
      <c r="E1118" s="4" t="n"/>
      <c r="F1118">
        <f>IF(A1118="","",SUMIFS(المبيعات!$F$2:$F$2000,المبيعات!$D$2:$D$2000,A1118))</f>
        <v/>
      </c>
      <c r="G1118">
        <f>IF(A1118="","",E1118-F1118)</f>
        <v/>
      </c>
      <c r="H1118" s="4" t="n"/>
      <c r="I1118">
        <f>IF(OR(A1118="",H1118=""),"",IF(G1118&lt;=H1118,"اطلب الآن",""))</f>
        <v/>
      </c>
    </row>
    <row r="1119">
      <c r="A1119" s="4" t="n"/>
      <c r="B1119" s="4" t="n"/>
      <c r="C1119" s="4" t="n"/>
      <c r="D1119" s="4" t="n"/>
      <c r="E1119" s="4" t="n"/>
      <c r="F1119">
        <f>IF(A1119="","",SUMIFS(المبيعات!$F$2:$F$2000,المبيعات!$D$2:$D$2000,A1119))</f>
        <v/>
      </c>
      <c r="G1119">
        <f>IF(A1119="","",E1119-F1119)</f>
        <v/>
      </c>
      <c r="H1119" s="4" t="n"/>
      <c r="I1119">
        <f>IF(OR(A1119="",H1119=""),"",IF(G1119&lt;=H1119,"اطلب الآن",""))</f>
        <v/>
      </c>
    </row>
    <row r="1120">
      <c r="A1120" s="4" t="n"/>
      <c r="B1120" s="4" t="n"/>
      <c r="C1120" s="4" t="n"/>
      <c r="D1120" s="4" t="n"/>
      <c r="E1120" s="4" t="n"/>
      <c r="F1120">
        <f>IF(A1120="","",SUMIFS(المبيعات!$F$2:$F$2000,المبيعات!$D$2:$D$2000,A1120))</f>
        <v/>
      </c>
      <c r="G1120">
        <f>IF(A1120="","",E1120-F1120)</f>
        <v/>
      </c>
      <c r="H1120" s="4" t="n"/>
      <c r="I1120">
        <f>IF(OR(A1120="",H1120=""),"",IF(G1120&lt;=H1120,"اطلب الآن",""))</f>
        <v/>
      </c>
    </row>
    <row r="1121">
      <c r="A1121" s="4" t="n"/>
      <c r="B1121" s="4" t="n"/>
      <c r="C1121" s="4" t="n"/>
      <c r="D1121" s="4" t="n"/>
      <c r="E1121" s="4" t="n"/>
      <c r="F1121">
        <f>IF(A1121="","",SUMIFS(المبيعات!$F$2:$F$2000,المبيعات!$D$2:$D$2000,A1121))</f>
        <v/>
      </c>
      <c r="G1121">
        <f>IF(A1121="","",E1121-F1121)</f>
        <v/>
      </c>
      <c r="H1121" s="4" t="n"/>
      <c r="I1121">
        <f>IF(OR(A1121="",H1121=""),"",IF(G1121&lt;=H1121,"اطلب الآن",""))</f>
        <v/>
      </c>
    </row>
    <row r="1122">
      <c r="A1122" s="4" t="n"/>
      <c r="B1122" s="4" t="n"/>
      <c r="C1122" s="4" t="n"/>
      <c r="D1122" s="4" t="n"/>
      <c r="E1122" s="4" t="n"/>
      <c r="F1122">
        <f>IF(A1122="","",SUMIFS(المبيعات!$F$2:$F$2000,المبيعات!$D$2:$D$2000,A1122))</f>
        <v/>
      </c>
      <c r="G1122">
        <f>IF(A1122="","",E1122-F1122)</f>
        <v/>
      </c>
      <c r="H1122" s="4" t="n"/>
      <c r="I1122">
        <f>IF(OR(A1122="",H1122=""),"",IF(G1122&lt;=H1122,"اطلب الآن",""))</f>
        <v/>
      </c>
    </row>
    <row r="1123">
      <c r="A1123" s="4" t="n"/>
      <c r="B1123" s="4" t="n"/>
      <c r="C1123" s="4" t="n"/>
      <c r="D1123" s="4" t="n"/>
      <c r="E1123" s="4" t="n"/>
      <c r="F1123">
        <f>IF(A1123="","",SUMIFS(المبيعات!$F$2:$F$2000,المبيعات!$D$2:$D$2000,A1123))</f>
        <v/>
      </c>
      <c r="G1123">
        <f>IF(A1123="","",E1123-F1123)</f>
        <v/>
      </c>
      <c r="H1123" s="4" t="n"/>
      <c r="I1123">
        <f>IF(OR(A1123="",H1123=""),"",IF(G1123&lt;=H1123,"اطلب الآن",""))</f>
        <v/>
      </c>
    </row>
    <row r="1124">
      <c r="A1124" s="4" t="n"/>
      <c r="B1124" s="4" t="n"/>
      <c r="C1124" s="4" t="n"/>
      <c r="D1124" s="4" t="n"/>
      <c r="E1124" s="4" t="n"/>
      <c r="F1124">
        <f>IF(A1124="","",SUMIFS(المبيعات!$F$2:$F$2000,المبيعات!$D$2:$D$2000,A1124))</f>
        <v/>
      </c>
      <c r="G1124">
        <f>IF(A1124="","",E1124-F1124)</f>
        <v/>
      </c>
      <c r="H1124" s="4" t="n"/>
      <c r="I1124">
        <f>IF(OR(A1124="",H1124=""),"",IF(G1124&lt;=H1124,"اطلب الآن",""))</f>
        <v/>
      </c>
    </row>
    <row r="1125">
      <c r="A1125" s="4" t="n"/>
      <c r="B1125" s="4" t="n"/>
      <c r="C1125" s="4" t="n"/>
      <c r="D1125" s="4" t="n"/>
      <c r="E1125" s="4" t="n"/>
      <c r="F1125">
        <f>IF(A1125="","",SUMIFS(المبيعات!$F$2:$F$2000,المبيعات!$D$2:$D$2000,A1125))</f>
        <v/>
      </c>
      <c r="G1125">
        <f>IF(A1125="","",E1125-F1125)</f>
        <v/>
      </c>
      <c r="H1125" s="4" t="n"/>
      <c r="I1125">
        <f>IF(OR(A1125="",H1125=""),"",IF(G1125&lt;=H1125,"اطلب الآن",""))</f>
        <v/>
      </c>
    </row>
    <row r="1126">
      <c r="A1126" s="4" t="n"/>
      <c r="B1126" s="4" t="n"/>
      <c r="C1126" s="4" t="n"/>
      <c r="D1126" s="4" t="n"/>
      <c r="E1126" s="4" t="n"/>
      <c r="F1126">
        <f>IF(A1126="","",SUMIFS(المبيعات!$F$2:$F$2000,المبيعات!$D$2:$D$2000,A1126))</f>
        <v/>
      </c>
      <c r="G1126">
        <f>IF(A1126="","",E1126-F1126)</f>
        <v/>
      </c>
      <c r="H1126" s="4" t="n"/>
      <c r="I1126">
        <f>IF(OR(A1126="",H1126=""),"",IF(G1126&lt;=H1126,"اطلب الآن",""))</f>
        <v/>
      </c>
    </row>
    <row r="1127">
      <c r="A1127" s="4" t="n"/>
      <c r="B1127" s="4" t="n"/>
      <c r="C1127" s="4" t="n"/>
      <c r="D1127" s="4" t="n"/>
      <c r="E1127" s="4" t="n"/>
      <c r="F1127">
        <f>IF(A1127="","",SUMIFS(المبيعات!$F$2:$F$2000,المبيعات!$D$2:$D$2000,A1127))</f>
        <v/>
      </c>
      <c r="G1127">
        <f>IF(A1127="","",E1127-F1127)</f>
        <v/>
      </c>
      <c r="H1127" s="4" t="n"/>
      <c r="I1127">
        <f>IF(OR(A1127="",H1127=""),"",IF(G1127&lt;=H1127,"اطلب الآن",""))</f>
        <v/>
      </c>
    </row>
    <row r="1128">
      <c r="A1128" s="4" t="n"/>
      <c r="B1128" s="4" t="n"/>
      <c r="C1128" s="4" t="n"/>
      <c r="D1128" s="4" t="n"/>
      <c r="E1128" s="4" t="n"/>
      <c r="F1128">
        <f>IF(A1128="","",SUMIFS(المبيعات!$F$2:$F$2000,المبيعات!$D$2:$D$2000,A1128))</f>
        <v/>
      </c>
      <c r="G1128">
        <f>IF(A1128="","",E1128-F1128)</f>
        <v/>
      </c>
      <c r="H1128" s="4" t="n"/>
      <c r="I1128">
        <f>IF(OR(A1128="",H1128=""),"",IF(G1128&lt;=H1128,"اطلب الآن",""))</f>
        <v/>
      </c>
    </row>
    <row r="1129">
      <c r="A1129" s="4" t="n"/>
      <c r="B1129" s="4" t="n"/>
      <c r="C1129" s="4" t="n"/>
      <c r="D1129" s="4" t="n"/>
      <c r="E1129" s="4" t="n"/>
      <c r="F1129">
        <f>IF(A1129="","",SUMIFS(المبيعات!$F$2:$F$2000,المبيعات!$D$2:$D$2000,A1129))</f>
        <v/>
      </c>
      <c r="G1129">
        <f>IF(A1129="","",E1129-F1129)</f>
        <v/>
      </c>
      <c r="H1129" s="4" t="n"/>
      <c r="I1129">
        <f>IF(OR(A1129="",H1129=""),"",IF(G1129&lt;=H1129,"اطلب الآن",""))</f>
        <v/>
      </c>
    </row>
    <row r="1130">
      <c r="A1130" s="4" t="n"/>
      <c r="B1130" s="4" t="n"/>
      <c r="C1130" s="4" t="n"/>
      <c r="D1130" s="4" t="n"/>
      <c r="E1130" s="4" t="n"/>
      <c r="F1130">
        <f>IF(A1130="","",SUMIFS(المبيعات!$F$2:$F$2000,المبيعات!$D$2:$D$2000,A1130))</f>
        <v/>
      </c>
      <c r="G1130">
        <f>IF(A1130="","",E1130-F1130)</f>
        <v/>
      </c>
      <c r="H1130" s="4" t="n"/>
      <c r="I1130">
        <f>IF(OR(A1130="",H1130=""),"",IF(G1130&lt;=H1130,"اطلب الآن",""))</f>
        <v/>
      </c>
    </row>
    <row r="1131">
      <c r="A1131" s="4" t="n"/>
      <c r="B1131" s="4" t="n"/>
      <c r="C1131" s="4" t="n"/>
      <c r="D1131" s="4" t="n"/>
      <c r="E1131" s="4" t="n"/>
      <c r="F1131">
        <f>IF(A1131="","",SUMIFS(المبيعات!$F$2:$F$2000,المبيعات!$D$2:$D$2000,A1131))</f>
        <v/>
      </c>
      <c r="G1131">
        <f>IF(A1131="","",E1131-F1131)</f>
        <v/>
      </c>
      <c r="H1131" s="4" t="n"/>
      <c r="I1131">
        <f>IF(OR(A1131="",H1131=""),"",IF(G1131&lt;=H1131,"اطلب الآن",""))</f>
        <v/>
      </c>
    </row>
    <row r="1132">
      <c r="A1132" s="4" t="n"/>
      <c r="B1132" s="4" t="n"/>
      <c r="C1132" s="4" t="n"/>
      <c r="D1132" s="4" t="n"/>
      <c r="E1132" s="4" t="n"/>
      <c r="F1132">
        <f>IF(A1132="","",SUMIFS(المبيعات!$F$2:$F$2000,المبيعات!$D$2:$D$2000,A1132))</f>
        <v/>
      </c>
      <c r="G1132">
        <f>IF(A1132="","",E1132-F1132)</f>
        <v/>
      </c>
      <c r="H1132" s="4" t="n"/>
      <c r="I1132">
        <f>IF(OR(A1132="",H1132=""),"",IF(G1132&lt;=H1132,"اطلب الآن",""))</f>
        <v/>
      </c>
    </row>
    <row r="1133">
      <c r="A1133" s="4" t="n"/>
      <c r="B1133" s="4" t="n"/>
      <c r="C1133" s="4" t="n"/>
      <c r="D1133" s="4" t="n"/>
      <c r="E1133" s="4" t="n"/>
      <c r="F1133">
        <f>IF(A1133="","",SUMIFS(المبيعات!$F$2:$F$2000,المبيعات!$D$2:$D$2000,A1133))</f>
        <v/>
      </c>
      <c r="G1133">
        <f>IF(A1133="","",E1133-F1133)</f>
        <v/>
      </c>
      <c r="H1133" s="4" t="n"/>
      <c r="I1133">
        <f>IF(OR(A1133="",H1133=""),"",IF(G1133&lt;=H1133,"اطلب الآن",""))</f>
        <v/>
      </c>
    </row>
    <row r="1134">
      <c r="A1134" s="4" t="n"/>
      <c r="B1134" s="4" t="n"/>
      <c r="C1134" s="4" t="n"/>
      <c r="D1134" s="4" t="n"/>
      <c r="E1134" s="4" t="n"/>
      <c r="F1134">
        <f>IF(A1134="","",SUMIFS(المبيعات!$F$2:$F$2000,المبيعات!$D$2:$D$2000,A1134))</f>
        <v/>
      </c>
      <c r="G1134">
        <f>IF(A1134="","",E1134-F1134)</f>
        <v/>
      </c>
      <c r="H1134" s="4" t="n"/>
      <c r="I1134">
        <f>IF(OR(A1134="",H1134=""),"",IF(G1134&lt;=H1134,"اطلب الآن",""))</f>
        <v/>
      </c>
    </row>
    <row r="1135">
      <c r="A1135" s="4" t="n"/>
      <c r="B1135" s="4" t="n"/>
      <c r="C1135" s="4" t="n"/>
      <c r="D1135" s="4" t="n"/>
      <c r="E1135" s="4" t="n"/>
      <c r="F1135">
        <f>IF(A1135="","",SUMIFS(المبيعات!$F$2:$F$2000,المبيعات!$D$2:$D$2000,A1135))</f>
        <v/>
      </c>
      <c r="G1135">
        <f>IF(A1135="","",E1135-F1135)</f>
        <v/>
      </c>
      <c r="H1135" s="4" t="n"/>
      <c r="I1135">
        <f>IF(OR(A1135="",H1135=""),"",IF(G1135&lt;=H1135,"اطلب الآن",""))</f>
        <v/>
      </c>
    </row>
    <row r="1136">
      <c r="A1136" s="4" t="n"/>
      <c r="B1136" s="4" t="n"/>
      <c r="C1136" s="4" t="n"/>
      <c r="D1136" s="4" t="n"/>
      <c r="E1136" s="4" t="n"/>
      <c r="F1136">
        <f>IF(A1136="","",SUMIFS(المبيعات!$F$2:$F$2000,المبيعات!$D$2:$D$2000,A1136))</f>
        <v/>
      </c>
      <c r="G1136">
        <f>IF(A1136="","",E1136-F1136)</f>
        <v/>
      </c>
      <c r="H1136" s="4" t="n"/>
      <c r="I1136">
        <f>IF(OR(A1136="",H1136=""),"",IF(G1136&lt;=H1136,"اطلب الآن",""))</f>
        <v/>
      </c>
    </row>
    <row r="1137">
      <c r="A1137" s="4" t="n"/>
      <c r="B1137" s="4" t="n"/>
      <c r="C1137" s="4" t="n"/>
      <c r="D1137" s="4" t="n"/>
      <c r="E1137" s="4" t="n"/>
      <c r="F1137">
        <f>IF(A1137="","",SUMIFS(المبيعات!$F$2:$F$2000,المبيعات!$D$2:$D$2000,A1137))</f>
        <v/>
      </c>
      <c r="G1137">
        <f>IF(A1137="","",E1137-F1137)</f>
        <v/>
      </c>
      <c r="H1137" s="4" t="n"/>
      <c r="I1137">
        <f>IF(OR(A1137="",H1137=""),"",IF(G1137&lt;=H1137,"اطلب الآن",""))</f>
        <v/>
      </c>
    </row>
    <row r="1138">
      <c r="A1138" s="4" t="n"/>
      <c r="B1138" s="4" t="n"/>
      <c r="C1138" s="4" t="n"/>
      <c r="D1138" s="4" t="n"/>
      <c r="E1138" s="4" t="n"/>
      <c r="F1138">
        <f>IF(A1138="","",SUMIFS(المبيعات!$F$2:$F$2000,المبيعات!$D$2:$D$2000,A1138))</f>
        <v/>
      </c>
      <c r="G1138">
        <f>IF(A1138="","",E1138-F1138)</f>
        <v/>
      </c>
      <c r="H1138" s="4" t="n"/>
      <c r="I1138">
        <f>IF(OR(A1138="",H1138=""),"",IF(G1138&lt;=H1138,"اطلب الآن",""))</f>
        <v/>
      </c>
    </row>
    <row r="1139">
      <c r="A1139" s="4" t="n"/>
      <c r="B1139" s="4" t="n"/>
      <c r="C1139" s="4" t="n"/>
      <c r="D1139" s="4" t="n"/>
      <c r="E1139" s="4" t="n"/>
      <c r="F1139">
        <f>IF(A1139="","",SUMIFS(المبيعات!$F$2:$F$2000,المبيعات!$D$2:$D$2000,A1139))</f>
        <v/>
      </c>
      <c r="G1139">
        <f>IF(A1139="","",E1139-F1139)</f>
        <v/>
      </c>
      <c r="H1139" s="4" t="n"/>
      <c r="I1139">
        <f>IF(OR(A1139="",H1139=""),"",IF(G1139&lt;=H1139,"اطلب الآن",""))</f>
        <v/>
      </c>
    </row>
    <row r="1140">
      <c r="A1140" s="4" t="n"/>
      <c r="B1140" s="4" t="n"/>
      <c r="C1140" s="4" t="n"/>
      <c r="D1140" s="4" t="n"/>
      <c r="E1140" s="4" t="n"/>
      <c r="F1140">
        <f>IF(A1140="","",SUMIFS(المبيعات!$F$2:$F$2000,المبيعات!$D$2:$D$2000,A1140))</f>
        <v/>
      </c>
      <c r="G1140">
        <f>IF(A1140="","",E1140-F1140)</f>
        <v/>
      </c>
      <c r="H1140" s="4" t="n"/>
      <c r="I1140">
        <f>IF(OR(A1140="",H1140=""),"",IF(G1140&lt;=H1140,"اطلب الآن",""))</f>
        <v/>
      </c>
    </row>
    <row r="1141">
      <c r="A1141" s="4" t="n"/>
      <c r="B1141" s="4" t="n"/>
      <c r="C1141" s="4" t="n"/>
      <c r="D1141" s="4" t="n"/>
      <c r="E1141" s="4" t="n"/>
      <c r="F1141">
        <f>IF(A1141="","",SUMIFS(المبيعات!$F$2:$F$2000,المبيعات!$D$2:$D$2000,A1141))</f>
        <v/>
      </c>
      <c r="G1141">
        <f>IF(A1141="","",E1141-F1141)</f>
        <v/>
      </c>
      <c r="H1141" s="4" t="n"/>
      <c r="I1141">
        <f>IF(OR(A1141="",H1141=""),"",IF(G1141&lt;=H1141,"اطلب الآن",""))</f>
        <v/>
      </c>
    </row>
    <row r="1142">
      <c r="A1142" s="4" t="n"/>
      <c r="B1142" s="4" t="n"/>
      <c r="C1142" s="4" t="n"/>
      <c r="D1142" s="4" t="n"/>
      <c r="E1142" s="4" t="n"/>
      <c r="F1142">
        <f>IF(A1142="","",SUMIFS(المبيعات!$F$2:$F$2000,المبيعات!$D$2:$D$2000,A1142))</f>
        <v/>
      </c>
      <c r="G1142">
        <f>IF(A1142="","",E1142-F1142)</f>
        <v/>
      </c>
      <c r="H1142" s="4" t="n"/>
      <c r="I1142">
        <f>IF(OR(A1142="",H1142=""),"",IF(G1142&lt;=H1142,"اطلب الآن",""))</f>
        <v/>
      </c>
    </row>
    <row r="1143">
      <c r="A1143" s="4" t="n"/>
      <c r="B1143" s="4" t="n"/>
      <c r="C1143" s="4" t="n"/>
      <c r="D1143" s="4" t="n"/>
      <c r="E1143" s="4" t="n"/>
      <c r="F1143">
        <f>IF(A1143="","",SUMIFS(المبيعات!$F$2:$F$2000,المبيعات!$D$2:$D$2000,A1143))</f>
        <v/>
      </c>
      <c r="G1143">
        <f>IF(A1143="","",E1143-F1143)</f>
        <v/>
      </c>
      <c r="H1143" s="4" t="n"/>
      <c r="I1143">
        <f>IF(OR(A1143="",H1143=""),"",IF(G1143&lt;=H1143,"اطلب الآن",""))</f>
        <v/>
      </c>
    </row>
    <row r="1144">
      <c r="A1144" s="4" t="n"/>
      <c r="B1144" s="4" t="n"/>
      <c r="C1144" s="4" t="n"/>
      <c r="D1144" s="4" t="n"/>
      <c r="E1144" s="4" t="n"/>
      <c r="F1144">
        <f>IF(A1144="","",SUMIFS(المبيعات!$F$2:$F$2000,المبيعات!$D$2:$D$2000,A1144))</f>
        <v/>
      </c>
      <c r="G1144">
        <f>IF(A1144="","",E1144-F1144)</f>
        <v/>
      </c>
      <c r="H1144" s="4" t="n"/>
      <c r="I1144">
        <f>IF(OR(A1144="",H1144=""),"",IF(G1144&lt;=H1144,"اطلب الآن",""))</f>
        <v/>
      </c>
    </row>
    <row r="1145">
      <c r="A1145" s="4" t="n"/>
      <c r="B1145" s="4" t="n"/>
      <c r="C1145" s="4" t="n"/>
      <c r="D1145" s="4" t="n"/>
      <c r="E1145" s="4" t="n"/>
      <c r="F1145">
        <f>IF(A1145="","",SUMIFS(المبيعات!$F$2:$F$2000,المبيعات!$D$2:$D$2000,A1145))</f>
        <v/>
      </c>
      <c r="G1145">
        <f>IF(A1145="","",E1145-F1145)</f>
        <v/>
      </c>
      <c r="H1145" s="4" t="n"/>
      <c r="I1145">
        <f>IF(OR(A1145="",H1145=""),"",IF(G1145&lt;=H1145,"اطلب الآن",""))</f>
        <v/>
      </c>
    </row>
    <row r="1146">
      <c r="A1146" s="4" t="n"/>
      <c r="B1146" s="4" t="n"/>
      <c r="C1146" s="4" t="n"/>
      <c r="D1146" s="4" t="n"/>
      <c r="E1146" s="4" t="n"/>
      <c r="F1146">
        <f>IF(A1146="","",SUMIFS(المبيعات!$F$2:$F$2000,المبيعات!$D$2:$D$2000,A1146))</f>
        <v/>
      </c>
      <c r="G1146">
        <f>IF(A1146="","",E1146-F1146)</f>
        <v/>
      </c>
      <c r="H1146" s="4" t="n"/>
      <c r="I1146">
        <f>IF(OR(A1146="",H1146=""),"",IF(G1146&lt;=H1146,"اطلب الآن",""))</f>
        <v/>
      </c>
    </row>
    <row r="1147">
      <c r="A1147" s="4" t="n"/>
      <c r="B1147" s="4" t="n"/>
      <c r="C1147" s="4" t="n"/>
      <c r="D1147" s="4" t="n"/>
      <c r="E1147" s="4" t="n"/>
      <c r="F1147">
        <f>IF(A1147="","",SUMIFS(المبيعات!$F$2:$F$2000,المبيعات!$D$2:$D$2000,A1147))</f>
        <v/>
      </c>
      <c r="G1147">
        <f>IF(A1147="","",E1147-F1147)</f>
        <v/>
      </c>
      <c r="H1147" s="4" t="n"/>
      <c r="I1147">
        <f>IF(OR(A1147="",H1147=""),"",IF(G1147&lt;=H1147,"اطلب الآن",""))</f>
        <v/>
      </c>
    </row>
    <row r="1148">
      <c r="A1148" s="4" t="n"/>
      <c r="B1148" s="4" t="n"/>
      <c r="C1148" s="4" t="n"/>
      <c r="D1148" s="4" t="n"/>
      <c r="E1148" s="4" t="n"/>
      <c r="F1148">
        <f>IF(A1148="","",SUMIFS(المبيعات!$F$2:$F$2000,المبيعات!$D$2:$D$2000,A1148))</f>
        <v/>
      </c>
      <c r="G1148">
        <f>IF(A1148="","",E1148-F1148)</f>
        <v/>
      </c>
      <c r="H1148" s="4" t="n"/>
      <c r="I1148">
        <f>IF(OR(A1148="",H1148=""),"",IF(G1148&lt;=H1148,"اطلب الآن",""))</f>
        <v/>
      </c>
    </row>
    <row r="1149">
      <c r="A1149" s="4" t="n"/>
      <c r="B1149" s="4" t="n"/>
      <c r="C1149" s="4" t="n"/>
      <c r="D1149" s="4" t="n"/>
      <c r="E1149" s="4" t="n"/>
      <c r="F1149">
        <f>IF(A1149="","",SUMIFS(المبيعات!$F$2:$F$2000,المبيعات!$D$2:$D$2000,A1149))</f>
        <v/>
      </c>
      <c r="G1149">
        <f>IF(A1149="","",E1149-F1149)</f>
        <v/>
      </c>
      <c r="H1149" s="4" t="n"/>
      <c r="I1149">
        <f>IF(OR(A1149="",H1149=""),"",IF(G1149&lt;=H1149,"اطلب الآن",""))</f>
        <v/>
      </c>
    </row>
    <row r="1150">
      <c r="A1150" s="4" t="n"/>
      <c r="B1150" s="4" t="n"/>
      <c r="C1150" s="4" t="n"/>
      <c r="D1150" s="4" t="n"/>
      <c r="E1150" s="4" t="n"/>
      <c r="F1150">
        <f>IF(A1150="","",SUMIFS(المبيعات!$F$2:$F$2000,المبيعات!$D$2:$D$2000,A1150))</f>
        <v/>
      </c>
      <c r="G1150">
        <f>IF(A1150="","",E1150-F1150)</f>
        <v/>
      </c>
      <c r="H1150" s="4" t="n"/>
      <c r="I1150">
        <f>IF(OR(A1150="",H1150=""),"",IF(G1150&lt;=H1150,"اطلب الآن",""))</f>
        <v/>
      </c>
    </row>
    <row r="1151">
      <c r="A1151" s="4" t="n"/>
      <c r="B1151" s="4" t="n"/>
      <c r="C1151" s="4" t="n"/>
      <c r="D1151" s="4" t="n"/>
      <c r="E1151" s="4" t="n"/>
      <c r="F1151">
        <f>IF(A1151="","",SUMIFS(المبيعات!$F$2:$F$2000,المبيعات!$D$2:$D$2000,A1151))</f>
        <v/>
      </c>
      <c r="G1151">
        <f>IF(A1151="","",E1151-F1151)</f>
        <v/>
      </c>
      <c r="H1151" s="4" t="n"/>
      <c r="I1151">
        <f>IF(OR(A1151="",H1151=""),"",IF(G1151&lt;=H1151,"اطلب الآن",""))</f>
        <v/>
      </c>
    </row>
    <row r="1152">
      <c r="A1152" s="4" t="n"/>
      <c r="B1152" s="4" t="n"/>
      <c r="C1152" s="4" t="n"/>
      <c r="D1152" s="4" t="n"/>
      <c r="E1152" s="4" t="n"/>
      <c r="F1152">
        <f>IF(A1152="","",SUMIFS(المبيعات!$F$2:$F$2000,المبيعات!$D$2:$D$2000,A1152))</f>
        <v/>
      </c>
      <c r="G1152">
        <f>IF(A1152="","",E1152-F1152)</f>
        <v/>
      </c>
      <c r="H1152" s="4" t="n"/>
      <c r="I1152">
        <f>IF(OR(A1152="",H1152=""),"",IF(G1152&lt;=H1152,"اطلب الآن",""))</f>
        <v/>
      </c>
    </row>
    <row r="1153">
      <c r="A1153" s="4" t="n"/>
      <c r="B1153" s="4" t="n"/>
      <c r="C1153" s="4" t="n"/>
      <c r="D1153" s="4" t="n"/>
      <c r="E1153" s="4" t="n"/>
      <c r="F1153">
        <f>IF(A1153="","",SUMIFS(المبيعات!$F$2:$F$2000,المبيعات!$D$2:$D$2000,A1153))</f>
        <v/>
      </c>
      <c r="G1153">
        <f>IF(A1153="","",E1153-F1153)</f>
        <v/>
      </c>
      <c r="H1153" s="4" t="n"/>
      <c r="I1153">
        <f>IF(OR(A1153="",H1153=""),"",IF(G1153&lt;=H1153,"اطلب الآن",""))</f>
        <v/>
      </c>
    </row>
    <row r="1154">
      <c r="A1154" s="4" t="n"/>
      <c r="B1154" s="4" t="n"/>
      <c r="C1154" s="4" t="n"/>
      <c r="D1154" s="4" t="n"/>
      <c r="E1154" s="4" t="n"/>
      <c r="F1154">
        <f>IF(A1154="","",SUMIFS(المبيعات!$F$2:$F$2000,المبيعات!$D$2:$D$2000,A1154))</f>
        <v/>
      </c>
      <c r="G1154">
        <f>IF(A1154="","",E1154-F1154)</f>
        <v/>
      </c>
      <c r="H1154" s="4" t="n"/>
      <c r="I1154">
        <f>IF(OR(A1154="",H1154=""),"",IF(G1154&lt;=H1154,"اطلب الآن",""))</f>
        <v/>
      </c>
    </row>
    <row r="1155">
      <c r="A1155" s="4" t="n"/>
      <c r="B1155" s="4" t="n"/>
      <c r="C1155" s="4" t="n"/>
      <c r="D1155" s="4" t="n"/>
      <c r="E1155" s="4" t="n"/>
      <c r="F1155">
        <f>IF(A1155="","",SUMIFS(المبيعات!$F$2:$F$2000,المبيعات!$D$2:$D$2000,A1155))</f>
        <v/>
      </c>
      <c r="G1155">
        <f>IF(A1155="","",E1155-F1155)</f>
        <v/>
      </c>
      <c r="H1155" s="4" t="n"/>
      <c r="I1155">
        <f>IF(OR(A1155="",H1155=""),"",IF(G1155&lt;=H1155,"اطلب الآن",""))</f>
        <v/>
      </c>
    </row>
    <row r="1156">
      <c r="A1156" s="4" t="n"/>
      <c r="B1156" s="4" t="n"/>
      <c r="C1156" s="4" t="n"/>
      <c r="D1156" s="4" t="n"/>
      <c r="E1156" s="4" t="n"/>
      <c r="F1156">
        <f>IF(A1156="","",SUMIFS(المبيعات!$F$2:$F$2000,المبيعات!$D$2:$D$2000,A1156))</f>
        <v/>
      </c>
      <c r="G1156">
        <f>IF(A1156="","",E1156-F1156)</f>
        <v/>
      </c>
      <c r="H1156" s="4" t="n"/>
      <c r="I1156">
        <f>IF(OR(A1156="",H1156=""),"",IF(G1156&lt;=H1156,"اطلب الآن",""))</f>
        <v/>
      </c>
    </row>
    <row r="1157">
      <c r="A1157" s="4" t="n"/>
      <c r="B1157" s="4" t="n"/>
      <c r="C1157" s="4" t="n"/>
      <c r="D1157" s="4" t="n"/>
      <c r="E1157" s="4" t="n"/>
      <c r="F1157">
        <f>IF(A1157="","",SUMIFS(المبيعات!$F$2:$F$2000,المبيعات!$D$2:$D$2000,A1157))</f>
        <v/>
      </c>
      <c r="G1157">
        <f>IF(A1157="","",E1157-F1157)</f>
        <v/>
      </c>
      <c r="H1157" s="4" t="n"/>
      <c r="I1157">
        <f>IF(OR(A1157="",H1157=""),"",IF(G1157&lt;=H1157,"اطلب الآن",""))</f>
        <v/>
      </c>
    </row>
    <row r="1158">
      <c r="A1158" s="4" t="n"/>
      <c r="B1158" s="4" t="n"/>
      <c r="C1158" s="4" t="n"/>
      <c r="D1158" s="4" t="n"/>
      <c r="E1158" s="4" t="n"/>
      <c r="F1158">
        <f>IF(A1158="","",SUMIFS(المبيعات!$F$2:$F$2000,المبيعات!$D$2:$D$2000,A1158))</f>
        <v/>
      </c>
      <c r="G1158">
        <f>IF(A1158="","",E1158-F1158)</f>
        <v/>
      </c>
      <c r="H1158" s="4" t="n"/>
      <c r="I1158">
        <f>IF(OR(A1158="",H1158=""),"",IF(G1158&lt;=H1158,"اطلب الآن",""))</f>
        <v/>
      </c>
    </row>
    <row r="1159">
      <c r="A1159" s="4" t="n"/>
      <c r="B1159" s="4" t="n"/>
      <c r="C1159" s="4" t="n"/>
      <c r="D1159" s="4" t="n"/>
      <c r="E1159" s="4" t="n"/>
      <c r="F1159">
        <f>IF(A1159="","",SUMIFS(المبيعات!$F$2:$F$2000,المبيعات!$D$2:$D$2000,A1159))</f>
        <v/>
      </c>
      <c r="G1159">
        <f>IF(A1159="","",E1159-F1159)</f>
        <v/>
      </c>
      <c r="H1159" s="4" t="n"/>
      <c r="I1159">
        <f>IF(OR(A1159="",H1159=""),"",IF(G1159&lt;=H1159,"اطلب الآن",""))</f>
        <v/>
      </c>
    </row>
    <row r="1160">
      <c r="A1160" s="4" t="n"/>
      <c r="B1160" s="4" t="n"/>
      <c r="C1160" s="4" t="n"/>
      <c r="D1160" s="4" t="n"/>
      <c r="E1160" s="4" t="n"/>
      <c r="F1160">
        <f>IF(A1160="","",SUMIFS(المبيعات!$F$2:$F$2000,المبيعات!$D$2:$D$2000,A1160))</f>
        <v/>
      </c>
      <c r="G1160">
        <f>IF(A1160="","",E1160-F1160)</f>
        <v/>
      </c>
      <c r="H1160" s="4" t="n"/>
      <c r="I1160">
        <f>IF(OR(A1160="",H1160=""),"",IF(G1160&lt;=H1160,"اطلب الآن",""))</f>
        <v/>
      </c>
    </row>
    <row r="1161">
      <c r="A1161" s="4" t="n"/>
      <c r="B1161" s="4" t="n"/>
      <c r="C1161" s="4" t="n"/>
      <c r="D1161" s="4" t="n"/>
      <c r="E1161" s="4" t="n"/>
      <c r="F1161">
        <f>IF(A1161="","",SUMIFS(المبيعات!$F$2:$F$2000,المبيعات!$D$2:$D$2000,A1161))</f>
        <v/>
      </c>
      <c r="G1161">
        <f>IF(A1161="","",E1161-F1161)</f>
        <v/>
      </c>
      <c r="H1161" s="4" t="n"/>
      <c r="I1161">
        <f>IF(OR(A1161="",H1161=""),"",IF(G1161&lt;=H1161,"اطلب الآن",""))</f>
        <v/>
      </c>
    </row>
    <row r="1162">
      <c r="A1162" s="4" t="n"/>
      <c r="B1162" s="4" t="n"/>
      <c r="C1162" s="4" t="n"/>
      <c r="D1162" s="4" t="n"/>
      <c r="E1162" s="4" t="n"/>
      <c r="F1162">
        <f>IF(A1162="","",SUMIFS(المبيعات!$F$2:$F$2000,المبيعات!$D$2:$D$2000,A1162))</f>
        <v/>
      </c>
      <c r="G1162">
        <f>IF(A1162="","",E1162-F1162)</f>
        <v/>
      </c>
      <c r="H1162" s="4" t="n"/>
      <c r="I1162">
        <f>IF(OR(A1162="",H1162=""),"",IF(G1162&lt;=H1162,"اطلب الآن",""))</f>
        <v/>
      </c>
    </row>
    <row r="1163">
      <c r="A1163" s="4" t="n"/>
      <c r="B1163" s="4" t="n"/>
      <c r="C1163" s="4" t="n"/>
      <c r="D1163" s="4" t="n"/>
      <c r="E1163" s="4" t="n"/>
      <c r="F1163">
        <f>IF(A1163="","",SUMIFS(المبيعات!$F$2:$F$2000,المبيعات!$D$2:$D$2000,A1163))</f>
        <v/>
      </c>
      <c r="G1163">
        <f>IF(A1163="","",E1163-F1163)</f>
        <v/>
      </c>
      <c r="H1163" s="4" t="n"/>
      <c r="I1163">
        <f>IF(OR(A1163="",H1163=""),"",IF(G1163&lt;=H1163,"اطلب الآن",""))</f>
        <v/>
      </c>
    </row>
    <row r="1164">
      <c r="A1164" s="4" t="n"/>
      <c r="B1164" s="4" t="n"/>
      <c r="C1164" s="4" t="n"/>
      <c r="D1164" s="4" t="n"/>
      <c r="E1164" s="4" t="n"/>
      <c r="F1164">
        <f>IF(A1164="","",SUMIFS(المبيعات!$F$2:$F$2000,المبيعات!$D$2:$D$2000,A1164))</f>
        <v/>
      </c>
      <c r="G1164">
        <f>IF(A1164="","",E1164-F1164)</f>
        <v/>
      </c>
      <c r="H1164" s="4" t="n"/>
      <c r="I1164">
        <f>IF(OR(A1164="",H1164=""),"",IF(G1164&lt;=H1164,"اطلب الآن",""))</f>
        <v/>
      </c>
    </row>
    <row r="1165">
      <c r="A1165" s="4" t="n"/>
      <c r="B1165" s="4" t="n"/>
      <c r="C1165" s="4" t="n"/>
      <c r="D1165" s="4" t="n"/>
      <c r="E1165" s="4" t="n"/>
      <c r="F1165">
        <f>IF(A1165="","",SUMIFS(المبيعات!$F$2:$F$2000,المبيعات!$D$2:$D$2000,A1165))</f>
        <v/>
      </c>
      <c r="G1165">
        <f>IF(A1165="","",E1165-F1165)</f>
        <v/>
      </c>
      <c r="H1165" s="4" t="n"/>
      <c r="I1165">
        <f>IF(OR(A1165="",H1165=""),"",IF(G1165&lt;=H1165,"اطلب الآن",""))</f>
        <v/>
      </c>
    </row>
    <row r="1166">
      <c r="A1166" s="4" t="n"/>
      <c r="B1166" s="4" t="n"/>
      <c r="C1166" s="4" t="n"/>
      <c r="D1166" s="4" t="n"/>
      <c r="E1166" s="4" t="n"/>
      <c r="F1166">
        <f>IF(A1166="","",SUMIFS(المبيعات!$F$2:$F$2000,المبيعات!$D$2:$D$2000,A1166))</f>
        <v/>
      </c>
      <c r="G1166">
        <f>IF(A1166="","",E1166-F1166)</f>
        <v/>
      </c>
      <c r="H1166" s="4" t="n"/>
      <c r="I1166">
        <f>IF(OR(A1166="",H1166=""),"",IF(G1166&lt;=H1166,"اطلب الآن",""))</f>
        <v/>
      </c>
    </row>
    <row r="1167">
      <c r="A1167" s="4" t="n"/>
      <c r="B1167" s="4" t="n"/>
      <c r="C1167" s="4" t="n"/>
      <c r="D1167" s="4" t="n"/>
      <c r="E1167" s="4" t="n"/>
      <c r="F1167">
        <f>IF(A1167="","",SUMIFS(المبيعات!$F$2:$F$2000,المبيعات!$D$2:$D$2000,A1167))</f>
        <v/>
      </c>
      <c r="G1167">
        <f>IF(A1167="","",E1167-F1167)</f>
        <v/>
      </c>
      <c r="H1167" s="4" t="n"/>
      <c r="I1167">
        <f>IF(OR(A1167="",H1167=""),"",IF(G1167&lt;=H1167,"اطلب الآن",""))</f>
        <v/>
      </c>
    </row>
    <row r="1168">
      <c r="A1168" s="4" t="n"/>
      <c r="B1168" s="4" t="n"/>
      <c r="C1168" s="4" t="n"/>
      <c r="D1168" s="4" t="n"/>
      <c r="E1168" s="4" t="n"/>
      <c r="F1168">
        <f>IF(A1168="","",SUMIFS(المبيعات!$F$2:$F$2000,المبيعات!$D$2:$D$2000,A1168))</f>
        <v/>
      </c>
      <c r="G1168">
        <f>IF(A1168="","",E1168-F1168)</f>
        <v/>
      </c>
      <c r="H1168" s="4" t="n"/>
      <c r="I1168">
        <f>IF(OR(A1168="",H1168=""),"",IF(G1168&lt;=H1168,"اطلب الآن",""))</f>
        <v/>
      </c>
    </row>
    <row r="1169">
      <c r="A1169" s="4" t="n"/>
      <c r="B1169" s="4" t="n"/>
      <c r="C1169" s="4" t="n"/>
      <c r="D1169" s="4" t="n"/>
      <c r="E1169" s="4" t="n"/>
      <c r="F1169">
        <f>IF(A1169="","",SUMIFS(المبيعات!$F$2:$F$2000,المبيعات!$D$2:$D$2000,A1169))</f>
        <v/>
      </c>
      <c r="G1169">
        <f>IF(A1169="","",E1169-F1169)</f>
        <v/>
      </c>
      <c r="H1169" s="4" t="n"/>
      <c r="I1169">
        <f>IF(OR(A1169="",H1169=""),"",IF(G1169&lt;=H1169,"اطلب الآن",""))</f>
        <v/>
      </c>
    </row>
    <row r="1170">
      <c r="A1170" s="4" t="n"/>
      <c r="B1170" s="4" t="n"/>
      <c r="C1170" s="4" t="n"/>
      <c r="D1170" s="4" t="n"/>
      <c r="E1170" s="4" t="n"/>
      <c r="F1170">
        <f>IF(A1170="","",SUMIFS(المبيعات!$F$2:$F$2000,المبيعات!$D$2:$D$2000,A1170))</f>
        <v/>
      </c>
      <c r="G1170">
        <f>IF(A1170="","",E1170-F1170)</f>
        <v/>
      </c>
      <c r="H1170" s="4" t="n"/>
      <c r="I1170">
        <f>IF(OR(A1170="",H1170=""),"",IF(G1170&lt;=H1170,"اطلب الآن",""))</f>
        <v/>
      </c>
    </row>
    <row r="1171">
      <c r="A1171" s="4" t="n"/>
      <c r="B1171" s="4" t="n"/>
      <c r="C1171" s="4" t="n"/>
      <c r="D1171" s="4" t="n"/>
      <c r="E1171" s="4" t="n"/>
      <c r="F1171">
        <f>IF(A1171="","",SUMIFS(المبيعات!$F$2:$F$2000,المبيعات!$D$2:$D$2000,A1171))</f>
        <v/>
      </c>
      <c r="G1171">
        <f>IF(A1171="","",E1171-F1171)</f>
        <v/>
      </c>
      <c r="H1171" s="4" t="n"/>
      <c r="I1171">
        <f>IF(OR(A1171="",H1171=""),"",IF(G1171&lt;=H1171,"اطلب الآن",""))</f>
        <v/>
      </c>
    </row>
    <row r="1172">
      <c r="A1172" s="4" t="n"/>
      <c r="B1172" s="4" t="n"/>
      <c r="C1172" s="4" t="n"/>
      <c r="D1172" s="4" t="n"/>
      <c r="E1172" s="4" t="n"/>
      <c r="F1172">
        <f>IF(A1172="","",SUMIFS(المبيعات!$F$2:$F$2000,المبيعات!$D$2:$D$2000,A1172))</f>
        <v/>
      </c>
      <c r="G1172">
        <f>IF(A1172="","",E1172-F1172)</f>
        <v/>
      </c>
      <c r="H1172" s="4" t="n"/>
      <c r="I1172">
        <f>IF(OR(A1172="",H1172=""),"",IF(G1172&lt;=H1172,"اطلب الآن",""))</f>
        <v/>
      </c>
    </row>
    <row r="1173">
      <c r="A1173" s="4" t="n"/>
      <c r="B1173" s="4" t="n"/>
      <c r="C1173" s="4" t="n"/>
      <c r="D1173" s="4" t="n"/>
      <c r="E1173" s="4" t="n"/>
      <c r="F1173">
        <f>IF(A1173="","",SUMIFS(المبيعات!$F$2:$F$2000,المبيعات!$D$2:$D$2000,A1173))</f>
        <v/>
      </c>
      <c r="G1173">
        <f>IF(A1173="","",E1173-F1173)</f>
        <v/>
      </c>
      <c r="H1173" s="4" t="n"/>
      <c r="I1173">
        <f>IF(OR(A1173="",H1173=""),"",IF(G1173&lt;=H1173,"اطلب الآن",""))</f>
        <v/>
      </c>
    </row>
    <row r="1174">
      <c r="A1174" s="4" t="n"/>
      <c r="B1174" s="4" t="n"/>
      <c r="C1174" s="4" t="n"/>
      <c r="D1174" s="4" t="n"/>
      <c r="E1174" s="4" t="n"/>
      <c r="F1174">
        <f>IF(A1174="","",SUMIFS(المبيعات!$F$2:$F$2000,المبيعات!$D$2:$D$2000,A1174))</f>
        <v/>
      </c>
      <c r="G1174">
        <f>IF(A1174="","",E1174-F1174)</f>
        <v/>
      </c>
      <c r="H1174" s="4" t="n"/>
      <c r="I1174">
        <f>IF(OR(A1174="",H1174=""),"",IF(G1174&lt;=H1174,"اطلب الآن",""))</f>
        <v/>
      </c>
    </row>
    <row r="1175">
      <c r="A1175" s="4" t="n"/>
      <c r="B1175" s="4" t="n"/>
      <c r="C1175" s="4" t="n"/>
      <c r="D1175" s="4" t="n"/>
      <c r="E1175" s="4" t="n"/>
      <c r="F1175">
        <f>IF(A1175="","",SUMIFS(المبيعات!$F$2:$F$2000,المبيعات!$D$2:$D$2000,A1175))</f>
        <v/>
      </c>
      <c r="G1175">
        <f>IF(A1175="","",E1175-F1175)</f>
        <v/>
      </c>
      <c r="H1175" s="4" t="n"/>
      <c r="I1175">
        <f>IF(OR(A1175="",H1175=""),"",IF(G1175&lt;=H1175,"اطلب الآن",""))</f>
        <v/>
      </c>
    </row>
    <row r="1176">
      <c r="A1176" s="4" t="n"/>
      <c r="B1176" s="4" t="n"/>
      <c r="C1176" s="4" t="n"/>
      <c r="D1176" s="4" t="n"/>
      <c r="E1176" s="4" t="n"/>
      <c r="F1176">
        <f>IF(A1176="","",SUMIFS(المبيعات!$F$2:$F$2000,المبيعات!$D$2:$D$2000,A1176))</f>
        <v/>
      </c>
      <c r="G1176">
        <f>IF(A1176="","",E1176-F1176)</f>
        <v/>
      </c>
      <c r="H1176" s="4" t="n"/>
      <c r="I1176">
        <f>IF(OR(A1176="",H1176=""),"",IF(G1176&lt;=H1176,"اطلب الآن",""))</f>
        <v/>
      </c>
    </row>
    <row r="1177">
      <c r="A1177" s="4" t="n"/>
      <c r="B1177" s="4" t="n"/>
      <c r="C1177" s="4" t="n"/>
      <c r="D1177" s="4" t="n"/>
      <c r="E1177" s="4" t="n"/>
      <c r="F1177">
        <f>IF(A1177="","",SUMIFS(المبيعات!$F$2:$F$2000,المبيعات!$D$2:$D$2000,A1177))</f>
        <v/>
      </c>
      <c r="G1177">
        <f>IF(A1177="","",E1177-F1177)</f>
        <v/>
      </c>
      <c r="H1177" s="4" t="n"/>
      <c r="I1177">
        <f>IF(OR(A1177="",H1177=""),"",IF(G1177&lt;=H1177,"اطلب الآن",""))</f>
        <v/>
      </c>
    </row>
    <row r="1178">
      <c r="A1178" s="4" t="n"/>
      <c r="B1178" s="4" t="n"/>
      <c r="C1178" s="4" t="n"/>
      <c r="D1178" s="4" t="n"/>
      <c r="E1178" s="4" t="n"/>
      <c r="F1178">
        <f>IF(A1178="","",SUMIFS(المبيعات!$F$2:$F$2000,المبيعات!$D$2:$D$2000,A1178))</f>
        <v/>
      </c>
      <c r="G1178">
        <f>IF(A1178="","",E1178-F1178)</f>
        <v/>
      </c>
      <c r="H1178" s="4" t="n"/>
      <c r="I1178">
        <f>IF(OR(A1178="",H1178=""),"",IF(G1178&lt;=H1178,"اطلب الآن",""))</f>
        <v/>
      </c>
    </row>
    <row r="1179">
      <c r="A1179" s="4" t="n"/>
      <c r="B1179" s="4" t="n"/>
      <c r="C1179" s="4" t="n"/>
      <c r="D1179" s="4" t="n"/>
      <c r="E1179" s="4" t="n"/>
      <c r="F1179">
        <f>IF(A1179="","",SUMIFS(المبيعات!$F$2:$F$2000,المبيعات!$D$2:$D$2000,A1179))</f>
        <v/>
      </c>
      <c r="G1179">
        <f>IF(A1179="","",E1179-F1179)</f>
        <v/>
      </c>
      <c r="H1179" s="4" t="n"/>
      <c r="I1179">
        <f>IF(OR(A1179="",H1179=""),"",IF(G1179&lt;=H1179,"اطلب الآن",""))</f>
        <v/>
      </c>
    </row>
    <row r="1180">
      <c r="A1180" s="4" t="n"/>
      <c r="B1180" s="4" t="n"/>
      <c r="C1180" s="4" t="n"/>
      <c r="D1180" s="4" t="n"/>
      <c r="E1180" s="4" t="n"/>
      <c r="F1180">
        <f>IF(A1180="","",SUMIFS(المبيعات!$F$2:$F$2000,المبيعات!$D$2:$D$2000,A1180))</f>
        <v/>
      </c>
      <c r="G1180">
        <f>IF(A1180="","",E1180-F1180)</f>
        <v/>
      </c>
      <c r="H1180" s="4" t="n"/>
      <c r="I1180">
        <f>IF(OR(A1180="",H1180=""),"",IF(G1180&lt;=H1180,"اطلب الآن",""))</f>
        <v/>
      </c>
    </row>
    <row r="1181">
      <c r="A1181" s="4" t="n"/>
      <c r="B1181" s="4" t="n"/>
      <c r="C1181" s="4" t="n"/>
      <c r="D1181" s="4" t="n"/>
      <c r="E1181" s="4" t="n"/>
      <c r="F1181">
        <f>IF(A1181="","",SUMIFS(المبيعات!$F$2:$F$2000,المبيعات!$D$2:$D$2000,A1181))</f>
        <v/>
      </c>
      <c r="G1181">
        <f>IF(A1181="","",E1181-F1181)</f>
        <v/>
      </c>
      <c r="H1181" s="4" t="n"/>
      <c r="I1181">
        <f>IF(OR(A1181="",H1181=""),"",IF(G1181&lt;=H1181,"اطلب الآن",""))</f>
        <v/>
      </c>
    </row>
    <row r="1182">
      <c r="A1182" s="4" t="n"/>
      <c r="B1182" s="4" t="n"/>
      <c r="C1182" s="4" t="n"/>
      <c r="D1182" s="4" t="n"/>
      <c r="E1182" s="4" t="n"/>
      <c r="F1182">
        <f>IF(A1182="","",SUMIFS(المبيعات!$F$2:$F$2000,المبيعات!$D$2:$D$2000,A1182))</f>
        <v/>
      </c>
      <c r="G1182">
        <f>IF(A1182="","",E1182-F1182)</f>
        <v/>
      </c>
      <c r="H1182" s="4" t="n"/>
      <c r="I1182">
        <f>IF(OR(A1182="",H1182=""),"",IF(G1182&lt;=H1182,"اطلب الآن",""))</f>
        <v/>
      </c>
    </row>
    <row r="1183">
      <c r="A1183" s="4" t="n"/>
      <c r="B1183" s="4" t="n"/>
      <c r="C1183" s="4" t="n"/>
      <c r="D1183" s="4" t="n"/>
      <c r="E1183" s="4" t="n"/>
      <c r="F1183">
        <f>IF(A1183="","",SUMIFS(المبيعات!$F$2:$F$2000,المبيعات!$D$2:$D$2000,A1183))</f>
        <v/>
      </c>
      <c r="G1183">
        <f>IF(A1183="","",E1183-F1183)</f>
        <v/>
      </c>
      <c r="H1183" s="4" t="n"/>
      <c r="I1183">
        <f>IF(OR(A1183="",H1183=""),"",IF(G1183&lt;=H1183,"اطلب الآن",""))</f>
        <v/>
      </c>
    </row>
    <row r="1184">
      <c r="A1184" s="4" t="n"/>
      <c r="B1184" s="4" t="n"/>
      <c r="C1184" s="4" t="n"/>
      <c r="D1184" s="4" t="n"/>
      <c r="E1184" s="4" t="n"/>
      <c r="F1184">
        <f>IF(A1184="","",SUMIFS(المبيعات!$F$2:$F$2000,المبيعات!$D$2:$D$2000,A1184))</f>
        <v/>
      </c>
      <c r="G1184">
        <f>IF(A1184="","",E1184-F1184)</f>
        <v/>
      </c>
      <c r="H1184" s="4" t="n"/>
      <c r="I1184">
        <f>IF(OR(A1184="",H1184=""),"",IF(G1184&lt;=H1184,"اطلب الآن",""))</f>
        <v/>
      </c>
    </row>
    <row r="1185">
      <c r="A1185" s="4" t="n"/>
      <c r="B1185" s="4" t="n"/>
      <c r="C1185" s="4" t="n"/>
      <c r="D1185" s="4" t="n"/>
      <c r="E1185" s="4" t="n"/>
      <c r="F1185">
        <f>IF(A1185="","",SUMIFS(المبيعات!$F$2:$F$2000,المبيعات!$D$2:$D$2000,A1185))</f>
        <v/>
      </c>
      <c r="G1185">
        <f>IF(A1185="","",E1185-F1185)</f>
        <v/>
      </c>
      <c r="H1185" s="4" t="n"/>
      <c r="I1185">
        <f>IF(OR(A1185="",H1185=""),"",IF(G1185&lt;=H1185,"اطلب الآن",""))</f>
        <v/>
      </c>
    </row>
    <row r="1186">
      <c r="A1186" s="4" t="n"/>
      <c r="B1186" s="4" t="n"/>
      <c r="C1186" s="4" t="n"/>
      <c r="D1186" s="4" t="n"/>
      <c r="E1186" s="4" t="n"/>
      <c r="F1186">
        <f>IF(A1186="","",SUMIFS(المبيعات!$F$2:$F$2000,المبيعات!$D$2:$D$2000,A1186))</f>
        <v/>
      </c>
      <c r="G1186">
        <f>IF(A1186="","",E1186-F1186)</f>
        <v/>
      </c>
      <c r="H1186" s="4" t="n"/>
      <c r="I1186">
        <f>IF(OR(A1186="",H1186=""),"",IF(G1186&lt;=H1186,"اطلب الآن",""))</f>
        <v/>
      </c>
    </row>
    <row r="1187">
      <c r="A1187" s="4" t="n"/>
      <c r="B1187" s="4" t="n"/>
      <c r="C1187" s="4" t="n"/>
      <c r="D1187" s="4" t="n"/>
      <c r="E1187" s="4" t="n"/>
      <c r="F1187">
        <f>IF(A1187="","",SUMIFS(المبيعات!$F$2:$F$2000,المبيعات!$D$2:$D$2000,A1187))</f>
        <v/>
      </c>
      <c r="G1187">
        <f>IF(A1187="","",E1187-F1187)</f>
        <v/>
      </c>
      <c r="H1187" s="4" t="n"/>
      <c r="I1187">
        <f>IF(OR(A1187="",H1187=""),"",IF(G1187&lt;=H1187,"اطلب الآن",""))</f>
        <v/>
      </c>
    </row>
    <row r="1188">
      <c r="A1188" s="4" t="n"/>
      <c r="B1188" s="4" t="n"/>
      <c r="C1188" s="4" t="n"/>
      <c r="D1188" s="4" t="n"/>
      <c r="E1188" s="4" t="n"/>
      <c r="F1188">
        <f>IF(A1188="","",SUMIFS(المبيعات!$F$2:$F$2000,المبيعات!$D$2:$D$2000,A1188))</f>
        <v/>
      </c>
      <c r="G1188">
        <f>IF(A1188="","",E1188-F1188)</f>
        <v/>
      </c>
      <c r="H1188" s="4" t="n"/>
      <c r="I1188">
        <f>IF(OR(A1188="",H1188=""),"",IF(G1188&lt;=H1188,"اطلب الآن",""))</f>
        <v/>
      </c>
    </row>
    <row r="1189">
      <c r="A1189" s="4" t="n"/>
      <c r="B1189" s="4" t="n"/>
      <c r="C1189" s="4" t="n"/>
      <c r="D1189" s="4" t="n"/>
      <c r="E1189" s="4" t="n"/>
      <c r="F1189">
        <f>IF(A1189="","",SUMIFS(المبيعات!$F$2:$F$2000,المبيعات!$D$2:$D$2000,A1189))</f>
        <v/>
      </c>
      <c r="G1189">
        <f>IF(A1189="","",E1189-F1189)</f>
        <v/>
      </c>
      <c r="H1189" s="4" t="n"/>
      <c r="I1189">
        <f>IF(OR(A1189="",H1189=""),"",IF(G1189&lt;=H1189,"اطلب الآن",""))</f>
        <v/>
      </c>
    </row>
    <row r="1190">
      <c r="A1190" s="4" t="n"/>
      <c r="B1190" s="4" t="n"/>
      <c r="C1190" s="4" t="n"/>
      <c r="D1190" s="4" t="n"/>
      <c r="E1190" s="4" t="n"/>
      <c r="F1190">
        <f>IF(A1190="","",SUMIFS(المبيعات!$F$2:$F$2000,المبيعات!$D$2:$D$2000,A1190))</f>
        <v/>
      </c>
      <c r="G1190">
        <f>IF(A1190="","",E1190-F1190)</f>
        <v/>
      </c>
      <c r="H1190" s="4" t="n"/>
      <c r="I1190">
        <f>IF(OR(A1190="",H1190=""),"",IF(G1190&lt;=H1190,"اطلب الآن",""))</f>
        <v/>
      </c>
    </row>
    <row r="1191">
      <c r="A1191" s="4" t="n"/>
      <c r="B1191" s="4" t="n"/>
      <c r="C1191" s="4" t="n"/>
      <c r="D1191" s="4" t="n"/>
      <c r="E1191" s="4" t="n"/>
      <c r="F1191">
        <f>IF(A1191="","",SUMIFS(المبيعات!$F$2:$F$2000,المبيعات!$D$2:$D$2000,A1191))</f>
        <v/>
      </c>
      <c r="G1191">
        <f>IF(A1191="","",E1191-F1191)</f>
        <v/>
      </c>
      <c r="H1191" s="4" t="n"/>
      <c r="I1191">
        <f>IF(OR(A1191="",H1191=""),"",IF(G1191&lt;=H1191,"اطلب الآن",""))</f>
        <v/>
      </c>
    </row>
    <row r="1192">
      <c r="A1192" s="4" t="n"/>
      <c r="B1192" s="4" t="n"/>
      <c r="C1192" s="4" t="n"/>
      <c r="D1192" s="4" t="n"/>
      <c r="E1192" s="4" t="n"/>
      <c r="F1192">
        <f>IF(A1192="","",SUMIFS(المبيعات!$F$2:$F$2000,المبيعات!$D$2:$D$2000,A1192))</f>
        <v/>
      </c>
      <c r="G1192">
        <f>IF(A1192="","",E1192-F1192)</f>
        <v/>
      </c>
      <c r="H1192" s="4" t="n"/>
      <c r="I1192">
        <f>IF(OR(A1192="",H1192=""),"",IF(G1192&lt;=H1192,"اطلب الآن",""))</f>
        <v/>
      </c>
    </row>
    <row r="1193">
      <c r="A1193" s="4" t="n"/>
      <c r="B1193" s="4" t="n"/>
      <c r="C1193" s="4" t="n"/>
      <c r="D1193" s="4" t="n"/>
      <c r="E1193" s="4" t="n"/>
      <c r="F1193">
        <f>IF(A1193="","",SUMIFS(المبيعات!$F$2:$F$2000,المبيعات!$D$2:$D$2000,A1193))</f>
        <v/>
      </c>
      <c r="G1193">
        <f>IF(A1193="","",E1193-F1193)</f>
        <v/>
      </c>
      <c r="H1193" s="4" t="n"/>
      <c r="I1193">
        <f>IF(OR(A1193="",H1193=""),"",IF(G1193&lt;=H1193,"اطلب الآن",""))</f>
        <v/>
      </c>
    </row>
    <row r="1194">
      <c r="A1194" s="4" t="n"/>
      <c r="B1194" s="4" t="n"/>
      <c r="C1194" s="4" t="n"/>
      <c r="D1194" s="4" t="n"/>
      <c r="E1194" s="4" t="n"/>
      <c r="F1194">
        <f>IF(A1194="","",SUMIFS(المبيعات!$F$2:$F$2000,المبيعات!$D$2:$D$2000,A1194))</f>
        <v/>
      </c>
      <c r="G1194">
        <f>IF(A1194="","",E1194-F1194)</f>
        <v/>
      </c>
      <c r="H1194" s="4" t="n"/>
      <c r="I1194">
        <f>IF(OR(A1194="",H1194=""),"",IF(G1194&lt;=H1194,"اطلب الآن",""))</f>
        <v/>
      </c>
    </row>
    <row r="1195">
      <c r="A1195" s="4" t="n"/>
      <c r="B1195" s="4" t="n"/>
      <c r="C1195" s="4" t="n"/>
      <c r="D1195" s="4" t="n"/>
      <c r="E1195" s="4" t="n"/>
      <c r="F1195">
        <f>IF(A1195="","",SUMIFS(المبيعات!$F$2:$F$2000,المبيعات!$D$2:$D$2000,A1195))</f>
        <v/>
      </c>
      <c r="G1195">
        <f>IF(A1195="","",E1195-F1195)</f>
        <v/>
      </c>
      <c r="H1195" s="4" t="n"/>
      <c r="I1195">
        <f>IF(OR(A1195="",H1195=""),"",IF(G1195&lt;=H1195,"اطلب الآن",""))</f>
        <v/>
      </c>
    </row>
    <row r="1196">
      <c r="A1196" s="4" t="n"/>
      <c r="B1196" s="4" t="n"/>
      <c r="C1196" s="4" t="n"/>
      <c r="D1196" s="4" t="n"/>
      <c r="E1196" s="4" t="n"/>
      <c r="F1196">
        <f>IF(A1196="","",SUMIFS(المبيعات!$F$2:$F$2000,المبيعات!$D$2:$D$2000,A1196))</f>
        <v/>
      </c>
      <c r="G1196">
        <f>IF(A1196="","",E1196-F1196)</f>
        <v/>
      </c>
      <c r="H1196" s="4" t="n"/>
      <c r="I1196">
        <f>IF(OR(A1196="",H1196=""),"",IF(G1196&lt;=H1196,"اطلب الآن",""))</f>
        <v/>
      </c>
    </row>
    <row r="1197">
      <c r="A1197" s="4" t="n"/>
      <c r="B1197" s="4" t="n"/>
      <c r="C1197" s="4" t="n"/>
      <c r="D1197" s="4" t="n"/>
      <c r="E1197" s="4" t="n"/>
      <c r="F1197">
        <f>IF(A1197="","",SUMIFS(المبيعات!$F$2:$F$2000,المبيعات!$D$2:$D$2000,A1197))</f>
        <v/>
      </c>
      <c r="G1197">
        <f>IF(A1197="","",E1197-F1197)</f>
        <v/>
      </c>
      <c r="H1197" s="4" t="n"/>
      <c r="I1197">
        <f>IF(OR(A1197="",H1197=""),"",IF(G1197&lt;=H1197,"اطلب الآن",""))</f>
        <v/>
      </c>
    </row>
    <row r="1198">
      <c r="A1198" s="4" t="n"/>
      <c r="B1198" s="4" t="n"/>
      <c r="C1198" s="4" t="n"/>
      <c r="D1198" s="4" t="n"/>
      <c r="E1198" s="4" t="n"/>
      <c r="F1198">
        <f>IF(A1198="","",SUMIFS(المبيعات!$F$2:$F$2000,المبيعات!$D$2:$D$2000,A1198))</f>
        <v/>
      </c>
      <c r="G1198">
        <f>IF(A1198="","",E1198-F1198)</f>
        <v/>
      </c>
      <c r="H1198" s="4" t="n"/>
      <c r="I1198">
        <f>IF(OR(A1198="",H1198=""),"",IF(G1198&lt;=H1198,"اطلب الآن",""))</f>
        <v/>
      </c>
    </row>
    <row r="1199">
      <c r="A1199" s="4" t="n"/>
      <c r="B1199" s="4" t="n"/>
      <c r="C1199" s="4" t="n"/>
      <c r="D1199" s="4" t="n"/>
      <c r="E1199" s="4" t="n"/>
      <c r="F1199">
        <f>IF(A1199="","",SUMIFS(المبيعات!$F$2:$F$2000,المبيعات!$D$2:$D$2000,A1199))</f>
        <v/>
      </c>
      <c r="G1199">
        <f>IF(A1199="","",E1199-F1199)</f>
        <v/>
      </c>
      <c r="H1199" s="4" t="n"/>
      <c r="I1199">
        <f>IF(OR(A1199="",H1199=""),"",IF(G1199&lt;=H1199,"اطلب الآن",""))</f>
        <v/>
      </c>
    </row>
    <row r="1200">
      <c r="A1200" s="4" t="n"/>
      <c r="B1200" s="4" t="n"/>
      <c r="C1200" s="4" t="n"/>
      <c r="D1200" s="4" t="n"/>
      <c r="E1200" s="4" t="n"/>
      <c r="F1200">
        <f>IF(A1200="","",SUMIFS(المبيعات!$F$2:$F$2000,المبيعات!$D$2:$D$2000,A1200))</f>
        <v/>
      </c>
      <c r="G1200">
        <f>IF(A1200="","",E1200-F1200)</f>
        <v/>
      </c>
      <c r="H1200" s="4" t="n"/>
      <c r="I1200">
        <f>IF(OR(A1200="",H1200=""),"",IF(G1200&lt;=H1200,"اطلب الآن",""))</f>
        <v/>
      </c>
    </row>
    <row r="1201">
      <c r="A1201" s="4" t="n"/>
      <c r="B1201" s="4" t="n"/>
      <c r="C1201" s="4" t="n"/>
      <c r="D1201" s="4" t="n"/>
      <c r="E1201" s="4" t="n"/>
      <c r="F1201">
        <f>IF(A1201="","",SUMIFS(المبيعات!$F$2:$F$2000,المبيعات!$D$2:$D$2000,A1201))</f>
        <v/>
      </c>
      <c r="G1201">
        <f>IF(A1201="","",E1201-F1201)</f>
        <v/>
      </c>
      <c r="H1201" s="4" t="n"/>
      <c r="I1201">
        <f>IF(OR(A1201="",H1201=""),"",IF(G1201&lt;=H1201,"اطلب الآن",""))</f>
        <v/>
      </c>
    </row>
    <row r="1202">
      <c r="A1202" s="4" t="n"/>
      <c r="B1202" s="4" t="n"/>
      <c r="C1202" s="4" t="n"/>
      <c r="D1202" s="4" t="n"/>
      <c r="E1202" s="4" t="n"/>
      <c r="F1202">
        <f>IF(A1202="","",SUMIFS(المبيعات!$F$2:$F$2000,المبيعات!$D$2:$D$2000,A1202))</f>
        <v/>
      </c>
      <c r="G1202">
        <f>IF(A1202="","",E1202-F1202)</f>
        <v/>
      </c>
      <c r="H1202" s="4" t="n"/>
      <c r="I1202">
        <f>IF(OR(A1202="",H1202=""),"",IF(G1202&lt;=H1202,"اطلب الآن",""))</f>
        <v/>
      </c>
    </row>
    <row r="1203">
      <c r="A1203" s="4" t="n"/>
      <c r="B1203" s="4" t="n"/>
      <c r="C1203" s="4" t="n"/>
      <c r="D1203" s="4" t="n"/>
      <c r="E1203" s="4" t="n"/>
      <c r="F1203">
        <f>IF(A1203="","",SUMIFS(المبيعات!$F$2:$F$2000,المبيعات!$D$2:$D$2000,A1203))</f>
        <v/>
      </c>
      <c r="G1203">
        <f>IF(A1203="","",E1203-F1203)</f>
        <v/>
      </c>
      <c r="H1203" s="4" t="n"/>
      <c r="I1203">
        <f>IF(OR(A1203="",H1203=""),"",IF(G1203&lt;=H1203,"اطلب الآن",""))</f>
        <v/>
      </c>
    </row>
    <row r="1204">
      <c r="A1204" s="4" t="n"/>
      <c r="B1204" s="4" t="n"/>
      <c r="C1204" s="4" t="n"/>
      <c r="D1204" s="4" t="n"/>
      <c r="E1204" s="4" t="n"/>
      <c r="F1204">
        <f>IF(A1204="","",SUMIFS(المبيعات!$F$2:$F$2000,المبيعات!$D$2:$D$2000,A1204))</f>
        <v/>
      </c>
      <c r="G1204">
        <f>IF(A1204="","",E1204-F1204)</f>
        <v/>
      </c>
      <c r="H1204" s="4" t="n"/>
      <c r="I1204">
        <f>IF(OR(A1204="",H1204=""),"",IF(G1204&lt;=H1204,"اطلب الآن",""))</f>
        <v/>
      </c>
    </row>
    <row r="1205">
      <c r="A1205" s="4" t="n"/>
      <c r="B1205" s="4" t="n"/>
      <c r="C1205" s="4" t="n"/>
      <c r="D1205" s="4" t="n"/>
      <c r="E1205" s="4" t="n"/>
      <c r="F1205">
        <f>IF(A1205="","",SUMIFS(المبيعات!$F$2:$F$2000,المبيعات!$D$2:$D$2000,A1205))</f>
        <v/>
      </c>
      <c r="G1205">
        <f>IF(A1205="","",E1205-F1205)</f>
        <v/>
      </c>
      <c r="H1205" s="4" t="n"/>
      <c r="I1205">
        <f>IF(OR(A1205="",H1205=""),"",IF(G1205&lt;=H1205,"اطلب الآن",""))</f>
        <v/>
      </c>
    </row>
    <row r="1206">
      <c r="A1206" s="4" t="n"/>
      <c r="B1206" s="4" t="n"/>
      <c r="C1206" s="4" t="n"/>
      <c r="D1206" s="4" t="n"/>
      <c r="E1206" s="4" t="n"/>
      <c r="F1206">
        <f>IF(A1206="","",SUMIFS(المبيعات!$F$2:$F$2000,المبيعات!$D$2:$D$2000,A1206))</f>
        <v/>
      </c>
      <c r="G1206">
        <f>IF(A1206="","",E1206-F1206)</f>
        <v/>
      </c>
      <c r="H1206" s="4" t="n"/>
      <c r="I1206">
        <f>IF(OR(A1206="",H1206=""),"",IF(G1206&lt;=H1206,"اطلب الآن",""))</f>
        <v/>
      </c>
    </row>
    <row r="1207">
      <c r="A1207" s="4" t="n"/>
      <c r="B1207" s="4" t="n"/>
      <c r="C1207" s="4" t="n"/>
      <c r="D1207" s="4" t="n"/>
      <c r="E1207" s="4" t="n"/>
      <c r="F1207">
        <f>IF(A1207="","",SUMIFS(المبيعات!$F$2:$F$2000,المبيعات!$D$2:$D$2000,A1207))</f>
        <v/>
      </c>
      <c r="G1207">
        <f>IF(A1207="","",E1207-F1207)</f>
        <v/>
      </c>
      <c r="H1207" s="4" t="n"/>
      <c r="I1207">
        <f>IF(OR(A1207="",H1207=""),"",IF(G1207&lt;=H1207,"اطلب الآن",""))</f>
        <v/>
      </c>
    </row>
    <row r="1208">
      <c r="A1208" s="4" t="n"/>
      <c r="B1208" s="4" t="n"/>
      <c r="C1208" s="4" t="n"/>
      <c r="D1208" s="4" t="n"/>
      <c r="E1208" s="4" t="n"/>
      <c r="F1208">
        <f>IF(A1208="","",SUMIFS(المبيعات!$F$2:$F$2000,المبيعات!$D$2:$D$2000,A1208))</f>
        <v/>
      </c>
      <c r="G1208">
        <f>IF(A1208="","",E1208-F1208)</f>
        <v/>
      </c>
      <c r="H1208" s="4" t="n"/>
      <c r="I1208">
        <f>IF(OR(A1208="",H1208=""),"",IF(G1208&lt;=H1208,"اطلب الآن",""))</f>
        <v/>
      </c>
    </row>
    <row r="1209">
      <c r="A1209" s="4" t="n"/>
      <c r="B1209" s="4" t="n"/>
      <c r="C1209" s="4" t="n"/>
      <c r="D1209" s="4" t="n"/>
      <c r="E1209" s="4" t="n"/>
      <c r="F1209">
        <f>IF(A1209="","",SUMIFS(المبيعات!$F$2:$F$2000,المبيعات!$D$2:$D$2000,A1209))</f>
        <v/>
      </c>
      <c r="G1209">
        <f>IF(A1209="","",E1209-F1209)</f>
        <v/>
      </c>
      <c r="H1209" s="4" t="n"/>
      <c r="I1209">
        <f>IF(OR(A1209="",H1209=""),"",IF(G1209&lt;=H1209,"اطلب الآن",""))</f>
        <v/>
      </c>
    </row>
    <row r="1210">
      <c r="A1210" s="4" t="n"/>
      <c r="B1210" s="4" t="n"/>
      <c r="C1210" s="4" t="n"/>
      <c r="D1210" s="4" t="n"/>
      <c r="E1210" s="4" t="n"/>
      <c r="F1210">
        <f>IF(A1210="","",SUMIFS(المبيعات!$F$2:$F$2000,المبيعات!$D$2:$D$2000,A1210))</f>
        <v/>
      </c>
      <c r="G1210">
        <f>IF(A1210="","",E1210-F1210)</f>
        <v/>
      </c>
      <c r="H1210" s="4" t="n"/>
      <c r="I1210">
        <f>IF(OR(A1210="",H1210=""),"",IF(G1210&lt;=H1210,"اطلب الآن",""))</f>
        <v/>
      </c>
    </row>
    <row r="1211">
      <c r="A1211" s="4" t="n"/>
      <c r="B1211" s="4" t="n"/>
      <c r="C1211" s="4" t="n"/>
      <c r="D1211" s="4" t="n"/>
      <c r="E1211" s="4" t="n"/>
      <c r="F1211">
        <f>IF(A1211="","",SUMIFS(المبيعات!$F$2:$F$2000,المبيعات!$D$2:$D$2000,A1211))</f>
        <v/>
      </c>
      <c r="G1211">
        <f>IF(A1211="","",E1211-F1211)</f>
        <v/>
      </c>
      <c r="H1211" s="4" t="n"/>
      <c r="I1211">
        <f>IF(OR(A1211="",H1211=""),"",IF(G1211&lt;=H1211,"اطلب الآن",""))</f>
        <v/>
      </c>
    </row>
    <row r="1212">
      <c r="A1212" s="4" t="n"/>
      <c r="B1212" s="4" t="n"/>
      <c r="C1212" s="4" t="n"/>
      <c r="D1212" s="4" t="n"/>
      <c r="E1212" s="4" t="n"/>
      <c r="F1212">
        <f>IF(A1212="","",SUMIFS(المبيعات!$F$2:$F$2000,المبيعات!$D$2:$D$2000,A1212))</f>
        <v/>
      </c>
      <c r="G1212">
        <f>IF(A1212="","",E1212-F1212)</f>
        <v/>
      </c>
      <c r="H1212" s="4" t="n"/>
      <c r="I1212">
        <f>IF(OR(A1212="",H1212=""),"",IF(G1212&lt;=H1212,"اطلب الآن",""))</f>
        <v/>
      </c>
    </row>
    <row r="1213">
      <c r="A1213" s="4" t="n"/>
      <c r="B1213" s="4" t="n"/>
      <c r="C1213" s="4" t="n"/>
      <c r="D1213" s="4" t="n"/>
      <c r="E1213" s="4" t="n"/>
      <c r="F1213">
        <f>IF(A1213="","",SUMIFS(المبيعات!$F$2:$F$2000,المبيعات!$D$2:$D$2000,A1213))</f>
        <v/>
      </c>
      <c r="G1213">
        <f>IF(A1213="","",E1213-F1213)</f>
        <v/>
      </c>
      <c r="H1213" s="4" t="n"/>
      <c r="I1213">
        <f>IF(OR(A1213="",H1213=""),"",IF(G1213&lt;=H1213,"اطلب الآن",""))</f>
        <v/>
      </c>
    </row>
    <row r="1214">
      <c r="A1214" s="4" t="n"/>
      <c r="B1214" s="4" t="n"/>
      <c r="C1214" s="4" t="n"/>
      <c r="D1214" s="4" t="n"/>
      <c r="E1214" s="4" t="n"/>
      <c r="F1214">
        <f>IF(A1214="","",SUMIFS(المبيعات!$F$2:$F$2000,المبيعات!$D$2:$D$2000,A1214))</f>
        <v/>
      </c>
      <c r="G1214">
        <f>IF(A1214="","",E1214-F1214)</f>
        <v/>
      </c>
      <c r="H1214" s="4" t="n"/>
      <c r="I1214">
        <f>IF(OR(A1214="",H1214=""),"",IF(G1214&lt;=H1214,"اطلب الآن",""))</f>
        <v/>
      </c>
    </row>
    <row r="1215">
      <c r="A1215" s="4" t="n"/>
      <c r="B1215" s="4" t="n"/>
      <c r="C1215" s="4" t="n"/>
      <c r="D1215" s="4" t="n"/>
      <c r="E1215" s="4" t="n"/>
      <c r="F1215">
        <f>IF(A1215="","",SUMIFS(المبيعات!$F$2:$F$2000,المبيعات!$D$2:$D$2000,A1215))</f>
        <v/>
      </c>
      <c r="G1215">
        <f>IF(A1215="","",E1215-F1215)</f>
        <v/>
      </c>
      <c r="H1215" s="4" t="n"/>
      <c r="I1215">
        <f>IF(OR(A1215="",H1215=""),"",IF(G1215&lt;=H1215,"اطلب الآن",""))</f>
        <v/>
      </c>
    </row>
    <row r="1216">
      <c r="A1216" s="4" t="n"/>
      <c r="B1216" s="4" t="n"/>
      <c r="C1216" s="4" t="n"/>
      <c r="D1216" s="4" t="n"/>
      <c r="E1216" s="4" t="n"/>
      <c r="F1216">
        <f>IF(A1216="","",SUMIFS(المبيعات!$F$2:$F$2000,المبيعات!$D$2:$D$2000,A1216))</f>
        <v/>
      </c>
      <c r="G1216">
        <f>IF(A1216="","",E1216-F1216)</f>
        <v/>
      </c>
      <c r="H1216" s="4" t="n"/>
      <c r="I1216">
        <f>IF(OR(A1216="",H1216=""),"",IF(G1216&lt;=H1216,"اطلب الآن",""))</f>
        <v/>
      </c>
    </row>
    <row r="1217">
      <c r="A1217" s="4" t="n"/>
      <c r="B1217" s="4" t="n"/>
      <c r="C1217" s="4" t="n"/>
      <c r="D1217" s="4" t="n"/>
      <c r="E1217" s="4" t="n"/>
      <c r="F1217">
        <f>IF(A1217="","",SUMIFS(المبيعات!$F$2:$F$2000,المبيعات!$D$2:$D$2000,A1217))</f>
        <v/>
      </c>
      <c r="G1217">
        <f>IF(A1217="","",E1217-F1217)</f>
        <v/>
      </c>
      <c r="H1217" s="4" t="n"/>
      <c r="I1217">
        <f>IF(OR(A1217="",H1217=""),"",IF(G1217&lt;=H1217,"اطلب الآن",""))</f>
        <v/>
      </c>
    </row>
    <row r="1218">
      <c r="A1218" s="4" t="n"/>
      <c r="B1218" s="4" t="n"/>
      <c r="C1218" s="4" t="n"/>
      <c r="D1218" s="4" t="n"/>
      <c r="E1218" s="4" t="n"/>
      <c r="F1218">
        <f>IF(A1218="","",SUMIFS(المبيعات!$F$2:$F$2000,المبيعات!$D$2:$D$2000,A1218))</f>
        <v/>
      </c>
      <c r="G1218">
        <f>IF(A1218="","",E1218-F1218)</f>
        <v/>
      </c>
      <c r="H1218" s="4" t="n"/>
      <c r="I1218">
        <f>IF(OR(A1218="",H1218=""),"",IF(G1218&lt;=H1218,"اطلب الآن",""))</f>
        <v/>
      </c>
    </row>
    <row r="1219">
      <c r="A1219" s="4" t="n"/>
      <c r="B1219" s="4" t="n"/>
      <c r="C1219" s="4" t="n"/>
      <c r="D1219" s="4" t="n"/>
      <c r="E1219" s="4" t="n"/>
      <c r="F1219">
        <f>IF(A1219="","",SUMIFS(المبيعات!$F$2:$F$2000,المبيعات!$D$2:$D$2000,A1219))</f>
        <v/>
      </c>
      <c r="G1219">
        <f>IF(A1219="","",E1219-F1219)</f>
        <v/>
      </c>
      <c r="H1219" s="4" t="n"/>
      <c r="I1219">
        <f>IF(OR(A1219="",H1219=""),"",IF(G1219&lt;=H1219,"اطلب الآن",""))</f>
        <v/>
      </c>
    </row>
    <row r="1220">
      <c r="A1220" s="4" t="n"/>
      <c r="B1220" s="4" t="n"/>
      <c r="C1220" s="4" t="n"/>
      <c r="D1220" s="4" t="n"/>
      <c r="E1220" s="4" t="n"/>
      <c r="F1220">
        <f>IF(A1220="","",SUMIFS(المبيعات!$F$2:$F$2000,المبيعات!$D$2:$D$2000,A1220))</f>
        <v/>
      </c>
      <c r="G1220">
        <f>IF(A1220="","",E1220-F1220)</f>
        <v/>
      </c>
      <c r="H1220" s="4" t="n"/>
      <c r="I1220">
        <f>IF(OR(A1220="",H1220=""),"",IF(G1220&lt;=H1220,"اطلب الآن",""))</f>
        <v/>
      </c>
    </row>
    <row r="1221">
      <c r="A1221" s="4" t="n"/>
      <c r="B1221" s="4" t="n"/>
      <c r="C1221" s="4" t="n"/>
      <c r="D1221" s="4" t="n"/>
      <c r="E1221" s="4" t="n"/>
      <c r="F1221">
        <f>IF(A1221="","",SUMIFS(المبيعات!$F$2:$F$2000,المبيعات!$D$2:$D$2000,A1221))</f>
        <v/>
      </c>
      <c r="G1221">
        <f>IF(A1221="","",E1221-F1221)</f>
        <v/>
      </c>
      <c r="H1221" s="4" t="n"/>
      <c r="I1221">
        <f>IF(OR(A1221="",H1221=""),"",IF(G1221&lt;=H1221,"اطلب الآن",""))</f>
        <v/>
      </c>
    </row>
    <row r="1222">
      <c r="A1222" s="4" t="n"/>
      <c r="B1222" s="4" t="n"/>
      <c r="C1222" s="4" t="n"/>
      <c r="D1222" s="4" t="n"/>
      <c r="E1222" s="4" t="n"/>
      <c r="F1222">
        <f>IF(A1222="","",SUMIFS(المبيعات!$F$2:$F$2000,المبيعات!$D$2:$D$2000,A1222))</f>
        <v/>
      </c>
      <c r="G1222">
        <f>IF(A1222="","",E1222-F1222)</f>
        <v/>
      </c>
      <c r="H1222" s="4" t="n"/>
      <c r="I1222">
        <f>IF(OR(A1222="",H1222=""),"",IF(G1222&lt;=H1222,"اطلب الآن",""))</f>
        <v/>
      </c>
    </row>
    <row r="1223">
      <c r="A1223" s="4" t="n"/>
      <c r="B1223" s="4" t="n"/>
      <c r="C1223" s="4" t="n"/>
      <c r="D1223" s="4" t="n"/>
      <c r="E1223" s="4" t="n"/>
      <c r="F1223">
        <f>IF(A1223="","",SUMIFS(المبيعات!$F$2:$F$2000,المبيعات!$D$2:$D$2000,A1223))</f>
        <v/>
      </c>
      <c r="G1223">
        <f>IF(A1223="","",E1223-F1223)</f>
        <v/>
      </c>
      <c r="H1223" s="4" t="n"/>
      <c r="I1223">
        <f>IF(OR(A1223="",H1223=""),"",IF(G1223&lt;=H1223,"اطلب الآن",""))</f>
        <v/>
      </c>
    </row>
    <row r="1224">
      <c r="A1224" s="4" t="n"/>
      <c r="B1224" s="4" t="n"/>
      <c r="C1224" s="4" t="n"/>
      <c r="D1224" s="4" t="n"/>
      <c r="E1224" s="4" t="n"/>
      <c r="F1224">
        <f>IF(A1224="","",SUMIFS(المبيعات!$F$2:$F$2000,المبيعات!$D$2:$D$2000,A1224))</f>
        <v/>
      </c>
      <c r="G1224">
        <f>IF(A1224="","",E1224-F1224)</f>
        <v/>
      </c>
      <c r="H1224" s="4" t="n"/>
      <c r="I1224">
        <f>IF(OR(A1224="",H1224=""),"",IF(G1224&lt;=H1224,"اطلب الآن",""))</f>
        <v/>
      </c>
    </row>
    <row r="1225">
      <c r="A1225" s="4" t="n"/>
      <c r="B1225" s="4" t="n"/>
      <c r="C1225" s="4" t="n"/>
      <c r="D1225" s="4" t="n"/>
      <c r="E1225" s="4" t="n"/>
      <c r="F1225">
        <f>IF(A1225="","",SUMIFS(المبيعات!$F$2:$F$2000,المبيعات!$D$2:$D$2000,A1225))</f>
        <v/>
      </c>
      <c r="G1225">
        <f>IF(A1225="","",E1225-F1225)</f>
        <v/>
      </c>
      <c r="H1225" s="4" t="n"/>
      <c r="I1225">
        <f>IF(OR(A1225="",H1225=""),"",IF(G1225&lt;=H1225,"اطلب الآن",""))</f>
        <v/>
      </c>
    </row>
    <row r="1226">
      <c r="A1226" s="4" t="n"/>
      <c r="B1226" s="4" t="n"/>
      <c r="C1226" s="4" t="n"/>
      <c r="D1226" s="4" t="n"/>
      <c r="E1226" s="4" t="n"/>
      <c r="F1226">
        <f>IF(A1226="","",SUMIFS(المبيعات!$F$2:$F$2000,المبيعات!$D$2:$D$2000,A1226))</f>
        <v/>
      </c>
      <c r="G1226">
        <f>IF(A1226="","",E1226-F1226)</f>
        <v/>
      </c>
      <c r="H1226" s="4" t="n"/>
      <c r="I1226">
        <f>IF(OR(A1226="",H1226=""),"",IF(G1226&lt;=H1226,"اطلب الآن",""))</f>
        <v/>
      </c>
    </row>
    <row r="1227">
      <c r="A1227" s="4" t="n"/>
      <c r="B1227" s="4" t="n"/>
      <c r="C1227" s="4" t="n"/>
      <c r="D1227" s="4" t="n"/>
      <c r="E1227" s="4" t="n"/>
      <c r="F1227">
        <f>IF(A1227="","",SUMIFS(المبيعات!$F$2:$F$2000,المبيعات!$D$2:$D$2000,A1227))</f>
        <v/>
      </c>
      <c r="G1227">
        <f>IF(A1227="","",E1227-F1227)</f>
        <v/>
      </c>
      <c r="H1227" s="4" t="n"/>
      <c r="I1227">
        <f>IF(OR(A1227="",H1227=""),"",IF(G1227&lt;=H1227,"اطلب الآن",""))</f>
        <v/>
      </c>
    </row>
    <row r="1228">
      <c r="A1228" s="4" t="n"/>
      <c r="B1228" s="4" t="n"/>
      <c r="C1228" s="4" t="n"/>
      <c r="D1228" s="4" t="n"/>
      <c r="E1228" s="4" t="n"/>
      <c r="F1228">
        <f>IF(A1228="","",SUMIFS(المبيعات!$F$2:$F$2000,المبيعات!$D$2:$D$2000,A1228))</f>
        <v/>
      </c>
      <c r="G1228">
        <f>IF(A1228="","",E1228-F1228)</f>
        <v/>
      </c>
      <c r="H1228" s="4" t="n"/>
      <c r="I1228">
        <f>IF(OR(A1228="",H1228=""),"",IF(G1228&lt;=H1228,"اطلب الآن",""))</f>
        <v/>
      </c>
    </row>
    <row r="1229">
      <c r="A1229" s="4" t="n"/>
      <c r="B1229" s="4" t="n"/>
      <c r="C1229" s="4" t="n"/>
      <c r="D1229" s="4" t="n"/>
      <c r="E1229" s="4" t="n"/>
      <c r="F1229">
        <f>IF(A1229="","",SUMIFS(المبيعات!$F$2:$F$2000,المبيعات!$D$2:$D$2000,A1229))</f>
        <v/>
      </c>
      <c r="G1229">
        <f>IF(A1229="","",E1229-F1229)</f>
        <v/>
      </c>
      <c r="H1229" s="4" t="n"/>
      <c r="I1229">
        <f>IF(OR(A1229="",H1229=""),"",IF(G1229&lt;=H1229,"اطلب الآن",""))</f>
        <v/>
      </c>
    </row>
    <row r="1230">
      <c r="A1230" s="4" t="n"/>
      <c r="B1230" s="4" t="n"/>
      <c r="C1230" s="4" t="n"/>
      <c r="D1230" s="4" t="n"/>
      <c r="E1230" s="4" t="n"/>
      <c r="F1230">
        <f>IF(A1230="","",SUMIFS(المبيعات!$F$2:$F$2000,المبيعات!$D$2:$D$2000,A1230))</f>
        <v/>
      </c>
      <c r="G1230">
        <f>IF(A1230="","",E1230-F1230)</f>
        <v/>
      </c>
      <c r="H1230" s="4" t="n"/>
      <c r="I1230">
        <f>IF(OR(A1230="",H1230=""),"",IF(G1230&lt;=H1230,"اطلب الآن",""))</f>
        <v/>
      </c>
    </row>
    <row r="1231">
      <c r="A1231" s="4" t="n"/>
      <c r="B1231" s="4" t="n"/>
      <c r="C1231" s="4" t="n"/>
      <c r="D1231" s="4" t="n"/>
      <c r="E1231" s="4" t="n"/>
      <c r="F1231">
        <f>IF(A1231="","",SUMIFS(المبيعات!$F$2:$F$2000,المبيعات!$D$2:$D$2000,A1231))</f>
        <v/>
      </c>
      <c r="G1231">
        <f>IF(A1231="","",E1231-F1231)</f>
        <v/>
      </c>
      <c r="H1231" s="4" t="n"/>
      <c r="I1231">
        <f>IF(OR(A1231="",H1231=""),"",IF(G1231&lt;=H1231,"اطلب الآن",""))</f>
        <v/>
      </c>
    </row>
    <row r="1232">
      <c r="A1232" s="4" t="n"/>
      <c r="B1232" s="4" t="n"/>
      <c r="C1232" s="4" t="n"/>
      <c r="D1232" s="4" t="n"/>
      <c r="E1232" s="4" t="n"/>
      <c r="F1232">
        <f>IF(A1232="","",SUMIFS(المبيعات!$F$2:$F$2000,المبيعات!$D$2:$D$2000,A1232))</f>
        <v/>
      </c>
      <c r="G1232">
        <f>IF(A1232="","",E1232-F1232)</f>
        <v/>
      </c>
      <c r="H1232" s="4" t="n"/>
      <c r="I1232">
        <f>IF(OR(A1232="",H1232=""),"",IF(G1232&lt;=H1232,"اطلب الآن",""))</f>
        <v/>
      </c>
    </row>
    <row r="1233">
      <c r="A1233" s="4" t="n"/>
      <c r="B1233" s="4" t="n"/>
      <c r="C1233" s="4" t="n"/>
      <c r="D1233" s="4" t="n"/>
      <c r="E1233" s="4" t="n"/>
      <c r="F1233">
        <f>IF(A1233="","",SUMIFS(المبيعات!$F$2:$F$2000,المبيعات!$D$2:$D$2000,A1233))</f>
        <v/>
      </c>
      <c r="G1233">
        <f>IF(A1233="","",E1233-F1233)</f>
        <v/>
      </c>
      <c r="H1233" s="4" t="n"/>
      <c r="I1233">
        <f>IF(OR(A1233="",H1233=""),"",IF(G1233&lt;=H1233,"اطلب الآن",""))</f>
        <v/>
      </c>
    </row>
    <row r="1234">
      <c r="A1234" s="4" t="n"/>
      <c r="B1234" s="4" t="n"/>
      <c r="C1234" s="4" t="n"/>
      <c r="D1234" s="4" t="n"/>
      <c r="E1234" s="4" t="n"/>
      <c r="F1234">
        <f>IF(A1234="","",SUMIFS(المبيعات!$F$2:$F$2000,المبيعات!$D$2:$D$2000,A1234))</f>
        <v/>
      </c>
      <c r="G1234">
        <f>IF(A1234="","",E1234-F1234)</f>
        <v/>
      </c>
      <c r="H1234" s="4" t="n"/>
      <c r="I1234">
        <f>IF(OR(A1234="",H1234=""),"",IF(G1234&lt;=H1234,"اطلب الآن",""))</f>
        <v/>
      </c>
    </row>
    <row r="1235">
      <c r="A1235" s="4" t="n"/>
      <c r="B1235" s="4" t="n"/>
      <c r="C1235" s="4" t="n"/>
      <c r="D1235" s="4" t="n"/>
      <c r="E1235" s="4" t="n"/>
      <c r="F1235">
        <f>IF(A1235="","",SUMIFS(المبيعات!$F$2:$F$2000,المبيعات!$D$2:$D$2000,A1235))</f>
        <v/>
      </c>
      <c r="G1235">
        <f>IF(A1235="","",E1235-F1235)</f>
        <v/>
      </c>
      <c r="H1235" s="4" t="n"/>
      <c r="I1235">
        <f>IF(OR(A1235="",H1235=""),"",IF(G1235&lt;=H1235,"اطلب الآن",""))</f>
        <v/>
      </c>
    </row>
    <row r="1236">
      <c r="A1236" s="4" t="n"/>
      <c r="B1236" s="4" t="n"/>
      <c r="C1236" s="4" t="n"/>
      <c r="D1236" s="4" t="n"/>
      <c r="E1236" s="4" t="n"/>
      <c r="F1236">
        <f>IF(A1236="","",SUMIFS(المبيعات!$F$2:$F$2000,المبيعات!$D$2:$D$2000,A1236))</f>
        <v/>
      </c>
      <c r="G1236">
        <f>IF(A1236="","",E1236-F1236)</f>
        <v/>
      </c>
      <c r="H1236" s="4" t="n"/>
      <c r="I1236">
        <f>IF(OR(A1236="",H1236=""),"",IF(G1236&lt;=H1236,"اطلب الآن",""))</f>
        <v/>
      </c>
    </row>
    <row r="1237">
      <c r="A1237" s="4" t="n"/>
      <c r="B1237" s="4" t="n"/>
      <c r="C1237" s="4" t="n"/>
      <c r="D1237" s="4" t="n"/>
      <c r="E1237" s="4" t="n"/>
      <c r="F1237">
        <f>IF(A1237="","",SUMIFS(المبيعات!$F$2:$F$2000,المبيعات!$D$2:$D$2000,A1237))</f>
        <v/>
      </c>
      <c r="G1237">
        <f>IF(A1237="","",E1237-F1237)</f>
        <v/>
      </c>
      <c r="H1237" s="4" t="n"/>
      <c r="I1237">
        <f>IF(OR(A1237="",H1237=""),"",IF(G1237&lt;=H1237,"اطلب الآن",""))</f>
        <v/>
      </c>
    </row>
    <row r="1238">
      <c r="A1238" s="4" t="n"/>
      <c r="B1238" s="4" t="n"/>
      <c r="C1238" s="4" t="n"/>
      <c r="D1238" s="4" t="n"/>
      <c r="E1238" s="4" t="n"/>
      <c r="F1238">
        <f>IF(A1238="","",SUMIFS(المبيعات!$F$2:$F$2000,المبيعات!$D$2:$D$2000,A1238))</f>
        <v/>
      </c>
      <c r="G1238">
        <f>IF(A1238="","",E1238-F1238)</f>
        <v/>
      </c>
      <c r="H1238" s="4" t="n"/>
      <c r="I1238">
        <f>IF(OR(A1238="",H1238=""),"",IF(G1238&lt;=H1238,"اطلب الآن",""))</f>
        <v/>
      </c>
    </row>
    <row r="1239">
      <c r="A1239" s="4" t="n"/>
      <c r="B1239" s="4" t="n"/>
      <c r="C1239" s="4" t="n"/>
      <c r="D1239" s="4" t="n"/>
      <c r="E1239" s="4" t="n"/>
      <c r="F1239">
        <f>IF(A1239="","",SUMIFS(المبيعات!$F$2:$F$2000,المبيعات!$D$2:$D$2000,A1239))</f>
        <v/>
      </c>
      <c r="G1239">
        <f>IF(A1239="","",E1239-F1239)</f>
        <v/>
      </c>
      <c r="H1239" s="4" t="n"/>
      <c r="I1239">
        <f>IF(OR(A1239="",H1239=""),"",IF(G1239&lt;=H1239,"اطلب الآن",""))</f>
        <v/>
      </c>
    </row>
    <row r="1240">
      <c r="A1240" s="4" t="n"/>
      <c r="B1240" s="4" t="n"/>
      <c r="C1240" s="4" t="n"/>
      <c r="D1240" s="4" t="n"/>
      <c r="E1240" s="4" t="n"/>
      <c r="F1240">
        <f>IF(A1240="","",SUMIFS(المبيعات!$F$2:$F$2000,المبيعات!$D$2:$D$2000,A1240))</f>
        <v/>
      </c>
      <c r="G1240">
        <f>IF(A1240="","",E1240-F1240)</f>
        <v/>
      </c>
      <c r="H1240" s="4" t="n"/>
      <c r="I1240">
        <f>IF(OR(A1240="",H1240=""),"",IF(G1240&lt;=H1240,"اطلب الآن",""))</f>
        <v/>
      </c>
    </row>
    <row r="1241">
      <c r="A1241" s="4" t="n"/>
      <c r="B1241" s="4" t="n"/>
      <c r="C1241" s="4" t="n"/>
      <c r="D1241" s="4" t="n"/>
      <c r="E1241" s="4" t="n"/>
      <c r="F1241">
        <f>IF(A1241="","",SUMIFS(المبيعات!$F$2:$F$2000,المبيعات!$D$2:$D$2000,A1241))</f>
        <v/>
      </c>
      <c r="G1241">
        <f>IF(A1241="","",E1241-F1241)</f>
        <v/>
      </c>
      <c r="H1241" s="4" t="n"/>
      <c r="I1241">
        <f>IF(OR(A1241="",H1241=""),"",IF(G1241&lt;=H1241,"اطلب الآن",""))</f>
        <v/>
      </c>
    </row>
    <row r="1242">
      <c r="A1242" s="4" t="n"/>
      <c r="B1242" s="4" t="n"/>
      <c r="C1242" s="4" t="n"/>
      <c r="D1242" s="4" t="n"/>
      <c r="E1242" s="4" t="n"/>
      <c r="F1242">
        <f>IF(A1242="","",SUMIFS(المبيعات!$F$2:$F$2000,المبيعات!$D$2:$D$2000,A1242))</f>
        <v/>
      </c>
      <c r="G1242">
        <f>IF(A1242="","",E1242-F1242)</f>
        <v/>
      </c>
      <c r="H1242" s="4" t="n"/>
      <c r="I1242">
        <f>IF(OR(A1242="",H1242=""),"",IF(G1242&lt;=H1242,"اطلب الآن",""))</f>
        <v/>
      </c>
    </row>
    <row r="1243">
      <c r="A1243" s="4" t="n"/>
      <c r="B1243" s="4" t="n"/>
      <c r="C1243" s="4" t="n"/>
      <c r="D1243" s="4" t="n"/>
      <c r="E1243" s="4" t="n"/>
      <c r="F1243">
        <f>IF(A1243="","",SUMIFS(المبيعات!$F$2:$F$2000,المبيعات!$D$2:$D$2000,A1243))</f>
        <v/>
      </c>
      <c r="G1243">
        <f>IF(A1243="","",E1243-F1243)</f>
        <v/>
      </c>
      <c r="H1243" s="4" t="n"/>
      <c r="I1243">
        <f>IF(OR(A1243="",H1243=""),"",IF(G1243&lt;=H1243,"اطلب الآن",""))</f>
        <v/>
      </c>
    </row>
    <row r="1244">
      <c r="A1244" s="4" t="n"/>
      <c r="B1244" s="4" t="n"/>
      <c r="C1244" s="4" t="n"/>
      <c r="D1244" s="4" t="n"/>
      <c r="E1244" s="4" t="n"/>
      <c r="F1244">
        <f>IF(A1244="","",SUMIFS(المبيعات!$F$2:$F$2000,المبيعات!$D$2:$D$2000,A1244))</f>
        <v/>
      </c>
      <c r="G1244">
        <f>IF(A1244="","",E1244-F1244)</f>
        <v/>
      </c>
      <c r="H1244" s="4" t="n"/>
      <c r="I1244">
        <f>IF(OR(A1244="",H1244=""),"",IF(G1244&lt;=H1244,"اطلب الآن",""))</f>
        <v/>
      </c>
    </row>
    <row r="1245">
      <c r="A1245" s="4" t="n"/>
      <c r="B1245" s="4" t="n"/>
      <c r="C1245" s="4" t="n"/>
      <c r="D1245" s="4" t="n"/>
      <c r="E1245" s="4" t="n"/>
      <c r="F1245">
        <f>IF(A1245="","",SUMIFS(المبيعات!$F$2:$F$2000,المبيعات!$D$2:$D$2000,A1245))</f>
        <v/>
      </c>
      <c r="G1245">
        <f>IF(A1245="","",E1245-F1245)</f>
        <v/>
      </c>
      <c r="H1245" s="4" t="n"/>
      <c r="I1245">
        <f>IF(OR(A1245="",H1245=""),"",IF(G1245&lt;=H1245,"اطلب الآن",""))</f>
        <v/>
      </c>
    </row>
    <row r="1246">
      <c r="A1246" s="4" t="n"/>
      <c r="B1246" s="4" t="n"/>
      <c r="C1246" s="4" t="n"/>
      <c r="D1246" s="4" t="n"/>
      <c r="E1246" s="4" t="n"/>
      <c r="F1246">
        <f>IF(A1246="","",SUMIFS(المبيعات!$F$2:$F$2000,المبيعات!$D$2:$D$2000,A1246))</f>
        <v/>
      </c>
      <c r="G1246">
        <f>IF(A1246="","",E1246-F1246)</f>
        <v/>
      </c>
      <c r="H1246" s="4" t="n"/>
      <c r="I1246">
        <f>IF(OR(A1246="",H1246=""),"",IF(G1246&lt;=H1246,"اطلب الآن",""))</f>
        <v/>
      </c>
    </row>
    <row r="1247">
      <c r="A1247" s="4" t="n"/>
      <c r="B1247" s="4" t="n"/>
      <c r="C1247" s="4" t="n"/>
      <c r="D1247" s="4" t="n"/>
      <c r="E1247" s="4" t="n"/>
      <c r="F1247">
        <f>IF(A1247="","",SUMIFS(المبيعات!$F$2:$F$2000,المبيعات!$D$2:$D$2000,A1247))</f>
        <v/>
      </c>
      <c r="G1247">
        <f>IF(A1247="","",E1247-F1247)</f>
        <v/>
      </c>
      <c r="H1247" s="4" t="n"/>
      <c r="I1247">
        <f>IF(OR(A1247="",H1247=""),"",IF(G1247&lt;=H1247,"اطلب الآن",""))</f>
        <v/>
      </c>
    </row>
    <row r="1248">
      <c r="A1248" s="4" t="n"/>
      <c r="B1248" s="4" t="n"/>
      <c r="C1248" s="4" t="n"/>
      <c r="D1248" s="4" t="n"/>
      <c r="E1248" s="4" t="n"/>
      <c r="F1248">
        <f>IF(A1248="","",SUMIFS(المبيعات!$F$2:$F$2000,المبيعات!$D$2:$D$2000,A1248))</f>
        <v/>
      </c>
      <c r="G1248">
        <f>IF(A1248="","",E1248-F1248)</f>
        <v/>
      </c>
      <c r="H1248" s="4" t="n"/>
      <c r="I1248">
        <f>IF(OR(A1248="",H1248=""),"",IF(G1248&lt;=H1248,"اطلب الآن",""))</f>
        <v/>
      </c>
    </row>
    <row r="1249">
      <c r="A1249" s="4" t="n"/>
      <c r="B1249" s="4" t="n"/>
      <c r="C1249" s="4" t="n"/>
      <c r="D1249" s="4" t="n"/>
      <c r="E1249" s="4" t="n"/>
      <c r="F1249">
        <f>IF(A1249="","",SUMIFS(المبيعات!$F$2:$F$2000,المبيعات!$D$2:$D$2000,A1249))</f>
        <v/>
      </c>
      <c r="G1249">
        <f>IF(A1249="","",E1249-F1249)</f>
        <v/>
      </c>
      <c r="H1249" s="4" t="n"/>
      <c r="I1249">
        <f>IF(OR(A1249="",H1249=""),"",IF(G1249&lt;=H1249,"اطلب الآن",""))</f>
        <v/>
      </c>
    </row>
    <row r="1250">
      <c r="A1250" s="4" t="n"/>
      <c r="B1250" s="4" t="n"/>
      <c r="C1250" s="4" t="n"/>
      <c r="D1250" s="4" t="n"/>
      <c r="E1250" s="4" t="n"/>
      <c r="F1250">
        <f>IF(A1250="","",SUMIFS(المبيعات!$F$2:$F$2000,المبيعات!$D$2:$D$2000,A1250))</f>
        <v/>
      </c>
      <c r="G1250">
        <f>IF(A1250="","",E1250-F1250)</f>
        <v/>
      </c>
      <c r="H1250" s="4" t="n"/>
      <c r="I1250">
        <f>IF(OR(A1250="",H1250=""),"",IF(G1250&lt;=H1250,"اطلب الآن",""))</f>
        <v/>
      </c>
    </row>
    <row r="1251">
      <c r="A1251" s="4" t="n"/>
      <c r="B1251" s="4" t="n"/>
      <c r="C1251" s="4" t="n"/>
      <c r="D1251" s="4" t="n"/>
      <c r="E1251" s="4" t="n"/>
      <c r="F1251">
        <f>IF(A1251="","",SUMIFS(المبيعات!$F$2:$F$2000,المبيعات!$D$2:$D$2000,A1251))</f>
        <v/>
      </c>
      <c r="G1251">
        <f>IF(A1251="","",E1251-F1251)</f>
        <v/>
      </c>
      <c r="H1251" s="4" t="n"/>
      <c r="I1251">
        <f>IF(OR(A1251="",H1251=""),"",IF(G1251&lt;=H1251,"اطلب الآن",""))</f>
        <v/>
      </c>
    </row>
    <row r="1252">
      <c r="A1252" s="4" t="n"/>
      <c r="B1252" s="4" t="n"/>
      <c r="C1252" s="4" t="n"/>
      <c r="D1252" s="4" t="n"/>
      <c r="E1252" s="4" t="n"/>
      <c r="F1252">
        <f>IF(A1252="","",SUMIFS(المبيعات!$F$2:$F$2000,المبيعات!$D$2:$D$2000,A1252))</f>
        <v/>
      </c>
      <c r="G1252">
        <f>IF(A1252="","",E1252-F1252)</f>
        <v/>
      </c>
      <c r="H1252" s="4" t="n"/>
      <c r="I1252">
        <f>IF(OR(A1252="",H1252=""),"",IF(G1252&lt;=H1252,"اطلب الآن",""))</f>
        <v/>
      </c>
    </row>
    <row r="1253">
      <c r="A1253" s="4" t="n"/>
      <c r="B1253" s="4" t="n"/>
      <c r="C1253" s="4" t="n"/>
      <c r="D1253" s="4" t="n"/>
      <c r="E1253" s="4" t="n"/>
      <c r="F1253">
        <f>IF(A1253="","",SUMIFS(المبيعات!$F$2:$F$2000,المبيعات!$D$2:$D$2000,A1253))</f>
        <v/>
      </c>
      <c r="G1253">
        <f>IF(A1253="","",E1253-F1253)</f>
        <v/>
      </c>
      <c r="H1253" s="4" t="n"/>
      <c r="I1253">
        <f>IF(OR(A1253="",H1253=""),"",IF(G1253&lt;=H1253,"اطلب الآن",""))</f>
        <v/>
      </c>
    </row>
    <row r="1254">
      <c r="A1254" s="4" t="n"/>
      <c r="B1254" s="4" t="n"/>
      <c r="C1254" s="4" t="n"/>
      <c r="D1254" s="4" t="n"/>
      <c r="E1254" s="4" t="n"/>
      <c r="F1254">
        <f>IF(A1254="","",SUMIFS(المبيعات!$F$2:$F$2000,المبيعات!$D$2:$D$2000,A1254))</f>
        <v/>
      </c>
      <c r="G1254">
        <f>IF(A1254="","",E1254-F1254)</f>
        <v/>
      </c>
      <c r="H1254" s="4" t="n"/>
      <c r="I1254">
        <f>IF(OR(A1254="",H1254=""),"",IF(G1254&lt;=H1254,"اطلب الآن",""))</f>
        <v/>
      </c>
    </row>
    <row r="1255">
      <c r="A1255" s="4" t="n"/>
      <c r="B1255" s="4" t="n"/>
      <c r="C1255" s="4" t="n"/>
      <c r="D1255" s="4" t="n"/>
      <c r="E1255" s="4" t="n"/>
      <c r="F1255">
        <f>IF(A1255="","",SUMIFS(المبيعات!$F$2:$F$2000,المبيعات!$D$2:$D$2000,A1255))</f>
        <v/>
      </c>
      <c r="G1255">
        <f>IF(A1255="","",E1255-F1255)</f>
        <v/>
      </c>
      <c r="H1255" s="4" t="n"/>
      <c r="I1255">
        <f>IF(OR(A1255="",H1255=""),"",IF(G1255&lt;=H1255,"اطلب الآن",""))</f>
        <v/>
      </c>
    </row>
    <row r="1256">
      <c r="A1256" s="4" t="n"/>
      <c r="B1256" s="4" t="n"/>
      <c r="C1256" s="4" t="n"/>
      <c r="D1256" s="4" t="n"/>
      <c r="E1256" s="4" t="n"/>
      <c r="F1256">
        <f>IF(A1256="","",SUMIFS(المبيعات!$F$2:$F$2000,المبيعات!$D$2:$D$2000,A1256))</f>
        <v/>
      </c>
      <c r="G1256">
        <f>IF(A1256="","",E1256-F1256)</f>
        <v/>
      </c>
      <c r="H1256" s="4" t="n"/>
      <c r="I1256">
        <f>IF(OR(A1256="",H1256=""),"",IF(G1256&lt;=H1256,"اطلب الآن",""))</f>
        <v/>
      </c>
    </row>
    <row r="1257">
      <c r="A1257" s="4" t="n"/>
      <c r="B1257" s="4" t="n"/>
      <c r="C1257" s="4" t="n"/>
      <c r="D1257" s="4" t="n"/>
      <c r="E1257" s="4" t="n"/>
      <c r="F1257">
        <f>IF(A1257="","",SUMIFS(المبيعات!$F$2:$F$2000,المبيعات!$D$2:$D$2000,A1257))</f>
        <v/>
      </c>
      <c r="G1257">
        <f>IF(A1257="","",E1257-F1257)</f>
        <v/>
      </c>
      <c r="H1257" s="4" t="n"/>
      <c r="I1257">
        <f>IF(OR(A1257="",H1257=""),"",IF(G1257&lt;=H1257,"اطلب الآن",""))</f>
        <v/>
      </c>
    </row>
    <row r="1258">
      <c r="A1258" s="4" t="n"/>
      <c r="B1258" s="4" t="n"/>
      <c r="C1258" s="4" t="n"/>
      <c r="D1258" s="4" t="n"/>
      <c r="E1258" s="4" t="n"/>
      <c r="F1258">
        <f>IF(A1258="","",SUMIFS(المبيعات!$F$2:$F$2000,المبيعات!$D$2:$D$2000,A1258))</f>
        <v/>
      </c>
      <c r="G1258">
        <f>IF(A1258="","",E1258-F1258)</f>
        <v/>
      </c>
      <c r="H1258" s="4" t="n"/>
      <c r="I1258">
        <f>IF(OR(A1258="",H1258=""),"",IF(G1258&lt;=H1258,"اطلب الآن",""))</f>
        <v/>
      </c>
    </row>
    <row r="1259">
      <c r="A1259" s="4" t="n"/>
      <c r="B1259" s="4" t="n"/>
      <c r="C1259" s="4" t="n"/>
      <c r="D1259" s="4" t="n"/>
      <c r="E1259" s="4" t="n"/>
      <c r="F1259">
        <f>IF(A1259="","",SUMIFS(المبيعات!$F$2:$F$2000,المبيعات!$D$2:$D$2000,A1259))</f>
        <v/>
      </c>
      <c r="G1259">
        <f>IF(A1259="","",E1259-F1259)</f>
        <v/>
      </c>
      <c r="H1259" s="4" t="n"/>
      <c r="I1259">
        <f>IF(OR(A1259="",H1259=""),"",IF(G1259&lt;=H1259,"اطلب الآن",""))</f>
        <v/>
      </c>
    </row>
    <row r="1260">
      <c r="A1260" s="4" t="n"/>
      <c r="B1260" s="4" t="n"/>
      <c r="C1260" s="4" t="n"/>
      <c r="D1260" s="4" t="n"/>
      <c r="E1260" s="4" t="n"/>
      <c r="F1260">
        <f>IF(A1260="","",SUMIFS(المبيعات!$F$2:$F$2000,المبيعات!$D$2:$D$2000,A1260))</f>
        <v/>
      </c>
      <c r="G1260">
        <f>IF(A1260="","",E1260-F1260)</f>
        <v/>
      </c>
      <c r="H1260" s="4" t="n"/>
      <c r="I1260">
        <f>IF(OR(A1260="",H1260=""),"",IF(G1260&lt;=H1260,"اطلب الآن",""))</f>
        <v/>
      </c>
    </row>
    <row r="1261">
      <c r="A1261" s="4" t="n"/>
      <c r="B1261" s="4" t="n"/>
      <c r="C1261" s="4" t="n"/>
      <c r="D1261" s="4" t="n"/>
      <c r="E1261" s="4" t="n"/>
      <c r="F1261">
        <f>IF(A1261="","",SUMIFS(المبيعات!$F$2:$F$2000,المبيعات!$D$2:$D$2000,A1261))</f>
        <v/>
      </c>
      <c r="G1261">
        <f>IF(A1261="","",E1261-F1261)</f>
        <v/>
      </c>
      <c r="H1261" s="4" t="n"/>
      <c r="I1261">
        <f>IF(OR(A1261="",H1261=""),"",IF(G1261&lt;=H1261,"اطلب الآن",""))</f>
        <v/>
      </c>
    </row>
    <row r="1262">
      <c r="A1262" s="4" t="n"/>
      <c r="B1262" s="4" t="n"/>
      <c r="C1262" s="4" t="n"/>
      <c r="D1262" s="4" t="n"/>
      <c r="E1262" s="4" t="n"/>
      <c r="F1262">
        <f>IF(A1262="","",SUMIFS(المبيعات!$F$2:$F$2000,المبيعات!$D$2:$D$2000,A1262))</f>
        <v/>
      </c>
      <c r="G1262">
        <f>IF(A1262="","",E1262-F1262)</f>
        <v/>
      </c>
      <c r="H1262" s="4" t="n"/>
      <c r="I1262">
        <f>IF(OR(A1262="",H1262=""),"",IF(G1262&lt;=H1262,"اطلب الآن",""))</f>
        <v/>
      </c>
    </row>
    <row r="1263">
      <c r="A1263" s="4" t="n"/>
      <c r="B1263" s="4" t="n"/>
      <c r="C1263" s="4" t="n"/>
      <c r="D1263" s="4" t="n"/>
      <c r="E1263" s="4" t="n"/>
      <c r="F1263">
        <f>IF(A1263="","",SUMIFS(المبيعات!$F$2:$F$2000,المبيعات!$D$2:$D$2000,A1263))</f>
        <v/>
      </c>
      <c r="G1263">
        <f>IF(A1263="","",E1263-F1263)</f>
        <v/>
      </c>
      <c r="H1263" s="4" t="n"/>
      <c r="I1263">
        <f>IF(OR(A1263="",H1263=""),"",IF(G1263&lt;=H1263,"اطلب الآن",""))</f>
        <v/>
      </c>
    </row>
    <row r="1264">
      <c r="A1264" s="4" t="n"/>
      <c r="B1264" s="4" t="n"/>
      <c r="C1264" s="4" t="n"/>
      <c r="D1264" s="4" t="n"/>
      <c r="E1264" s="4" t="n"/>
      <c r="F1264">
        <f>IF(A1264="","",SUMIFS(المبيعات!$F$2:$F$2000,المبيعات!$D$2:$D$2000,A1264))</f>
        <v/>
      </c>
      <c r="G1264">
        <f>IF(A1264="","",E1264-F1264)</f>
        <v/>
      </c>
      <c r="H1264" s="4" t="n"/>
      <c r="I1264">
        <f>IF(OR(A1264="",H1264=""),"",IF(G1264&lt;=H1264,"اطلب الآن",""))</f>
        <v/>
      </c>
    </row>
    <row r="1265">
      <c r="A1265" s="4" t="n"/>
      <c r="B1265" s="4" t="n"/>
      <c r="C1265" s="4" t="n"/>
      <c r="D1265" s="4" t="n"/>
      <c r="E1265" s="4" t="n"/>
      <c r="F1265">
        <f>IF(A1265="","",SUMIFS(المبيعات!$F$2:$F$2000,المبيعات!$D$2:$D$2000,A1265))</f>
        <v/>
      </c>
      <c r="G1265">
        <f>IF(A1265="","",E1265-F1265)</f>
        <v/>
      </c>
      <c r="H1265" s="4" t="n"/>
      <c r="I1265">
        <f>IF(OR(A1265="",H1265=""),"",IF(G1265&lt;=H1265,"اطلب الآن",""))</f>
        <v/>
      </c>
    </row>
    <row r="1266">
      <c r="A1266" s="4" t="n"/>
      <c r="B1266" s="4" t="n"/>
      <c r="C1266" s="4" t="n"/>
      <c r="D1266" s="4" t="n"/>
      <c r="E1266" s="4" t="n"/>
      <c r="F1266">
        <f>IF(A1266="","",SUMIFS(المبيعات!$F$2:$F$2000,المبيعات!$D$2:$D$2000,A1266))</f>
        <v/>
      </c>
      <c r="G1266">
        <f>IF(A1266="","",E1266-F1266)</f>
        <v/>
      </c>
      <c r="H1266" s="4" t="n"/>
      <c r="I1266">
        <f>IF(OR(A1266="",H1266=""),"",IF(G1266&lt;=H1266,"اطلب الآن",""))</f>
        <v/>
      </c>
    </row>
    <row r="1267">
      <c r="A1267" s="4" t="n"/>
      <c r="B1267" s="4" t="n"/>
      <c r="C1267" s="4" t="n"/>
      <c r="D1267" s="4" t="n"/>
      <c r="E1267" s="4" t="n"/>
      <c r="F1267">
        <f>IF(A1267="","",SUMIFS(المبيعات!$F$2:$F$2000,المبيعات!$D$2:$D$2000,A1267))</f>
        <v/>
      </c>
      <c r="G1267">
        <f>IF(A1267="","",E1267-F1267)</f>
        <v/>
      </c>
      <c r="H1267" s="4" t="n"/>
      <c r="I1267">
        <f>IF(OR(A1267="",H1267=""),"",IF(G1267&lt;=H1267,"اطلب الآن",""))</f>
        <v/>
      </c>
    </row>
    <row r="1268">
      <c r="A1268" s="4" t="n"/>
      <c r="B1268" s="4" t="n"/>
      <c r="C1268" s="4" t="n"/>
      <c r="D1268" s="4" t="n"/>
      <c r="E1268" s="4" t="n"/>
      <c r="F1268">
        <f>IF(A1268="","",SUMIFS(المبيعات!$F$2:$F$2000,المبيعات!$D$2:$D$2000,A1268))</f>
        <v/>
      </c>
      <c r="G1268">
        <f>IF(A1268="","",E1268-F1268)</f>
        <v/>
      </c>
      <c r="H1268" s="4" t="n"/>
      <c r="I1268">
        <f>IF(OR(A1268="",H1268=""),"",IF(G1268&lt;=H1268,"اطلب الآن",""))</f>
        <v/>
      </c>
    </row>
    <row r="1269">
      <c r="A1269" s="4" t="n"/>
      <c r="B1269" s="4" t="n"/>
      <c r="C1269" s="4" t="n"/>
      <c r="D1269" s="4" t="n"/>
      <c r="E1269" s="4" t="n"/>
      <c r="F1269">
        <f>IF(A1269="","",SUMIFS(المبيعات!$F$2:$F$2000,المبيعات!$D$2:$D$2000,A1269))</f>
        <v/>
      </c>
      <c r="G1269">
        <f>IF(A1269="","",E1269-F1269)</f>
        <v/>
      </c>
      <c r="H1269" s="4" t="n"/>
      <c r="I1269">
        <f>IF(OR(A1269="",H1269=""),"",IF(G1269&lt;=H1269,"اطلب الآن",""))</f>
        <v/>
      </c>
    </row>
    <row r="1270">
      <c r="A1270" s="4" t="n"/>
      <c r="B1270" s="4" t="n"/>
      <c r="C1270" s="4" t="n"/>
      <c r="D1270" s="4" t="n"/>
      <c r="E1270" s="4" t="n"/>
      <c r="F1270">
        <f>IF(A1270="","",SUMIFS(المبيعات!$F$2:$F$2000,المبيعات!$D$2:$D$2000,A1270))</f>
        <v/>
      </c>
      <c r="G1270">
        <f>IF(A1270="","",E1270-F1270)</f>
        <v/>
      </c>
      <c r="H1270" s="4" t="n"/>
      <c r="I1270">
        <f>IF(OR(A1270="",H1270=""),"",IF(G1270&lt;=H1270,"اطلب الآن",""))</f>
        <v/>
      </c>
    </row>
    <row r="1271">
      <c r="A1271" s="4" t="n"/>
      <c r="B1271" s="4" t="n"/>
      <c r="C1271" s="4" t="n"/>
      <c r="D1271" s="4" t="n"/>
      <c r="E1271" s="4" t="n"/>
      <c r="F1271">
        <f>IF(A1271="","",SUMIFS(المبيعات!$F$2:$F$2000,المبيعات!$D$2:$D$2000,A1271))</f>
        <v/>
      </c>
      <c r="G1271">
        <f>IF(A1271="","",E1271-F1271)</f>
        <v/>
      </c>
      <c r="H1271" s="4" t="n"/>
      <c r="I1271">
        <f>IF(OR(A1271="",H1271=""),"",IF(G1271&lt;=H1271,"اطلب الآن",""))</f>
        <v/>
      </c>
    </row>
    <row r="1272">
      <c r="A1272" s="4" t="n"/>
      <c r="B1272" s="4" t="n"/>
      <c r="C1272" s="4" t="n"/>
      <c r="D1272" s="4" t="n"/>
      <c r="E1272" s="4" t="n"/>
      <c r="F1272">
        <f>IF(A1272="","",SUMIFS(المبيعات!$F$2:$F$2000,المبيعات!$D$2:$D$2000,A1272))</f>
        <v/>
      </c>
      <c r="G1272">
        <f>IF(A1272="","",E1272-F1272)</f>
        <v/>
      </c>
      <c r="H1272" s="4" t="n"/>
      <c r="I1272">
        <f>IF(OR(A1272="",H1272=""),"",IF(G1272&lt;=H1272,"اطلب الآن",""))</f>
        <v/>
      </c>
    </row>
    <row r="1273">
      <c r="A1273" s="4" t="n"/>
      <c r="B1273" s="4" t="n"/>
      <c r="C1273" s="4" t="n"/>
      <c r="D1273" s="4" t="n"/>
      <c r="E1273" s="4" t="n"/>
      <c r="F1273">
        <f>IF(A1273="","",SUMIFS(المبيعات!$F$2:$F$2000,المبيعات!$D$2:$D$2000,A1273))</f>
        <v/>
      </c>
      <c r="G1273">
        <f>IF(A1273="","",E1273-F1273)</f>
        <v/>
      </c>
      <c r="H1273" s="4" t="n"/>
      <c r="I1273">
        <f>IF(OR(A1273="",H1273=""),"",IF(G1273&lt;=H1273,"اطلب الآن",""))</f>
        <v/>
      </c>
    </row>
    <row r="1274">
      <c r="A1274" s="4" t="n"/>
      <c r="B1274" s="4" t="n"/>
      <c r="C1274" s="4" t="n"/>
      <c r="D1274" s="4" t="n"/>
      <c r="E1274" s="4" t="n"/>
      <c r="F1274">
        <f>IF(A1274="","",SUMIFS(المبيعات!$F$2:$F$2000,المبيعات!$D$2:$D$2000,A1274))</f>
        <v/>
      </c>
      <c r="G1274">
        <f>IF(A1274="","",E1274-F1274)</f>
        <v/>
      </c>
      <c r="H1274" s="4" t="n"/>
      <c r="I1274">
        <f>IF(OR(A1274="",H1274=""),"",IF(G1274&lt;=H1274,"اطلب الآن",""))</f>
        <v/>
      </c>
    </row>
    <row r="1275">
      <c r="A1275" s="4" t="n"/>
      <c r="B1275" s="4" t="n"/>
      <c r="C1275" s="4" t="n"/>
      <c r="D1275" s="4" t="n"/>
      <c r="E1275" s="4" t="n"/>
      <c r="F1275">
        <f>IF(A1275="","",SUMIFS(المبيعات!$F$2:$F$2000,المبيعات!$D$2:$D$2000,A1275))</f>
        <v/>
      </c>
      <c r="G1275">
        <f>IF(A1275="","",E1275-F1275)</f>
        <v/>
      </c>
      <c r="H1275" s="4" t="n"/>
      <c r="I1275">
        <f>IF(OR(A1275="",H1275=""),"",IF(G1275&lt;=H1275,"اطلب الآن",""))</f>
        <v/>
      </c>
    </row>
    <row r="1276">
      <c r="A1276" s="4" t="n"/>
      <c r="B1276" s="4" t="n"/>
      <c r="C1276" s="4" t="n"/>
      <c r="D1276" s="4" t="n"/>
      <c r="E1276" s="4" t="n"/>
      <c r="F1276">
        <f>IF(A1276="","",SUMIFS(المبيعات!$F$2:$F$2000,المبيعات!$D$2:$D$2000,A1276))</f>
        <v/>
      </c>
      <c r="G1276">
        <f>IF(A1276="","",E1276-F1276)</f>
        <v/>
      </c>
      <c r="H1276" s="4" t="n"/>
      <c r="I1276">
        <f>IF(OR(A1276="",H1276=""),"",IF(G1276&lt;=H1276,"اطلب الآن",""))</f>
        <v/>
      </c>
    </row>
    <row r="1277">
      <c r="A1277" s="4" t="n"/>
      <c r="B1277" s="4" t="n"/>
      <c r="C1277" s="4" t="n"/>
      <c r="D1277" s="4" t="n"/>
      <c r="E1277" s="4" t="n"/>
      <c r="F1277">
        <f>IF(A1277="","",SUMIFS(المبيعات!$F$2:$F$2000,المبيعات!$D$2:$D$2000,A1277))</f>
        <v/>
      </c>
      <c r="G1277">
        <f>IF(A1277="","",E1277-F1277)</f>
        <v/>
      </c>
      <c r="H1277" s="4" t="n"/>
      <c r="I1277">
        <f>IF(OR(A1277="",H1277=""),"",IF(G1277&lt;=H1277,"اطلب الآن",""))</f>
        <v/>
      </c>
    </row>
    <row r="1278">
      <c r="A1278" s="4" t="n"/>
      <c r="B1278" s="4" t="n"/>
      <c r="C1278" s="4" t="n"/>
      <c r="D1278" s="4" t="n"/>
      <c r="E1278" s="4" t="n"/>
      <c r="F1278">
        <f>IF(A1278="","",SUMIFS(المبيعات!$F$2:$F$2000,المبيعات!$D$2:$D$2000,A1278))</f>
        <v/>
      </c>
      <c r="G1278">
        <f>IF(A1278="","",E1278-F1278)</f>
        <v/>
      </c>
      <c r="H1278" s="4" t="n"/>
      <c r="I1278">
        <f>IF(OR(A1278="",H1278=""),"",IF(G1278&lt;=H1278,"اطلب الآن",""))</f>
        <v/>
      </c>
    </row>
    <row r="1279">
      <c r="A1279" s="4" t="n"/>
      <c r="B1279" s="4" t="n"/>
      <c r="C1279" s="4" t="n"/>
      <c r="D1279" s="4" t="n"/>
      <c r="E1279" s="4" t="n"/>
      <c r="F1279">
        <f>IF(A1279="","",SUMIFS(المبيعات!$F$2:$F$2000,المبيعات!$D$2:$D$2000,A1279))</f>
        <v/>
      </c>
      <c r="G1279">
        <f>IF(A1279="","",E1279-F1279)</f>
        <v/>
      </c>
      <c r="H1279" s="4" t="n"/>
      <c r="I1279">
        <f>IF(OR(A1279="",H1279=""),"",IF(G1279&lt;=H1279,"اطلب الآن",""))</f>
        <v/>
      </c>
    </row>
    <row r="1280">
      <c r="A1280" s="4" t="n"/>
      <c r="B1280" s="4" t="n"/>
      <c r="C1280" s="4" t="n"/>
      <c r="D1280" s="4" t="n"/>
      <c r="E1280" s="4" t="n"/>
      <c r="F1280">
        <f>IF(A1280="","",SUMIFS(المبيعات!$F$2:$F$2000,المبيعات!$D$2:$D$2000,A1280))</f>
        <v/>
      </c>
      <c r="G1280">
        <f>IF(A1280="","",E1280-F1280)</f>
        <v/>
      </c>
      <c r="H1280" s="4" t="n"/>
      <c r="I1280">
        <f>IF(OR(A1280="",H1280=""),"",IF(G1280&lt;=H1280,"اطلب الآن",""))</f>
        <v/>
      </c>
    </row>
    <row r="1281">
      <c r="A1281" s="4" t="n"/>
      <c r="B1281" s="4" t="n"/>
      <c r="C1281" s="4" t="n"/>
      <c r="D1281" s="4" t="n"/>
      <c r="E1281" s="4" t="n"/>
      <c r="F1281">
        <f>IF(A1281="","",SUMIFS(المبيعات!$F$2:$F$2000,المبيعات!$D$2:$D$2000,A1281))</f>
        <v/>
      </c>
      <c r="G1281">
        <f>IF(A1281="","",E1281-F1281)</f>
        <v/>
      </c>
      <c r="H1281" s="4" t="n"/>
      <c r="I1281">
        <f>IF(OR(A1281="",H1281=""),"",IF(G1281&lt;=H1281,"اطلب الآن",""))</f>
        <v/>
      </c>
    </row>
    <row r="1282">
      <c r="A1282" s="4" t="n"/>
      <c r="B1282" s="4" t="n"/>
      <c r="C1282" s="4" t="n"/>
      <c r="D1282" s="4" t="n"/>
      <c r="E1282" s="4" t="n"/>
      <c r="F1282">
        <f>IF(A1282="","",SUMIFS(المبيعات!$F$2:$F$2000,المبيعات!$D$2:$D$2000,A1282))</f>
        <v/>
      </c>
      <c r="G1282">
        <f>IF(A1282="","",E1282-F1282)</f>
        <v/>
      </c>
      <c r="H1282" s="4" t="n"/>
      <c r="I1282">
        <f>IF(OR(A1282="",H1282=""),"",IF(G1282&lt;=H1282,"اطلب الآن",""))</f>
        <v/>
      </c>
    </row>
    <row r="1283">
      <c r="A1283" s="4" t="n"/>
      <c r="B1283" s="4" t="n"/>
      <c r="C1283" s="4" t="n"/>
      <c r="D1283" s="4" t="n"/>
      <c r="E1283" s="4" t="n"/>
      <c r="F1283">
        <f>IF(A1283="","",SUMIFS(المبيعات!$F$2:$F$2000,المبيعات!$D$2:$D$2000,A1283))</f>
        <v/>
      </c>
      <c r="G1283">
        <f>IF(A1283="","",E1283-F1283)</f>
        <v/>
      </c>
      <c r="H1283" s="4" t="n"/>
      <c r="I1283">
        <f>IF(OR(A1283="",H1283=""),"",IF(G1283&lt;=H1283,"اطلب الآن",""))</f>
        <v/>
      </c>
    </row>
    <row r="1284">
      <c r="A1284" s="4" t="n"/>
      <c r="B1284" s="4" t="n"/>
      <c r="C1284" s="4" t="n"/>
      <c r="D1284" s="4" t="n"/>
      <c r="E1284" s="4" t="n"/>
      <c r="F1284">
        <f>IF(A1284="","",SUMIFS(المبيعات!$F$2:$F$2000,المبيعات!$D$2:$D$2000,A1284))</f>
        <v/>
      </c>
      <c r="G1284">
        <f>IF(A1284="","",E1284-F1284)</f>
        <v/>
      </c>
      <c r="H1284" s="4" t="n"/>
      <c r="I1284">
        <f>IF(OR(A1284="",H1284=""),"",IF(G1284&lt;=H1284,"اطلب الآن",""))</f>
        <v/>
      </c>
    </row>
    <row r="1285">
      <c r="A1285" s="4" t="n"/>
      <c r="B1285" s="4" t="n"/>
      <c r="C1285" s="4" t="n"/>
      <c r="D1285" s="4" t="n"/>
      <c r="E1285" s="4" t="n"/>
      <c r="F1285">
        <f>IF(A1285="","",SUMIFS(المبيعات!$F$2:$F$2000,المبيعات!$D$2:$D$2000,A1285))</f>
        <v/>
      </c>
      <c r="G1285">
        <f>IF(A1285="","",E1285-F1285)</f>
        <v/>
      </c>
      <c r="H1285" s="4" t="n"/>
      <c r="I1285">
        <f>IF(OR(A1285="",H1285=""),"",IF(G1285&lt;=H1285,"اطلب الآن",""))</f>
        <v/>
      </c>
    </row>
    <row r="1286">
      <c r="A1286" s="4" t="n"/>
      <c r="B1286" s="4" t="n"/>
      <c r="C1286" s="4" t="n"/>
      <c r="D1286" s="4" t="n"/>
      <c r="E1286" s="4" t="n"/>
      <c r="F1286">
        <f>IF(A1286="","",SUMIFS(المبيعات!$F$2:$F$2000,المبيعات!$D$2:$D$2000,A1286))</f>
        <v/>
      </c>
      <c r="G1286">
        <f>IF(A1286="","",E1286-F1286)</f>
        <v/>
      </c>
      <c r="H1286" s="4" t="n"/>
      <c r="I1286">
        <f>IF(OR(A1286="",H1286=""),"",IF(G1286&lt;=H1286,"اطلب الآن",""))</f>
        <v/>
      </c>
    </row>
    <row r="1287">
      <c r="A1287" s="4" t="n"/>
      <c r="B1287" s="4" t="n"/>
      <c r="C1287" s="4" t="n"/>
      <c r="D1287" s="4" t="n"/>
      <c r="E1287" s="4" t="n"/>
      <c r="F1287">
        <f>IF(A1287="","",SUMIFS(المبيعات!$F$2:$F$2000,المبيعات!$D$2:$D$2000,A1287))</f>
        <v/>
      </c>
      <c r="G1287">
        <f>IF(A1287="","",E1287-F1287)</f>
        <v/>
      </c>
      <c r="H1287" s="4" t="n"/>
      <c r="I1287">
        <f>IF(OR(A1287="",H1287=""),"",IF(G1287&lt;=H1287,"اطلب الآن",""))</f>
        <v/>
      </c>
    </row>
    <row r="1288">
      <c r="A1288" s="4" t="n"/>
      <c r="B1288" s="4" t="n"/>
      <c r="C1288" s="4" t="n"/>
      <c r="D1288" s="4" t="n"/>
      <c r="E1288" s="4" t="n"/>
      <c r="F1288">
        <f>IF(A1288="","",SUMIFS(المبيعات!$F$2:$F$2000,المبيعات!$D$2:$D$2000,A1288))</f>
        <v/>
      </c>
      <c r="G1288">
        <f>IF(A1288="","",E1288-F1288)</f>
        <v/>
      </c>
      <c r="H1288" s="4" t="n"/>
      <c r="I1288">
        <f>IF(OR(A1288="",H1288=""),"",IF(G1288&lt;=H1288,"اطلب الآن",""))</f>
        <v/>
      </c>
    </row>
    <row r="1289">
      <c r="A1289" s="4" t="n"/>
      <c r="B1289" s="4" t="n"/>
      <c r="C1289" s="4" t="n"/>
      <c r="D1289" s="4" t="n"/>
      <c r="E1289" s="4" t="n"/>
      <c r="F1289">
        <f>IF(A1289="","",SUMIFS(المبيعات!$F$2:$F$2000,المبيعات!$D$2:$D$2000,A1289))</f>
        <v/>
      </c>
      <c r="G1289">
        <f>IF(A1289="","",E1289-F1289)</f>
        <v/>
      </c>
      <c r="H1289" s="4" t="n"/>
      <c r="I1289">
        <f>IF(OR(A1289="",H1289=""),"",IF(G1289&lt;=H1289,"اطلب الآن",""))</f>
        <v/>
      </c>
    </row>
    <row r="1290">
      <c r="A1290" s="4" t="n"/>
      <c r="B1290" s="4" t="n"/>
      <c r="C1290" s="4" t="n"/>
      <c r="D1290" s="4" t="n"/>
      <c r="E1290" s="4" t="n"/>
      <c r="F1290">
        <f>IF(A1290="","",SUMIFS(المبيعات!$F$2:$F$2000,المبيعات!$D$2:$D$2000,A1290))</f>
        <v/>
      </c>
      <c r="G1290">
        <f>IF(A1290="","",E1290-F1290)</f>
        <v/>
      </c>
      <c r="H1290" s="4" t="n"/>
      <c r="I1290">
        <f>IF(OR(A1290="",H1290=""),"",IF(G1290&lt;=H1290,"اطلب الآن",""))</f>
        <v/>
      </c>
    </row>
    <row r="1291">
      <c r="A1291" s="4" t="n"/>
      <c r="B1291" s="4" t="n"/>
      <c r="C1291" s="4" t="n"/>
      <c r="D1291" s="4" t="n"/>
      <c r="E1291" s="4" t="n"/>
      <c r="F1291">
        <f>IF(A1291="","",SUMIFS(المبيعات!$F$2:$F$2000,المبيعات!$D$2:$D$2000,A1291))</f>
        <v/>
      </c>
      <c r="G1291">
        <f>IF(A1291="","",E1291-F1291)</f>
        <v/>
      </c>
      <c r="H1291" s="4" t="n"/>
      <c r="I1291">
        <f>IF(OR(A1291="",H1291=""),"",IF(G1291&lt;=H1291,"اطلب الآن",""))</f>
        <v/>
      </c>
    </row>
    <row r="1292">
      <c r="A1292" s="4" t="n"/>
      <c r="B1292" s="4" t="n"/>
      <c r="C1292" s="4" t="n"/>
      <c r="D1292" s="4" t="n"/>
      <c r="E1292" s="4" t="n"/>
      <c r="F1292">
        <f>IF(A1292="","",SUMIFS(المبيعات!$F$2:$F$2000,المبيعات!$D$2:$D$2000,A1292))</f>
        <v/>
      </c>
      <c r="G1292">
        <f>IF(A1292="","",E1292-F1292)</f>
        <v/>
      </c>
      <c r="H1292" s="4" t="n"/>
      <c r="I1292">
        <f>IF(OR(A1292="",H1292=""),"",IF(G1292&lt;=H1292,"اطلب الآن",""))</f>
        <v/>
      </c>
    </row>
    <row r="1293">
      <c r="A1293" s="4" t="n"/>
      <c r="B1293" s="4" t="n"/>
      <c r="C1293" s="4" t="n"/>
      <c r="D1293" s="4" t="n"/>
      <c r="E1293" s="4" t="n"/>
      <c r="F1293">
        <f>IF(A1293="","",SUMIFS(المبيعات!$F$2:$F$2000,المبيعات!$D$2:$D$2000,A1293))</f>
        <v/>
      </c>
      <c r="G1293">
        <f>IF(A1293="","",E1293-F1293)</f>
        <v/>
      </c>
      <c r="H1293" s="4" t="n"/>
      <c r="I1293">
        <f>IF(OR(A1293="",H1293=""),"",IF(G1293&lt;=H1293,"اطلب الآن",""))</f>
        <v/>
      </c>
    </row>
    <row r="1294">
      <c r="A1294" s="4" t="n"/>
      <c r="B1294" s="4" t="n"/>
      <c r="C1294" s="4" t="n"/>
      <c r="D1294" s="4" t="n"/>
      <c r="E1294" s="4" t="n"/>
      <c r="F1294">
        <f>IF(A1294="","",SUMIFS(المبيعات!$F$2:$F$2000,المبيعات!$D$2:$D$2000,A1294))</f>
        <v/>
      </c>
      <c r="G1294">
        <f>IF(A1294="","",E1294-F1294)</f>
        <v/>
      </c>
      <c r="H1294" s="4" t="n"/>
      <c r="I1294">
        <f>IF(OR(A1294="",H1294=""),"",IF(G1294&lt;=H1294,"اطلب الآن",""))</f>
        <v/>
      </c>
    </row>
    <row r="1295">
      <c r="A1295" s="4" t="n"/>
      <c r="B1295" s="4" t="n"/>
      <c r="C1295" s="4" t="n"/>
      <c r="D1295" s="4" t="n"/>
      <c r="E1295" s="4" t="n"/>
      <c r="F1295">
        <f>IF(A1295="","",SUMIFS(المبيعات!$F$2:$F$2000,المبيعات!$D$2:$D$2000,A1295))</f>
        <v/>
      </c>
      <c r="G1295">
        <f>IF(A1295="","",E1295-F1295)</f>
        <v/>
      </c>
      <c r="H1295" s="4" t="n"/>
      <c r="I1295">
        <f>IF(OR(A1295="",H1295=""),"",IF(G1295&lt;=H1295,"اطلب الآن",""))</f>
        <v/>
      </c>
    </row>
    <row r="1296">
      <c r="A1296" s="4" t="n"/>
      <c r="B1296" s="4" t="n"/>
      <c r="C1296" s="4" t="n"/>
      <c r="D1296" s="4" t="n"/>
      <c r="E1296" s="4" t="n"/>
      <c r="F1296">
        <f>IF(A1296="","",SUMIFS(المبيعات!$F$2:$F$2000,المبيعات!$D$2:$D$2000,A1296))</f>
        <v/>
      </c>
      <c r="G1296">
        <f>IF(A1296="","",E1296-F1296)</f>
        <v/>
      </c>
      <c r="H1296" s="4" t="n"/>
      <c r="I1296">
        <f>IF(OR(A1296="",H1296=""),"",IF(G1296&lt;=H1296,"اطلب الآن",""))</f>
        <v/>
      </c>
    </row>
    <row r="1297">
      <c r="A1297" s="4" t="n"/>
      <c r="B1297" s="4" t="n"/>
      <c r="C1297" s="4" t="n"/>
      <c r="D1297" s="4" t="n"/>
      <c r="E1297" s="4" t="n"/>
      <c r="F1297">
        <f>IF(A1297="","",SUMIFS(المبيعات!$F$2:$F$2000,المبيعات!$D$2:$D$2000,A1297))</f>
        <v/>
      </c>
      <c r="G1297">
        <f>IF(A1297="","",E1297-F1297)</f>
        <v/>
      </c>
      <c r="H1297" s="4" t="n"/>
      <c r="I1297">
        <f>IF(OR(A1297="",H1297=""),"",IF(G1297&lt;=H1297,"اطلب الآن",""))</f>
        <v/>
      </c>
    </row>
    <row r="1298">
      <c r="A1298" s="4" t="n"/>
      <c r="B1298" s="4" t="n"/>
      <c r="C1298" s="4" t="n"/>
      <c r="D1298" s="4" t="n"/>
      <c r="E1298" s="4" t="n"/>
      <c r="F1298">
        <f>IF(A1298="","",SUMIFS(المبيعات!$F$2:$F$2000,المبيعات!$D$2:$D$2000,A1298))</f>
        <v/>
      </c>
      <c r="G1298">
        <f>IF(A1298="","",E1298-F1298)</f>
        <v/>
      </c>
      <c r="H1298" s="4" t="n"/>
      <c r="I1298">
        <f>IF(OR(A1298="",H1298=""),"",IF(G1298&lt;=H1298,"اطلب الآن",""))</f>
        <v/>
      </c>
    </row>
    <row r="1299">
      <c r="A1299" s="4" t="n"/>
      <c r="B1299" s="4" t="n"/>
      <c r="C1299" s="4" t="n"/>
      <c r="D1299" s="4" t="n"/>
      <c r="E1299" s="4" t="n"/>
      <c r="F1299">
        <f>IF(A1299="","",SUMIFS(المبيعات!$F$2:$F$2000,المبيعات!$D$2:$D$2000,A1299))</f>
        <v/>
      </c>
      <c r="G1299">
        <f>IF(A1299="","",E1299-F1299)</f>
        <v/>
      </c>
      <c r="H1299" s="4" t="n"/>
      <c r="I1299">
        <f>IF(OR(A1299="",H1299=""),"",IF(G1299&lt;=H1299,"اطلب الآن",""))</f>
        <v/>
      </c>
    </row>
    <row r="1300">
      <c r="A1300" s="4" t="n"/>
      <c r="B1300" s="4" t="n"/>
      <c r="C1300" s="4" t="n"/>
      <c r="D1300" s="4" t="n"/>
      <c r="E1300" s="4" t="n"/>
      <c r="F1300">
        <f>IF(A1300="","",SUMIFS(المبيعات!$F$2:$F$2000,المبيعات!$D$2:$D$2000,A1300))</f>
        <v/>
      </c>
      <c r="G1300">
        <f>IF(A1300="","",E1300-F1300)</f>
        <v/>
      </c>
      <c r="H1300" s="4" t="n"/>
      <c r="I1300">
        <f>IF(OR(A1300="",H1300=""),"",IF(G1300&lt;=H1300,"اطلب الآن",""))</f>
        <v/>
      </c>
    </row>
    <row r="1301">
      <c r="A1301" s="4" t="n"/>
      <c r="B1301" s="4" t="n"/>
      <c r="C1301" s="4" t="n"/>
      <c r="D1301" s="4" t="n"/>
      <c r="E1301" s="4" t="n"/>
      <c r="F1301">
        <f>IF(A1301="","",SUMIFS(المبيعات!$F$2:$F$2000,المبيعات!$D$2:$D$2000,A1301))</f>
        <v/>
      </c>
      <c r="G1301">
        <f>IF(A1301="","",E1301-F1301)</f>
        <v/>
      </c>
      <c r="H1301" s="4" t="n"/>
      <c r="I1301">
        <f>IF(OR(A1301="",H1301=""),"",IF(G1301&lt;=H1301,"اطلب الآن",""))</f>
        <v/>
      </c>
    </row>
    <row r="1302">
      <c r="A1302" s="4" t="n"/>
      <c r="B1302" s="4" t="n"/>
      <c r="C1302" s="4" t="n"/>
      <c r="D1302" s="4" t="n"/>
      <c r="E1302" s="4" t="n"/>
      <c r="F1302">
        <f>IF(A1302="","",SUMIFS(المبيعات!$F$2:$F$2000,المبيعات!$D$2:$D$2000,A1302))</f>
        <v/>
      </c>
      <c r="G1302">
        <f>IF(A1302="","",E1302-F1302)</f>
        <v/>
      </c>
      <c r="H1302" s="4" t="n"/>
      <c r="I1302">
        <f>IF(OR(A1302="",H1302=""),"",IF(G1302&lt;=H1302,"اطلب الآن",""))</f>
        <v/>
      </c>
    </row>
    <row r="1303">
      <c r="A1303" s="4" t="n"/>
      <c r="B1303" s="4" t="n"/>
      <c r="C1303" s="4" t="n"/>
      <c r="D1303" s="4" t="n"/>
      <c r="E1303" s="4" t="n"/>
      <c r="F1303">
        <f>IF(A1303="","",SUMIFS(المبيعات!$F$2:$F$2000,المبيعات!$D$2:$D$2000,A1303))</f>
        <v/>
      </c>
      <c r="G1303">
        <f>IF(A1303="","",E1303-F1303)</f>
        <v/>
      </c>
      <c r="H1303" s="4" t="n"/>
      <c r="I1303">
        <f>IF(OR(A1303="",H1303=""),"",IF(G1303&lt;=H1303,"اطلب الآن",""))</f>
        <v/>
      </c>
    </row>
    <row r="1304">
      <c r="A1304" s="4" t="n"/>
      <c r="B1304" s="4" t="n"/>
      <c r="C1304" s="4" t="n"/>
      <c r="D1304" s="4" t="n"/>
      <c r="E1304" s="4" t="n"/>
      <c r="F1304">
        <f>IF(A1304="","",SUMIFS(المبيعات!$F$2:$F$2000,المبيعات!$D$2:$D$2000,A1304))</f>
        <v/>
      </c>
      <c r="G1304">
        <f>IF(A1304="","",E1304-F1304)</f>
        <v/>
      </c>
      <c r="H1304" s="4" t="n"/>
      <c r="I1304">
        <f>IF(OR(A1304="",H1304=""),"",IF(G1304&lt;=H1304,"اطلب الآن",""))</f>
        <v/>
      </c>
    </row>
    <row r="1305">
      <c r="A1305" s="4" t="n"/>
      <c r="B1305" s="4" t="n"/>
      <c r="C1305" s="4" t="n"/>
      <c r="D1305" s="4" t="n"/>
      <c r="E1305" s="4" t="n"/>
      <c r="F1305">
        <f>IF(A1305="","",SUMIFS(المبيعات!$F$2:$F$2000,المبيعات!$D$2:$D$2000,A1305))</f>
        <v/>
      </c>
      <c r="G1305">
        <f>IF(A1305="","",E1305-F1305)</f>
        <v/>
      </c>
      <c r="H1305" s="4" t="n"/>
      <c r="I1305">
        <f>IF(OR(A1305="",H1305=""),"",IF(G1305&lt;=H1305,"اطلب الآن",""))</f>
        <v/>
      </c>
    </row>
    <row r="1306">
      <c r="A1306" s="4" t="n"/>
      <c r="B1306" s="4" t="n"/>
      <c r="C1306" s="4" t="n"/>
      <c r="D1306" s="4" t="n"/>
      <c r="E1306" s="4" t="n"/>
      <c r="F1306">
        <f>IF(A1306="","",SUMIFS(المبيعات!$F$2:$F$2000,المبيعات!$D$2:$D$2000,A1306))</f>
        <v/>
      </c>
      <c r="G1306">
        <f>IF(A1306="","",E1306-F1306)</f>
        <v/>
      </c>
      <c r="H1306" s="4" t="n"/>
      <c r="I1306">
        <f>IF(OR(A1306="",H1306=""),"",IF(G1306&lt;=H1306,"اطلب الآن",""))</f>
        <v/>
      </c>
    </row>
    <row r="1307">
      <c r="A1307" s="4" t="n"/>
      <c r="B1307" s="4" t="n"/>
      <c r="C1307" s="4" t="n"/>
      <c r="D1307" s="4" t="n"/>
      <c r="E1307" s="4" t="n"/>
      <c r="F1307">
        <f>IF(A1307="","",SUMIFS(المبيعات!$F$2:$F$2000,المبيعات!$D$2:$D$2000,A1307))</f>
        <v/>
      </c>
      <c r="G1307">
        <f>IF(A1307="","",E1307-F1307)</f>
        <v/>
      </c>
      <c r="H1307" s="4" t="n"/>
      <c r="I1307">
        <f>IF(OR(A1307="",H1307=""),"",IF(G1307&lt;=H1307,"اطلب الآن",""))</f>
        <v/>
      </c>
    </row>
    <row r="1308">
      <c r="A1308" s="4" t="n"/>
      <c r="B1308" s="4" t="n"/>
      <c r="C1308" s="4" t="n"/>
      <c r="D1308" s="4" t="n"/>
      <c r="E1308" s="4" t="n"/>
      <c r="F1308">
        <f>IF(A1308="","",SUMIFS(المبيعات!$F$2:$F$2000,المبيعات!$D$2:$D$2000,A1308))</f>
        <v/>
      </c>
      <c r="G1308">
        <f>IF(A1308="","",E1308-F1308)</f>
        <v/>
      </c>
      <c r="H1308" s="4" t="n"/>
      <c r="I1308">
        <f>IF(OR(A1308="",H1308=""),"",IF(G1308&lt;=H1308,"اطلب الآن",""))</f>
        <v/>
      </c>
    </row>
    <row r="1309">
      <c r="A1309" s="4" t="n"/>
      <c r="B1309" s="4" t="n"/>
      <c r="C1309" s="4" t="n"/>
      <c r="D1309" s="4" t="n"/>
      <c r="E1309" s="4" t="n"/>
      <c r="F1309">
        <f>IF(A1309="","",SUMIFS(المبيعات!$F$2:$F$2000,المبيعات!$D$2:$D$2000,A1309))</f>
        <v/>
      </c>
      <c r="G1309">
        <f>IF(A1309="","",E1309-F1309)</f>
        <v/>
      </c>
      <c r="H1309" s="4" t="n"/>
      <c r="I1309">
        <f>IF(OR(A1309="",H1309=""),"",IF(G1309&lt;=H1309,"اطلب الآن",""))</f>
        <v/>
      </c>
    </row>
    <row r="1310">
      <c r="A1310" s="4" t="n"/>
      <c r="B1310" s="4" t="n"/>
      <c r="C1310" s="4" t="n"/>
      <c r="D1310" s="4" t="n"/>
      <c r="E1310" s="4" t="n"/>
      <c r="F1310">
        <f>IF(A1310="","",SUMIFS(المبيعات!$F$2:$F$2000,المبيعات!$D$2:$D$2000,A1310))</f>
        <v/>
      </c>
      <c r="G1310">
        <f>IF(A1310="","",E1310-F1310)</f>
        <v/>
      </c>
      <c r="H1310" s="4" t="n"/>
      <c r="I1310">
        <f>IF(OR(A1310="",H1310=""),"",IF(G1310&lt;=H1310,"اطلب الآن",""))</f>
        <v/>
      </c>
    </row>
    <row r="1311">
      <c r="A1311" s="4" t="n"/>
      <c r="B1311" s="4" t="n"/>
      <c r="C1311" s="4" t="n"/>
      <c r="D1311" s="4" t="n"/>
      <c r="E1311" s="4" t="n"/>
      <c r="F1311">
        <f>IF(A1311="","",SUMIFS(المبيعات!$F$2:$F$2000,المبيعات!$D$2:$D$2000,A1311))</f>
        <v/>
      </c>
      <c r="G1311">
        <f>IF(A1311="","",E1311-F1311)</f>
        <v/>
      </c>
      <c r="H1311" s="4" t="n"/>
      <c r="I1311">
        <f>IF(OR(A1311="",H1311=""),"",IF(G1311&lt;=H1311,"اطلب الآن",""))</f>
        <v/>
      </c>
    </row>
    <row r="1312">
      <c r="A1312" s="4" t="n"/>
      <c r="B1312" s="4" t="n"/>
      <c r="C1312" s="4" t="n"/>
      <c r="D1312" s="4" t="n"/>
      <c r="E1312" s="4" t="n"/>
      <c r="F1312">
        <f>IF(A1312="","",SUMIFS(المبيعات!$F$2:$F$2000,المبيعات!$D$2:$D$2000,A1312))</f>
        <v/>
      </c>
      <c r="G1312">
        <f>IF(A1312="","",E1312-F1312)</f>
        <v/>
      </c>
      <c r="H1312" s="4" t="n"/>
      <c r="I1312">
        <f>IF(OR(A1312="",H1312=""),"",IF(G1312&lt;=H1312,"اطلب الآن",""))</f>
        <v/>
      </c>
    </row>
    <row r="1313">
      <c r="A1313" s="4" t="n"/>
      <c r="B1313" s="4" t="n"/>
      <c r="C1313" s="4" t="n"/>
      <c r="D1313" s="4" t="n"/>
      <c r="E1313" s="4" t="n"/>
      <c r="F1313">
        <f>IF(A1313="","",SUMIFS(المبيعات!$F$2:$F$2000,المبيعات!$D$2:$D$2000,A1313))</f>
        <v/>
      </c>
      <c r="G1313">
        <f>IF(A1313="","",E1313-F1313)</f>
        <v/>
      </c>
      <c r="H1313" s="4" t="n"/>
      <c r="I1313">
        <f>IF(OR(A1313="",H1313=""),"",IF(G1313&lt;=H1313,"اطلب الآن",""))</f>
        <v/>
      </c>
    </row>
    <row r="1314">
      <c r="A1314" s="4" t="n"/>
      <c r="B1314" s="4" t="n"/>
      <c r="C1314" s="4" t="n"/>
      <c r="D1314" s="4" t="n"/>
      <c r="E1314" s="4" t="n"/>
      <c r="F1314">
        <f>IF(A1314="","",SUMIFS(المبيعات!$F$2:$F$2000,المبيعات!$D$2:$D$2000,A1314))</f>
        <v/>
      </c>
      <c r="G1314">
        <f>IF(A1314="","",E1314-F1314)</f>
        <v/>
      </c>
      <c r="H1314" s="4" t="n"/>
      <c r="I1314">
        <f>IF(OR(A1314="",H1314=""),"",IF(G1314&lt;=H1314,"اطلب الآن",""))</f>
        <v/>
      </c>
    </row>
    <row r="1315">
      <c r="A1315" s="4" t="n"/>
      <c r="B1315" s="4" t="n"/>
      <c r="C1315" s="4" t="n"/>
      <c r="D1315" s="4" t="n"/>
      <c r="E1315" s="4" t="n"/>
      <c r="F1315">
        <f>IF(A1315="","",SUMIFS(المبيعات!$F$2:$F$2000,المبيعات!$D$2:$D$2000,A1315))</f>
        <v/>
      </c>
      <c r="G1315">
        <f>IF(A1315="","",E1315-F1315)</f>
        <v/>
      </c>
      <c r="H1315" s="4" t="n"/>
      <c r="I1315">
        <f>IF(OR(A1315="",H1315=""),"",IF(G1315&lt;=H1315,"اطلب الآن",""))</f>
        <v/>
      </c>
    </row>
    <row r="1316">
      <c r="A1316" s="4" t="n"/>
      <c r="B1316" s="4" t="n"/>
      <c r="C1316" s="4" t="n"/>
      <c r="D1316" s="4" t="n"/>
      <c r="E1316" s="4" t="n"/>
      <c r="F1316">
        <f>IF(A1316="","",SUMIFS(المبيعات!$F$2:$F$2000,المبيعات!$D$2:$D$2000,A1316))</f>
        <v/>
      </c>
      <c r="G1316">
        <f>IF(A1316="","",E1316-F1316)</f>
        <v/>
      </c>
      <c r="H1316" s="4" t="n"/>
      <c r="I1316">
        <f>IF(OR(A1316="",H1316=""),"",IF(G1316&lt;=H1316,"اطلب الآن",""))</f>
        <v/>
      </c>
    </row>
    <row r="1317">
      <c r="A1317" s="4" t="n"/>
      <c r="B1317" s="4" t="n"/>
      <c r="C1317" s="4" t="n"/>
      <c r="D1317" s="4" t="n"/>
      <c r="E1317" s="4" t="n"/>
      <c r="F1317">
        <f>IF(A1317="","",SUMIFS(المبيعات!$F$2:$F$2000,المبيعات!$D$2:$D$2000,A1317))</f>
        <v/>
      </c>
      <c r="G1317">
        <f>IF(A1317="","",E1317-F1317)</f>
        <v/>
      </c>
      <c r="H1317" s="4" t="n"/>
      <c r="I1317">
        <f>IF(OR(A1317="",H1317=""),"",IF(G1317&lt;=H1317,"اطلب الآن",""))</f>
        <v/>
      </c>
    </row>
    <row r="1318">
      <c r="A1318" s="4" t="n"/>
      <c r="B1318" s="4" t="n"/>
      <c r="C1318" s="4" t="n"/>
      <c r="D1318" s="4" t="n"/>
      <c r="E1318" s="4" t="n"/>
      <c r="F1318">
        <f>IF(A1318="","",SUMIFS(المبيعات!$F$2:$F$2000,المبيعات!$D$2:$D$2000,A1318))</f>
        <v/>
      </c>
      <c r="G1318">
        <f>IF(A1318="","",E1318-F1318)</f>
        <v/>
      </c>
      <c r="H1318" s="4" t="n"/>
      <c r="I1318">
        <f>IF(OR(A1318="",H1318=""),"",IF(G1318&lt;=H1318,"اطلب الآن",""))</f>
        <v/>
      </c>
    </row>
    <row r="1319">
      <c r="A1319" s="4" t="n"/>
      <c r="B1319" s="4" t="n"/>
      <c r="C1319" s="4" t="n"/>
      <c r="D1319" s="4" t="n"/>
      <c r="E1319" s="4" t="n"/>
      <c r="F1319">
        <f>IF(A1319="","",SUMIFS(المبيعات!$F$2:$F$2000,المبيعات!$D$2:$D$2000,A1319))</f>
        <v/>
      </c>
      <c r="G1319">
        <f>IF(A1319="","",E1319-F1319)</f>
        <v/>
      </c>
      <c r="H1319" s="4" t="n"/>
      <c r="I1319">
        <f>IF(OR(A1319="",H1319=""),"",IF(G1319&lt;=H1319,"اطلب الآن",""))</f>
        <v/>
      </c>
    </row>
    <row r="1320">
      <c r="A1320" s="4" t="n"/>
      <c r="B1320" s="4" t="n"/>
      <c r="C1320" s="4" t="n"/>
      <c r="D1320" s="4" t="n"/>
      <c r="E1320" s="4" t="n"/>
      <c r="F1320">
        <f>IF(A1320="","",SUMIFS(المبيعات!$F$2:$F$2000,المبيعات!$D$2:$D$2000,A1320))</f>
        <v/>
      </c>
      <c r="G1320">
        <f>IF(A1320="","",E1320-F1320)</f>
        <v/>
      </c>
      <c r="H1320" s="4" t="n"/>
      <c r="I1320">
        <f>IF(OR(A1320="",H1320=""),"",IF(G1320&lt;=H1320,"اطلب الآن",""))</f>
        <v/>
      </c>
    </row>
    <row r="1321">
      <c r="A1321" s="4" t="n"/>
      <c r="B1321" s="4" t="n"/>
      <c r="C1321" s="4" t="n"/>
      <c r="D1321" s="4" t="n"/>
      <c r="E1321" s="4" t="n"/>
      <c r="F1321">
        <f>IF(A1321="","",SUMIFS(المبيعات!$F$2:$F$2000,المبيعات!$D$2:$D$2000,A1321))</f>
        <v/>
      </c>
      <c r="G1321">
        <f>IF(A1321="","",E1321-F1321)</f>
        <v/>
      </c>
      <c r="H1321" s="4" t="n"/>
      <c r="I1321">
        <f>IF(OR(A1321="",H1321=""),"",IF(G1321&lt;=H1321,"اطلب الآن",""))</f>
        <v/>
      </c>
    </row>
    <row r="1322">
      <c r="A1322" s="4" t="n"/>
      <c r="B1322" s="4" t="n"/>
      <c r="C1322" s="4" t="n"/>
      <c r="D1322" s="4" t="n"/>
      <c r="E1322" s="4" t="n"/>
      <c r="F1322">
        <f>IF(A1322="","",SUMIFS(المبيعات!$F$2:$F$2000,المبيعات!$D$2:$D$2000,A1322))</f>
        <v/>
      </c>
      <c r="G1322">
        <f>IF(A1322="","",E1322-F1322)</f>
        <v/>
      </c>
      <c r="H1322" s="4" t="n"/>
      <c r="I1322">
        <f>IF(OR(A1322="",H1322=""),"",IF(G1322&lt;=H1322,"اطلب الآن",""))</f>
        <v/>
      </c>
    </row>
    <row r="1323">
      <c r="A1323" s="4" t="n"/>
      <c r="B1323" s="4" t="n"/>
      <c r="C1323" s="4" t="n"/>
      <c r="D1323" s="4" t="n"/>
      <c r="E1323" s="4" t="n"/>
      <c r="F1323">
        <f>IF(A1323="","",SUMIFS(المبيعات!$F$2:$F$2000,المبيعات!$D$2:$D$2000,A1323))</f>
        <v/>
      </c>
      <c r="G1323">
        <f>IF(A1323="","",E1323-F1323)</f>
        <v/>
      </c>
      <c r="H1323" s="4" t="n"/>
      <c r="I1323">
        <f>IF(OR(A1323="",H1323=""),"",IF(G1323&lt;=H1323,"اطلب الآن",""))</f>
        <v/>
      </c>
    </row>
    <row r="1324">
      <c r="A1324" s="4" t="n"/>
      <c r="B1324" s="4" t="n"/>
      <c r="C1324" s="4" t="n"/>
      <c r="D1324" s="4" t="n"/>
      <c r="E1324" s="4" t="n"/>
      <c r="F1324">
        <f>IF(A1324="","",SUMIFS(المبيعات!$F$2:$F$2000,المبيعات!$D$2:$D$2000,A1324))</f>
        <v/>
      </c>
      <c r="G1324">
        <f>IF(A1324="","",E1324-F1324)</f>
        <v/>
      </c>
      <c r="H1324" s="4" t="n"/>
      <c r="I1324">
        <f>IF(OR(A1324="",H1324=""),"",IF(G1324&lt;=H1324,"اطلب الآن",""))</f>
        <v/>
      </c>
    </row>
    <row r="1325">
      <c r="A1325" s="4" t="n"/>
      <c r="B1325" s="4" t="n"/>
      <c r="C1325" s="4" t="n"/>
      <c r="D1325" s="4" t="n"/>
      <c r="E1325" s="4" t="n"/>
      <c r="F1325">
        <f>IF(A1325="","",SUMIFS(المبيعات!$F$2:$F$2000,المبيعات!$D$2:$D$2000,A1325))</f>
        <v/>
      </c>
      <c r="G1325">
        <f>IF(A1325="","",E1325-F1325)</f>
        <v/>
      </c>
      <c r="H1325" s="4" t="n"/>
      <c r="I1325">
        <f>IF(OR(A1325="",H1325=""),"",IF(G1325&lt;=H1325,"اطلب الآن",""))</f>
        <v/>
      </c>
    </row>
    <row r="1326">
      <c r="A1326" s="4" t="n"/>
      <c r="B1326" s="4" t="n"/>
      <c r="C1326" s="4" t="n"/>
      <c r="D1326" s="4" t="n"/>
      <c r="E1326" s="4" t="n"/>
      <c r="F1326">
        <f>IF(A1326="","",SUMIFS(المبيعات!$F$2:$F$2000,المبيعات!$D$2:$D$2000,A1326))</f>
        <v/>
      </c>
      <c r="G1326">
        <f>IF(A1326="","",E1326-F1326)</f>
        <v/>
      </c>
      <c r="H1326" s="4" t="n"/>
      <c r="I1326">
        <f>IF(OR(A1326="",H1326=""),"",IF(G1326&lt;=H1326,"اطلب الآن",""))</f>
        <v/>
      </c>
    </row>
    <row r="1327">
      <c r="A1327" s="4" t="n"/>
      <c r="B1327" s="4" t="n"/>
      <c r="C1327" s="4" t="n"/>
      <c r="D1327" s="4" t="n"/>
      <c r="E1327" s="4" t="n"/>
      <c r="F1327">
        <f>IF(A1327="","",SUMIFS(المبيعات!$F$2:$F$2000,المبيعات!$D$2:$D$2000,A1327))</f>
        <v/>
      </c>
      <c r="G1327">
        <f>IF(A1327="","",E1327-F1327)</f>
        <v/>
      </c>
      <c r="H1327" s="4" t="n"/>
      <c r="I1327">
        <f>IF(OR(A1327="",H1327=""),"",IF(G1327&lt;=H1327,"اطلب الآن",""))</f>
        <v/>
      </c>
    </row>
    <row r="1328">
      <c r="A1328" s="4" t="n"/>
      <c r="B1328" s="4" t="n"/>
      <c r="C1328" s="4" t="n"/>
      <c r="D1328" s="4" t="n"/>
      <c r="E1328" s="4" t="n"/>
      <c r="F1328">
        <f>IF(A1328="","",SUMIFS(المبيعات!$F$2:$F$2000,المبيعات!$D$2:$D$2000,A1328))</f>
        <v/>
      </c>
      <c r="G1328">
        <f>IF(A1328="","",E1328-F1328)</f>
        <v/>
      </c>
      <c r="H1328" s="4" t="n"/>
      <c r="I1328">
        <f>IF(OR(A1328="",H1328=""),"",IF(G1328&lt;=H1328,"اطلب الآن",""))</f>
        <v/>
      </c>
    </row>
    <row r="1329">
      <c r="A1329" s="4" t="n"/>
      <c r="B1329" s="4" t="n"/>
      <c r="C1329" s="4" t="n"/>
      <c r="D1329" s="4" t="n"/>
      <c r="E1329" s="4" t="n"/>
      <c r="F1329">
        <f>IF(A1329="","",SUMIFS(المبيعات!$F$2:$F$2000,المبيعات!$D$2:$D$2000,A1329))</f>
        <v/>
      </c>
      <c r="G1329">
        <f>IF(A1329="","",E1329-F1329)</f>
        <v/>
      </c>
      <c r="H1329" s="4" t="n"/>
      <c r="I1329">
        <f>IF(OR(A1329="",H1329=""),"",IF(G1329&lt;=H1329,"اطلب الآن",""))</f>
        <v/>
      </c>
    </row>
    <row r="1330">
      <c r="A1330" s="4" t="n"/>
      <c r="B1330" s="4" t="n"/>
      <c r="C1330" s="4" t="n"/>
      <c r="D1330" s="4" t="n"/>
      <c r="E1330" s="4" t="n"/>
      <c r="F1330">
        <f>IF(A1330="","",SUMIFS(المبيعات!$F$2:$F$2000,المبيعات!$D$2:$D$2000,A1330))</f>
        <v/>
      </c>
      <c r="G1330">
        <f>IF(A1330="","",E1330-F1330)</f>
        <v/>
      </c>
      <c r="H1330" s="4" t="n"/>
      <c r="I1330">
        <f>IF(OR(A1330="",H1330=""),"",IF(G1330&lt;=H1330,"اطلب الآن",""))</f>
        <v/>
      </c>
    </row>
    <row r="1331">
      <c r="A1331" s="4" t="n"/>
      <c r="B1331" s="4" t="n"/>
      <c r="C1331" s="4" t="n"/>
      <c r="D1331" s="4" t="n"/>
      <c r="E1331" s="4" t="n"/>
      <c r="F1331">
        <f>IF(A1331="","",SUMIFS(المبيعات!$F$2:$F$2000,المبيعات!$D$2:$D$2000,A1331))</f>
        <v/>
      </c>
      <c r="G1331">
        <f>IF(A1331="","",E1331-F1331)</f>
        <v/>
      </c>
      <c r="H1331" s="4" t="n"/>
      <c r="I1331">
        <f>IF(OR(A1331="",H1331=""),"",IF(G1331&lt;=H1331,"اطلب الآن",""))</f>
        <v/>
      </c>
    </row>
    <row r="1332">
      <c r="A1332" s="4" t="n"/>
      <c r="B1332" s="4" t="n"/>
      <c r="C1332" s="4" t="n"/>
      <c r="D1332" s="4" t="n"/>
      <c r="E1332" s="4" t="n"/>
      <c r="F1332">
        <f>IF(A1332="","",SUMIFS(المبيعات!$F$2:$F$2000,المبيعات!$D$2:$D$2000,A1332))</f>
        <v/>
      </c>
      <c r="G1332">
        <f>IF(A1332="","",E1332-F1332)</f>
        <v/>
      </c>
      <c r="H1332" s="4" t="n"/>
      <c r="I1332">
        <f>IF(OR(A1332="",H1332=""),"",IF(G1332&lt;=H1332,"اطلب الآن",""))</f>
        <v/>
      </c>
    </row>
    <row r="1333">
      <c r="A1333" s="4" t="n"/>
      <c r="B1333" s="4" t="n"/>
      <c r="C1333" s="4" t="n"/>
      <c r="D1333" s="4" t="n"/>
      <c r="E1333" s="4" t="n"/>
      <c r="F1333">
        <f>IF(A1333="","",SUMIFS(المبيعات!$F$2:$F$2000,المبيعات!$D$2:$D$2000,A1333))</f>
        <v/>
      </c>
      <c r="G1333">
        <f>IF(A1333="","",E1333-F1333)</f>
        <v/>
      </c>
      <c r="H1333" s="4" t="n"/>
      <c r="I1333">
        <f>IF(OR(A1333="",H1333=""),"",IF(G1333&lt;=H1333,"اطلب الآن",""))</f>
        <v/>
      </c>
    </row>
    <row r="1334">
      <c r="A1334" s="4" t="n"/>
      <c r="B1334" s="4" t="n"/>
      <c r="C1334" s="4" t="n"/>
      <c r="D1334" s="4" t="n"/>
      <c r="E1334" s="4" t="n"/>
      <c r="F1334">
        <f>IF(A1334="","",SUMIFS(المبيعات!$F$2:$F$2000,المبيعات!$D$2:$D$2000,A1334))</f>
        <v/>
      </c>
      <c r="G1334">
        <f>IF(A1334="","",E1334-F1334)</f>
        <v/>
      </c>
      <c r="H1334" s="4" t="n"/>
      <c r="I1334">
        <f>IF(OR(A1334="",H1334=""),"",IF(G1334&lt;=H1334,"اطلب الآن",""))</f>
        <v/>
      </c>
    </row>
    <row r="1335">
      <c r="A1335" s="4" t="n"/>
      <c r="B1335" s="4" t="n"/>
      <c r="C1335" s="4" t="n"/>
      <c r="D1335" s="4" t="n"/>
      <c r="E1335" s="4" t="n"/>
      <c r="F1335">
        <f>IF(A1335="","",SUMIFS(المبيعات!$F$2:$F$2000,المبيعات!$D$2:$D$2000,A1335))</f>
        <v/>
      </c>
      <c r="G1335">
        <f>IF(A1335="","",E1335-F1335)</f>
        <v/>
      </c>
      <c r="H1335" s="4" t="n"/>
      <c r="I1335">
        <f>IF(OR(A1335="",H1335=""),"",IF(G1335&lt;=H1335,"اطلب الآن",""))</f>
        <v/>
      </c>
    </row>
    <row r="1336">
      <c r="A1336" s="4" t="n"/>
      <c r="B1336" s="4" t="n"/>
      <c r="C1336" s="4" t="n"/>
      <c r="D1336" s="4" t="n"/>
      <c r="E1336" s="4" t="n"/>
      <c r="F1336">
        <f>IF(A1336="","",SUMIFS(المبيعات!$F$2:$F$2000,المبيعات!$D$2:$D$2000,A1336))</f>
        <v/>
      </c>
      <c r="G1336">
        <f>IF(A1336="","",E1336-F1336)</f>
        <v/>
      </c>
      <c r="H1336" s="4" t="n"/>
      <c r="I1336">
        <f>IF(OR(A1336="",H1336=""),"",IF(G1336&lt;=H1336,"اطلب الآن",""))</f>
        <v/>
      </c>
    </row>
    <row r="1337">
      <c r="A1337" s="4" t="n"/>
      <c r="B1337" s="4" t="n"/>
      <c r="C1337" s="4" t="n"/>
      <c r="D1337" s="4" t="n"/>
      <c r="E1337" s="4" t="n"/>
      <c r="F1337">
        <f>IF(A1337="","",SUMIFS(المبيعات!$F$2:$F$2000,المبيعات!$D$2:$D$2000,A1337))</f>
        <v/>
      </c>
      <c r="G1337">
        <f>IF(A1337="","",E1337-F1337)</f>
        <v/>
      </c>
      <c r="H1337" s="4" t="n"/>
      <c r="I1337">
        <f>IF(OR(A1337="",H1337=""),"",IF(G1337&lt;=H1337,"اطلب الآن",""))</f>
        <v/>
      </c>
    </row>
    <row r="1338">
      <c r="A1338" s="4" t="n"/>
      <c r="B1338" s="4" t="n"/>
      <c r="C1338" s="4" t="n"/>
      <c r="D1338" s="4" t="n"/>
      <c r="E1338" s="4" t="n"/>
      <c r="F1338">
        <f>IF(A1338="","",SUMIFS(المبيعات!$F$2:$F$2000,المبيعات!$D$2:$D$2000,A1338))</f>
        <v/>
      </c>
      <c r="G1338">
        <f>IF(A1338="","",E1338-F1338)</f>
        <v/>
      </c>
      <c r="H1338" s="4" t="n"/>
      <c r="I1338">
        <f>IF(OR(A1338="",H1338=""),"",IF(G1338&lt;=H1338,"اطلب الآن",""))</f>
        <v/>
      </c>
    </row>
    <row r="1339">
      <c r="A1339" s="4" t="n"/>
      <c r="B1339" s="4" t="n"/>
      <c r="C1339" s="4" t="n"/>
      <c r="D1339" s="4" t="n"/>
      <c r="E1339" s="4" t="n"/>
      <c r="F1339">
        <f>IF(A1339="","",SUMIFS(المبيعات!$F$2:$F$2000,المبيعات!$D$2:$D$2000,A1339))</f>
        <v/>
      </c>
      <c r="G1339">
        <f>IF(A1339="","",E1339-F1339)</f>
        <v/>
      </c>
      <c r="H1339" s="4" t="n"/>
      <c r="I1339">
        <f>IF(OR(A1339="",H1339=""),"",IF(G1339&lt;=H1339,"اطلب الآن",""))</f>
        <v/>
      </c>
    </row>
    <row r="1340">
      <c r="A1340" s="4" t="n"/>
      <c r="B1340" s="4" t="n"/>
      <c r="C1340" s="4" t="n"/>
      <c r="D1340" s="4" t="n"/>
      <c r="E1340" s="4" t="n"/>
      <c r="F1340">
        <f>IF(A1340="","",SUMIFS(المبيعات!$F$2:$F$2000,المبيعات!$D$2:$D$2000,A1340))</f>
        <v/>
      </c>
      <c r="G1340">
        <f>IF(A1340="","",E1340-F1340)</f>
        <v/>
      </c>
      <c r="H1340" s="4" t="n"/>
      <c r="I1340">
        <f>IF(OR(A1340="",H1340=""),"",IF(G1340&lt;=H1340,"اطلب الآن",""))</f>
        <v/>
      </c>
    </row>
    <row r="1341">
      <c r="A1341" s="4" t="n"/>
      <c r="B1341" s="4" t="n"/>
      <c r="C1341" s="4" t="n"/>
      <c r="D1341" s="4" t="n"/>
      <c r="E1341" s="4" t="n"/>
      <c r="F1341">
        <f>IF(A1341="","",SUMIFS(المبيعات!$F$2:$F$2000,المبيعات!$D$2:$D$2000,A1341))</f>
        <v/>
      </c>
      <c r="G1341">
        <f>IF(A1341="","",E1341-F1341)</f>
        <v/>
      </c>
      <c r="H1341" s="4" t="n"/>
      <c r="I1341">
        <f>IF(OR(A1341="",H1341=""),"",IF(G1341&lt;=H1341,"اطلب الآن",""))</f>
        <v/>
      </c>
    </row>
    <row r="1342">
      <c r="A1342" s="4" t="n"/>
      <c r="B1342" s="4" t="n"/>
      <c r="C1342" s="4" t="n"/>
      <c r="D1342" s="4" t="n"/>
      <c r="E1342" s="4" t="n"/>
      <c r="F1342">
        <f>IF(A1342="","",SUMIFS(المبيعات!$F$2:$F$2000,المبيعات!$D$2:$D$2000,A1342))</f>
        <v/>
      </c>
      <c r="G1342">
        <f>IF(A1342="","",E1342-F1342)</f>
        <v/>
      </c>
      <c r="H1342" s="4" t="n"/>
      <c r="I1342">
        <f>IF(OR(A1342="",H1342=""),"",IF(G1342&lt;=H1342,"اطلب الآن",""))</f>
        <v/>
      </c>
    </row>
    <row r="1343">
      <c r="A1343" s="4" t="n"/>
      <c r="B1343" s="4" t="n"/>
      <c r="C1343" s="4" t="n"/>
      <c r="D1343" s="4" t="n"/>
      <c r="E1343" s="4" t="n"/>
      <c r="F1343">
        <f>IF(A1343="","",SUMIFS(المبيعات!$F$2:$F$2000,المبيعات!$D$2:$D$2000,A1343))</f>
        <v/>
      </c>
      <c r="G1343">
        <f>IF(A1343="","",E1343-F1343)</f>
        <v/>
      </c>
      <c r="H1343" s="4" t="n"/>
      <c r="I1343">
        <f>IF(OR(A1343="",H1343=""),"",IF(G1343&lt;=H1343,"اطلب الآن",""))</f>
        <v/>
      </c>
    </row>
    <row r="1344">
      <c r="A1344" s="4" t="n"/>
      <c r="B1344" s="4" t="n"/>
      <c r="C1344" s="4" t="n"/>
      <c r="D1344" s="4" t="n"/>
      <c r="E1344" s="4" t="n"/>
      <c r="F1344">
        <f>IF(A1344="","",SUMIFS(المبيعات!$F$2:$F$2000,المبيعات!$D$2:$D$2000,A1344))</f>
        <v/>
      </c>
      <c r="G1344">
        <f>IF(A1344="","",E1344-F1344)</f>
        <v/>
      </c>
      <c r="H1344" s="4" t="n"/>
      <c r="I1344">
        <f>IF(OR(A1344="",H1344=""),"",IF(G1344&lt;=H1344,"اطلب الآن",""))</f>
        <v/>
      </c>
    </row>
    <row r="1345">
      <c r="A1345" s="4" t="n"/>
      <c r="B1345" s="4" t="n"/>
      <c r="C1345" s="4" t="n"/>
      <c r="D1345" s="4" t="n"/>
      <c r="E1345" s="4" t="n"/>
      <c r="F1345">
        <f>IF(A1345="","",SUMIFS(المبيعات!$F$2:$F$2000,المبيعات!$D$2:$D$2000,A1345))</f>
        <v/>
      </c>
      <c r="G1345">
        <f>IF(A1345="","",E1345-F1345)</f>
        <v/>
      </c>
      <c r="H1345" s="4" t="n"/>
      <c r="I1345">
        <f>IF(OR(A1345="",H1345=""),"",IF(G1345&lt;=H1345,"اطلب الآن",""))</f>
        <v/>
      </c>
    </row>
    <row r="1346">
      <c r="A1346" s="4" t="n"/>
      <c r="B1346" s="4" t="n"/>
      <c r="C1346" s="4" t="n"/>
      <c r="D1346" s="4" t="n"/>
      <c r="E1346" s="4" t="n"/>
      <c r="F1346">
        <f>IF(A1346="","",SUMIFS(المبيعات!$F$2:$F$2000,المبيعات!$D$2:$D$2000,A1346))</f>
        <v/>
      </c>
      <c r="G1346">
        <f>IF(A1346="","",E1346-F1346)</f>
        <v/>
      </c>
      <c r="H1346" s="4" t="n"/>
      <c r="I1346">
        <f>IF(OR(A1346="",H1346=""),"",IF(G1346&lt;=H1346,"اطلب الآن",""))</f>
        <v/>
      </c>
    </row>
    <row r="1347">
      <c r="A1347" s="4" t="n"/>
      <c r="B1347" s="4" t="n"/>
      <c r="C1347" s="4" t="n"/>
      <c r="D1347" s="4" t="n"/>
      <c r="E1347" s="4" t="n"/>
      <c r="F1347">
        <f>IF(A1347="","",SUMIFS(المبيعات!$F$2:$F$2000,المبيعات!$D$2:$D$2000,A1347))</f>
        <v/>
      </c>
      <c r="G1347">
        <f>IF(A1347="","",E1347-F1347)</f>
        <v/>
      </c>
      <c r="H1347" s="4" t="n"/>
      <c r="I1347">
        <f>IF(OR(A1347="",H1347=""),"",IF(G1347&lt;=H1347,"اطلب الآن",""))</f>
        <v/>
      </c>
    </row>
    <row r="1348">
      <c r="A1348" s="4" t="n"/>
      <c r="B1348" s="4" t="n"/>
      <c r="C1348" s="4" t="n"/>
      <c r="D1348" s="4" t="n"/>
      <c r="E1348" s="4" t="n"/>
      <c r="F1348">
        <f>IF(A1348="","",SUMIFS(المبيعات!$F$2:$F$2000,المبيعات!$D$2:$D$2000,A1348))</f>
        <v/>
      </c>
      <c r="G1348">
        <f>IF(A1348="","",E1348-F1348)</f>
        <v/>
      </c>
      <c r="H1348" s="4" t="n"/>
      <c r="I1348">
        <f>IF(OR(A1348="",H1348=""),"",IF(G1348&lt;=H1348,"اطلب الآن",""))</f>
        <v/>
      </c>
    </row>
    <row r="1349">
      <c r="A1349" s="4" t="n"/>
      <c r="B1349" s="4" t="n"/>
      <c r="C1349" s="4" t="n"/>
      <c r="D1349" s="4" t="n"/>
      <c r="E1349" s="4" t="n"/>
      <c r="F1349">
        <f>IF(A1349="","",SUMIFS(المبيعات!$F$2:$F$2000,المبيعات!$D$2:$D$2000,A1349))</f>
        <v/>
      </c>
      <c r="G1349">
        <f>IF(A1349="","",E1349-F1349)</f>
        <v/>
      </c>
      <c r="H1349" s="4" t="n"/>
      <c r="I1349">
        <f>IF(OR(A1349="",H1349=""),"",IF(G1349&lt;=H1349,"اطلب الآن",""))</f>
        <v/>
      </c>
    </row>
    <row r="1350">
      <c r="A1350" s="4" t="n"/>
      <c r="B1350" s="4" t="n"/>
      <c r="C1350" s="4" t="n"/>
      <c r="D1350" s="4" t="n"/>
      <c r="E1350" s="4" t="n"/>
      <c r="F1350">
        <f>IF(A1350="","",SUMIFS(المبيعات!$F$2:$F$2000,المبيعات!$D$2:$D$2000,A1350))</f>
        <v/>
      </c>
      <c r="G1350">
        <f>IF(A1350="","",E1350-F1350)</f>
        <v/>
      </c>
      <c r="H1350" s="4" t="n"/>
      <c r="I1350">
        <f>IF(OR(A1350="",H1350=""),"",IF(G1350&lt;=H1350,"اطلب الآن",""))</f>
        <v/>
      </c>
    </row>
    <row r="1351">
      <c r="A1351" s="4" t="n"/>
      <c r="B1351" s="4" t="n"/>
      <c r="C1351" s="4" t="n"/>
      <c r="D1351" s="4" t="n"/>
      <c r="E1351" s="4" t="n"/>
      <c r="F1351">
        <f>IF(A1351="","",SUMIFS(المبيعات!$F$2:$F$2000,المبيعات!$D$2:$D$2000,A1351))</f>
        <v/>
      </c>
      <c r="G1351">
        <f>IF(A1351="","",E1351-F1351)</f>
        <v/>
      </c>
      <c r="H1351" s="4" t="n"/>
      <c r="I1351">
        <f>IF(OR(A1351="",H1351=""),"",IF(G1351&lt;=H1351,"اطلب الآن",""))</f>
        <v/>
      </c>
    </row>
    <row r="1352">
      <c r="A1352" s="4" t="n"/>
      <c r="B1352" s="4" t="n"/>
      <c r="C1352" s="4" t="n"/>
      <c r="D1352" s="4" t="n"/>
      <c r="E1352" s="4" t="n"/>
      <c r="F1352">
        <f>IF(A1352="","",SUMIFS(المبيعات!$F$2:$F$2000,المبيعات!$D$2:$D$2000,A1352))</f>
        <v/>
      </c>
      <c r="G1352">
        <f>IF(A1352="","",E1352-F1352)</f>
        <v/>
      </c>
      <c r="H1352" s="4" t="n"/>
      <c r="I1352">
        <f>IF(OR(A1352="",H1352=""),"",IF(G1352&lt;=H1352,"اطلب الآن",""))</f>
        <v/>
      </c>
    </row>
    <row r="1353">
      <c r="A1353" s="4" t="n"/>
      <c r="B1353" s="4" t="n"/>
      <c r="C1353" s="4" t="n"/>
      <c r="D1353" s="4" t="n"/>
      <c r="E1353" s="4" t="n"/>
      <c r="F1353">
        <f>IF(A1353="","",SUMIFS(المبيعات!$F$2:$F$2000,المبيعات!$D$2:$D$2000,A1353))</f>
        <v/>
      </c>
      <c r="G1353">
        <f>IF(A1353="","",E1353-F1353)</f>
        <v/>
      </c>
      <c r="H1353" s="4" t="n"/>
      <c r="I1353">
        <f>IF(OR(A1353="",H1353=""),"",IF(G1353&lt;=H1353,"اطلب الآن",""))</f>
        <v/>
      </c>
    </row>
    <row r="1354">
      <c r="A1354" s="4" t="n"/>
      <c r="B1354" s="4" t="n"/>
      <c r="C1354" s="4" t="n"/>
      <c r="D1354" s="4" t="n"/>
      <c r="E1354" s="4" t="n"/>
      <c r="F1354">
        <f>IF(A1354="","",SUMIFS(المبيعات!$F$2:$F$2000,المبيعات!$D$2:$D$2000,A1354))</f>
        <v/>
      </c>
      <c r="G1354">
        <f>IF(A1354="","",E1354-F1354)</f>
        <v/>
      </c>
      <c r="H1354" s="4" t="n"/>
      <c r="I1354">
        <f>IF(OR(A1354="",H1354=""),"",IF(G1354&lt;=H1354,"اطلب الآن",""))</f>
        <v/>
      </c>
    </row>
    <row r="1355">
      <c r="A1355" s="4" t="n"/>
      <c r="B1355" s="4" t="n"/>
      <c r="C1355" s="4" t="n"/>
      <c r="D1355" s="4" t="n"/>
      <c r="E1355" s="4" t="n"/>
      <c r="F1355">
        <f>IF(A1355="","",SUMIFS(المبيعات!$F$2:$F$2000,المبيعات!$D$2:$D$2000,A1355))</f>
        <v/>
      </c>
      <c r="G1355">
        <f>IF(A1355="","",E1355-F1355)</f>
        <v/>
      </c>
      <c r="H1355" s="4" t="n"/>
      <c r="I1355">
        <f>IF(OR(A1355="",H1355=""),"",IF(G1355&lt;=H1355,"اطلب الآن",""))</f>
        <v/>
      </c>
    </row>
    <row r="1356">
      <c r="A1356" s="4" t="n"/>
      <c r="B1356" s="4" t="n"/>
      <c r="C1356" s="4" t="n"/>
      <c r="D1356" s="4" t="n"/>
      <c r="E1356" s="4" t="n"/>
      <c r="F1356">
        <f>IF(A1356="","",SUMIFS(المبيعات!$F$2:$F$2000,المبيعات!$D$2:$D$2000,A1356))</f>
        <v/>
      </c>
      <c r="G1356">
        <f>IF(A1356="","",E1356-F1356)</f>
        <v/>
      </c>
      <c r="H1356" s="4" t="n"/>
      <c r="I1356">
        <f>IF(OR(A1356="",H1356=""),"",IF(G1356&lt;=H1356,"اطلب الآن",""))</f>
        <v/>
      </c>
    </row>
    <row r="1357">
      <c r="A1357" s="4" t="n"/>
      <c r="B1357" s="4" t="n"/>
      <c r="C1357" s="4" t="n"/>
      <c r="D1357" s="4" t="n"/>
      <c r="E1357" s="4" t="n"/>
      <c r="F1357">
        <f>IF(A1357="","",SUMIFS(المبيعات!$F$2:$F$2000,المبيعات!$D$2:$D$2000,A1357))</f>
        <v/>
      </c>
      <c r="G1357">
        <f>IF(A1357="","",E1357-F1357)</f>
        <v/>
      </c>
      <c r="H1357" s="4" t="n"/>
      <c r="I1357">
        <f>IF(OR(A1357="",H1357=""),"",IF(G1357&lt;=H1357,"اطلب الآن",""))</f>
        <v/>
      </c>
    </row>
    <row r="1358">
      <c r="A1358" s="4" t="n"/>
      <c r="B1358" s="4" t="n"/>
      <c r="C1358" s="4" t="n"/>
      <c r="D1358" s="4" t="n"/>
      <c r="E1358" s="4" t="n"/>
      <c r="F1358">
        <f>IF(A1358="","",SUMIFS(المبيعات!$F$2:$F$2000,المبيعات!$D$2:$D$2000,A1358))</f>
        <v/>
      </c>
      <c r="G1358">
        <f>IF(A1358="","",E1358-F1358)</f>
        <v/>
      </c>
      <c r="H1358" s="4" t="n"/>
      <c r="I1358">
        <f>IF(OR(A1358="",H1358=""),"",IF(G1358&lt;=H1358,"اطلب الآن",""))</f>
        <v/>
      </c>
    </row>
    <row r="1359">
      <c r="A1359" s="4" t="n"/>
      <c r="B1359" s="4" t="n"/>
      <c r="C1359" s="4" t="n"/>
      <c r="D1359" s="4" t="n"/>
      <c r="E1359" s="4" t="n"/>
      <c r="F1359">
        <f>IF(A1359="","",SUMIFS(المبيعات!$F$2:$F$2000,المبيعات!$D$2:$D$2000,A1359))</f>
        <v/>
      </c>
      <c r="G1359">
        <f>IF(A1359="","",E1359-F1359)</f>
        <v/>
      </c>
      <c r="H1359" s="4" t="n"/>
      <c r="I1359">
        <f>IF(OR(A1359="",H1359=""),"",IF(G1359&lt;=H1359,"اطلب الآن",""))</f>
        <v/>
      </c>
    </row>
    <row r="1360">
      <c r="A1360" s="4" t="n"/>
      <c r="B1360" s="4" t="n"/>
      <c r="C1360" s="4" t="n"/>
      <c r="D1360" s="4" t="n"/>
      <c r="E1360" s="4" t="n"/>
      <c r="F1360">
        <f>IF(A1360="","",SUMIFS(المبيعات!$F$2:$F$2000,المبيعات!$D$2:$D$2000,A1360))</f>
        <v/>
      </c>
      <c r="G1360">
        <f>IF(A1360="","",E1360-F1360)</f>
        <v/>
      </c>
      <c r="H1360" s="4" t="n"/>
      <c r="I1360">
        <f>IF(OR(A1360="",H1360=""),"",IF(G1360&lt;=H1360,"اطلب الآن",""))</f>
        <v/>
      </c>
    </row>
    <row r="1361">
      <c r="A1361" s="4" t="n"/>
      <c r="B1361" s="4" t="n"/>
      <c r="C1361" s="4" t="n"/>
      <c r="D1361" s="4" t="n"/>
      <c r="E1361" s="4" t="n"/>
      <c r="F1361">
        <f>IF(A1361="","",SUMIFS(المبيعات!$F$2:$F$2000,المبيعات!$D$2:$D$2000,A1361))</f>
        <v/>
      </c>
      <c r="G1361">
        <f>IF(A1361="","",E1361-F1361)</f>
        <v/>
      </c>
      <c r="H1361" s="4" t="n"/>
      <c r="I1361">
        <f>IF(OR(A1361="",H1361=""),"",IF(G1361&lt;=H1361,"اطلب الآن",""))</f>
        <v/>
      </c>
    </row>
    <row r="1362">
      <c r="A1362" s="4" t="n"/>
      <c r="B1362" s="4" t="n"/>
      <c r="C1362" s="4" t="n"/>
      <c r="D1362" s="4" t="n"/>
      <c r="E1362" s="4" t="n"/>
      <c r="F1362">
        <f>IF(A1362="","",SUMIFS(المبيعات!$F$2:$F$2000,المبيعات!$D$2:$D$2000,A1362))</f>
        <v/>
      </c>
      <c r="G1362">
        <f>IF(A1362="","",E1362-F1362)</f>
        <v/>
      </c>
      <c r="H1362" s="4" t="n"/>
      <c r="I1362">
        <f>IF(OR(A1362="",H1362=""),"",IF(G1362&lt;=H1362,"اطلب الآن",""))</f>
        <v/>
      </c>
    </row>
    <row r="1363">
      <c r="A1363" s="4" t="n"/>
      <c r="B1363" s="4" t="n"/>
      <c r="C1363" s="4" t="n"/>
      <c r="D1363" s="4" t="n"/>
      <c r="E1363" s="4" t="n"/>
      <c r="F1363">
        <f>IF(A1363="","",SUMIFS(المبيعات!$F$2:$F$2000,المبيعات!$D$2:$D$2000,A1363))</f>
        <v/>
      </c>
      <c r="G1363">
        <f>IF(A1363="","",E1363-F1363)</f>
        <v/>
      </c>
      <c r="H1363" s="4" t="n"/>
      <c r="I1363">
        <f>IF(OR(A1363="",H1363=""),"",IF(G1363&lt;=H1363,"اطلب الآن",""))</f>
        <v/>
      </c>
    </row>
    <row r="1364">
      <c r="A1364" s="4" t="n"/>
      <c r="B1364" s="4" t="n"/>
      <c r="C1364" s="4" t="n"/>
      <c r="D1364" s="4" t="n"/>
      <c r="E1364" s="4" t="n"/>
      <c r="F1364">
        <f>IF(A1364="","",SUMIFS(المبيعات!$F$2:$F$2000,المبيعات!$D$2:$D$2000,A1364))</f>
        <v/>
      </c>
      <c r="G1364">
        <f>IF(A1364="","",E1364-F1364)</f>
        <v/>
      </c>
      <c r="H1364" s="4" t="n"/>
      <c r="I1364">
        <f>IF(OR(A1364="",H1364=""),"",IF(G1364&lt;=H1364,"اطلب الآن",""))</f>
        <v/>
      </c>
    </row>
    <row r="1365">
      <c r="A1365" s="4" t="n"/>
      <c r="B1365" s="4" t="n"/>
      <c r="C1365" s="4" t="n"/>
      <c r="D1365" s="4" t="n"/>
      <c r="E1365" s="4" t="n"/>
      <c r="F1365">
        <f>IF(A1365="","",SUMIFS(المبيعات!$F$2:$F$2000,المبيعات!$D$2:$D$2000,A1365))</f>
        <v/>
      </c>
      <c r="G1365">
        <f>IF(A1365="","",E1365-F1365)</f>
        <v/>
      </c>
      <c r="H1365" s="4" t="n"/>
      <c r="I1365">
        <f>IF(OR(A1365="",H1365=""),"",IF(G1365&lt;=H1365,"اطلب الآن",""))</f>
        <v/>
      </c>
    </row>
    <row r="1366">
      <c r="A1366" s="4" t="n"/>
      <c r="B1366" s="4" t="n"/>
      <c r="C1366" s="4" t="n"/>
      <c r="D1366" s="4" t="n"/>
      <c r="E1366" s="4" t="n"/>
      <c r="F1366">
        <f>IF(A1366="","",SUMIFS(المبيعات!$F$2:$F$2000,المبيعات!$D$2:$D$2000,A1366))</f>
        <v/>
      </c>
      <c r="G1366">
        <f>IF(A1366="","",E1366-F1366)</f>
        <v/>
      </c>
      <c r="H1366" s="4" t="n"/>
      <c r="I1366">
        <f>IF(OR(A1366="",H1366=""),"",IF(G1366&lt;=H1366,"اطلب الآن",""))</f>
        <v/>
      </c>
    </row>
    <row r="1367">
      <c r="A1367" s="4" t="n"/>
      <c r="B1367" s="4" t="n"/>
      <c r="C1367" s="4" t="n"/>
      <c r="D1367" s="4" t="n"/>
      <c r="E1367" s="4" t="n"/>
      <c r="F1367">
        <f>IF(A1367="","",SUMIFS(المبيعات!$F$2:$F$2000,المبيعات!$D$2:$D$2000,A1367))</f>
        <v/>
      </c>
      <c r="G1367">
        <f>IF(A1367="","",E1367-F1367)</f>
        <v/>
      </c>
      <c r="H1367" s="4" t="n"/>
      <c r="I1367">
        <f>IF(OR(A1367="",H1367=""),"",IF(G1367&lt;=H1367,"اطلب الآن",""))</f>
        <v/>
      </c>
    </row>
    <row r="1368">
      <c r="A1368" s="4" t="n"/>
      <c r="B1368" s="4" t="n"/>
      <c r="C1368" s="4" t="n"/>
      <c r="D1368" s="4" t="n"/>
      <c r="E1368" s="4" t="n"/>
      <c r="F1368">
        <f>IF(A1368="","",SUMIFS(المبيعات!$F$2:$F$2000,المبيعات!$D$2:$D$2000,A1368))</f>
        <v/>
      </c>
      <c r="G1368">
        <f>IF(A1368="","",E1368-F1368)</f>
        <v/>
      </c>
      <c r="H1368" s="4" t="n"/>
      <c r="I1368">
        <f>IF(OR(A1368="",H1368=""),"",IF(G1368&lt;=H1368,"اطلب الآن",""))</f>
        <v/>
      </c>
    </row>
    <row r="1369">
      <c r="A1369" s="4" t="n"/>
      <c r="B1369" s="4" t="n"/>
      <c r="C1369" s="4" t="n"/>
      <c r="D1369" s="4" t="n"/>
      <c r="E1369" s="4" t="n"/>
      <c r="F1369">
        <f>IF(A1369="","",SUMIFS(المبيعات!$F$2:$F$2000,المبيعات!$D$2:$D$2000,A1369))</f>
        <v/>
      </c>
      <c r="G1369">
        <f>IF(A1369="","",E1369-F1369)</f>
        <v/>
      </c>
      <c r="H1369" s="4" t="n"/>
      <c r="I1369">
        <f>IF(OR(A1369="",H1369=""),"",IF(G1369&lt;=H1369,"اطلب الآن",""))</f>
        <v/>
      </c>
    </row>
    <row r="1370">
      <c r="A1370" s="4" t="n"/>
      <c r="B1370" s="4" t="n"/>
      <c r="C1370" s="4" t="n"/>
      <c r="D1370" s="4" t="n"/>
      <c r="E1370" s="4" t="n"/>
      <c r="F1370">
        <f>IF(A1370="","",SUMIFS(المبيعات!$F$2:$F$2000,المبيعات!$D$2:$D$2000,A1370))</f>
        <v/>
      </c>
      <c r="G1370">
        <f>IF(A1370="","",E1370-F1370)</f>
        <v/>
      </c>
      <c r="H1370" s="4" t="n"/>
      <c r="I1370">
        <f>IF(OR(A1370="",H1370=""),"",IF(G1370&lt;=H1370,"اطلب الآن",""))</f>
        <v/>
      </c>
    </row>
    <row r="1371">
      <c r="A1371" s="4" t="n"/>
      <c r="B1371" s="4" t="n"/>
      <c r="C1371" s="4" t="n"/>
      <c r="D1371" s="4" t="n"/>
      <c r="E1371" s="4" t="n"/>
      <c r="F1371">
        <f>IF(A1371="","",SUMIFS(المبيعات!$F$2:$F$2000,المبيعات!$D$2:$D$2000,A1371))</f>
        <v/>
      </c>
      <c r="G1371">
        <f>IF(A1371="","",E1371-F1371)</f>
        <v/>
      </c>
      <c r="H1371" s="4" t="n"/>
      <c r="I1371">
        <f>IF(OR(A1371="",H1371=""),"",IF(G1371&lt;=H1371,"اطلب الآن",""))</f>
        <v/>
      </c>
    </row>
    <row r="1372">
      <c r="A1372" s="4" t="n"/>
      <c r="B1372" s="4" t="n"/>
      <c r="C1372" s="4" t="n"/>
      <c r="D1372" s="4" t="n"/>
      <c r="E1372" s="4" t="n"/>
      <c r="F1372">
        <f>IF(A1372="","",SUMIFS(المبيعات!$F$2:$F$2000,المبيعات!$D$2:$D$2000,A1372))</f>
        <v/>
      </c>
      <c r="G1372">
        <f>IF(A1372="","",E1372-F1372)</f>
        <v/>
      </c>
      <c r="H1372" s="4" t="n"/>
      <c r="I1372">
        <f>IF(OR(A1372="",H1372=""),"",IF(G1372&lt;=H1372,"اطلب الآن",""))</f>
        <v/>
      </c>
    </row>
    <row r="1373">
      <c r="A1373" s="4" t="n"/>
      <c r="B1373" s="4" t="n"/>
      <c r="C1373" s="4" t="n"/>
      <c r="D1373" s="4" t="n"/>
      <c r="E1373" s="4" t="n"/>
      <c r="F1373">
        <f>IF(A1373="","",SUMIFS(المبيعات!$F$2:$F$2000,المبيعات!$D$2:$D$2000,A1373))</f>
        <v/>
      </c>
      <c r="G1373">
        <f>IF(A1373="","",E1373-F1373)</f>
        <v/>
      </c>
      <c r="H1373" s="4" t="n"/>
      <c r="I1373">
        <f>IF(OR(A1373="",H1373=""),"",IF(G1373&lt;=H1373,"اطلب الآن",""))</f>
        <v/>
      </c>
    </row>
    <row r="1374">
      <c r="A1374" s="4" t="n"/>
      <c r="B1374" s="4" t="n"/>
      <c r="C1374" s="4" t="n"/>
      <c r="D1374" s="4" t="n"/>
      <c r="E1374" s="4" t="n"/>
      <c r="F1374">
        <f>IF(A1374="","",SUMIFS(المبيعات!$F$2:$F$2000,المبيعات!$D$2:$D$2000,A1374))</f>
        <v/>
      </c>
      <c r="G1374">
        <f>IF(A1374="","",E1374-F1374)</f>
        <v/>
      </c>
      <c r="H1374" s="4" t="n"/>
      <c r="I1374">
        <f>IF(OR(A1374="",H1374=""),"",IF(G1374&lt;=H1374,"اطلب الآن",""))</f>
        <v/>
      </c>
    </row>
    <row r="1375">
      <c r="A1375" s="4" t="n"/>
      <c r="B1375" s="4" t="n"/>
      <c r="C1375" s="4" t="n"/>
      <c r="D1375" s="4" t="n"/>
      <c r="E1375" s="4" t="n"/>
      <c r="F1375">
        <f>IF(A1375="","",SUMIFS(المبيعات!$F$2:$F$2000,المبيعات!$D$2:$D$2000,A1375))</f>
        <v/>
      </c>
      <c r="G1375">
        <f>IF(A1375="","",E1375-F1375)</f>
        <v/>
      </c>
      <c r="H1375" s="4" t="n"/>
      <c r="I1375">
        <f>IF(OR(A1375="",H1375=""),"",IF(G1375&lt;=H1375,"اطلب الآن",""))</f>
        <v/>
      </c>
    </row>
    <row r="1376">
      <c r="A1376" s="4" t="n"/>
      <c r="B1376" s="4" t="n"/>
      <c r="C1376" s="4" t="n"/>
      <c r="D1376" s="4" t="n"/>
      <c r="E1376" s="4" t="n"/>
      <c r="F1376">
        <f>IF(A1376="","",SUMIFS(المبيعات!$F$2:$F$2000,المبيعات!$D$2:$D$2000,A1376))</f>
        <v/>
      </c>
      <c r="G1376">
        <f>IF(A1376="","",E1376-F1376)</f>
        <v/>
      </c>
      <c r="H1376" s="4" t="n"/>
      <c r="I1376">
        <f>IF(OR(A1376="",H1376=""),"",IF(G1376&lt;=H1376,"اطلب الآن",""))</f>
        <v/>
      </c>
    </row>
    <row r="1377">
      <c r="A1377" s="4" t="n"/>
      <c r="B1377" s="4" t="n"/>
      <c r="C1377" s="4" t="n"/>
      <c r="D1377" s="4" t="n"/>
      <c r="E1377" s="4" t="n"/>
      <c r="F1377">
        <f>IF(A1377="","",SUMIFS(المبيعات!$F$2:$F$2000,المبيعات!$D$2:$D$2000,A1377))</f>
        <v/>
      </c>
      <c r="G1377">
        <f>IF(A1377="","",E1377-F1377)</f>
        <v/>
      </c>
      <c r="H1377" s="4" t="n"/>
      <c r="I1377">
        <f>IF(OR(A1377="",H1377=""),"",IF(G1377&lt;=H1377,"اطلب الآن",""))</f>
        <v/>
      </c>
    </row>
    <row r="1378">
      <c r="A1378" s="4" t="n"/>
      <c r="B1378" s="4" t="n"/>
      <c r="C1378" s="4" t="n"/>
      <c r="D1378" s="4" t="n"/>
      <c r="E1378" s="4" t="n"/>
      <c r="F1378">
        <f>IF(A1378="","",SUMIFS(المبيعات!$F$2:$F$2000,المبيعات!$D$2:$D$2000,A1378))</f>
        <v/>
      </c>
      <c r="G1378">
        <f>IF(A1378="","",E1378-F1378)</f>
        <v/>
      </c>
      <c r="H1378" s="4" t="n"/>
      <c r="I1378">
        <f>IF(OR(A1378="",H1378=""),"",IF(G1378&lt;=H1378,"اطلب الآن",""))</f>
        <v/>
      </c>
    </row>
    <row r="1379">
      <c r="A1379" s="4" t="n"/>
      <c r="B1379" s="4" t="n"/>
      <c r="C1379" s="4" t="n"/>
      <c r="D1379" s="4" t="n"/>
      <c r="E1379" s="4" t="n"/>
      <c r="F1379">
        <f>IF(A1379="","",SUMIFS(المبيعات!$F$2:$F$2000,المبيعات!$D$2:$D$2000,A1379))</f>
        <v/>
      </c>
      <c r="G1379">
        <f>IF(A1379="","",E1379-F1379)</f>
        <v/>
      </c>
      <c r="H1379" s="4" t="n"/>
      <c r="I1379">
        <f>IF(OR(A1379="",H1379=""),"",IF(G1379&lt;=H1379,"اطلب الآن",""))</f>
        <v/>
      </c>
    </row>
    <row r="1380">
      <c r="A1380" s="4" t="n"/>
      <c r="B1380" s="4" t="n"/>
      <c r="C1380" s="4" t="n"/>
      <c r="D1380" s="4" t="n"/>
      <c r="E1380" s="4" t="n"/>
      <c r="F1380">
        <f>IF(A1380="","",SUMIFS(المبيعات!$F$2:$F$2000,المبيعات!$D$2:$D$2000,A1380))</f>
        <v/>
      </c>
      <c r="G1380">
        <f>IF(A1380="","",E1380-F1380)</f>
        <v/>
      </c>
      <c r="H1380" s="4" t="n"/>
      <c r="I1380">
        <f>IF(OR(A1380="",H1380=""),"",IF(G1380&lt;=H1380,"اطلب الآن",""))</f>
        <v/>
      </c>
    </row>
    <row r="1381">
      <c r="A1381" s="4" t="n"/>
      <c r="B1381" s="4" t="n"/>
      <c r="C1381" s="4" t="n"/>
      <c r="D1381" s="4" t="n"/>
      <c r="E1381" s="4" t="n"/>
      <c r="F1381">
        <f>IF(A1381="","",SUMIFS(المبيعات!$F$2:$F$2000,المبيعات!$D$2:$D$2000,A1381))</f>
        <v/>
      </c>
      <c r="G1381">
        <f>IF(A1381="","",E1381-F1381)</f>
        <v/>
      </c>
      <c r="H1381" s="4" t="n"/>
      <c r="I1381">
        <f>IF(OR(A1381="",H1381=""),"",IF(G1381&lt;=H1381,"اطلب الآن",""))</f>
        <v/>
      </c>
    </row>
    <row r="1382">
      <c r="A1382" s="4" t="n"/>
      <c r="B1382" s="4" t="n"/>
      <c r="C1382" s="4" t="n"/>
      <c r="D1382" s="4" t="n"/>
      <c r="E1382" s="4" t="n"/>
      <c r="F1382">
        <f>IF(A1382="","",SUMIFS(المبيعات!$F$2:$F$2000,المبيعات!$D$2:$D$2000,A1382))</f>
        <v/>
      </c>
      <c r="G1382">
        <f>IF(A1382="","",E1382-F1382)</f>
        <v/>
      </c>
      <c r="H1382" s="4" t="n"/>
      <c r="I1382">
        <f>IF(OR(A1382="",H1382=""),"",IF(G1382&lt;=H1382,"اطلب الآن",""))</f>
        <v/>
      </c>
    </row>
    <row r="1383">
      <c r="A1383" s="4" t="n"/>
      <c r="B1383" s="4" t="n"/>
      <c r="C1383" s="4" t="n"/>
      <c r="D1383" s="4" t="n"/>
      <c r="E1383" s="4" t="n"/>
      <c r="F1383">
        <f>IF(A1383="","",SUMIFS(المبيعات!$F$2:$F$2000,المبيعات!$D$2:$D$2000,A1383))</f>
        <v/>
      </c>
      <c r="G1383">
        <f>IF(A1383="","",E1383-F1383)</f>
        <v/>
      </c>
      <c r="H1383" s="4" t="n"/>
      <c r="I1383">
        <f>IF(OR(A1383="",H1383=""),"",IF(G1383&lt;=H1383,"اطلب الآن",""))</f>
        <v/>
      </c>
    </row>
    <row r="1384">
      <c r="A1384" s="4" t="n"/>
      <c r="B1384" s="4" t="n"/>
      <c r="C1384" s="4" t="n"/>
      <c r="D1384" s="4" t="n"/>
      <c r="E1384" s="4" t="n"/>
      <c r="F1384">
        <f>IF(A1384="","",SUMIFS(المبيعات!$F$2:$F$2000,المبيعات!$D$2:$D$2000,A1384))</f>
        <v/>
      </c>
      <c r="G1384">
        <f>IF(A1384="","",E1384-F1384)</f>
        <v/>
      </c>
      <c r="H1384" s="4" t="n"/>
      <c r="I1384">
        <f>IF(OR(A1384="",H1384=""),"",IF(G1384&lt;=H1384,"اطلب الآن",""))</f>
        <v/>
      </c>
    </row>
    <row r="1385">
      <c r="A1385" s="4" t="n"/>
      <c r="B1385" s="4" t="n"/>
      <c r="C1385" s="4" t="n"/>
      <c r="D1385" s="4" t="n"/>
      <c r="E1385" s="4" t="n"/>
      <c r="F1385">
        <f>IF(A1385="","",SUMIFS(المبيعات!$F$2:$F$2000,المبيعات!$D$2:$D$2000,A1385))</f>
        <v/>
      </c>
      <c r="G1385">
        <f>IF(A1385="","",E1385-F1385)</f>
        <v/>
      </c>
      <c r="H1385" s="4" t="n"/>
      <c r="I1385">
        <f>IF(OR(A1385="",H1385=""),"",IF(G1385&lt;=H1385,"اطلب الآن",""))</f>
        <v/>
      </c>
    </row>
    <row r="1386">
      <c r="A1386" s="4" t="n"/>
      <c r="B1386" s="4" t="n"/>
      <c r="C1386" s="4" t="n"/>
      <c r="D1386" s="4" t="n"/>
      <c r="E1386" s="4" t="n"/>
      <c r="F1386">
        <f>IF(A1386="","",SUMIFS(المبيعات!$F$2:$F$2000,المبيعات!$D$2:$D$2000,A1386))</f>
        <v/>
      </c>
      <c r="G1386">
        <f>IF(A1386="","",E1386-F1386)</f>
        <v/>
      </c>
      <c r="H1386" s="4" t="n"/>
      <c r="I1386">
        <f>IF(OR(A1386="",H1386=""),"",IF(G1386&lt;=H1386,"اطلب الآن",""))</f>
        <v/>
      </c>
    </row>
    <row r="1387">
      <c r="A1387" s="4" t="n"/>
      <c r="B1387" s="4" t="n"/>
      <c r="C1387" s="4" t="n"/>
      <c r="D1387" s="4" t="n"/>
      <c r="E1387" s="4" t="n"/>
      <c r="F1387">
        <f>IF(A1387="","",SUMIFS(المبيعات!$F$2:$F$2000,المبيعات!$D$2:$D$2000,A1387))</f>
        <v/>
      </c>
      <c r="G1387">
        <f>IF(A1387="","",E1387-F1387)</f>
        <v/>
      </c>
      <c r="H1387" s="4" t="n"/>
      <c r="I1387">
        <f>IF(OR(A1387="",H1387=""),"",IF(G1387&lt;=H1387,"اطلب الآن",""))</f>
        <v/>
      </c>
    </row>
    <row r="1388">
      <c r="A1388" s="4" t="n"/>
      <c r="B1388" s="4" t="n"/>
      <c r="C1388" s="4" t="n"/>
      <c r="D1388" s="4" t="n"/>
      <c r="E1388" s="4" t="n"/>
      <c r="F1388">
        <f>IF(A1388="","",SUMIFS(المبيعات!$F$2:$F$2000,المبيعات!$D$2:$D$2000,A1388))</f>
        <v/>
      </c>
      <c r="G1388">
        <f>IF(A1388="","",E1388-F1388)</f>
        <v/>
      </c>
      <c r="H1388" s="4" t="n"/>
      <c r="I1388">
        <f>IF(OR(A1388="",H1388=""),"",IF(G1388&lt;=H1388,"اطلب الآن",""))</f>
        <v/>
      </c>
    </row>
    <row r="1389">
      <c r="A1389" s="4" t="n"/>
      <c r="B1389" s="4" t="n"/>
      <c r="C1389" s="4" t="n"/>
      <c r="D1389" s="4" t="n"/>
      <c r="E1389" s="4" t="n"/>
      <c r="F1389">
        <f>IF(A1389="","",SUMIFS(المبيعات!$F$2:$F$2000,المبيعات!$D$2:$D$2000,A1389))</f>
        <v/>
      </c>
      <c r="G1389">
        <f>IF(A1389="","",E1389-F1389)</f>
        <v/>
      </c>
      <c r="H1389" s="4" t="n"/>
      <c r="I1389">
        <f>IF(OR(A1389="",H1389=""),"",IF(G1389&lt;=H1389,"اطلب الآن",""))</f>
        <v/>
      </c>
    </row>
    <row r="1390">
      <c r="A1390" s="4" t="n"/>
      <c r="B1390" s="4" t="n"/>
      <c r="C1390" s="4" t="n"/>
      <c r="D1390" s="4" t="n"/>
      <c r="E1390" s="4" t="n"/>
      <c r="F1390">
        <f>IF(A1390="","",SUMIFS(المبيعات!$F$2:$F$2000,المبيعات!$D$2:$D$2000,A1390))</f>
        <v/>
      </c>
      <c r="G1390">
        <f>IF(A1390="","",E1390-F1390)</f>
        <v/>
      </c>
      <c r="H1390" s="4" t="n"/>
      <c r="I1390">
        <f>IF(OR(A1390="",H1390=""),"",IF(G1390&lt;=H1390,"اطلب الآن",""))</f>
        <v/>
      </c>
    </row>
    <row r="1391">
      <c r="A1391" s="4" t="n"/>
      <c r="B1391" s="4" t="n"/>
      <c r="C1391" s="4" t="n"/>
      <c r="D1391" s="4" t="n"/>
      <c r="E1391" s="4" t="n"/>
      <c r="F1391">
        <f>IF(A1391="","",SUMIFS(المبيعات!$F$2:$F$2000,المبيعات!$D$2:$D$2000,A1391))</f>
        <v/>
      </c>
      <c r="G1391">
        <f>IF(A1391="","",E1391-F1391)</f>
        <v/>
      </c>
      <c r="H1391" s="4" t="n"/>
      <c r="I1391">
        <f>IF(OR(A1391="",H1391=""),"",IF(G1391&lt;=H1391,"اطلب الآن",""))</f>
        <v/>
      </c>
    </row>
    <row r="1392">
      <c r="A1392" s="4" t="n"/>
      <c r="B1392" s="4" t="n"/>
      <c r="C1392" s="4" t="n"/>
      <c r="D1392" s="4" t="n"/>
      <c r="E1392" s="4" t="n"/>
      <c r="F1392">
        <f>IF(A1392="","",SUMIFS(المبيعات!$F$2:$F$2000,المبيعات!$D$2:$D$2000,A1392))</f>
        <v/>
      </c>
      <c r="G1392">
        <f>IF(A1392="","",E1392-F1392)</f>
        <v/>
      </c>
      <c r="H1392" s="4" t="n"/>
      <c r="I1392">
        <f>IF(OR(A1392="",H1392=""),"",IF(G1392&lt;=H1392,"اطلب الآن",""))</f>
        <v/>
      </c>
    </row>
    <row r="1393">
      <c r="A1393" s="4" t="n"/>
      <c r="B1393" s="4" t="n"/>
      <c r="C1393" s="4" t="n"/>
      <c r="D1393" s="4" t="n"/>
      <c r="E1393" s="4" t="n"/>
      <c r="F1393">
        <f>IF(A1393="","",SUMIFS(المبيعات!$F$2:$F$2000,المبيعات!$D$2:$D$2000,A1393))</f>
        <v/>
      </c>
      <c r="G1393">
        <f>IF(A1393="","",E1393-F1393)</f>
        <v/>
      </c>
      <c r="H1393" s="4" t="n"/>
      <c r="I1393">
        <f>IF(OR(A1393="",H1393=""),"",IF(G1393&lt;=H1393,"اطلب الآن",""))</f>
        <v/>
      </c>
    </row>
    <row r="1394">
      <c r="A1394" s="4" t="n"/>
      <c r="B1394" s="4" t="n"/>
      <c r="C1394" s="4" t="n"/>
      <c r="D1394" s="4" t="n"/>
      <c r="E1394" s="4" t="n"/>
      <c r="F1394">
        <f>IF(A1394="","",SUMIFS(المبيعات!$F$2:$F$2000,المبيعات!$D$2:$D$2000,A1394))</f>
        <v/>
      </c>
      <c r="G1394">
        <f>IF(A1394="","",E1394-F1394)</f>
        <v/>
      </c>
      <c r="H1394" s="4" t="n"/>
      <c r="I1394">
        <f>IF(OR(A1394="",H1394=""),"",IF(G1394&lt;=H1394,"اطلب الآن",""))</f>
        <v/>
      </c>
    </row>
    <row r="1395">
      <c r="A1395" s="4" t="n"/>
      <c r="B1395" s="4" t="n"/>
      <c r="C1395" s="4" t="n"/>
      <c r="D1395" s="4" t="n"/>
      <c r="E1395" s="4" t="n"/>
      <c r="F1395">
        <f>IF(A1395="","",SUMIFS(المبيعات!$F$2:$F$2000,المبيعات!$D$2:$D$2000,A1395))</f>
        <v/>
      </c>
      <c r="G1395">
        <f>IF(A1395="","",E1395-F1395)</f>
        <v/>
      </c>
      <c r="H1395" s="4" t="n"/>
      <c r="I1395">
        <f>IF(OR(A1395="",H1395=""),"",IF(G1395&lt;=H1395,"اطلب الآن",""))</f>
        <v/>
      </c>
    </row>
    <row r="1396">
      <c r="A1396" s="4" t="n"/>
      <c r="B1396" s="4" t="n"/>
      <c r="C1396" s="4" t="n"/>
      <c r="D1396" s="4" t="n"/>
      <c r="E1396" s="4" t="n"/>
      <c r="F1396">
        <f>IF(A1396="","",SUMIFS(المبيعات!$F$2:$F$2000,المبيعات!$D$2:$D$2000,A1396))</f>
        <v/>
      </c>
      <c r="G1396">
        <f>IF(A1396="","",E1396-F1396)</f>
        <v/>
      </c>
      <c r="H1396" s="4" t="n"/>
      <c r="I1396">
        <f>IF(OR(A1396="",H1396=""),"",IF(G1396&lt;=H1396,"اطلب الآن",""))</f>
        <v/>
      </c>
    </row>
    <row r="1397">
      <c r="A1397" s="4" t="n"/>
      <c r="B1397" s="4" t="n"/>
      <c r="C1397" s="4" t="n"/>
      <c r="D1397" s="4" t="n"/>
      <c r="E1397" s="4" t="n"/>
      <c r="F1397">
        <f>IF(A1397="","",SUMIFS(المبيعات!$F$2:$F$2000,المبيعات!$D$2:$D$2000,A1397))</f>
        <v/>
      </c>
      <c r="G1397">
        <f>IF(A1397="","",E1397-F1397)</f>
        <v/>
      </c>
      <c r="H1397" s="4" t="n"/>
      <c r="I1397">
        <f>IF(OR(A1397="",H1397=""),"",IF(G1397&lt;=H1397,"اطلب الآن",""))</f>
        <v/>
      </c>
    </row>
    <row r="1398">
      <c r="A1398" s="4" t="n"/>
      <c r="B1398" s="4" t="n"/>
      <c r="C1398" s="4" t="n"/>
      <c r="D1398" s="4" t="n"/>
      <c r="E1398" s="4" t="n"/>
      <c r="F1398">
        <f>IF(A1398="","",SUMIFS(المبيعات!$F$2:$F$2000,المبيعات!$D$2:$D$2000,A1398))</f>
        <v/>
      </c>
      <c r="G1398">
        <f>IF(A1398="","",E1398-F1398)</f>
        <v/>
      </c>
      <c r="H1398" s="4" t="n"/>
      <c r="I1398">
        <f>IF(OR(A1398="",H1398=""),"",IF(G1398&lt;=H1398,"اطلب الآن",""))</f>
        <v/>
      </c>
    </row>
    <row r="1399">
      <c r="A1399" s="4" t="n"/>
      <c r="B1399" s="4" t="n"/>
      <c r="C1399" s="4" t="n"/>
      <c r="D1399" s="4" t="n"/>
      <c r="E1399" s="4" t="n"/>
      <c r="F1399">
        <f>IF(A1399="","",SUMIFS(المبيعات!$F$2:$F$2000,المبيعات!$D$2:$D$2000,A1399))</f>
        <v/>
      </c>
      <c r="G1399">
        <f>IF(A1399="","",E1399-F1399)</f>
        <v/>
      </c>
      <c r="H1399" s="4" t="n"/>
      <c r="I1399">
        <f>IF(OR(A1399="",H1399=""),"",IF(G1399&lt;=H1399,"اطلب الآن",""))</f>
        <v/>
      </c>
    </row>
    <row r="1400">
      <c r="A1400" s="4" t="n"/>
      <c r="B1400" s="4" t="n"/>
      <c r="C1400" s="4" t="n"/>
      <c r="D1400" s="4" t="n"/>
      <c r="E1400" s="4" t="n"/>
      <c r="F1400">
        <f>IF(A1400="","",SUMIFS(المبيعات!$F$2:$F$2000,المبيعات!$D$2:$D$2000,A1400))</f>
        <v/>
      </c>
      <c r="G1400">
        <f>IF(A1400="","",E1400-F1400)</f>
        <v/>
      </c>
      <c r="H1400" s="4" t="n"/>
      <c r="I1400">
        <f>IF(OR(A1400="",H1400=""),"",IF(G1400&lt;=H1400,"اطلب الآن",""))</f>
        <v/>
      </c>
    </row>
    <row r="1401">
      <c r="A1401" s="4" t="n"/>
      <c r="B1401" s="4" t="n"/>
      <c r="C1401" s="4" t="n"/>
      <c r="D1401" s="4" t="n"/>
      <c r="E1401" s="4" t="n"/>
      <c r="F1401">
        <f>IF(A1401="","",SUMIFS(المبيعات!$F$2:$F$2000,المبيعات!$D$2:$D$2000,A1401))</f>
        <v/>
      </c>
      <c r="G1401">
        <f>IF(A1401="","",E1401-F1401)</f>
        <v/>
      </c>
      <c r="H1401" s="4" t="n"/>
      <c r="I1401">
        <f>IF(OR(A1401="",H1401=""),"",IF(G1401&lt;=H1401,"اطلب الآن",""))</f>
        <v/>
      </c>
    </row>
    <row r="1402">
      <c r="A1402" s="4" t="n"/>
      <c r="B1402" s="4" t="n"/>
      <c r="C1402" s="4" t="n"/>
      <c r="D1402" s="4" t="n"/>
      <c r="E1402" s="4" t="n"/>
      <c r="F1402">
        <f>IF(A1402="","",SUMIFS(المبيعات!$F$2:$F$2000,المبيعات!$D$2:$D$2000,A1402))</f>
        <v/>
      </c>
      <c r="G1402">
        <f>IF(A1402="","",E1402-F1402)</f>
        <v/>
      </c>
      <c r="H1402" s="4" t="n"/>
      <c r="I1402">
        <f>IF(OR(A1402="",H1402=""),"",IF(G1402&lt;=H1402,"اطلب الآن",""))</f>
        <v/>
      </c>
    </row>
    <row r="1403">
      <c r="A1403" s="4" t="n"/>
      <c r="B1403" s="4" t="n"/>
      <c r="C1403" s="4" t="n"/>
      <c r="D1403" s="4" t="n"/>
      <c r="E1403" s="4" t="n"/>
      <c r="F1403">
        <f>IF(A1403="","",SUMIFS(المبيعات!$F$2:$F$2000,المبيعات!$D$2:$D$2000,A1403))</f>
        <v/>
      </c>
      <c r="G1403">
        <f>IF(A1403="","",E1403-F1403)</f>
        <v/>
      </c>
      <c r="H1403" s="4" t="n"/>
      <c r="I1403">
        <f>IF(OR(A1403="",H1403=""),"",IF(G1403&lt;=H1403,"اطلب الآن",""))</f>
        <v/>
      </c>
    </row>
    <row r="1404">
      <c r="A1404" s="4" t="n"/>
      <c r="B1404" s="4" t="n"/>
      <c r="C1404" s="4" t="n"/>
      <c r="D1404" s="4" t="n"/>
      <c r="E1404" s="4" t="n"/>
      <c r="F1404">
        <f>IF(A1404="","",SUMIFS(المبيعات!$F$2:$F$2000,المبيعات!$D$2:$D$2000,A1404))</f>
        <v/>
      </c>
      <c r="G1404">
        <f>IF(A1404="","",E1404-F1404)</f>
        <v/>
      </c>
      <c r="H1404" s="4" t="n"/>
      <c r="I1404">
        <f>IF(OR(A1404="",H1404=""),"",IF(G1404&lt;=H1404,"اطلب الآن",""))</f>
        <v/>
      </c>
    </row>
    <row r="1405">
      <c r="A1405" s="4" t="n"/>
      <c r="B1405" s="4" t="n"/>
      <c r="C1405" s="4" t="n"/>
      <c r="D1405" s="4" t="n"/>
      <c r="E1405" s="4" t="n"/>
      <c r="F1405">
        <f>IF(A1405="","",SUMIFS(المبيعات!$F$2:$F$2000,المبيعات!$D$2:$D$2000,A1405))</f>
        <v/>
      </c>
      <c r="G1405">
        <f>IF(A1405="","",E1405-F1405)</f>
        <v/>
      </c>
      <c r="H1405" s="4" t="n"/>
      <c r="I1405">
        <f>IF(OR(A1405="",H1405=""),"",IF(G1405&lt;=H1405,"اطلب الآن",""))</f>
        <v/>
      </c>
    </row>
    <row r="1406">
      <c r="A1406" s="4" t="n"/>
      <c r="B1406" s="4" t="n"/>
      <c r="C1406" s="4" t="n"/>
      <c r="D1406" s="4" t="n"/>
      <c r="E1406" s="4" t="n"/>
      <c r="F1406">
        <f>IF(A1406="","",SUMIFS(المبيعات!$F$2:$F$2000,المبيعات!$D$2:$D$2000,A1406))</f>
        <v/>
      </c>
      <c r="G1406">
        <f>IF(A1406="","",E1406-F1406)</f>
        <v/>
      </c>
      <c r="H1406" s="4" t="n"/>
      <c r="I1406">
        <f>IF(OR(A1406="",H1406=""),"",IF(G1406&lt;=H1406,"اطلب الآن",""))</f>
        <v/>
      </c>
    </row>
    <row r="1407">
      <c r="A1407" s="4" t="n"/>
      <c r="B1407" s="4" t="n"/>
      <c r="C1407" s="4" t="n"/>
      <c r="D1407" s="4" t="n"/>
      <c r="E1407" s="4" t="n"/>
      <c r="F1407">
        <f>IF(A1407="","",SUMIFS(المبيعات!$F$2:$F$2000,المبيعات!$D$2:$D$2000,A1407))</f>
        <v/>
      </c>
      <c r="G1407">
        <f>IF(A1407="","",E1407-F1407)</f>
        <v/>
      </c>
      <c r="H1407" s="4" t="n"/>
      <c r="I1407">
        <f>IF(OR(A1407="",H1407=""),"",IF(G1407&lt;=H1407,"اطلب الآن",""))</f>
        <v/>
      </c>
    </row>
    <row r="1408">
      <c r="A1408" s="4" t="n"/>
      <c r="B1408" s="4" t="n"/>
      <c r="C1408" s="4" t="n"/>
      <c r="D1408" s="4" t="n"/>
      <c r="E1408" s="4" t="n"/>
      <c r="F1408">
        <f>IF(A1408="","",SUMIFS(المبيعات!$F$2:$F$2000,المبيعات!$D$2:$D$2000,A1408))</f>
        <v/>
      </c>
      <c r="G1408">
        <f>IF(A1408="","",E1408-F1408)</f>
        <v/>
      </c>
      <c r="H1408" s="4" t="n"/>
      <c r="I1408">
        <f>IF(OR(A1408="",H1408=""),"",IF(G1408&lt;=H1408,"اطلب الآن",""))</f>
        <v/>
      </c>
    </row>
    <row r="1409">
      <c r="A1409" s="4" t="n"/>
      <c r="B1409" s="4" t="n"/>
      <c r="C1409" s="4" t="n"/>
      <c r="D1409" s="4" t="n"/>
      <c r="E1409" s="4" t="n"/>
      <c r="F1409">
        <f>IF(A1409="","",SUMIFS(المبيعات!$F$2:$F$2000,المبيعات!$D$2:$D$2000,A1409))</f>
        <v/>
      </c>
      <c r="G1409">
        <f>IF(A1409="","",E1409-F1409)</f>
        <v/>
      </c>
      <c r="H1409" s="4" t="n"/>
      <c r="I1409">
        <f>IF(OR(A1409="",H1409=""),"",IF(G1409&lt;=H1409,"اطلب الآن",""))</f>
        <v/>
      </c>
    </row>
    <row r="1410">
      <c r="A1410" s="4" t="n"/>
      <c r="B1410" s="4" t="n"/>
      <c r="C1410" s="4" t="n"/>
      <c r="D1410" s="4" t="n"/>
      <c r="E1410" s="4" t="n"/>
      <c r="F1410">
        <f>IF(A1410="","",SUMIFS(المبيعات!$F$2:$F$2000,المبيعات!$D$2:$D$2000,A1410))</f>
        <v/>
      </c>
      <c r="G1410">
        <f>IF(A1410="","",E1410-F1410)</f>
        <v/>
      </c>
      <c r="H1410" s="4" t="n"/>
      <c r="I1410">
        <f>IF(OR(A1410="",H1410=""),"",IF(G1410&lt;=H1410,"اطلب الآن",""))</f>
        <v/>
      </c>
    </row>
    <row r="1411">
      <c r="A1411" s="4" t="n"/>
      <c r="B1411" s="4" t="n"/>
      <c r="C1411" s="4" t="n"/>
      <c r="D1411" s="4" t="n"/>
      <c r="E1411" s="4" t="n"/>
      <c r="F1411">
        <f>IF(A1411="","",SUMIFS(المبيعات!$F$2:$F$2000,المبيعات!$D$2:$D$2000,A1411))</f>
        <v/>
      </c>
      <c r="G1411">
        <f>IF(A1411="","",E1411-F1411)</f>
        <v/>
      </c>
      <c r="H1411" s="4" t="n"/>
      <c r="I1411">
        <f>IF(OR(A1411="",H1411=""),"",IF(G1411&lt;=H1411,"اطلب الآن",""))</f>
        <v/>
      </c>
    </row>
    <row r="1412">
      <c r="A1412" s="4" t="n"/>
      <c r="B1412" s="4" t="n"/>
      <c r="C1412" s="4" t="n"/>
      <c r="D1412" s="4" t="n"/>
      <c r="E1412" s="4" t="n"/>
      <c r="F1412">
        <f>IF(A1412="","",SUMIFS(المبيعات!$F$2:$F$2000,المبيعات!$D$2:$D$2000,A1412))</f>
        <v/>
      </c>
      <c r="G1412">
        <f>IF(A1412="","",E1412-F1412)</f>
        <v/>
      </c>
      <c r="H1412" s="4" t="n"/>
      <c r="I1412">
        <f>IF(OR(A1412="",H1412=""),"",IF(G1412&lt;=H1412,"اطلب الآن",""))</f>
        <v/>
      </c>
    </row>
    <row r="1413">
      <c r="A1413" s="4" t="n"/>
      <c r="B1413" s="4" t="n"/>
      <c r="C1413" s="4" t="n"/>
      <c r="D1413" s="4" t="n"/>
      <c r="E1413" s="4" t="n"/>
      <c r="F1413">
        <f>IF(A1413="","",SUMIFS(المبيعات!$F$2:$F$2000,المبيعات!$D$2:$D$2000,A1413))</f>
        <v/>
      </c>
      <c r="G1413">
        <f>IF(A1413="","",E1413-F1413)</f>
        <v/>
      </c>
      <c r="H1413" s="4" t="n"/>
      <c r="I1413">
        <f>IF(OR(A1413="",H1413=""),"",IF(G1413&lt;=H1413,"اطلب الآن",""))</f>
        <v/>
      </c>
    </row>
    <row r="1414">
      <c r="A1414" s="4" t="n"/>
      <c r="B1414" s="4" t="n"/>
      <c r="C1414" s="4" t="n"/>
      <c r="D1414" s="4" t="n"/>
      <c r="E1414" s="4" t="n"/>
      <c r="F1414">
        <f>IF(A1414="","",SUMIFS(المبيعات!$F$2:$F$2000,المبيعات!$D$2:$D$2000,A1414))</f>
        <v/>
      </c>
      <c r="G1414">
        <f>IF(A1414="","",E1414-F1414)</f>
        <v/>
      </c>
      <c r="H1414" s="4" t="n"/>
      <c r="I1414">
        <f>IF(OR(A1414="",H1414=""),"",IF(G1414&lt;=H1414,"اطلب الآن",""))</f>
        <v/>
      </c>
    </row>
    <row r="1415">
      <c r="A1415" s="4" t="n"/>
      <c r="B1415" s="4" t="n"/>
      <c r="C1415" s="4" t="n"/>
      <c r="D1415" s="4" t="n"/>
      <c r="E1415" s="4" t="n"/>
      <c r="F1415">
        <f>IF(A1415="","",SUMIFS(المبيعات!$F$2:$F$2000,المبيعات!$D$2:$D$2000,A1415))</f>
        <v/>
      </c>
      <c r="G1415">
        <f>IF(A1415="","",E1415-F1415)</f>
        <v/>
      </c>
      <c r="H1415" s="4" t="n"/>
      <c r="I1415">
        <f>IF(OR(A1415="",H1415=""),"",IF(G1415&lt;=H1415,"اطلب الآن",""))</f>
        <v/>
      </c>
    </row>
    <row r="1416">
      <c r="A1416" s="4" t="n"/>
      <c r="B1416" s="4" t="n"/>
      <c r="C1416" s="4" t="n"/>
      <c r="D1416" s="4" t="n"/>
      <c r="E1416" s="4" t="n"/>
      <c r="F1416">
        <f>IF(A1416="","",SUMIFS(المبيعات!$F$2:$F$2000,المبيعات!$D$2:$D$2000,A1416))</f>
        <v/>
      </c>
      <c r="G1416">
        <f>IF(A1416="","",E1416-F1416)</f>
        <v/>
      </c>
      <c r="H1416" s="4" t="n"/>
      <c r="I1416">
        <f>IF(OR(A1416="",H1416=""),"",IF(G1416&lt;=H1416,"اطلب الآن",""))</f>
        <v/>
      </c>
    </row>
    <row r="1417">
      <c r="A1417" s="4" t="n"/>
      <c r="B1417" s="4" t="n"/>
      <c r="C1417" s="4" t="n"/>
      <c r="D1417" s="4" t="n"/>
      <c r="E1417" s="4" t="n"/>
      <c r="F1417">
        <f>IF(A1417="","",SUMIFS(المبيعات!$F$2:$F$2000,المبيعات!$D$2:$D$2000,A1417))</f>
        <v/>
      </c>
      <c r="G1417">
        <f>IF(A1417="","",E1417-F1417)</f>
        <v/>
      </c>
      <c r="H1417" s="4" t="n"/>
      <c r="I1417">
        <f>IF(OR(A1417="",H1417=""),"",IF(G1417&lt;=H1417,"اطلب الآن",""))</f>
        <v/>
      </c>
    </row>
    <row r="1418">
      <c r="A1418" s="4" t="n"/>
      <c r="B1418" s="4" t="n"/>
      <c r="C1418" s="4" t="n"/>
      <c r="D1418" s="4" t="n"/>
      <c r="E1418" s="4" t="n"/>
      <c r="F1418">
        <f>IF(A1418="","",SUMIFS(المبيعات!$F$2:$F$2000,المبيعات!$D$2:$D$2000,A1418))</f>
        <v/>
      </c>
      <c r="G1418">
        <f>IF(A1418="","",E1418-F1418)</f>
        <v/>
      </c>
      <c r="H1418" s="4" t="n"/>
      <c r="I1418">
        <f>IF(OR(A1418="",H1418=""),"",IF(G1418&lt;=H1418,"اطلب الآن",""))</f>
        <v/>
      </c>
    </row>
    <row r="1419">
      <c r="A1419" s="4" t="n"/>
      <c r="B1419" s="4" t="n"/>
      <c r="C1419" s="4" t="n"/>
      <c r="D1419" s="4" t="n"/>
      <c r="E1419" s="4" t="n"/>
      <c r="F1419">
        <f>IF(A1419="","",SUMIFS(المبيعات!$F$2:$F$2000,المبيعات!$D$2:$D$2000,A1419))</f>
        <v/>
      </c>
      <c r="G1419">
        <f>IF(A1419="","",E1419-F1419)</f>
        <v/>
      </c>
      <c r="H1419" s="4" t="n"/>
      <c r="I1419">
        <f>IF(OR(A1419="",H1419=""),"",IF(G1419&lt;=H1419,"اطلب الآن",""))</f>
        <v/>
      </c>
    </row>
    <row r="1420">
      <c r="A1420" s="4" t="n"/>
      <c r="B1420" s="4" t="n"/>
      <c r="C1420" s="4" t="n"/>
      <c r="D1420" s="4" t="n"/>
      <c r="E1420" s="4" t="n"/>
      <c r="F1420">
        <f>IF(A1420="","",SUMIFS(المبيعات!$F$2:$F$2000,المبيعات!$D$2:$D$2000,A1420))</f>
        <v/>
      </c>
      <c r="G1420">
        <f>IF(A1420="","",E1420-F1420)</f>
        <v/>
      </c>
      <c r="H1420" s="4" t="n"/>
      <c r="I1420">
        <f>IF(OR(A1420="",H1420=""),"",IF(G1420&lt;=H1420,"اطلب الآن",""))</f>
        <v/>
      </c>
    </row>
    <row r="1421">
      <c r="A1421" s="4" t="n"/>
      <c r="B1421" s="4" t="n"/>
      <c r="C1421" s="4" t="n"/>
      <c r="D1421" s="4" t="n"/>
      <c r="E1421" s="4" t="n"/>
      <c r="F1421">
        <f>IF(A1421="","",SUMIFS(المبيعات!$F$2:$F$2000,المبيعات!$D$2:$D$2000,A1421))</f>
        <v/>
      </c>
      <c r="G1421">
        <f>IF(A1421="","",E1421-F1421)</f>
        <v/>
      </c>
      <c r="H1421" s="4" t="n"/>
      <c r="I1421">
        <f>IF(OR(A1421="",H1421=""),"",IF(G1421&lt;=H1421,"اطلب الآن",""))</f>
        <v/>
      </c>
    </row>
    <row r="1422">
      <c r="A1422" s="4" t="n"/>
      <c r="B1422" s="4" t="n"/>
      <c r="C1422" s="4" t="n"/>
      <c r="D1422" s="4" t="n"/>
      <c r="E1422" s="4" t="n"/>
      <c r="F1422">
        <f>IF(A1422="","",SUMIFS(المبيعات!$F$2:$F$2000,المبيعات!$D$2:$D$2000,A1422))</f>
        <v/>
      </c>
      <c r="G1422">
        <f>IF(A1422="","",E1422-F1422)</f>
        <v/>
      </c>
      <c r="H1422" s="4" t="n"/>
      <c r="I1422">
        <f>IF(OR(A1422="",H1422=""),"",IF(G1422&lt;=H1422,"اطلب الآن",""))</f>
        <v/>
      </c>
    </row>
    <row r="1423">
      <c r="A1423" s="4" t="n"/>
      <c r="B1423" s="4" t="n"/>
      <c r="C1423" s="4" t="n"/>
      <c r="D1423" s="4" t="n"/>
      <c r="E1423" s="4" t="n"/>
      <c r="F1423">
        <f>IF(A1423="","",SUMIFS(المبيعات!$F$2:$F$2000,المبيعات!$D$2:$D$2000,A1423))</f>
        <v/>
      </c>
      <c r="G1423">
        <f>IF(A1423="","",E1423-F1423)</f>
        <v/>
      </c>
      <c r="H1423" s="4" t="n"/>
      <c r="I1423">
        <f>IF(OR(A1423="",H1423=""),"",IF(G1423&lt;=H1423,"اطلب الآن",""))</f>
        <v/>
      </c>
    </row>
    <row r="1424">
      <c r="A1424" s="4" t="n"/>
      <c r="B1424" s="4" t="n"/>
      <c r="C1424" s="4" t="n"/>
      <c r="D1424" s="4" t="n"/>
      <c r="E1424" s="4" t="n"/>
      <c r="F1424">
        <f>IF(A1424="","",SUMIFS(المبيعات!$F$2:$F$2000,المبيعات!$D$2:$D$2000,A1424))</f>
        <v/>
      </c>
      <c r="G1424">
        <f>IF(A1424="","",E1424-F1424)</f>
        <v/>
      </c>
      <c r="H1424" s="4" t="n"/>
      <c r="I1424">
        <f>IF(OR(A1424="",H1424=""),"",IF(G1424&lt;=H1424,"اطلب الآن",""))</f>
        <v/>
      </c>
    </row>
    <row r="1425">
      <c r="A1425" s="4" t="n"/>
      <c r="B1425" s="4" t="n"/>
      <c r="C1425" s="4" t="n"/>
      <c r="D1425" s="4" t="n"/>
      <c r="E1425" s="4" t="n"/>
      <c r="F1425">
        <f>IF(A1425="","",SUMIFS(المبيعات!$F$2:$F$2000,المبيعات!$D$2:$D$2000,A1425))</f>
        <v/>
      </c>
      <c r="G1425">
        <f>IF(A1425="","",E1425-F1425)</f>
        <v/>
      </c>
      <c r="H1425" s="4" t="n"/>
      <c r="I1425">
        <f>IF(OR(A1425="",H1425=""),"",IF(G1425&lt;=H1425,"اطلب الآن",""))</f>
        <v/>
      </c>
    </row>
    <row r="1426">
      <c r="A1426" s="4" t="n"/>
      <c r="B1426" s="4" t="n"/>
      <c r="C1426" s="4" t="n"/>
      <c r="D1426" s="4" t="n"/>
      <c r="E1426" s="4" t="n"/>
      <c r="F1426">
        <f>IF(A1426="","",SUMIFS(المبيعات!$F$2:$F$2000,المبيعات!$D$2:$D$2000,A1426))</f>
        <v/>
      </c>
      <c r="G1426">
        <f>IF(A1426="","",E1426-F1426)</f>
        <v/>
      </c>
      <c r="H1426" s="4" t="n"/>
      <c r="I1426">
        <f>IF(OR(A1426="",H1426=""),"",IF(G1426&lt;=H1426,"اطلب الآن",""))</f>
        <v/>
      </c>
    </row>
    <row r="1427">
      <c r="A1427" s="4" t="n"/>
      <c r="B1427" s="4" t="n"/>
      <c r="C1427" s="4" t="n"/>
      <c r="D1427" s="4" t="n"/>
      <c r="E1427" s="4" t="n"/>
      <c r="F1427">
        <f>IF(A1427="","",SUMIFS(المبيعات!$F$2:$F$2000,المبيعات!$D$2:$D$2000,A1427))</f>
        <v/>
      </c>
      <c r="G1427">
        <f>IF(A1427="","",E1427-F1427)</f>
        <v/>
      </c>
      <c r="H1427" s="4" t="n"/>
      <c r="I1427">
        <f>IF(OR(A1427="",H1427=""),"",IF(G1427&lt;=H1427,"اطلب الآن",""))</f>
        <v/>
      </c>
    </row>
    <row r="1428">
      <c r="A1428" s="4" t="n"/>
      <c r="B1428" s="4" t="n"/>
      <c r="C1428" s="4" t="n"/>
      <c r="D1428" s="4" t="n"/>
      <c r="E1428" s="4" t="n"/>
      <c r="F1428">
        <f>IF(A1428="","",SUMIFS(المبيعات!$F$2:$F$2000,المبيعات!$D$2:$D$2000,A1428))</f>
        <v/>
      </c>
      <c r="G1428">
        <f>IF(A1428="","",E1428-F1428)</f>
        <v/>
      </c>
      <c r="H1428" s="4" t="n"/>
      <c r="I1428">
        <f>IF(OR(A1428="",H1428=""),"",IF(G1428&lt;=H1428,"اطلب الآن",""))</f>
        <v/>
      </c>
    </row>
    <row r="1429">
      <c r="A1429" s="4" t="n"/>
      <c r="B1429" s="4" t="n"/>
      <c r="C1429" s="4" t="n"/>
      <c r="D1429" s="4" t="n"/>
      <c r="E1429" s="4" t="n"/>
      <c r="F1429">
        <f>IF(A1429="","",SUMIFS(المبيعات!$F$2:$F$2000,المبيعات!$D$2:$D$2000,A1429))</f>
        <v/>
      </c>
      <c r="G1429">
        <f>IF(A1429="","",E1429-F1429)</f>
        <v/>
      </c>
      <c r="H1429" s="4" t="n"/>
      <c r="I1429">
        <f>IF(OR(A1429="",H1429=""),"",IF(G1429&lt;=H1429,"اطلب الآن",""))</f>
        <v/>
      </c>
    </row>
    <row r="1430">
      <c r="A1430" s="4" t="n"/>
      <c r="B1430" s="4" t="n"/>
      <c r="C1430" s="4" t="n"/>
      <c r="D1430" s="4" t="n"/>
      <c r="E1430" s="4" t="n"/>
      <c r="F1430">
        <f>IF(A1430="","",SUMIFS(المبيعات!$F$2:$F$2000,المبيعات!$D$2:$D$2000,A1430))</f>
        <v/>
      </c>
      <c r="G1430">
        <f>IF(A1430="","",E1430-F1430)</f>
        <v/>
      </c>
      <c r="H1430" s="4" t="n"/>
      <c r="I1430">
        <f>IF(OR(A1430="",H1430=""),"",IF(G1430&lt;=H1430,"اطلب الآن",""))</f>
        <v/>
      </c>
    </row>
    <row r="1431">
      <c r="A1431" s="4" t="n"/>
      <c r="B1431" s="4" t="n"/>
      <c r="C1431" s="4" t="n"/>
      <c r="D1431" s="4" t="n"/>
      <c r="E1431" s="4" t="n"/>
      <c r="F1431">
        <f>IF(A1431="","",SUMIFS(المبيعات!$F$2:$F$2000,المبيعات!$D$2:$D$2000,A1431))</f>
        <v/>
      </c>
      <c r="G1431">
        <f>IF(A1431="","",E1431-F1431)</f>
        <v/>
      </c>
      <c r="H1431" s="4" t="n"/>
      <c r="I1431">
        <f>IF(OR(A1431="",H1431=""),"",IF(G1431&lt;=H1431,"اطلب الآن",""))</f>
        <v/>
      </c>
    </row>
    <row r="1432">
      <c r="A1432" s="4" t="n"/>
      <c r="B1432" s="4" t="n"/>
      <c r="C1432" s="4" t="n"/>
      <c r="D1432" s="4" t="n"/>
      <c r="E1432" s="4" t="n"/>
      <c r="F1432">
        <f>IF(A1432="","",SUMIFS(المبيعات!$F$2:$F$2000,المبيعات!$D$2:$D$2000,A1432))</f>
        <v/>
      </c>
      <c r="G1432">
        <f>IF(A1432="","",E1432-F1432)</f>
        <v/>
      </c>
      <c r="H1432" s="4" t="n"/>
      <c r="I1432">
        <f>IF(OR(A1432="",H1432=""),"",IF(G1432&lt;=H1432,"اطلب الآن",""))</f>
        <v/>
      </c>
    </row>
    <row r="1433">
      <c r="A1433" s="4" t="n"/>
      <c r="B1433" s="4" t="n"/>
      <c r="C1433" s="4" t="n"/>
      <c r="D1433" s="4" t="n"/>
      <c r="E1433" s="4" t="n"/>
      <c r="F1433">
        <f>IF(A1433="","",SUMIFS(المبيعات!$F$2:$F$2000,المبيعات!$D$2:$D$2000,A1433))</f>
        <v/>
      </c>
      <c r="G1433">
        <f>IF(A1433="","",E1433-F1433)</f>
        <v/>
      </c>
      <c r="H1433" s="4" t="n"/>
      <c r="I1433">
        <f>IF(OR(A1433="",H1433=""),"",IF(G1433&lt;=H1433,"اطلب الآن",""))</f>
        <v/>
      </c>
    </row>
    <row r="1434">
      <c r="A1434" s="4" t="n"/>
      <c r="B1434" s="4" t="n"/>
      <c r="C1434" s="4" t="n"/>
      <c r="D1434" s="4" t="n"/>
      <c r="E1434" s="4" t="n"/>
      <c r="F1434">
        <f>IF(A1434="","",SUMIFS(المبيعات!$F$2:$F$2000,المبيعات!$D$2:$D$2000,A1434))</f>
        <v/>
      </c>
      <c r="G1434">
        <f>IF(A1434="","",E1434-F1434)</f>
        <v/>
      </c>
      <c r="H1434" s="4" t="n"/>
      <c r="I1434">
        <f>IF(OR(A1434="",H1434=""),"",IF(G1434&lt;=H1434,"اطلب الآن",""))</f>
        <v/>
      </c>
    </row>
    <row r="1435">
      <c r="A1435" s="4" t="n"/>
      <c r="B1435" s="4" t="n"/>
      <c r="C1435" s="4" t="n"/>
      <c r="D1435" s="4" t="n"/>
      <c r="E1435" s="4" t="n"/>
      <c r="F1435">
        <f>IF(A1435="","",SUMIFS(المبيعات!$F$2:$F$2000,المبيعات!$D$2:$D$2000,A1435))</f>
        <v/>
      </c>
      <c r="G1435">
        <f>IF(A1435="","",E1435-F1435)</f>
        <v/>
      </c>
      <c r="H1435" s="4" t="n"/>
      <c r="I1435">
        <f>IF(OR(A1435="",H1435=""),"",IF(G1435&lt;=H1435,"اطلب الآن",""))</f>
        <v/>
      </c>
    </row>
    <row r="1436">
      <c r="A1436" s="4" t="n"/>
      <c r="B1436" s="4" t="n"/>
      <c r="C1436" s="4" t="n"/>
      <c r="D1436" s="4" t="n"/>
      <c r="E1436" s="4" t="n"/>
      <c r="F1436">
        <f>IF(A1436="","",SUMIFS(المبيعات!$F$2:$F$2000,المبيعات!$D$2:$D$2000,A1436))</f>
        <v/>
      </c>
      <c r="G1436">
        <f>IF(A1436="","",E1436-F1436)</f>
        <v/>
      </c>
      <c r="H1436" s="4" t="n"/>
      <c r="I1436">
        <f>IF(OR(A1436="",H1436=""),"",IF(G1436&lt;=H1436,"اطلب الآن",""))</f>
        <v/>
      </c>
    </row>
    <row r="1437">
      <c r="A1437" s="4" t="n"/>
      <c r="B1437" s="4" t="n"/>
      <c r="C1437" s="4" t="n"/>
      <c r="D1437" s="4" t="n"/>
      <c r="E1437" s="4" t="n"/>
      <c r="F1437">
        <f>IF(A1437="","",SUMIFS(المبيعات!$F$2:$F$2000,المبيعات!$D$2:$D$2000,A1437))</f>
        <v/>
      </c>
      <c r="G1437">
        <f>IF(A1437="","",E1437-F1437)</f>
        <v/>
      </c>
      <c r="H1437" s="4" t="n"/>
      <c r="I1437">
        <f>IF(OR(A1437="",H1437=""),"",IF(G1437&lt;=H1437,"اطلب الآن",""))</f>
        <v/>
      </c>
    </row>
    <row r="1438">
      <c r="A1438" s="4" t="n"/>
      <c r="B1438" s="4" t="n"/>
      <c r="C1438" s="4" t="n"/>
      <c r="D1438" s="4" t="n"/>
      <c r="E1438" s="4" t="n"/>
      <c r="F1438">
        <f>IF(A1438="","",SUMIFS(المبيعات!$F$2:$F$2000,المبيعات!$D$2:$D$2000,A1438))</f>
        <v/>
      </c>
      <c r="G1438">
        <f>IF(A1438="","",E1438-F1438)</f>
        <v/>
      </c>
      <c r="H1438" s="4" t="n"/>
      <c r="I1438">
        <f>IF(OR(A1438="",H1438=""),"",IF(G1438&lt;=H1438,"اطلب الآن",""))</f>
        <v/>
      </c>
    </row>
    <row r="1439">
      <c r="A1439" s="4" t="n"/>
      <c r="B1439" s="4" t="n"/>
      <c r="C1439" s="4" t="n"/>
      <c r="D1439" s="4" t="n"/>
      <c r="E1439" s="4" t="n"/>
      <c r="F1439">
        <f>IF(A1439="","",SUMIFS(المبيعات!$F$2:$F$2000,المبيعات!$D$2:$D$2000,A1439))</f>
        <v/>
      </c>
      <c r="G1439">
        <f>IF(A1439="","",E1439-F1439)</f>
        <v/>
      </c>
      <c r="H1439" s="4" t="n"/>
      <c r="I1439">
        <f>IF(OR(A1439="",H1439=""),"",IF(G1439&lt;=H1439,"اطلب الآن",""))</f>
        <v/>
      </c>
    </row>
    <row r="1440">
      <c r="A1440" s="4" t="n"/>
      <c r="B1440" s="4" t="n"/>
      <c r="C1440" s="4" t="n"/>
      <c r="D1440" s="4" t="n"/>
      <c r="E1440" s="4" t="n"/>
      <c r="F1440">
        <f>IF(A1440="","",SUMIFS(المبيعات!$F$2:$F$2000,المبيعات!$D$2:$D$2000,A1440))</f>
        <v/>
      </c>
      <c r="G1440">
        <f>IF(A1440="","",E1440-F1440)</f>
        <v/>
      </c>
      <c r="H1440" s="4" t="n"/>
      <c r="I1440">
        <f>IF(OR(A1440="",H1440=""),"",IF(G1440&lt;=H1440,"اطلب الآن",""))</f>
        <v/>
      </c>
    </row>
    <row r="1441">
      <c r="A1441" s="4" t="n"/>
      <c r="B1441" s="4" t="n"/>
      <c r="C1441" s="4" t="n"/>
      <c r="D1441" s="4" t="n"/>
      <c r="E1441" s="4" t="n"/>
      <c r="F1441">
        <f>IF(A1441="","",SUMIFS(المبيعات!$F$2:$F$2000,المبيعات!$D$2:$D$2000,A1441))</f>
        <v/>
      </c>
      <c r="G1441">
        <f>IF(A1441="","",E1441-F1441)</f>
        <v/>
      </c>
      <c r="H1441" s="4" t="n"/>
      <c r="I1441">
        <f>IF(OR(A1441="",H1441=""),"",IF(G1441&lt;=H1441,"اطلب الآن",""))</f>
        <v/>
      </c>
    </row>
    <row r="1442">
      <c r="A1442" s="4" t="n"/>
      <c r="B1442" s="4" t="n"/>
      <c r="C1442" s="4" t="n"/>
      <c r="D1442" s="4" t="n"/>
      <c r="E1442" s="4" t="n"/>
      <c r="F1442">
        <f>IF(A1442="","",SUMIFS(المبيعات!$F$2:$F$2000,المبيعات!$D$2:$D$2000,A1442))</f>
        <v/>
      </c>
      <c r="G1442">
        <f>IF(A1442="","",E1442-F1442)</f>
        <v/>
      </c>
      <c r="H1442" s="4" t="n"/>
      <c r="I1442">
        <f>IF(OR(A1442="",H1442=""),"",IF(G1442&lt;=H1442,"اطلب الآن",""))</f>
        <v/>
      </c>
    </row>
    <row r="1443">
      <c r="A1443" s="4" t="n"/>
      <c r="B1443" s="4" t="n"/>
      <c r="C1443" s="4" t="n"/>
      <c r="D1443" s="4" t="n"/>
      <c r="E1443" s="4" t="n"/>
      <c r="F1443">
        <f>IF(A1443="","",SUMIFS(المبيعات!$F$2:$F$2000,المبيعات!$D$2:$D$2000,A1443))</f>
        <v/>
      </c>
      <c r="G1443">
        <f>IF(A1443="","",E1443-F1443)</f>
        <v/>
      </c>
      <c r="H1443" s="4" t="n"/>
      <c r="I1443">
        <f>IF(OR(A1443="",H1443=""),"",IF(G1443&lt;=H1443,"اطلب الآن",""))</f>
        <v/>
      </c>
    </row>
    <row r="1444">
      <c r="A1444" s="4" t="n"/>
      <c r="B1444" s="4" t="n"/>
      <c r="C1444" s="4" t="n"/>
      <c r="D1444" s="4" t="n"/>
      <c r="E1444" s="4" t="n"/>
      <c r="F1444">
        <f>IF(A1444="","",SUMIFS(المبيعات!$F$2:$F$2000,المبيعات!$D$2:$D$2000,A1444))</f>
        <v/>
      </c>
      <c r="G1444">
        <f>IF(A1444="","",E1444-F1444)</f>
        <v/>
      </c>
      <c r="H1444" s="4" t="n"/>
      <c r="I1444">
        <f>IF(OR(A1444="",H1444=""),"",IF(G1444&lt;=H1444,"اطلب الآن",""))</f>
        <v/>
      </c>
    </row>
    <row r="1445">
      <c r="A1445" s="4" t="n"/>
      <c r="B1445" s="4" t="n"/>
      <c r="C1445" s="4" t="n"/>
      <c r="D1445" s="4" t="n"/>
      <c r="E1445" s="4" t="n"/>
      <c r="F1445">
        <f>IF(A1445="","",SUMIFS(المبيعات!$F$2:$F$2000,المبيعات!$D$2:$D$2000,A1445))</f>
        <v/>
      </c>
      <c r="G1445">
        <f>IF(A1445="","",E1445-F1445)</f>
        <v/>
      </c>
      <c r="H1445" s="4" t="n"/>
      <c r="I1445">
        <f>IF(OR(A1445="",H1445=""),"",IF(G1445&lt;=H1445,"اطلب الآن",""))</f>
        <v/>
      </c>
    </row>
    <row r="1446">
      <c r="A1446" s="4" t="n"/>
      <c r="B1446" s="4" t="n"/>
      <c r="C1446" s="4" t="n"/>
      <c r="D1446" s="4" t="n"/>
      <c r="E1446" s="4" t="n"/>
      <c r="F1446">
        <f>IF(A1446="","",SUMIFS(المبيعات!$F$2:$F$2000,المبيعات!$D$2:$D$2000,A1446))</f>
        <v/>
      </c>
      <c r="G1446">
        <f>IF(A1446="","",E1446-F1446)</f>
        <v/>
      </c>
      <c r="H1446" s="4" t="n"/>
      <c r="I1446">
        <f>IF(OR(A1446="",H1446=""),"",IF(G1446&lt;=H1446,"اطلب الآن",""))</f>
        <v/>
      </c>
    </row>
    <row r="1447">
      <c r="A1447" s="4" t="n"/>
      <c r="B1447" s="4" t="n"/>
      <c r="C1447" s="4" t="n"/>
      <c r="D1447" s="4" t="n"/>
      <c r="E1447" s="4" t="n"/>
      <c r="F1447">
        <f>IF(A1447="","",SUMIFS(المبيعات!$F$2:$F$2000,المبيعات!$D$2:$D$2000,A1447))</f>
        <v/>
      </c>
      <c r="G1447">
        <f>IF(A1447="","",E1447-F1447)</f>
        <v/>
      </c>
      <c r="H1447" s="4" t="n"/>
      <c r="I1447">
        <f>IF(OR(A1447="",H1447=""),"",IF(G1447&lt;=H1447,"اطلب الآن",""))</f>
        <v/>
      </c>
    </row>
    <row r="1448">
      <c r="A1448" s="4" t="n"/>
      <c r="B1448" s="4" t="n"/>
      <c r="C1448" s="4" t="n"/>
      <c r="D1448" s="4" t="n"/>
      <c r="E1448" s="4" t="n"/>
      <c r="F1448">
        <f>IF(A1448="","",SUMIFS(المبيعات!$F$2:$F$2000,المبيعات!$D$2:$D$2000,A1448))</f>
        <v/>
      </c>
      <c r="G1448">
        <f>IF(A1448="","",E1448-F1448)</f>
        <v/>
      </c>
      <c r="H1448" s="4" t="n"/>
      <c r="I1448">
        <f>IF(OR(A1448="",H1448=""),"",IF(G1448&lt;=H1448,"اطلب الآن",""))</f>
        <v/>
      </c>
    </row>
    <row r="1449">
      <c r="A1449" s="4" t="n"/>
      <c r="B1449" s="4" t="n"/>
      <c r="C1449" s="4" t="n"/>
      <c r="D1449" s="4" t="n"/>
      <c r="E1449" s="4" t="n"/>
      <c r="F1449">
        <f>IF(A1449="","",SUMIFS(المبيعات!$F$2:$F$2000,المبيعات!$D$2:$D$2000,A1449))</f>
        <v/>
      </c>
      <c r="G1449">
        <f>IF(A1449="","",E1449-F1449)</f>
        <v/>
      </c>
      <c r="H1449" s="4" t="n"/>
      <c r="I1449">
        <f>IF(OR(A1449="",H1449=""),"",IF(G1449&lt;=H1449,"اطلب الآن",""))</f>
        <v/>
      </c>
    </row>
    <row r="1450">
      <c r="A1450" s="4" t="n"/>
      <c r="B1450" s="4" t="n"/>
      <c r="C1450" s="4" t="n"/>
      <c r="D1450" s="4" t="n"/>
      <c r="E1450" s="4" t="n"/>
      <c r="F1450">
        <f>IF(A1450="","",SUMIFS(المبيعات!$F$2:$F$2000,المبيعات!$D$2:$D$2000,A1450))</f>
        <v/>
      </c>
      <c r="G1450">
        <f>IF(A1450="","",E1450-F1450)</f>
        <v/>
      </c>
      <c r="H1450" s="4" t="n"/>
      <c r="I1450">
        <f>IF(OR(A1450="",H1450=""),"",IF(G1450&lt;=H1450,"اطلب الآن",""))</f>
        <v/>
      </c>
    </row>
    <row r="1451">
      <c r="A1451" s="4" t="n"/>
      <c r="B1451" s="4" t="n"/>
      <c r="C1451" s="4" t="n"/>
      <c r="D1451" s="4" t="n"/>
      <c r="E1451" s="4" t="n"/>
      <c r="F1451">
        <f>IF(A1451="","",SUMIFS(المبيعات!$F$2:$F$2000,المبيعات!$D$2:$D$2000,A1451))</f>
        <v/>
      </c>
      <c r="G1451">
        <f>IF(A1451="","",E1451-F1451)</f>
        <v/>
      </c>
      <c r="H1451" s="4" t="n"/>
      <c r="I1451">
        <f>IF(OR(A1451="",H1451=""),"",IF(G1451&lt;=H1451,"اطلب الآن",""))</f>
        <v/>
      </c>
    </row>
    <row r="1452">
      <c r="A1452" s="4" t="n"/>
      <c r="B1452" s="4" t="n"/>
      <c r="C1452" s="4" t="n"/>
      <c r="D1452" s="4" t="n"/>
      <c r="E1452" s="4" t="n"/>
      <c r="F1452">
        <f>IF(A1452="","",SUMIFS(المبيعات!$F$2:$F$2000,المبيعات!$D$2:$D$2000,A1452))</f>
        <v/>
      </c>
      <c r="G1452">
        <f>IF(A1452="","",E1452-F1452)</f>
        <v/>
      </c>
      <c r="H1452" s="4" t="n"/>
      <c r="I1452">
        <f>IF(OR(A1452="",H1452=""),"",IF(G1452&lt;=H1452,"اطلب الآن",""))</f>
        <v/>
      </c>
    </row>
    <row r="1453">
      <c r="A1453" s="4" t="n"/>
      <c r="B1453" s="4" t="n"/>
      <c r="C1453" s="4" t="n"/>
      <c r="D1453" s="4" t="n"/>
      <c r="E1453" s="4" t="n"/>
      <c r="F1453">
        <f>IF(A1453="","",SUMIFS(المبيعات!$F$2:$F$2000,المبيعات!$D$2:$D$2000,A1453))</f>
        <v/>
      </c>
      <c r="G1453">
        <f>IF(A1453="","",E1453-F1453)</f>
        <v/>
      </c>
      <c r="H1453" s="4" t="n"/>
      <c r="I1453">
        <f>IF(OR(A1453="",H1453=""),"",IF(G1453&lt;=H1453,"اطلب الآن",""))</f>
        <v/>
      </c>
    </row>
    <row r="1454">
      <c r="A1454" s="4" t="n"/>
      <c r="B1454" s="4" t="n"/>
      <c r="C1454" s="4" t="n"/>
      <c r="D1454" s="4" t="n"/>
      <c r="E1454" s="4" t="n"/>
      <c r="F1454">
        <f>IF(A1454="","",SUMIFS(المبيعات!$F$2:$F$2000,المبيعات!$D$2:$D$2000,A1454))</f>
        <v/>
      </c>
      <c r="G1454">
        <f>IF(A1454="","",E1454-F1454)</f>
        <v/>
      </c>
      <c r="H1454" s="4" t="n"/>
      <c r="I1454">
        <f>IF(OR(A1454="",H1454=""),"",IF(G1454&lt;=H1454,"اطلب الآن",""))</f>
        <v/>
      </c>
    </row>
    <row r="1455">
      <c r="A1455" s="4" t="n"/>
      <c r="B1455" s="4" t="n"/>
      <c r="C1455" s="4" t="n"/>
      <c r="D1455" s="4" t="n"/>
      <c r="E1455" s="4" t="n"/>
      <c r="F1455">
        <f>IF(A1455="","",SUMIFS(المبيعات!$F$2:$F$2000,المبيعات!$D$2:$D$2000,A1455))</f>
        <v/>
      </c>
      <c r="G1455">
        <f>IF(A1455="","",E1455-F1455)</f>
        <v/>
      </c>
      <c r="H1455" s="4" t="n"/>
      <c r="I1455">
        <f>IF(OR(A1455="",H1455=""),"",IF(G1455&lt;=H1455,"اطلب الآن",""))</f>
        <v/>
      </c>
    </row>
    <row r="1456">
      <c r="A1456" s="4" t="n"/>
      <c r="B1456" s="4" t="n"/>
      <c r="C1456" s="4" t="n"/>
      <c r="D1456" s="4" t="n"/>
      <c r="E1456" s="4" t="n"/>
      <c r="F1456">
        <f>IF(A1456="","",SUMIFS(المبيعات!$F$2:$F$2000,المبيعات!$D$2:$D$2000,A1456))</f>
        <v/>
      </c>
      <c r="G1456">
        <f>IF(A1456="","",E1456-F1456)</f>
        <v/>
      </c>
      <c r="H1456" s="4" t="n"/>
      <c r="I1456">
        <f>IF(OR(A1456="",H1456=""),"",IF(G1456&lt;=H1456,"اطلب الآن",""))</f>
        <v/>
      </c>
    </row>
    <row r="1457">
      <c r="A1457" s="4" t="n"/>
      <c r="B1457" s="4" t="n"/>
      <c r="C1457" s="4" t="n"/>
      <c r="D1457" s="4" t="n"/>
      <c r="E1457" s="4" t="n"/>
      <c r="F1457">
        <f>IF(A1457="","",SUMIFS(المبيعات!$F$2:$F$2000,المبيعات!$D$2:$D$2000,A1457))</f>
        <v/>
      </c>
      <c r="G1457">
        <f>IF(A1457="","",E1457-F1457)</f>
        <v/>
      </c>
      <c r="H1457" s="4" t="n"/>
      <c r="I1457">
        <f>IF(OR(A1457="",H1457=""),"",IF(G1457&lt;=H1457,"اطلب الآن",""))</f>
        <v/>
      </c>
    </row>
    <row r="1458">
      <c r="A1458" s="4" t="n"/>
      <c r="B1458" s="4" t="n"/>
      <c r="C1458" s="4" t="n"/>
      <c r="D1458" s="4" t="n"/>
      <c r="E1458" s="4" t="n"/>
      <c r="F1458">
        <f>IF(A1458="","",SUMIFS(المبيعات!$F$2:$F$2000,المبيعات!$D$2:$D$2000,A1458))</f>
        <v/>
      </c>
      <c r="G1458">
        <f>IF(A1458="","",E1458-F1458)</f>
        <v/>
      </c>
      <c r="H1458" s="4" t="n"/>
      <c r="I1458">
        <f>IF(OR(A1458="",H1458=""),"",IF(G1458&lt;=H1458,"اطلب الآن",""))</f>
        <v/>
      </c>
    </row>
    <row r="1459">
      <c r="A1459" s="4" t="n"/>
      <c r="B1459" s="4" t="n"/>
      <c r="C1459" s="4" t="n"/>
      <c r="D1459" s="4" t="n"/>
      <c r="E1459" s="4" t="n"/>
      <c r="F1459">
        <f>IF(A1459="","",SUMIFS(المبيعات!$F$2:$F$2000,المبيعات!$D$2:$D$2000,A1459))</f>
        <v/>
      </c>
      <c r="G1459">
        <f>IF(A1459="","",E1459-F1459)</f>
        <v/>
      </c>
      <c r="H1459" s="4" t="n"/>
      <c r="I1459">
        <f>IF(OR(A1459="",H1459=""),"",IF(G1459&lt;=H1459,"اطلب الآن",""))</f>
        <v/>
      </c>
    </row>
    <row r="1460">
      <c r="A1460" s="4" t="n"/>
      <c r="B1460" s="4" t="n"/>
      <c r="C1460" s="4" t="n"/>
      <c r="D1460" s="4" t="n"/>
      <c r="E1460" s="4" t="n"/>
      <c r="F1460">
        <f>IF(A1460="","",SUMIFS(المبيعات!$F$2:$F$2000,المبيعات!$D$2:$D$2000,A1460))</f>
        <v/>
      </c>
      <c r="G1460">
        <f>IF(A1460="","",E1460-F1460)</f>
        <v/>
      </c>
      <c r="H1460" s="4" t="n"/>
      <c r="I1460">
        <f>IF(OR(A1460="",H1460=""),"",IF(G1460&lt;=H1460,"اطلب الآن",""))</f>
        <v/>
      </c>
    </row>
    <row r="1461">
      <c r="A1461" s="4" t="n"/>
      <c r="B1461" s="4" t="n"/>
      <c r="C1461" s="4" t="n"/>
      <c r="D1461" s="4" t="n"/>
      <c r="E1461" s="4" t="n"/>
      <c r="F1461">
        <f>IF(A1461="","",SUMIFS(المبيعات!$F$2:$F$2000,المبيعات!$D$2:$D$2000,A1461))</f>
        <v/>
      </c>
      <c r="G1461">
        <f>IF(A1461="","",E1461-F1461)</f>
        <v/>
      </c>
      <c r="H1461" s="4" t="n"/>
      <c r="I1461">
        <f>IF(OR(A1461="",H1461=""),"",IF(G1461&lt;=H1461,"اطلب الآن",""))</f>
        <v/>
      </c>
    </row>
    <row r="1462">
      <c r="A1462" s="4" t="n"/>
      <c r="B1462" s="4" t="n"/>
      <c r="C1462" s="4" t="n"/>
      <c r="D1462" s="4" t="n"/>
      <c r="E1462" s="4" t="n"/>
      <c r="F1462">
        <f>IF(A1462="","",SUMIFS(المبيعات!$F$2:$F$2000,المبيعات!$D$2:$D$2000,A1462))</f>
        <v/>
      </c>
      <c r="G1462">
        <f>IF(A1462="","",E1462-F1462)</f>
        <v/>
      </c>
      <c r="H1462" s="4" t="n"/>
      <c r="I1462">
        <f>IF(OR(A1462="",H1462=""),"",IF(G1462&lt;=H1462,"اطلب الآن",""))</f>
        <v/>
      </c>
    </row>
    <row r="1463">
      <c r="A1463" s="4" t="n"/>
      <c r="B1463" s="4" t="n"/>
      <c r="C1463" s="4" t="n"/>
      <c r="D1463" s="4" t="n"/>
      <c r="E1463" s="4" t="n"/>
      <c r="F1463">
        <f>IF(A1463="","",SUMIFS(المبيعات!$F$2:$F$2000,المبيعات!$D$2:$D$2000,A1463))</f>
        <v/>
      </c>
      <c r="G1463">
        <f>IF(A1463="","",E1463-F1463)</f>
        <v/>
      </c>
      <c r="H1463" s="4" t="n"/>
      <c r="I1463">
        <f>IF(OR(A1463="",H1463=""),"",IF(G1463&lt;=H1463,"اطلب الآن",""))</f>
        <v/>
      </c>
    </row>
    <row r="1464">
      <c r="A1464" s="4" t="n"/>
      <c r="B1464" s="4" t="n"/>
      <c r="C1464" s="4" t="n"/>
      <c r="D1464" s="4" t="n"/>
      <c r="E1464" s="4" t="n"/>
      <c r="F1464">
        <f>IF(A1464="","",SUMIFS(المبيعات!$F$2:$F$2000,المبيعات!$D$2:$D$2000,A1464))</f>
        <v/>
      </c>
      <c r="G1464">
        <f>IF(A1464="","",E1464-F1464)</f>
        <v/>
      </c>
      <c r="H1464" s="4" t="n"/>
      <c r="I1464">
        <f>IF(OR(A1464="",H1464=""),"",IF(G1464&lt;=H1464,"اطلب الآن",""))</f>
        <v/>
      </c>
    </row>
    <row r="1465">
      <c r="A1465" s="4" t="n"/>
      <c r="B1465" s="4" t="n"/>
      <c r="C1465" s="4" t="n"/>
      <c r="D1465" s="4" t="n"/>
      <c r="E1465" s="4" t="n"/>
      <c r="F1465">
        <f>IF(A1465="","",SUMIFS(المبيعات!$F$2:$F$2000,المبيعات!$D$2:$D$2000,A1465))</f>
        <v/>
      </c>
      <c r="G1465">
        <f>IF(A1465="","",E1465-F1465)</f>
        <v/>
      </c>
      <c r="H1465" s="4" t="n"/>
      <c r="I1465">
        <f>IF(OR(A1465="",H1465=""),"",IF(G1465&lt;=H1465,"اطلب الآن",""))</f>
        <v/>
      </c>
    </row>
    <row r="1466">
      <c r="A1466" s="4" t="n"/>
      <c r="B1466" s="4" t="n"/>
      <c r="C1466" s="4" t="n"/>
      <c r="D1466" s="4" t="n"/>
      <c r="E1466" s="4" t="n"/>
      <c r="F1466">
        <f>IF(A1466="","",SUMIFS(المبيعات!$F$2:$F$2000,المبيعات!$D$2:$D$2000,A1466))</f>
        <v/>
      </c>
      <c r="G1466">
        <f>IF(A1466="","",E1466-F1466)</f>
        <v/>
      </c>
      <c r="H1466" s="4" t="n"/>
      <c r="I1466">
        <f>IF(OR(A1466="",H1466=""),"",IF(G1466&lt;=H1466,"اطلب الآن",""))</f>
        <v/>
      </c>
    </row>
    <row r="1467">
      <c r="A1467" s="4" t="n"/>
      <c r="B1467" s="4" t="n"/>
      <c r="C1467" s="4" t="n"/>
      <c r="D1467" s="4" t="n"/>
      <c r="E1467" s="4" t="n"/>
      <c r="F1467">
        <f>IF(A1467="","",SUMIFS(المبيعات!$F$2:$F$2000,المبيعات!$D$2:$D$2000,A1467))</f>
        <v/>
      </c>
      <c r="G1467">
        <f>IF(A1467="","",E1467-F1467)</f>
        <v/>
      </c>
      <c r="H1467" s="4" t="n"/>
      <c r="I1467">
        <f>IF(OR(A1467="",H1467=""),"",IF(G1467&lt;=H1467,"اطلب الآن",""))</f>
        <v/>
      </c>
    </row>
    <row r="1468">
      <c r="A1468" s="4" t="n"/>
      <c r="B1468" s="4" t="n"/>
      <c r="C1468" s="4" t="n"/>
      <c r="D1468" s="4" t="n"/>
      <c r="E1468" s="4" t="n"/>
      <c r="F1468">
        <f>IF(A1468="","",SUMIFS(المبيعات!$F$2:$F$2000,المبيعات!$D$2:$D$2000,A1468))</f>
        <v/>
      </c>
      <c r="G1468">
        <f>IF(A1468="","",E1468-F1468)</f>
        <v/>
      </c>
      <c r="H1468" s="4" t="n"/>
      <c r="I1468">
        <f>IF(OR(A1468="",H1468=""),"",IF(G1468&lt;=H1468,"اطلب الآن",""))</f>
        <v/>
      </c>
    </row>
    <row r="1469">
      <c r="A1469" s="4" t="n"/>
      <c r="B1469" s="4" t="n"/>
      <c r="C1469" s="4" t="n"/>
      <c r="D1469" s="4" t="n"/>
      <c r="E1469" s="4" t="n"/>
      <c r="F1469">
        <f>IF(A1469="","",SUMIFS(المبيعات!$F$2:$F$2000,المبيعات!$D$2:$D$2000,A1469))</f>
        <v/>
      </c>
      <c r="G1469">
        <f>IF(A1469="","",E1469-F1469)</f>
        <v/>
      </c>
      <c r="H1469" s="4" t="n"/>
      <c r="I1469">
        <f>IF(OR(A1469="",H1469=""),"",IF(G1469&lt;=H1469,"اطلب الآن",""))</f>
        <v/>
      </c>
    </row>
    <row r="1470">
      <c r="A1470" s="4" t="n"/>
      <c r="B1470" s="4" t="n"/>
      <c r="C1470" s="4" t="n"/>
      <c r="D1470" s="4" t="n"/>
      <c r="E1470" s="4" t="n"/>
      <c r="F1470">
        <f>IF(A1470="","",SUMIFS(المبيعات!$F$2:$F$2000,المبيعات!$D$2:$D$2000,A1470))</f>
        <v/>
      </c>
      <c r="G1470">
        <f>IF(A1470="","",E1470-F1470)</f>
        <v/>
      </c>
      <c r="H1470" s="4" t="n"/>
      <c r="I1470">
        <f>IF(OR(A1470="",H1470=""),"",IF(G1470&lt;=H1470,"اطلب الآن",""))</f>
        <v/>
      </c>
    </row>
    <row r="1471">
      <c r="A1471" s="4" t="n"/>
      <c r="B1471" s="4" t="n"/>
      <c r="C1471" s="4" t="n"/>
      <c r="D1471" s="4" t="n"/>
      <c r="E1471" s="4" t="n"/>
      <c r="F1471">
        <f>IF(A1471="","",SUMIFS(المبيعات!$F$2:$F$2000,المبيعات!$D$2:$D$2000,A1471))</f>
        <v/>
      </c>
      <c r="G1471">
        <f>IF(A1471="","",E1471-F1471)</f>
        <v/>
      </c>
      <c r="H1471" s="4" t="n"/>
      <c r="I1471">
        <f>IF(OR(A1471="",H1471=""),"",IF(G1471&lt;=H1471,"اطلب الآن",""))</f>
        <v/>
      </c>
    </row>
    <row r="1472">
      <c r="A1472" s="4" t="n"/>
      <c r="B1472" s="4" t="n"/>
      <c r="C1472" s="4" t="n"/>
      <c r="D1472" s="4" t="n"/>
      <c r="E1472" s="4" t="n"/>
      <c r="F1472">
        <f>IF(A1472="","",SUMIFS(المبيعات!$F$2:$F$2000,المبيعات!$D$2:$D$2000,A1472))</f>
        <v/>
      </c>
      <c r="G1472">
        <f>IF(A1472="","",E1472-F1472)</f>
        <v/>
      </c>
      <c r="H1472" s="4" t="n"/>
      <c r="I1472">
        <f>IF(OR(A1472="",H1472=""),"",IF(G1472&lt;=H1472,"اطلب الآن",""))</f>
        <v/>
      </c>
    </row>
    <row r="1473">
      <c r="A1473" s="4" t="n"/>
      <c r="B1473" s="4" t="n"/>
      <c r="C1473" s="4" t="n"/>
      <c r="D1473" s="4" t="n"/>
      <c r="E1473" s="4" t="n"/>
      <c r="F1473">
        <f>IF(A1473="","",SUMIFS(المبيعات!$F$2:$F$2000,المبيعات!$D$2:$D$2000,A1473))</f>
        <v/>
      </c>
      <c r="G1473">
        <f>IF(A1473="","",E1473-F1473)</f>
        <v/>
      </c>
      <c r="H1473" s="4" t="n"/>
      <c r="I1473">
        <f>IF(OR(A1473="",H1473=""),"",IF(G1473&lt;=H1473,"اطلب الآن",""))</f>
        <v/>
      </c>
    </row>
    <row r="1474">
      <c r="A1474" s="4" t="n"/>
      <c r="B1474" s="4" t="n"/>
      <c r="C1474" s="4" t="n"/>
      <c r="D1474" s="4" t="n"/>
      <c r="E1474" s="4" t="n"/>
      <c r="F1474">
        <f>IF(A1474="","",SUMIFS(المبيعات!$F$2:$F$2000,المبيعات!$D$2:$D$2000,A1474))</f>
        <v/>
      </c>
      <c r="G1474">
        <f>IF(A1474="","",E1474-F1474)</f>
        <v/>
      </c>
      <c r="H1474" s="4" t="n"/>
      <c r="I1474">
        <f>IF(OR(A1474="",H1474=""),"",IF(G1474&lt;=H1474,"اطلب الآن",""))</f>
        <v/>
      </c>
    </row>
    <row r="1475">
      <c r="A1475" s="4" t="n"/>
      <c r="B1475" s="4" t="n"/>
      <c r="C1475" s="4" t="n"/>
      <c r="D1475" s="4" t="n"/>
      <c r="E1475" s="4" t="n"/>
      <c r="F1475">
        <f>IF(A1475="","",SUMIFS(المبيعات!$F$2:$F$2000,المبيعات!$D$2:$D$2000,A1475))</f>
        <v/>
      </c>
      <c r="G1475">
        <f>IF(A1475="","",E1475-F1475)</f>
        <v/>
      </c>
      <c r="H1475" s="4" t="n"/>
      <c r="I1475">
        <f>IF(OR(A1475="",H1475=""),"",IF(G1475&lt;=H1475,"اطلب الآن",""))</f>
        <v/>
      </c>
    </row>
    <row r="1476">
      <c r="A1476" s="4" t="n"/>
      <c r="B1476" s="4" t="n"/>
      <c r="C1476" s="4" t="n"/>
      <c r="D1476" s="4" t="n"/>
      <c r="E1476" s="4" t="n"/>
      <c r="F1476">
        <f>IF(A1476="","",SUMIFS(المبيعات!$F$2:$F$2000,المبيعات!$D$2:$D$2000,A1476))</f>
        <v/>
      </c>
      <c r="G1476">
        <f>IF(A1476="","",E1476-F1476)</f>
        <v/>
      </c>
      <c r="H1476" s="4" t="n"/>
      <c r="I1476">
        <f>IF(OR(A1476="",H1476=""),"",IF(G1476&lt;=H1476,"اطلب الآن",""))</f>
        <v/>
      </c>
    </row>
    <row r="1477">
      <c r="A1477" s="4" t="n"/>
      <c r="B1477" s="4" t="n"/>
      <c r="C1477" s="4" t="n"/>
      <c r="D1477" s="4" t="n"/>
      <c r="E1477" s="4" t="n"/>
      <c r="F1477">
        <f>IF(A1477="","",SUMIFS(المبيعات!$F$2:$F$2000,المبيعات!$D$2:$D$2000,A1477))</f>
        <v/>
      </c>
      <c r="G1477">
        <f>IF(A1477="","",E1477-F1477)</f>
        <v/>
      </c>
      <c r="H1477" s="4" t="n"/>
      <c r="I1477">
        <f>IF(OR(A1477="",H1477=""),"",IF(G1477&lt;=H1477,"اطلب الآن",""))</f>
        <v/>
      </c>
    </row>
    <row r="1478">
      <c r="A1478" s="4" t="n"/>
      <c r="B1478" s="4" t="n"/>
      <c r="C1478" s="4" t="n"/>
      <c r="D1478" s="4" t="n"/>
      <c r="E1478" s="4" t="n"/>
      <c r="F1478">
        <f>IF(A1478="","",SUMIFS(المبيعات!$F$2:$F$2000,المبيعات!$D$2:$D$2000,A1478))</f>
        <v/>
      </c>
      <c r="G1478">
        <f>IF(A1478="","",E1478-F1478)</f>
        <v/>
      </c>
      <c r="H1478" s="4" t="n"/>
      <c r="I1478">
        <f>IF(OR(A1478="",H1478=""),"",IF(G1478&lt;=H1478,"اطلب الآن",""))</f>
        <v/>
      </c>
    </row>
    <row r="1479">
      <c r="A1479" s="4" t="n"/>
      <c r="B1479" s="4" t="n"/>
      <c r="C1479" s="4" t="n"/>
      <c r="D1479" s="4" t="n"/>
      <c r="E1479" s="4" t="n"/>
      <c r="F1479">
        <f>IF(A1479="","",SUMIFS(المبيعات!$F$2:$F$2000,المبيعات!$D$2:$D$2000,A1479))</f>
        <v/>
      </c>
      <c r="G1479">
        <f>IF(A1479="","",E1479-F1479)</f>
        <v/>
      </c>
      <c r="H1479" s="4" t="n"/>
      <c r="I1479">
        <f>IF(OR(A1479="",H1479=""),"",IF(G1479&lt;=H1479,"اطلب الآن",""))</f>
        <v/>
      </c>
    </row>
    <row r="1480">
      <c r="A1480" s="4" t="n"/>
      <c r="B1480" s="4" t="n"/>
      <c r="C1480" s="4" t="n"/>
      <c r="D1480" s="4" t="n"/>
      <c r="E1480" s="4" t="n"/>
      <c r="F1480">
        <f>IF(A1480="","",SUMIFS(المبيعات!$F$2:$F$2000,المبيعات!$D$2:$D$2000,A1480))</f>
        <v/>
      </c>
      <c r="G1480">
        <f>IF(A1480="","",E1480-F1480)</f>
        <v/>
      </c>
      <c r="H1480" s="4" t="n"/>
      <c r="I1480">
        <f>IF(OR(A1480="",H1480=""),"",IF(G1480&lt;=H1480,"اطلب الآن",""))</f>
        <v/>
      </c>
    </row>
    <row r="1481">
      <c r="A1481" s="4" t="n"/>
      <c r="B1481" s="4" t="n"/>
      <c r="C1481" s="4" t="n"/>
      <c r="D1481" s="4" t="n"/>
      <c r="E1481" s="4" t="n"/>
      <c r="F1481">
        <f>IF(A1481="","",SUMIFS(المبيعات!$F$2:$F$2000,المبيعات!$D$2:$D$2000,A1481))</f>
        <v/>
      </c>
      <c r="G1481">
        <f>IF(A1481="","",E1481-F1481)</f>
        <v/>
      </c>
      <c r="H1481" s="4" t="n"/>
      <c r="I1481">
        <f>IF(OR(A1481="",H1481=""),"",IF(G1481&lt;=H1481,"اطلب الآن",""))</f>
        <v/>
      </c>
    </row>
    <row r="1482">
      <c r="A1482" s="4" t="n"/>
      <c r="B1482" s="4" t="n"/>
      <c r="C1482" s="4" t="n"/>
      <c r="D1482" s="4" t="n"/>
      <c r="E1482" s="4" t="n"/>
      <c r="F1482">
        <f>IF(A1482="","",SUMIFS(المبيعات!$F$2:$F$2000,المبيعات!$D$2:$D$2000,A1482))</f>
        <v/>
      </c>
      <c r="G1482">
        <f>IF(A1482="","",E1482-F1482)</f>
        <v/>
      </c>
      <c r="H1482" s="4" t="n"/>
      <c r="I1482">
        <f>IF(OR(A1482="",H1482=""),"",IF(G1482&lt;=H1482,"اطلب الآن",""))</f>
        <v/>
      </c>
    </row>
    <row r="1483">
      <c r="A1483" s="4" t="n"/>
      <c r="B1483" s="4" t="n"/>
      <c r="C1483" s="4" t="n"/>
      <c r="D1483" s="4" t="n"/>
      <c r="E1483" s="4" t="n"/>
      <c r="F1483">
        <f>IF(A1483="","",SUMIFS(المبيعات!$F$2:$F$2000,المبيعات!$D$2:$D$2000,A1483))</f>
        <v/>
      </c>
      <c r="G1483">
        <f>IF(A1483="","",E1483-F1483)</f>
        <v/>
      </c>
      <c r="H1483" s="4" t="n"/>
      <c r="I1483">
        <f>IF(OR(A1483="",H1483=""),"",IF(G1483&lt;=H1483,"اطلب الآن",""))</f>
        <v/>
      </c>
    </row>
    <row r="1484">
      <c r="A1484" s="4" t="n"/>
      <c r="B1484" s="4" t="n"/>
      <c r="C1484" s="4" t="n"/>
      <c r="D1484" s="4" t="n"/>
      <c r="E1484" s="4" t="n"/>
      <c r="F1484">
        <f>IF(A1484="","",SUMIFS(المبيعات!$F$2:$F$2000,المبيعات!$D$2:$D$2000,A1484))</f>
        <v/>
      </c>
      <c r="G1484">
        <f>IF(A1484="","",E1484-F1484)</f>
        <v/>
      </c>
      <c r="H1484" s="4" t="n"/>
      <c r="I1484">
        <f>IF(OR(A1484="",H1484=""),"",IF(G1484&lt;=H1484,"اطلب الآن",""))</f>
        <v/>
      </c>
    </row>
    <row r="1485">
      <c r="A1485" s="4" t="n"/>
      <c r="B1485" s="4" t="n"/>
      <c r="C1485" s="4" t="n"/>
      <c r="D1485" s="4" t="n"/>
      <c r="E1485" s="4" t="n"/>
      <c r="F1485">
        <f>IF(A1485="","",SUMIFS(المبيعات!$F$2:$F$2000,المبيعات!$D$2:$D$2000,A1485))</f>
        <v/>
      </c>
      <c r="G1485">
        <f>IF(A1485="","",E1485-F1485)</f>
        <v/>
      </c>
      <c r="H1485" s="4" t="n"/>
      <c r="I1485">
        <f>IF(OR(A1485="",H1485=""),"",IF(G1485&lt;=H1485,"اطلب الآن",""))</f>
        <v/>
      </c>
    </row>
    <row r="1486">
      <c r="A1486" s="4" t="n"/>
      <c r="B1486" s="4" t="n"/>
      <c r="C1486" s="4" t="n"/>
      <c r="D1486" s="4" t="n"/>
      <c r="E1486" s="4" t="n"/>
      <c r="F1486">
        <f>IF(A1486="","",SUMIFS(المبيعات!$F$2:$F$2000,المبيعات!$D$2:$D$2000,A1486))</f>
        <v/>
      </c>
      <c r="G1486">
        <f>IF(A1486="","",E1486-F1486)</f>
        <v/>
      </c>
      <c r="H1486" s="4" t="n"/>
      <c r="I1486">
        <f>IF(OR(A1486="",H1486=""),"",IF(G1486&lt;=H1486,"اطلب الآن",""))</f>
        <v/>
      </c>
    </row>
    <row r="1487">
      <c r="A1487" s="4" t="n"/>
      <c r="B1487" s="4" t="n"/>
      <c r="C1487" s="4" t="n"/>
      <c r="D1487" s="4" t="n"/>
      <c r="E1487" s="4" t="n"/>
      <c r="F1487">
        <f>IF(A1487="","",SUMIFS(المبيعات!$F$2:$F$2000,المبيعات!$D$2:$D$2000,A1487))</f>
        <v/>
      </c>
      <c r="G1487">
        <f>IF(A1487="","",E1487-F1487)</f>
        <v/>
      </c>
      <c r="H1487" s="4" t="n"/>
      <c r="I1487">
        <f>IF(OR(A1487="",H1487=""),"",IF(G1487&lt;=H1487,"اطلب الآن",""))</f>
        <v/>
      </c>
    </row>
    <row r="1488">
      <c r="A1488" s="4" t="n"/>
      <c r="B1488" s="4" t="n"/>
      <c r="C1488" s="4" t="n"/>
      <c r="D1488" s="4" t="n"/>
      <c r="E1488" s="4" t="n"/>
      <c r="F1488">
        <f>IF(A1488="","",SUMIFS(المبيعات!$F$2:$F$2000,المبيعات!$D$2:$D$2000,A1488))</f>
        <v/>
      </c>
      <c r="G1488">
        <f>IF(A1488="","",E1488-F1488)</f>
        <v/>
      </c>
      <c r="H1488" s="4" t="n"/>
      <c r="I1488">
        <f>IF(OR(A1488="",H1488=""),"",IF(G1488&lt;=H1488,"اطلب الآن",""))</f>
        <v/>
      </c>
    </row>
    <row r="1489">
      <c r="A1489" s="4" t="n"/>
      <c r="B1489" s="4" t="n"/>
      <c r="C1489" s="4" t="n"/>
      <c r="D1489" s="4" t="n"/>
      <c r="E1489" s="4" t="n"/>
      <c r="F1489">
        <f>IF(A1489="","",SUMIFS(المبيعات!$F$2:$F$2000,المبيعات!$D$2:$D$2000,A1489))</f>
        <v/>
      </c>
      <c r="G1489">
        <f>IF(A1489="","",E1489-F1489)</f>
        <v/>
      </c>
      <c r="H1489" s="4" t="n"/>
      <c r="I1489">
        <f>IF(OR(A1489="",H1489=""),"",IF(G1489&lt;=H1489,"اطلب الآن",""))</f>
        <v/>
      </c>
    </row>
    <row r="1490">
      <c r="A1490" s="4" t="n"/>
      <c r="B1490" s="4" t="n"/>
      <c r="C1490" s="4" t="n"/>
      <c r="D1490" s="4" t="n"/>
      <c r="E1490" s="4" t="n"/>
      <c r="F1490">
        <f>IF(A1490="","",SUMIFS(المبيعات!$F$2:$F$2000,المبيعات!$D$2:$D$2000,A1490))</f>
        <v/>
      </c>
      <c r="G1490">
        <f>IF(A1490="","",E1490-F1490)</f>
        <v/>
      </c>
      <c r="H1490" s="4" t="n"/>
      <c r="I1490">
        <f>IF(OR(A1490="",H1490=""),"",IF(G1490&lt;=H1490,"اطلب الآن",""))</f>
        <v/>
      </c>
    </row>
    <row r="1491">
      <c r="A1491" s="4" t="n"/>
      <c r="B1491" s="4" t="n"/>
      <c r="C1491" s="4" t="n"/>
      <c r="D1491" s="4" t="n"/>
      <c r="E1491" s="4" t="n"/>
      <c r="F1491">
        <f>IF(A1491="","",SUMIFS(المبيعات!$F$2:$F$2000,المبيعات!$D$2:$D$2000,A1491))</f>
        <v/>
      </c>
      <c r="G1491">
        <f>IF(A1491="","",E1491-F1491)</f>
        <v/>
      </c>
      <c r="H1491" s="4" t="n"/>
      <c r="I1491">
        <f>IF(OR(A1491="",H1491=""),"",IF(G1491&lt;=H1491,"اطلب الآن",""))</f>
        <v/>
      </c>
    </row>
    <row r="1492">
      <c r="A1492" s="4" t="n"/>
      <c r="B1492" s="4" t="n"/>
      <c r="C1492" s="4" t="n"/>
      <c r="D1492" s="4" t="n"/>
      <c r="E1492" s="4" t="n"/>
      <c r="F1492">
        <f>IF(A1492="","",SUMIFS(المبيعات!$F$2:$F$2000,المبيعات!$D$2:$D$2000,A1492))</f>
        <v/>
      </c>
      <c r="G1492">
        <f>IF(A1492="","",E1492-F1492)</f>
        <v/>
      </c>
      <c r="H1492" s="4" t="n"/>
      <c r="I1492">
        <f>IF(OR(A1492="",H1492=""),"",IF(G1492&lt;=H1492,"اطلب الآن",""))</f>
        <v/>
      </c>
    </row>
    <row r="1493">
      <c r="A1493" s="4" t="n"/>
      <c r="B1493" s="4" t="n"/>
      <c r="C1493" s="4" t="n"/>
      <c r="D1493" s="4" t="n"/>
      <c r="E1493" s="4" t="n"/>
      <c r="F1493">
        <f>IF(A1493="","",SUMIFS(المبيعات!$F$2:$F$2000,المبيعات!$D$2:$D$2000,A1493))</f>
        <v/>
      </c>
      <c r="G1493">
        <f>IF(A1493="","",E1493-F1493)</f>
        <v/>
      </c>
      <c r="H1493" s="4" t="n"/>
      <c r="I1493">
        <f>IF(OR(A1493="",H1493=""),"",IF(G1493&lt;=H1493,"اطلب الآن",""))</f>
        <v/>
      </c>
    </row>
    <row r="1494">
      <c r="A1494" s="4" t="n"/>
      <c r="B1494" s="4" t="n"/>
      <c r="C1494" s="4" t="n"/>
      <c r="D1494" s="4" t="n"/>
      <c r="E1494" s="4" t="n"/>
      <c r="F1494">
        <f>IF(A1494="","",SUMIFS(المبيعات!$F$2:$F$2000,المبيعات!$D$2:$D$2000,A1494))</f>
        <v/>
      </c>
      <c r="G1494">
        <f>IF(A1494="","",E1494-F1494)</f>
        <v/>
      </c>
      <c r="H1494" s="4" t="n"/>
      <c r="I1494">
        <f>IF(OR(A1494="",H1494=""),"",IF(G1494&lt;=H1494,"اطلب الآن",""))</f>
        <v/>
      </c>
    </row>
    <row r="1495">
      <c r="A1495" s="4" t="n"/>
      <c r="B1495" s="4" t="n"/>
      <c r="C1495" s="4" t="n"/>
      <c r="D1495" s="4" t="n"/>
      <c r="E1495" s="4" t="n"/>
      <c r="F1495">
        <f>IF(A1495="","",SUMIFS(المبيعات!$F$2:$F$2000,المبيعات!$D$2:$D$2000,A1495))</f>
        <v/>
      </c>
      <c r="G1495">
        <f>IF(A1495="","",E1495-F1495)</f>
        <v/>
      </c>
      <c r="H1495" s="4" t="n"/>
      <c r="I1495">
        <f>IF(OR(A1495="",H1495=""),"",IF(G1495&lt;=H1495,"اطلب الآن",""))</f>
        <v/>
      </c>
    </row>
    <row r="1496">
      <c r="A1496" s="4" t="n"/>
      <c r="B1496" s="4" t="n"/>
      <c r="C1496" s="4" t="n"/>
      <c r="D1496" s="4" t="n"/>
      <c r="E1496" s="4" t="n"/>
      <c r="F1496">
        <f>IF(A1496="","",SUMIFS(المبيعات!$F$2:$F$2000,المبيعات!$D$2:$D$2000,A1496))</f>
        <v/>
      </c>
      <c r="G1496">
        <f>IF(A1496="","",E1496-F1496)</f>
        <v/>
      </c>
      <c r="H1496" s="4" t="n"/>
      <c r="I1496">
        <f>IF(OR(A1496="",H1496=""),"",IF(G1496&lt;=H1496,"اطلب الآن",""))</f>
        <v/>
      </c>
    </row>
    <row r="1497">
      <c r="A1497" s="4" t="n"/>
      <c r="B1497" s="4" t="n"/>
      <c r="C1497" s="4" t="n"/>
      <c r="D1497" s="4" t="n"/>
      <c r="E1497" s="4" t="n"/>
      <c r="F1497">
        <f>IF(A1497="","",SUMIFS(المبيعات!$F$2:$F$2000,المبيعات!$D$2:$D$2000,A1497))</f>
        <v/>
      </c>
      <c r="G1497">
        <f>IF(A1497="","",E1497-F1497)</f>
        <v/>
      </c>
      <c r="H1497" s="4" t="n"/>
      <c r="I1497">
        <f>IF(OR(A1497="",H1497=""),"",IF(G1497&lt;=H1497,"اطلب الآن",""))</f>
        <v/>
      </c>
    </row>
    <row r="1498">
      <c r="A1498" s="4" t="n"/>
      <c r="B1498" s="4" t="n"/>
      <c r="C1498" s="4" t="n"/>
      <c r="D1498" s="4" t="n"/>
      <c r="E1498" s="4" t="n"/>
      <c r="F1498">
        <f>IF(A1498="","",SUMIFS(المبيعات!$F$2:$F$2000,المبيعات!$D$2:$D$2000,A1498))</f>
        <v/>
      </c>
      <c r="G1498">
        <f>IF(A1498="","",E1498-F1498)</f>
        <v/>
      </c>
      <c r="H1498" s="4" t="n"/>
      <c r="I1498">
        <f>IF(OR(A1498="",H1498=""),"",IF(G1498&lt;=H1498,"اطلب الآن",""))</f>
        <v/>
      </c>
    </row>
    <row r="1499">
      <c r="A1499" s="4" t="n"/>
      <c r="B1499" s="4" t="n"/>
      <c r="C1499" s="4" t="n"/>
      <c r="D1499" s="4" t="n"/>
      <c r="E1499" s="4" t="n"/>
      <c r="F1499">
        <f>IF(A1499="","",SUMIFS(المبيعات!$F$2:$F$2000,المبيعات!$D$2:$D$2000,A1499))</f>
        <v/>
      </c>
      <c r="G1499">
        <f>IF(A1499="","",E1499-F1499)</f>
        <v/>
      </c>
      <c r="H1499" s="4" t="n"/>
      <c r="I1499">
        <f>IF(OR(A1499="",H1499=""),"",IF(G1499&lt;=H1499,"اطلب الآن",""))</f>
        <v/>
      </c>
    </row>
    <row r="1500">
      <c r="A1500" s="4" t="n"/>
      <c r="B1500" s="4" t="n"/>
      <c r="C1500" s="4" t="n"/>
      <c r="D1500" s="4" t="n"/>
      <c r="E1500" s="4" t="n"/>
      <c r="F1500">
        <f>IF(A1500="","",SUMIFS(المبيعات!$F$2:$F$2000,المبيعات!$D$2:$D$2000,A1500))</f>
        <v/>
      </c>
      <c r="G1500">
        <f>IF(A1500="","",E1500-F1500)</f>
        <v/>
      </c>
      <c r="H1500" s="4" t="n"/>
      <c r="I1500">
        <f>IF(OR(A1500="",H1500=""),"",IF(G1500&lt;=H1500,"اطلب الآن",""))</f>
        <v/>
      </c>
    </row>
    <row r="1501">
      <c r="A1501" s="4" t="n"/>
      <c r="B1501" s="4" t="n"/>
      <c r="C1501" s="4" t="n"/>
      <c r="D1501" s="4" t="n"/>
      <c r="E1501" s="4" t="n"/>
      <c r="F1501">
        <f>IF(A1501="","",SUMIFS(المبيعات!$F$2:$F$2000,المبيعات!$D$2:$D$2000,A1501))</f>
        <v/>
      </c>
      <c r="G1501">
        <f>IF(A1501="","",E1501-F1501)</f>
        <v/>
      </c>
      <c r="H1501" s="4" t="n"/>
      <c r="I1501">
        <f>IF(OR(A1501="",H1501=""),"",IF(G1501&lt;=H1501,"اطلب الآن",""))</f>
        <v/>
      </c>
    </row>
    <row r="1502">
      <c r="A1502" s="4" t="n"/>
      <c r="B1502" s="4" t="n"/>
      <c r="C1502" s="4" t="n"/>
      <c r="D1502" s="4" t="n"/>
      <c r="E1502" s="4" t="n"/>
      <c r="F1502">
        <f>IF(A1502="","",SUMIFS(المبيعات!$F$2:$F$2000,المبيعات!$D$2:$D$2000,A1502))</f>
        <v/>
      </c>
      <c r="G1502">
        <f>IF(A1502="","",E1502-F1502)</f>
        <v/>
      </c>
      <c r="H1502" s="4" t="n"/>
      <c r="I1502">
        <f>IF(OR(A1502="",H1502=""),"",IF(G1502&lt;=H1502,"اطلب الآن",""))</f>
        <v/>
      </c>
    </row>
    <row r="1503">
      <c r="A1503" s="4" t="n"/>
      <c r="B1503" s="4" t="n"/>
      <c r="C1503" s="4" t="n"/>
      <c r="D1503" s="4" t="n"/>
      <c r="E1503" s="4" t="n"/>
      <c r="F1503">
        <f>IF(A1503="","",SUMIFS(المبيعات!$F$2:$F$2000,المبيعات!$D$2:$D$2000,A1503))</f>
        <v/>
      </c>
      <c r="G1503">
        <f>IF(A1503="","",E1503-F1503)</f>
        <v/>
      </c>
      <c r="H1503" s="4" t="n"/>
      <c r="I1503">
        <f>IF(OR(A1503="",H1503=""),"",IF(G1503&lt;=H1503,"اطلب الآن",""))</f>
        <v/>
      </c>
    </row>
    <row r="1504">
      <c r="A1504" s="4" t="n"/>
      <c r="B1504" s="4" t="n"/>
      <c r="C1504" s="4" t="n"/>
      <c r="D1504" s="4" t="n"/>
      <c r="E1504" s="4" t="n"/>
      <c r="F1504">
        <f>IF(A1504="","",SUMIFS(المبيعات!$F$2:$F$2000,المبيعات!$D$2:$D$2000,A1504))</f>
        <v/>
      </c>
      <c r="G1504">
        <f>IF(A1504="","",E1504-F1504)</f>
        <v/>
      </c>
      <c r="H1504" s="4" t="n"/>
      <c r="I1504">
        <f>IF(OR(A1504="",H1504=""),"",IF(G1504&lt;=H1504,"اطلب الآن",""))</f>
        <v/>
      </c>
    </row>
    <row r="1505">
      <c r="A1505" s="4" t="n"/>
      <c r="B1505" s="4" t="n"/>
      <c r="C1505" s="4" t="n"/>
      <c r="D1505" s="4" t="n"/>
      <c r="E1505" s="4" t="n"/>
      <c r="F1505">
        <f>IF(A1505="","",SUMIFS(المبيعات!$F$2:$F$2000,المبيعات!$D$2:$D$2000,A1505))</f>
        <v/>
      </c>
      <c r="G1505">
        <f>IF(A1505="","",E1505-F1505)</f>
        <v/>
      </c>
      <c r="H1505" s="4" t="n"/>
      <c r="I1505">
        <f>IF(OR(A1505="",H1505=""),"",IF(G1505&lt;=H1505,"اطلب الآن",""))</f>
        <v/>
      </c>
    </row>
    <row r="1506">
      <c r="A1506" s="4" t="n"/>
      <c r="B1506" s="4" t="n"/>
      <c r="C1506" s="4" t="n"/>
      <c r="D1506" s="4" t="n"/>
      <c r="E1506" s="4" t="n"/>
      <c r="F1506">
        <f>IF(A1506="","",SUMIFS(المبيعات!$F$2:$F$2000,المبيعات!$D$2:$D$2000,A1506))</f>
        <v/>
      </c>
      <c r="G1506">
        <f>IF(A1506="","",E1506-F1506)</f>
        <v/>
      </c>
      <c r="H1506" s="4" t="n"/>
      <c r="I1506">
        <f>IF(OR(A1506="",H1506=""),"",IF(G1506&lt;=H1506,"اطلب الآن",""))</f>
        <v/>
      </c>
    </row>
    <row r="1507">
      <c r="A1507" s="4" t="n"/>
      <c r="B1507" s="4" t="n"/>
      <c r="C1507" s="4" t="n"/>
      <c r="D1507" s="4" t="n"/>
      <c r="E1507" s="4" t="n"/>
      <c r="F1507">
        <f>IF(A1507="","",SUMIFS(المبيعات!$F$2:$F$2000,المبيعات!$D$2:$D$2000,A1507))</f>
        <v/>
      </c>
      <c r="G1507">
        <f>IF(A1507="","",E1507-F1507)</f>
        <v/>
      </c>
      <c r="H1507" s="4" t="n"/>
      <c r="I1507">
        <f>IF(OR(A1507="",H1507=""),"",IF(G1507&lt;=H1507,"اطلب الآن",""))</f>
        <v/>
      </c>
    </row>
    <row r="1508">
      <c r="A1508" s="4" t="n"/>
      <c r="B1508" s="4" t="n"/>
      <c r="C1508" s="4" t="n"/>
      <c r="D1508" s="4" t="n"/>
      <c r="E1508" s="4" t="n"/>
      <c r="F1508">
        <f>IF(A1508="","",SUMIFS(المبيعات!$F$2:$F$2000,المبيعات!$D$2:$D$2000,A1508))</f>
        <v/>
      </c>
      <c r="G1508">
        <f>IF(A1508="","",E1508-F1508)</f>
        <v/>
      </c>
      <c r="H1508" s="4" t="n"/>
      <c r="I1508">
        <f>IF(OR(A1508="",H1508=""),"",IF(G1508&lt;=H1508,"اطلب الآن",""))</f>
        <v/>
      </c>
    </row>
    <row r="1509">
      <c r="A1509" s="4" t="n"/>
      <c r="B1509" s="4" t="n"/>
      <c r="C1509" s="4" t="n"/>
      <c r="D1509" s="4" t="n"/>
      <c r="E1509" s="4" t="n"/>
      <c r="F1509">
        <f>IF(A1509="","",SUMIFS(المبيعات!$F$2:$F$2000,المبيعات!$D$2:$D$2000,A1509))</f>
        <v/>
      </c>
      <c r="G1509">
        <f>IF(A1509="","",E1509-F1509)</f>
        <v/>
      </c>
      <c r="H1509" s="4" t="n"/>
      <c r="I1509">
        <f>IF(OR(A1509="",H1509=""),"",IF(G1509&lt;=H1509,"اطلب الآن",""))</f>
        <v/>
      </c>
    </row>
    <row r="1510">
      <c r="A1510" s="4" t="n"/>
      <c r="B1510" s="4" t="n"/>
      <c r="C1510" s="4" t="n"/>
      <c r="D1510" s="4" t="n"/>
      <c r="E1510" s="4" t="n"/>
      <c r="F1510">
        <f>IF(A1510="","",SUMIFS(المبيعات!$F$2:$F$2000,المبيعات!$D$2:$D$2000,A1510))</f>
        <v/>
      </c>
      <c r="G1510">
        <f>IF(A1510="","",E1510-F1510)</f>
        <v/>
      </c>
      <c r="H1510" s="4" t="n"/>
      <c r="I1510">
        <f>IF(OR(A1510="",H1510=""),"",IF(G1510&lt;=H1510,"اطلب الآن",""))</f>
        <v/>
      </c>
    </row>
    <row r="1511">
      <c r="A1511" s="4" t="n"/>
      <c r="B1511" s="4" t="n"/>
      <c r="C1511" s="4" t="n"/>
      <c r="D1511" s="4" t="n"/>
      <c r="E1511" s="4" t="n"/>
      <c r="F1511">
        <f>IF(A1511="","",SUMIFS(المبيعات!$F$2:$F$2000,المبيعات!$D$2:$D$2000,A1511))</f>
        <v/>
      </c>
      <c r="G1511">
        <f>IF(A1511="","",E1511-F1511)</f>
        <v/>
      </c>
      <c r="H1511" s="4" t="n"/>
      <c r="I1511">
        <f>IF(OR(A1511="",H1511=""),"",IF(G1511&lt;=H1511,"اطلب الآن",""))</f>
        <v/>
      </c>
    </row>
    <row r="1512">
      <c r="A1512" s="4" t="n"/>
      <c r="B1512" s="4" t="n"/>
      <c r="C1512" s="4" t="n"/>
      <c r="D1512" s="4" t="n"/>
      <c r="E1512" s="4" t="n"/>
      <c r="F1512">
        <f>IF(A1512="","",SUMIFS(المبيعات!$F$2:$F$2000,المبيعات!$D$2:$D$2000,A1512))</f>
        <v/>
      </c>
      <c r="G1512">
        <f>IF(A1512="","",E1512-F1512)</f>
        <v/>
      </c>
      <c r="H1512" s="4" t="n"/>
      <c r="I1512">
        <f>IF(OR(A1512="",H1512=""),"",IF(G1512&lt;=H1512,"اطلب الآن",""))</f>
        <v/>
      </c>
    </row>
    <row r="1513">
      <c r="A1513" s="4" t="n"/>
      <c r="B1513" s="4" t="n"/>
      <c r="C1513" s="4" t="n"/>
      <c r="D1513" s="4" t="n"/>
      <c r="E1513" s="4" t="n"/>
      <c r="F1513">
        <f>IF(A1513="","",SUMIFS(المبيعات!$F$2:$F$2000,المبيعات!$D$2:$D$2000,A1513))</f>
        <v/>
      </c>
      <c r="G1513">
        <f>IF(A1513="","",E1513-F1513)</f>
        <v/>
      </c>
      <c r="H1513" s="4" t="n"/>
      <c r="I1513">
        <f>IF(OR(A1513="",H1513=""),"",IF(G1513&lt;=H1513,"اطلب الآن",""))</f>
        <v/>
      </c>
    </row>
    <row r="1514">
      <c r="A1514" s="4" t="n"/>
      <c r="B1514" s="4" t="n"/>
      <c r="C1514" s="4" t="n"/>
      <c r="D1514" s="4" t="n"/>
      <c r="E1514" s="4" t="n"/>
      <c r="F1514">
        <f>IF(A1514="","",SUMIFS(المبيعات!$F$2:$F$2000,المبيعات!$D$2:$D$2000,A1514))</f>
        <v/>
      </c>
      <c r="G1514">
        <f>IF(A1514="","",E1514-F1514)</f>
        <v/>
      </c>
      <c r="H1514" s="4" t="n"/>
      <c r="I1514">
        <f>IF(OR(A1514="",H1514=""),"",IF(G1514&lt;=H1514,"اطلب الآن",""))</f>
        <v/>
      </c>
    </row>
    <row r="1515">
      <c r="A1515" s="4" t="n"/>
      <c r="B1515" s="4" t="n"/>
      <c r="C1515" s="4" t="n"/>
      <c r="D1515" s="4" t="n"/>
      <c r="E1515" s="4" t="n"/>
      <c r="F1515">
        <f>IF(A1515="","",SUMIFS(المبيعات!$F$2:$F$2000,المبيعات!$D$2:$D$2000,A1515))</f>
        <v/>
      </c>
      <c r="G1515">
        <f>IF(A1515="","",E1515-F1515)</f>
        <v/>
      </c>
      <c r="H1515" s="4" t="n"/>
      <c r="I1515">
        <f>IF(OR(A1515="",H1515=""),"",IF(G1515&lt;=H1515,"اطلب الآن",""))</f>
        <v/>
      </c>
    </row>
    <row r="1516">
      <c r="A1516" s="4" t="n"/>
      <c r="B1516" s="4" t="n"/>
      <c r="C1516" s="4" t="n"/>
      <c r="D1516" s="4" t="n"/>
      <c r="E1516" s="4" t="n"/>
      <c r="F1516">
        <f>IF(A1516="","",SUMIFS(المبيعات!$F$2:$F$2000,المبيعات!$D$2:$D$2000,A1516))</f>
        <v/>
      </c>
      <c r="G1516">
        <f>IF(A1516="","",E1516-F1516)</f>
        <v/>
      </c>
      <c r="H1516" s="4" t="n"/>
      <c r="I1516">
        <f>IF(OR(A1516="",H1516=""),"",IF(G1516&lt;=H1516,"اطلب الآن",""))</f>
        <v/>
      </c>
    </row>
    <row r="1517">
      <c r="A1517" s="4" t="n"/>
      <c r="B1517" s="4" t="n"/>
      <c r="C1517" s="4" t="n"/>
      <c r="D1517" s="4" t="n"/>
      <c r="E1517" s="4" t="n"/>
      <c r="F1517">
        <f>IF(A1517="","",SUMIFS(المبيعات!$F$2:$F$2000,المبيعات!$D$2:$D$2000,A1517))</f>
        <v/>
      </c>
      <c r="G1517">
        <f>IF(A1517="","",E1517-F1517)</f>
        <v/>
      </c>
      <c r="H1517" s="4" t="n"/>
      <c r="I1517">
        <f>IF(OR(A1517="",H1517=""),"",IF(G1517&lt;=H1517,"اطلب الآن",""))</f>
        <v/>
      </c>
    </row>
    <row r="1518">
      <c r="A1518" s="4" t="n"/>
      <c r="B1518" s="4" t="n"/>
      <c r="C1518" s="4" t="n"/>
      <c r="D1518" s="4" t="n"/>
      <c r="E1518" s="4" t="n"/>
      <c r="F1518">
        <f>IF(A1518="","",SUMIFS(المبيعات!$F$2:$F$2000,المبيعات!$D$2:$D$2000,A1518))</f>
        <v/>
      </c>
      <c r="G1518">
        <f>IF(A1518="","",E1518-F1518)</f>
        <v/>
      </c>
      <c r="H1518" s="4" t="n"/>
      <c r="I1518">
        <f>IF(OR(A1518="",H1518=""),"",IF(G1518&lt;=H1518,"اطلب الآن",""))</f>
        <v/>
      </c>
    </row>
    <row r="1519">
      <c r="A1519" s="4" t="n"/>
      <c r="B1519" s="4" t="n"/>
      <c r="C1519" s="4" t="n"/>
      <c r="D1519" s="4" t="n"/>
      <c r="E1519" s="4" t="n"/>
      <c r="F1519">
        <f>IF(A1519="","",SUMIFS(المبيعات!$F$2:$F$2000,المبيعات!$D$2:$D$2000,A1519))</f>
        <v/>
      </c>
      <c r="G1519">
        <f>IF(A1519="","",E1519-F1519)</f>
        <v/>
      </c>
      <c r="H1519" s="4" t="n"/>
      <c r="I1519">
        <f>IF(OR(A1519="",H1519=""),"",IF(G1519&lt;=H1519,"اطلب الآن",""))</f>
        <v/>
      </c>
    </row>
    <row r="1520">
      <c r="A1520" s="4" t="n"/>
      <c r="B1520" s="4" t="n"/>
      <c r="C1520" s="4" t="n"/>
      <c r="D1520" s="4" t="n"/>
      <c r="E1520" s="4" t="n"/>
      <c r="F1520">
        <f>IF(A1520="","",SUMIFS(المبيعات!$F$2:$F$2000,المبيعات!$D$2:$D$2000,A1520))</f>
        <v/>
      </c>
      <c r="G1520">
        <f>IF(A1520="","",E1520-F1520)</f>
        <v/>
      </c>
      <c r="H1520" s="4" t="n"/>
      <c r="I1520">
        <f>IF(OR(A1520="",H1520=""),"",IF(G1520&lt;=H1520,"اطلب الآن",""))</f>
        <v/>
      </c>
    </row>
    <row r="1521">
      <c r="A1521" s="4" t="n"/>
      <c r="B1521" s="4" t="n"/>
      <c r="C1521" s="4" t="n"/>
      <c r="D1521" s="4" t="n"/>
      <c r="E1521" s="4" t="n"/>
      <c r="F1521">
        <f>IF(A1521="","",SUMIFS(المبيعات!$F$2:$F$2000,المبيعات!$D$2:$D$2000,A1521))</f>
        <v/>
      </c>
      <c r="G1521">
        <f>IF(A1521="","",E1521-F1521)</f>
        <v/>
      </c>
      <c r="H1521" s="4" t="n"/>
      <c r="I1521">
        <f>IF(OR(A1521="",H1521=""),"",IF(G1521&lt;=H1521,"اطلب الآن",""))</f>
        <v/>
      </c>
    </row>
    <row r="1522">
      <c r="A1522" s="4" t="n"/>
      <c r="B1522" s="4" t="n"/>
      <c r="C1522" s="4" t="n"/>
      <c r="D1522" s="4" t="n"/>
      <c r="E1522" s="4" t="n"/>
      <c r="F1522">
        <f>IF(A1522="","",SUMIFS(المبيعات!$F$2:$F$2000,المبيعات!$D$2:$D$2000,A1522))</f>
        <v/>
      </c>
      <c r="G1522">
        <f>IF(A1522="","",E1522-F1522)</f>
        <v/>
      </c>
      <c r="H1522" s="4" t="n"/>
      <c r="I1522">
        <f>IF(OR(A1522="",H1522=""),"",IF(G1522&lt;=H1522,"اطلب الآن",""))</f>
        <v/>
      </c>
    </row>
    <row r="1523">
      <c r="A1523" s="4" t="n"/>
      <c r="B1523" s="4" t="n"/>
      <c r="C1523" s="4" t="n"/>
      <c r="D1523" s="4" t="n"/>
      <c r="E1523" s="4" t="n"/>
      <c r="F1523">
        <f>IF(A1523="","",SUMIFS(المبيعات!$F$2:$F$2000,المبيعات!$D$2:$D$2000,A1523))</f>
        <v/>
      </c>
      <c r="G1523">
        <f>IF(A1523="","",E1523-F1523)</f>
        <v/>
      </c>
      <c r="H1523" s="4" t="n"/>
      <c r="I1523">
        <f>IF(OR(A1523="",H1523=""),"",IF(G1523&lt;=H1523,"اطلب الآن",""))</f>
        <v/>
      </c>
    </row>
    <row r="1524">
      <c r="A1524" s="4" t="n"/>
      <c r="B1524" s="4" t="n"/>
      <c r="C1524" s="4" t="n"/>
      <c r="D1524" s="4" t="n"/>
      <c r="E1524" s="4" t="n"/>
      <c r="F1524">
        <f>IF(A1524="","",SUMIFS(المبيعات!$F$2:$F$2000,المبيعات!$D$2:$D$2000,A1524))</f>
        <v/>
      </c>
      <c r="G1524">
        <f>IF(A1524="","",E1524-F1524)</f>
        <v/>
      </c>
      <c r="H1524" s="4" t="n"/>
      <c r="I1524">
        <f>IF(OR(A1524="",H1524=""),"",IF(G1524&lt;=H1524,"اطلب الآن",""))</f>
        <v/>
      </c>
    </row>
    <row r="1525">
      <c r="A1525" s="4" t="n"/>
      <c r="B1525" s="4" t="n"/>
      <c r="C1525" s="4" t="n"/>
      <c r="D1525" s="4" t="n"/>
      <c r="E1525" s="4" t="n"/>
      <c r="F1525">
        <f>IF(A1525="","",SUMIFS(المبيعات!$F$2:$F$2000,المبيعات!$D$2:$D$2000,A1525))</f>
        <v/>
      </c>
      <c r="G1525">
        <f>IF(A1525="","",E1525-F1525)</f>
        <v/>
      </c>
      <c r="H1525" s="4" t="n"/>
      <c r="I1525">
        <f>IF(OR(A1525="",H1525=""),"",IF(G1525&lt;=H1525,"اطلب الآن",""))</f>
        <v/>
      </c>
    </row>
    <row r="1526">
      <c r="A1526" s="4" t="n"/>
      <c r="B1526" s="4" t="n"/>
      <c r="C1526" s="4" t="n"/>
      <c r="D1526" s="4" t="n"/>
      <c r="E1526" s="4" t="n"/>
      <c r="F1526">
        <f>IF(A1526="","",SUMIFS(المبيعات!$F$2:$F$2000,المبيعات!$D$2:$D$2000,A1526))</f>
        <v/>
      </c>
      <c r="G1526">
        <f>IF(A1526="","",E1526-F1526)</f>
        <v/>
      </c>
      <c r="H1526" s="4" t="n"/>
      <c r="I1526">
        <f>IF(OR(A1526="",H1526=""),"",IF(G1526&lt;=H1526,"اطلب الآن",""))</f>
        <v/>
      </c>
    </row>
    <row r="1527">
      <c r="A1527" s="4" t="n"/>
      <c r="B1527" s="4" t="n"/>
      <c r="C1527" s="4" t="n"/>
      <c r="D1527" s="4" t="n"/>
      <c r="E1527" s="4" t="n"/>
      <c r="F1527">
        <f>IF(A1527="","",SUMIFS(المبيعات!$F$2:$F$2000,المبيعات!$D$2:$D$2000,A1527))</f>
        <v/>
      </c>
      <c r="G1527">
        <f>IF(A1527="","",E1527-F1527)</f>
        <v/>
      </c>
      <c r="H1527" s="4" t="n"/>
      <c r="I1527">
        <f>IF(OR(A1527="",H1527=""),"",IF(G1527&lt;=H1527,"اطلب الآن",""))</f>
        <v/>
      </c>
    </row>
    <row r="1528">
      <c r="A1528" s="4" t="n"/>
      <c r="B1528" s="4" t="n"/>
      <c r="C1528" s="4" t="n"/>
      <c r="D1528" s="4" t="n"/>
      <c r="E1528" s="4" t="n"/>
      <c r="F1528">
        <f>IF(A1528="","",SUMIFS(المبيعات!$F$2:$F$2000,المبيعات!$D$2:$D$2000,A1528))</f>
        <v/>
      </c>
      <c r="G1528">
        <f>IF(A1528="","",E1528-F1528)</f>
        <v/>
      </c>
      <c r="H1528" s="4" t="n"/>
      <c r="I1528">
        <f>IF(OR(A1528="",H1528=""),"",IF(G1528&lt;=H1528,"اطلب الآن",""))</f>
        <v/>
      </c>
    </row>
    <row r="1529">
      <c r="A1529" s="4" t="n"/>
      <c r="B1529" s="4" t="n"/>
      <c r="C1529" s="4" t="n"/>
      <c r="D1529" s="4" t="n"/>
      <c r="E1529" s="4" t="n"/>
      <c r="F1529">
        <f>IF(A1529="","",SUMIFS(المبيعات!$F$2:$F$2000,المبيعات!$D$2:$D$2000,A1529))</f>
        <v/>
      </c>
      <c r="G1529">
        <f>IF(A1529="","",E1529-F1529)</f>
        <v/>
      </c>
      <c r="H1529" s="4" t="n"/>
      <c r="I1529">
        <f>IF(OR(A1529="",H1529=""),"",IF(G1529&lt;=H1529,"اطلب الآن",""))</f>
        <v/>
      </c>
    </row>
    <row r="1530">
      <c r="A1530" s="4" t="n"/>
      <c r="B1530" s="4" t="n"/>
      <c r="C1530" s="4" t="n"/>
      <c r="D1530" s="4" t="n"/>
      <c r="E1530" s="4" t="n"/>
      <c r="F1530">
        <f>IF(A1530="","",SUMIFS(المبيعات!$F$2:$F$2000,المبيعات!$D$2:$D$2000,A1530))</f>
        <v/>
      </c>
      <c r="G1530">
        <f>IF(A1530="","",E1530-F1530)</f>
        <v/>
      </c>
      <c r="H1530" s="4" t="n"/>
      <c r="I1530">
        <f>IF(OR(A1530="",H1530=""),"",IF(G1530&lt;=H1530,"اطلب الآن",""))</f>
        <v/>
      </c>
    </row>
    <row r="1531">
      <c r="A1531" s="4" t="n"/>
      <c r="B1531" s="4" t="n"/>
      <c r="C1531" s="4" t="n"/>
      <c r="D1531" s="4" t="n"/>
      <c r="E1531" s="4" t="n"/>
      <c r="F1531">
        <f>IF(A1531="","",SUMIFS(المبيعات!$F$2:$F$2000,المبيعات!$D$2:$D$2000,A1531))</f>
        <v/>
      </c>
      <c r="G1531">
        <f>IF(A1531="","",E1531-F1531)</f>
        <v/>
      </c>
      <c r="H1531" s="4" t="n"/>
      <c r="I1531">
        <f>IF(OR(A1531="",H1531=""),"",IF(G1531&lt;=H1531,"اطلب الآن",""))</f>
        <v/>
      </c>
    </row>
    <row r="1532">
      <c r="A1532" s="4" t="n"/>
      <c r="B1532" s="4" t="n"/>
      <c r="C1532" s="4" t="n"/>
      <c r="D1532" s="4" t="n"/>
      <c r="E1532" s="4" t="n"/>
      <c r="F1532">
        <f>IF(A1532="","",SUMIFS(المبيعات!$F$2:$F$2000,المبيعات!$D$2:$D$2000,A1532))</f>
        <v/>
      </c>
      <c r="G1532">
        <f>IF(A1532="","",E1532-F1532)</f>
        <v/>
      </c>
      <c r="H1532" s="4" t="n"/>
      <c r="I1532">
        <f>IF(OR(A1532="",H1532=""),"",IF(G1532&lt;=H1532,"اطلب الآن",""))</f>
        <v/>
      </c>
    </row>
    <row r="1533">
      <c r="A1533" s="4" t="n"/>
      <c r="B1533" s="4" t="n"/>
      <c r="C1533" s="4" t="n"/>
      <c r="D1533" s="4" t="n"/>
      <c r="E1533" s="4" t="n"/>
      <c r="F1533">
        <f>IF(A1533="","",SUMIFS(المبيعات!$F$2:$F$2000,المبيعات!$D$2:$D$2000,A1533))</f>
        <v/>
      </c>
      <c r="G1533">
        <f>IF(A1533="","",E1533-F1533)</f>
        <v/>
      </c>
      <c r="H1533" s="4" t="n"/>
      <c r="I1533">
        <f>IF(OR(A1533="",H1533=""),"",IF(G1533&lt;=H1533,"اطلب الآن",""))</f>
        <v/>
      </c>
    </row>
    <row r="1534">
      <c r="A1534" s="4" t="n"/>
      <c r="B1534" s="4" t="n"/>
      <c r="C1534" s="4" t="n"/>
      <c r="D1534" s="4" t="n"/>
      <c r="E1534" s="4" t="n"/>
      <c r="F1534">
        <f>IF(A1534="","",SUMIFS(المبيعات!$F$2:$F$2000,المبيعات!$D$2:$D$2000,A1534))</f>
        <v/>
      </c>
      <c r="G1534">
        <f>IF(A1534="","",E1534-F1534)</f>
        <v/>
      </c>
      <c r="H1534" s="4" t="n"/>
      <c r="I1534">
        <f>IF(OR(A1534="",H1534=""),"",IF(G1534&lt;=H1534,"اطلب الآن",""))</f>
        <v/>
      </c>
    </row>
    <row r="1535">
      <c r="A1535" s="4" t="n"/>
      <c r="B1535" s="4" t="n"/>
      <c r="C1535" s="4" t="n"/>
      <c r="D1535" s="4" t="n"/>
      <c r="E1535" s="4" t="n"/>
      <c r="F1535">
        <f>IF(A1535="","",SUMIFS(المبيعات!$F$2:$F$2000,المبيعات!$D$2:$D$2000,A1535))</f>
        <v/>
      </c>
      <c r="G1535">
        <f>IF(A1535="","",E1535-F1535)</f>
        <v/>
      </c>
      <c r="H1535" s="4" t="n"/>
      <c r="I1535">
        <f>IF(OR(A1535="",H1535=""),"",IF(G1535&lt;=H1535,"اطلب الآن",""))</f>
        <v/>
      </c>
    </row>
    <row r="1536">
      <c r="A1536" s="4" t="n"/>
      <c r="B1536" s="4" t="n"/>
      <c r="C1536" s="4" t="n"/>
      <c r="D1536" s="4" t="n"/>
      <c r="E1536" s="4" t="n"/>
      <c r="F1536">
        <f>IF(A1536="","",SUMIFS(المبيعات!$F$2:$F$2000,المبيعات!$D$2:$D$2000,A1536))</f>
        <v/>
      </c>
      <c r="G1536">
        <f>IF(A1536="","",E1536-F1536)</f>
        <v/>
      </c>
      <c r="H1536" s="4" t="n"/>
      <c r="I1536">
        <f>IF(OR(A1536="",H1536=""),"",IF(G1536&lt;=H1536,"اطلب الآن",""))</f>
        <v/>
      </c>
    </row>
    <row r="1537">
      <c r="A1537" s="4" t="n"/>
      <c r="B1537" s="4" t="n"/>
      <c r="C1537" s="4" t="n"/>
      <c r="D1537" s="4" t="n"/>
      <c r="E1537" s="4" t="n"/>
      <c r="F1537">
        <f>IF(A1537="","",SUMIFS(المبيعات!$F$2:$F$2000,المبيعات!$D$2:$D$2000,A1537))</f>
        <v/>
      </c>
      <c r="G1537">
        <f>IF(A1537="","",E1537-F1537)</f>
        <v/>
      </c>
      <c r="H1537" s="4" t="n"/>
      <c r="I1537">
        <f>IF(OR(A1537="",H1537=""),"",IF(G1537&lt;=H1537,"اطلب الآن",""))</f>
        <v/>
      </c>
    </row>
    <row r="1538">
      <c r="A1538" s="4" t="n"/>
      <c r="B1538" s="4" t="n"/>
      <c r="C1538" s="4" t="n"/>
      <c r="D1538" s="4" t="n"/>
      <c r="E1538" s="4" t="n"/>
      <c r="F1538">
        <f>IF(A1538="","",SUMIFS(المبيعات!$F$2:$F$2000,المبيعات!$D$2:$D$2000,A1538))</f>
        <v/>
      </c>
      <c r="G1538">
        <f>IF(A1538="","",E1538-F1538)</f>
        <v/>
      </c>
      <c r="H1538" s="4" t="n"/>
      <c r="I1538">
        <f>IF(OR(A1538="",H1538=""),"",IF(G1538&lt;=H1538,"اطلب الآن",""))</f>
        <v/>
      </c>
    </row>
    <row r="1539">
      <c r="A1539" s="4" t="n"/>
      <c r="B1539" s="4" t="n"/>
      <c r="C1539" s="4" t="n"/>
      <c r="D1539" s="4" t="n"/>
      <c r="E1539" s="4" t="n"/>
      <c r="F1539">
        <f>IF(A1539="","",SUMIFS(المبيعات!$F$2:$F$2000,المبيعات!$D$2:$D$2000,A1539))</f>
        <v/>
      </c>
      <c r="G1539">
        <f>IF(A1539="","",E1539-F1539)</f>
        <v/>
      </c>
      <c r="H1539" s="4" t="n"/>
      <c r="I1539">
        <f>IF(OR(A1539="",H1539=""),"",IF(G1539&lt;=H1539,"اطلب الآن",""))</f>
        <v/>
      </c>
    </row>
    <row r="1540">
      <c r="A1540" s="4" t="n"/>
      <c r="B1540" s="4" t="n"/>
      <c r="C1540" s="4" t="n"/>
      <c r="D1540" s="4" t="n"/>
      <c r="E1540" s="4" t="n"/>
      <c r="F1540">
        <f>IF(A1540="","",SUMIFS(المبيعات!$F$2:$F$2000,المبيعات!$D$2:$D$2000,A1540))</f>
        <v/>
      </c>
      <c r="G1540">
        <f>IF(A1540="","",E1540-F1540)</f>
        <v/>
      </c>
      <c r="H1540" s="4" t="n"/>
      <c r="I1540">
        <f>IF(OR(A1540="",H1540=""),"",IF(G1540&lt;=H1540,"اطلب الآن",""))</f>
        <v/>
      </c>
    </row>
    <row r="1541">
      <c r="A1541" s="4" t="n"/>
      <c r="B1541" s="4" t="n"/>
      <c r="C1541" s="4" t="n"/>
      <c r="D1541" s="4" t="n"/>
      <c r="E1541" s="4" t="n"/>
      <c r="F1541">
        <f>IF(A1541="","",SUMIFS(المبيعات!$F$2:$F$2000,المبيعات!$D$2:$D$2000,A1541))</f>
        <v/>
      </c>
      <c r="G1541">
        <f>IF(A1541="","",E1541-F1541)</f>
        <v/>
      </c>
      <c r="H1541" s="4" t="n"/>
      <c r="I1541">
        <f>IF(OR(A1541="",H1541=""),"",IF(G1541&lt;=H1541,"اطلب الآن",""))</f>
        <v/>
      </c>
    </row>
    <row r="1542">
      <c r="A1542" s="4" t="n"/>
      <c r="B1542" s="4" t="n"/>
      <c r="C1542" s="4" t="n"/>
      <c r="D1542" s="4" t="n"/>
      <c r="E1542" s="4" t="n"/>
      <c r="F1542">
        <f>IF(A1542="","",SUMIFS(المبيعات!$F$2:$F$2000,المبيعات!$D$2:$D$2000,A1542))</f>
        <v/>
      </c>
      <c r="G1542">
        <f>IF(A1542="","",E1542-F1542)</f>
        <v/>
      </c>
      <c r="H1542" s="4" t="n"/>
      <c r="I1542">
        <f>IF(OR(A1542="",H1542=""),"",IF(G1542&lt;=H1542,"اطلب الآن",""))</f>
        <v/>
      </c>
    </row>
    <row r="1543">
      <c r="A1543" s="4" t="n"/>
      <c r="B1543" s="4" t="n"/>
      <c r="C1543" s="4" t="n"/>
      <c r="D1543" s="4" t="n"/>
      <c r="E1543" s="4" t="n"/>
      <c r="F1543">
        <f>IF(A1543="","",SUMIFS(المبيعات!$F$2:$F$2000,المبيعات!$D$2:$D$2000,A1543))</f>
        <v/>
      </c>
      <c r="G1543">
        <f>IF(A1543="","",E1543-F1543)</f>
        <v/>
      </c>
      <c r="H1543" s="4" t="n"/>
      <c r="I1543">
        <f>IF(OR(A1543="",H1543=""),"",IF(G1543&lt;=H1543,"اطلب الآن",""))</f>
        <v/>
      </c>
    </row>
    <row r="1544">
      <c r="A1544" s="4" t="n"/>
      <c r="B1544" s="4" t="n"/>
      <c r="C1544" s="4" t="n"/>
      <c r="D1544" s="4" t="n"/>
      <c r="E1544" s="4" t="n"/>
      <c r="F1544">
        <f>IF(A1544="","",SUMIFS(المبيعات!$F$2:$F$2000,المبيعات!$D$2:$D$2000,A1544))</f>
        <v/>
      </c>
      <c r="G1544">
        <f>IF(A1544="","",E1544-F1544)</f>
        <v/>
      </c>
      <c r="H1544" s="4" t="n"/>
      <c r="I1544">
        <f>IF(OR(A1544="",H1544=""),"",IF(G1544&lt;=H1544,"اطلب الآن",""))</f>
        <v/>
      </c>
    </row>
    <row r="1545">
      <c r="A1545" s="4" t="n"/>
      <c r="B1545" s="4" t="n"/>
      <c r="C1545" s="4" t="n"/>
      <c r="D1545" s="4" t="n"/>
      <c r="E1545" s="4" t="n"/>
      <c r="F1545">
        <f>IF(A1545="","",SUMIFS(المبيعات!$F$2:$F$2000,المبيعات!$D$2:$D$2000,A1545))</f>
        <v/>
      </c>
      <c r="G1545">
        <f>IF(A1545="","",E1545-F1545)</f>
        <v/>
      </c>
      <c r="H1545" s="4" t="n"/>
      <c r="I1545">
        <f>IF(OR(A1545="",H1545=""),"",IF(G1545&lt;=H1545,"اطلب الآن",""))</f>
        <v/>
      </c>
    </row>
    <row r="1546">
      <c r="A1546" s="4" t="n"/>
      <c r="B1546" s="4" t="n"/>
      <c r="C1546" s="4" t="n"/>
      <c r="D1546" s="4" t="n"/>
      <c r="E1546" s="4" t="n"/>
      <c r="F1546">
        <f>IF(A1546="","",SUMIFS(المبيعات!$F$2:$F$2000,المبيعات!$D$2:$D$2000,A1546))</f>
        <v/>
      </c>
      <c r="G1546">
        <f>IF(A1546="","",E1546-F1546)</f>
        <v/>
      </c>
      <c r="H1546" s="4" t="n"/>
      <c r="I1546">
        <f>IF(OR(A1546="",H1546=""),"",IF(G1546&lt;=H1546,"اطلب الآن",""))</f>
        <v/>
      </c>
    </row>
    <row r="1547">
      <c r="A1547" s="4" t="n"/>
      <c r="B1547" s="4" t="n"/>
      <c r="C1547" s="4" t="n"/>
      <c r="D1547" s="4" t="n"/>
      <c r="E1547" s="4" t="n"/>
      <c r="F1547">
        <f>IF(A1547="","",SUMIFS(المبيعات!$F$2:$F$2000,المبيعات!$D$2:$D$2000,A1547))</f>
        <v/>
      </c>
      <c r="G1547">
        <f>IF(A1547="","",E1547-F1547)</f>
        <v/>
      </c>
      <c r="H1547" s="4" t="n"/>
      <c r="I1547">
        <f>IF(OR(A1547="",H1547=""),"",IF(G1547&lt;=H1547,"اطلب الآن",""))</f>
        <v/>
      </c>
    </row>
    <row r="1548">
      <c r="A1548" s="4" t="n"/>
      <c r="B1548" s="4" t="n"/>
      <c r="C1548" s="4" t="n"/>
      <c r="D1548" s="4" t="n"/>
      <c r="E1548" s="4" t="n"/>
      <c r="F1548">
        <f>IF(A1548="","",SUMIFS(المبيعات!$F$2:$F$2000,المبيعات!$D$2:$D$2000,A1548))</f>
        <v/>
      </c>
      <c r="G1548">
        <f>IF(A1548="","",E1548-F1548)</f>
        <v/>
      </c>
      <c r="H1548" s="4" t="n"/>
      <c r="I1548">
        <f>IF(OR(A1548="",H1548=""),"",IF(G1548&lt;=H1548,"اطلب الآن",""))</f>
        <v/>
      </c>
    </row>
    <row r="1549">
      <c r="A1549" s="4" t="n"/>
      <c r="B1549" s="4" t="n"/>
      <c r="C1549" s="4" t="n"/>
      <c r="D1549" s="4" t="n"/>
      <c r="E1549" s="4" t="n"/>
      <c r="F1549">
        <f>IF(A1549="","",SUMIFS(المبيعات!$F$2:$F$2000,المبيعات!$D$2:$D$2000,A1549))</f>
        <v/>
      </c>
      <c r="G1549">
        <f>IF(A1549="","",E1549-F1549)</f>
        <v/>
      </c>
      <c r="H1549" s="4" t="n"/>
      <c r="I1549">
        <f>IF(OR(A1549="",H1549=""),"",IF(G1549&lt;=H1549,"اطلب الآن",""))</f>
        <v/>
      </c>
    </row>
    <row r="1550">
      <c r="A1550" s="4" t="n"/>
      <c r="B1550" s="4" t="n"/>
      <c r="C1550" s="4" t="n"/>
      <c r="D1550" s="4" t="n"/>
      <c r="E1550" s="4" t="n"/>
      <c r="F1550">
        <f>IF(A1550="","",SUMIFS(المبيعات!$F$2:$F$2000,المبيعات!$D$2:$D$2000,A1550))</f>
        <v/>
      </c>
      <c r="G1550">
        <f>IF(A1550="","",E1550-F1550)</f>
        <v/>
      </c>
      <c r="H1550" s="4" t="n"/>
      <c r="I1550">
        <f>IF(OR(A1550="",H1550=""),"",IF(G1550&lt;=H1550,"اطلب الآن",""))</f>
        <v/>
      </c>
    </row>
    <row r="1551">
      <c r="A1551" s="4" t="n"/>
      <c r="B1551" s="4" t="n"/>
      <c r="C1551" s="4" t="n"/>
      <c r="D1551" s="4" t="n"/>
      <c r="E1551" s="4" t="n"/>
      <c r="F1551">
        <f>IF(A1551="","",SUMIFS(المبيعات!$F$2:$F$2000,المبيعات!$D$2:$D$2000,A1551))</f>
        <v/>
      </c>
      <c r="G1551">
        <f>IF(A1551="","",E1551-F1551)</f>
        <v/>
      </c>
      <c r="H1551" s="4" t="n"/>
      <c r="I1551">
        <f>IF(OR(A1551="",H1551=""),"",IF(G1551&lt;=H1551,"اطلب الآن",""))</f>
        <v/>
      </c>
    </row>
    <row r="1552">
      <c r="A1552" s="4" t="n"/>
      <c r="B1552" s="4" t="n"/>
      <c r="C1552" s="4" t="n"/>
      <c r="D1552" s="4" t="n"/>
      <c r="E1552" s="4" t="n"/>
      <c r="F1552">
        <f>IF(A1552="","",SUMIFS(المبيعات!$F$2:$F$2000,المبيعات!$D$2:$D$2000,A1552))</f>
        <v/>
      </c>
      <c r="G1552">
        <f>IF(A1552="","",E1552-F1552)</f>
        <v/>
      </c>
      <c r="H1552" s="4" t="n"/>
      <c r="I1552">
        <f>IF(OR(A1552="",H1552=""),"",IF(G1552&lt;=H1552,"اطلب الآن",""))</f>
        <v/>
      </c>
    </row>
    <row r="1553">
      <c r="A1553" s="4" t="n"/>
      <c r="B1553" s="4" t="n"/>
      <c r="C1553" s="4" t="n"/>
      <c r="D1553" s="4" t="n"/>
      <c r="E1553" s="4" t="n"/>
      <c r="F1553">
        <f>IF(A1553="","",SUMIFS(المبيعات!$F$2:$F$2000,المبيعات!$D$2:$D$2000,A1553))</f>
        <v/>
      </c>
      <c r="G1553">
        <f>IF(A1553="","",E1553-F1553)</f>
        <v/>
      </c>
      <c r="H1553" s="4" t="n"/>
      <c r="I1553">
        <f>IF(OR(A1553="",H1553=""),"",IF(G1553&lt;=H1553,"اطلب الآن",""))</f>
        <v/>
      </c>
    </row>
    <row r="1554">
      <c r="A1554" s="4" t="n"/>
      <c r="B1554" s="4" t="n"/>
      <c r="C1554" s="4" t="n"/>
      <c r="D1554" s="4" t="n"/>
      <c r="E1554" s="4" t="n"/>
      <c r="F1554">
        <f>IF(A1554="","",SUMIFS(المبيعات!$F$2:$F$2000,المبيعات!$D$2:$D$2000,A1554))</f>
        <v/>
      </c>
      <c r="G1554">
        <f>IF(A1554="","",E1554-F1554)</f>
        <v/>
      </c>
      <c r="H1554" s="4" t="n"/>
      <c r="I1554">
        <f>IF(OR(A1554="",H1554=""),"",IF(G1554&lt;=H1554,"اطلب الآن",""))</f>
        <v/>
      </c>
    </row>
    <row r="1555">
      <c r="A1555" s="4" t="n"/>
      <c r="B1555" s="4" t="n"/>
      <c r="C1555" s="4" t="n"/>
      <c r="D1555" s="4" t="n"/>
      <c r="E1555" s="4" t="n"/>
      <c r="F1555">
        <f>IF(A1555="","",SUMIFS(المبيعات!$F$2:$F$2000,المبيعات!$D$2:$D$2000,A1555))</f>
        <v/>
      </c>
      <c r="G1555">
        <f>IF(A1555="","",E1555-F1555)</f>
        <v/>
      </c>
      <c r="H1555" s="4" t="n"/>
      <c r="I1555">
        <f>IF(OR(A1555="",H1555=""),"",IF(G1555&lt;=H1555,"اطلب الآن",""))</f>
        <v/>
      </c>
    </row>
    <row r="1556">
      <c r="A1556" s="4" t="n"/>
      <c r="B1556" s="4" t="n"/>
      <c r="C1556" s="4" t="n"/>
      <c r="D1556" s="4" t="n"/>
      <c r="E1556" s="4" t="n"/>
      <c r="F1556">
        <f>IF(A1556="","",SUMIFS(المبيعات!$F$2:$F$2000,المبيعات!$D$2:$D$2000,A1556))</f>
        <v/>
      </c>
      <c r="G1556">
        <f>IF(A1556="","",E1556-F1556)</f>
        <v/>
      </c>
      <c r="H1556" s="4" t="n"/>
      <c r="I1556">
        <f>IF(OR(A1556="",H1556=""),"",IF(G1556&lt;=H1556,"اطلب الآن",""))</f>
        <v/>
      </c>
    </row>
    <row r="1557">
      <c r="A1557" s="4" t="n"/>
      <c r="B1557" s="4" t="n"/>
      <c r="C1557" s="4" t="n"/>
      <c r="D1557" s="4" t="n"/>
      <c r="E1557" s="4" t="n"/>
      <c r="F1557">
        <f>IF(A1557="","",SUMIFS(المبيعات!$F$2:$F$2000,المبيعات!$D$2:$D$2000,A1557))</f>
        <v/>
      </c>
      <c r="G1557">
        <f>IF(A1557="","",E1557-F1557)</f>
        <v/>
      </c>
      <c r="H1557" s="4" t="n"/>
      <c r="I1557">
        <f>IF(OR(A1557="",H1557=""),"",IF(G1557&lt;=H1557,"اطلب الآن",""))</f>
        <v/>
      </c>
    </row>
    <row r="1558">
      <c r="A1558" s="4" t="n"/>
      <c r="B1558" s="4" t="n"/>
      <c r="C1558" s="4" t="n"/>
      <c r="D1558" s="4" t="n"/>
      <c r="E1558" s="4" t="n"/>
      <c r="F1558">
        <f>IF(A1558="","",SUMIFS(المبيعات!$F$2:$F$2000,المبيعات!$D$2:$D$2000,A1558))</f>
        <v/>
      </c>
      <c r="G1558">
        <f>IF(A1558="","",E1558-F1558)</f>
        <v/>
      </c>
      <c r="H1558" s="4" t="n"/>
      <c r="I1558">
        <f>IF(OR(A1558="",H1558=""),"",IF(G1558&lt;=H1558,"اطلب الآن",""))</f>
        <v/>
      </c>
    </row>
    <row r="1559">
      <c r="A1559" s="4" t="n"/>
      <c r="B1559" s="4" t="n"/>
      <c r="C1559" s="4" t="n"/>
      <c r="D1559" s="4" t="n"/>
      <c r="E1559" s="4" t="n"/>
      <c r="F1559">
        <f>IF(A1559="","",SUMIFS(المبيعات!$F$2:$F$2000,المبيعات!$D$2:$D$2000,A1559))</f>
        <v/>
      </c>
      <c r="G1559">
        <f>IF(A1559="","",E1559-F1559)</f>
        <v/>
      </c>
      <c r="H1559" s="4" t="n"/>
      <c r="I1559">
        <f>IF(OR(A1559="",H1559=""),"",IF(G1559&lt;=H1559,"اطلب الآن",""))</f>
        <v/>
      </c>
    </row>
    <row r="1560">
      <c r="A1560" s="4" t="n"/>
      <c r="B1560" s="4" t="n"/>
      <c r="C1560" s="4" t="n"/>
      <c r="D1560" s="4" t="n"/>
      <c r="E1560" s="4" t="n"/>
      <c r="F1560">
        <f>IF(A1560="","",SUMIFS(المبيعات!$F$2:$F$2000,المبيعات!$D$2:$D$2000,A1560))</f>
        <v/>
      </c>
      <c r="G1560">
        <f>IF(A1560="","",E1560-F1560)</f>
        <v/>
      </c>
      <c r="H1560" s="4" t="n"/>
      <c r="I1560">
        <f>IF(OR(A1560="",H1560=""),"",IF(G1560&lt;=H1560,"اطلب الآن",""))</f>
        <v/>
      </c>
    </row>
    <row r="1561">
      <c r="A1561" s="4" t="n"/>
      <c r="B1561" s="4" t="n"/>
      <c r="C1561" s="4" t="n"/>
      <c r="D1561" s="4" t="n"/>
      <c r="E1561" s="4" t="n"/>
      <c r="F1561">
        <f>IF(A1561="","",SUMIFS(المبيعات!$F$2:$F$2000,المبيعات!$D$2:$D$2000,A1561))</f>
        <v/>
      </c>
      <c r="G1561">
        <f>IF(A1561="","",E1561-F1561)</f>
        <v/>
      </c>
      <c r="H1561" s="4" t="n"/>
      <c r="I1561">
        <f>IF(OR(A1561="",H1561=""),"",IF(G1561&lt;=H1561,"اطلب الآن",""))</f>
        <v/>
      </c>
    </row>
    <row r="1562">
      <c r="A1562" s="4" t="n"/>
      <c r="B1562" s="4" t="n"/>
      <c r="C1562" s="4" t="n"/>
      <c r="D1562" s="4" t="n"/>
      <c r="E1562" s="4" t="n"/>
      <c r="F1562">
        <f>IF(A1562="","",SUMIFS(المبيعات!$F$2:$F$2000,المبيعات!$D$2:$D$2000,A1562))</f>
        <v/>
      </c>
      <c r="G1562">
        <f>IF(A1562="","",E1562-F1562)</f>
        <v/>
      </c>
      <c r="H1562" s="4" t="n"/>
      <c r="I1562">
        <f>IF(OR(A1562="",H1562=""),"",IF(G1562&lt;=H1562,"اطلب الآن",""))</f>
        <v/>
      </c>
    </row>
    <row r="1563">
      <c r="A1563" s="4" t="n"/>
      <c r="B1563" s="4" t="n"/>
      <c r="C1563" s="4" t="n"/>
      <c r="D1563" s="4" t="n"/>
      <c r="E1563" s="4" t="n"/>
      <c r="F1563">
        <f>IF(A1563="","",SUMIFS(المبيعات!$F$2:$F$2000,المبيعات!$D$2:$D$2000,A1563))</f>
        <v/>
      </c>
      <c r="G1563">
        <f>IF(A1563="","",E1563-F1563)</f>
        <v/>
      </c>
      <c r="H1563" s="4" t="n"/>
      <c r="I1563">
        <f>IF(OR(A1563="",H1563=""),"",IF(G1563&lt;=H1563,"اطلب الآن",""))</f>
        <v/>
      </c>
    </row>
    <row r="1564">
      <c r="A1564" s="4" t="n"/>
      <c r="B1564" s="4" t="n"/>
      <c r="C1564" s="4" t="n"/>
      <c r="D1564" s="4" t="n"/>
      <c r="E1564" s="4" t="n"/>
      <c r="F1564">
        <f>IF(A1564="","",SUMIFS(المبيعات!$F$2:$F$2000,المبيعات!$D$2:$D$2000,A1564))</f>
        <v/>
      </c>
      <c r="G1564">
        <f>IF(A1564="","",E1564-F1564)</f>
        <v/>
      </c>
      <c r="H1564" s="4" t="n"/>
      <c r="I1564">
        <f>IF(OR(A1564="",H1564=""),"",IF(G1564&lt;=H1564,"اطلب الآن",""))</f>
        <v/>
      </c>
    </row>
    <row r="1565">
      <c r="A1565" s="4" t="n"/>
      <c r="B1565" s="4" t="n"/>
      <c r="C1565" s="4" t="n"/>
      <c r="D1565" s="4" t="n"/>
      <c r="E1565" s="4" t="n"/>
      <c r="F1565">
        <f>IF(A1565="","",SUMIFS(المبيعات!$F$2:$F$2000,المبيعات!$D$2:$D$2000,A1565))</f>
        <v/>
      </c>
      <c r="G1565">
        <f>IF(A1565="","",E1565-F1565)</f>
        <v/>
      </c>
      <c r="H1565" s="4" t="n"/>
      <c r="I1565">
        <f>IF(OR(A1565="",H1565=""),"",IF(G1565&lt;=H1565,"اطلب الآن",""))</f>
        <v/>
      </c>
    </row>
    <row r="1566">
      <c r="A1566" s="4" t="n"/>
      <c r="B1566" s="4" t="n"/>
      <c r="C1566" s="4" t="n"/>
      <c r="D1566" s="4" t="n"/>
      <c r="E1566" s="4" t="n"/>
      <c r="F1566">
        <f>IF(A1566="","",SUMIFS(المبيعات!$F$2:$F$2000,المبيعات!$D$2:$D$2000,A1566))</f>
        <v/>
      </c>
      <c r="G1566">
        <f>IF(A1566="","",E1566-F1566)</f>
        <v/>
      </c>
      <c r="H1566" s="4" t="n"/>
      <c r="I1566">
        <f>IF(OR(A1566="",H1566=""),"",IF(G1566&lt;=H1566,"اطلب الآن",""))</f>
        <v/>
      </c>
    </row>
    <row r="1567">
      <c r="A1567" s="4" t="n"/>
      <c r="B1567" s="4" t="n"/>
      <c r="C1567" s="4" t="n"/>
      <c r="D1567" s="4" t="n"/>
      <c r="E1567" s="4" t="n"/>
      <c r="F1567">
        <f>IF(A1567="","",SUMIFS(المبيعات!$F$2:$F$2000,المبيعات!$D$2:$D$2000,A1567))</f>
        <v/>
      </c>
      <c r="G1567">
        <f>IF(A1567="","",E1567-F1567)</f>
        <v/>
      </c>
      <c r="H1567" s="4" t="n"/>
      <c r="I1567">
        <f>IF(OR(A1567="",H1567=""),"",IF(G1567&lt;=H1567,"اطلب الآن",""))</f>
        <v/>
      </c>
    </row>
    <row r="1568">
      <c r="A1568" s="4" t="n"/>
      <c r="B1568" s="4" t="n"/>
      <c r="C1568" s="4" t="n"/>
      <c r="D1568" s="4" t="n"/>
      <c r="E1568" s="4" t="n"/>
      <c r="F1568">
        <f>IF(A1568="","",SUMIFS(المبيعات!$F$2:$F$2000,المبيعات!$D$2:$D$2000,A1568))</f>
        <v/>
      </c>
      <c r="G1568">
        <f>IF(A1568="","",E1568-F1568)</f>
        <v/>
      </c>
      <c r="H1568" s="4" t="n"/>
      <c r="I1568">
        <f>IF(OR(A1568="",H1568=""),"",IF(G1568&lt;=H1568,"اطلب الآن",""))</f>
        <v/>
      </c>
    </row>
    <row r="1569">
      <c r="A1569" s="4" t="n"/>
      <c r="B1569" s="4" t="n"/>
      <c r="C1569" s="4" t="n"/>
      <c r="D1569" s="4" t="n"/>
      <c r="E1569" s="4" t="n"/>
      <c r="F1569">
        <f>IF(A1569="","",SUMIFS(المبيعات!$F$2:$F$2000,المبيعات!$D$2:$D$2000,A1569))</f>
        <v/>
      </c>
      <c r="G1569">
        <f>IF(A1569="","",E1569-F1569)</f>
        <v/>
      </c>
      <c r="H1569" s="4" t="n"/>
      <c r="I1569">
        <f>IF(OR(A1569="",H1569=""),"",IF(G1569&lt;=H1569,"اطلب الآن",""))</f>
        <v/>
      </c>
    </row>
    <row r="1570">
      <c r="A1570" s="4" t="n"/>
      <c r="B1570" s="4" t="n"/>
      <c r="C1570" s="4" t="n"/>
      <c r="D1570" s="4" t="n"/>
      <c r="E1570" s="4" t="n"/>
      <c r="F1570">
        <f>IF(A1570="","",SUMIFS(المبيعات!$F$2:$F$2000,المبيعات!$D$2:$D$2000,A1570))</f>
        <v/>
      </c>
      <c r="G1570">
        <f>IF(A1570="","",E1570-F1570)</f>
        <v/>
      </c>
      <c r="H1570" s="4" t="n"/>
      <c r="I1570">
        <f>IF(OR(A1570="",H1570=""),"",IF(G1570&lt;=H1570,"اطلب الآن",""))</f>
        <v/>
      </c>
    </row>
    <row r="1571">
      <c r="A1571" s="4" t="n"/>
      <c r="B1571" s="4" t="n"/>
      <c r="C1571" s="4" t="n"/>
      <c r="D1571" s="4" t="n"/>
      <c r="E1571" s="4" t="n"/>
      <c r="F1571">
        <f>IF(A1571="","",SUMIFS(المبيعات!$F$2:$F$2000,المبيعات!$D$2:$D$2000,A1571))</f>
        <v/>
      </c>
      <c r="G1571">
        <f>IF(A1571="","",E1571-F1571)</f>
        <v/>
      </c>
      <c r="H1571" s="4" t="n"/>
      <c r="I1571">
        <f>IF(OR(A1571="",H1571=""),"",IF(G1571&lt;=H1571,"اطلب الآن",""))</f>
        <v/>
      </c>
    </row>
    <row r="1572">
      <c r="A1572" s="4" t="n"/>
      <c r="B1572" s="4" t="n"/>
      <c r="C1572" s="4" t="n"/>
      <c r="D1572" s="4" t="n"/>
      <c r="E1572" s="4" t="n"/>
      <c r="F1572">
        <f>IF(A1572="","",SUMIFS(المبيعات!$F$2:$F$2000,المبيعات!$D$2:$D$2000,A1572))</f>
        <v/>
      </c>
      <c r="G1572">
        <f>IF(A1572="","",E1572-F1572)</f>
        <v/>
      </c>
      <c r="H1572" s="4" t="n"/>
      <c r="I1572">
        <f>IF(OR(A1572="",H1572=""),"",IF(G1572&lt;=H1572,"اطلب الآن",""))</f>
        <v/>
      </c>
    </row>
    <row r="1573">
      <c r="A1573" s="4" t="n"/>
      <c r="B1573" s="4" t="n"/>
      <c r="C1573" s="4" t="n"/>
      <c r="D1573" s="4" t="n"/>
      <c r="E1573" s="4" t="n"/>
      <c r="F1573">
        <f>IF(A1573="","",SUMIFS(المبيعات!$F$2:$F$2000,المبيعات!$D$2:$D$2000,A1573))</f>
        <v/>
      </c>
      <c r="G1573">
        <f>IF(A1573="","",E1573-F1573)</f>
        <v/>
      </c>
      <c r="H1573" s="4" t="n"/>
      <c r="I1573">
        <f>IF(OR(A1573="",H1573=""),"",IF(G1573&lt;=H1573,"اطلب الآن",""))</f>
        <v/>
      </c>
    </row>
    <row r="1574">
      <c r="A1574" s="4" t="n"/>
      <c r="B1574" s="4" t="n"/>
      <c r="C1574" s="4" t="n"/>
      <c r="D1574" s="4" t="n"/>
      <c r="E1574" s="4" t="n"/>
      <c r="F1574">
        <f>IF(A1574="","",SUMIFS(المبيعات!$F$2:$F$2000,المبيعات!$D$2:$D$2000,A1574))</f>
        <v/>
      </c>
      <c r="G1574">
        <f>IF(A1574="","",E1574-F1574)</f>
        <v/>
      </c>
      <c r="H1574" s="4" t="n"/>
      <c r="I1574">
        <f>IF(OR(A1574="",H1574=""),"",IF(G1574&lt;=H1574,"اطلب الآن",""))</f>
        <v/>
      </c>
    </row>
    <row r="1575">
      <c r="A1575" s="4" t="n"/>
      <c r="B1575" s="4" t="n"/>
      <c r="C1575" s="4" t="n"/>
      <c r="D1575" s="4" t="n"/>
      <c r="E1575" s="4" t="n"/>
      <c r="F1575">
        <f>IF(A1575="","",SUMIFS(المبيعات!$F$2:$F$2000,المبيعات!$D$2:$D$2000,A1575))</f>
        <v/>
      </c>
      <c r="G1575">
        <f>IF(A1575="","",E1575-F1575)</f>
        <v/>
      </c>
      <c r="H1575" s="4" t="n"/>
      <c r="I1575">
        <f>IF(OR(A1575="",H1575=""),"",IF(G1575&lt;=H1575,"اطلب الآن",""))</f>
        <v/>
      </c>
    </row>
    <row r="1576">
      <c r="A1576" s="4" t="n"/>
      <c r="B1576" s="4" t="n"/>
      <c r="C1576" s="4" t="n"/>
      <c r="D1576" s="4" t="n"/>
      <c r="E1576" s="4" t="n"/>
      <c r="F1576">
        <f>IF(A1576="","",SUMIFS(المبيعات!$F$2:$F$2000,المبيعات!$D$2:$D$2000,A1576))</f>
        <v/>
      </c>
      <c r="G1576">
        <f>IF(A1576="","",E1576-F1576)</f>
        <v/>
      </c>
      <c r="H1576" s="4" t="n"/>
      <c r="I1576">
        <f>IF(OR(A1576="",H1576=""),"",IF(G1576&lt;=H1576,"اطلب الآن",""))</f>
        <v/>
      </c>
    </row>
    <row r="1577">
      <c r="A1577" s="4" t="n"/>
      <c r="B1577" s="4" t="n"/>
      <c r="C1577" s="4" t="n"/>
      <c r="D1577" s="4" t="n"/>
      <c r="E1577" s="4" t="n"/>
      <c r="F1577">
        <f>IF(A1577="","",SUMIFS(المبيعات!$F$2:$F$2000,المبيعات!$D$2:$D$2000,A1577))</f>
        <v/>
      </c>
      <c r="G1577">
        <f>IF(A1577="","",E1577-F1577)</f>
        <v/>
      </c>
      <c r="H1577" s="4" t="n"/>
      <c r="I1577">
        <f>IF(OR(A1577="",H1577=""),"",IF(G1577&lt;=H1577,"اطلب الآن",""))</f>
        <v/>
      </c>
    </row>
    <row r="1578">
      <c r="A1578" s="4" t="n"/>
      <c r="B1578" s="4" t="n"/>
      <c r="C1578" s="4" t="n"/>
      <c r="D1578" s="4" t="n"/>
      <c r="E1578" s="4" t="n"/>
      <c r="F1578">
        <f>IF(A1578="","",SUMIFS(المبيعات!$F$2:$F$2000,المبيعات!$D$2:$D$2000,A1578))</f>
        <v/>
      </c>
      <c r="G1578">
        <f>IF(A1578="","",E1578-F1578)</f>
        <v/>
      </c>
      <c r="H1578" s="4" t="n"/>
      <c r="I1578">
        <f>IF(OR(A1578="",H1578=""),"",IF(G1578&lt;=H1578,"اطلب الآن",""))</f>
        <v/>
      </c>
    </row>
    <row r="1579">
      <c r="A1579" s="4" t="n"/>
      <c r="B1579" s="4" t="n"/>
      <c r="C1579" s="4" t="n"/>
      <c r="D1579" s="4" t="n"/>
      <c r="E1579" s="4" t="n"/>
      <c r="F1579">
        <f>IF(A1579="","",SUMIFS(المبيعات!$F$2:$F$2000,المبيعات!$D$2:$D$2000,A1579))</f>
        <v/>
      </c>
      <c r="G1579">
        <f>IF(A1579="","",E1579-F1579)</f>
        <v/>
      </c>
      <c r="H1579" s="4" t="n"/>
      <c r="I1579">
        <f>IF(OR(A1579="",H1579=""),"",IF(G1579&lt;=H1579,"اطلب الآن",""))</f>
        <v/>
      </c>
    </row>
    <row r="1580">
      <c r="A1580" s="4" t="n"/>
      <c r="B1580" s="4" t="n"/>
      <c r="C1580" s="4" t="n"/>
      <c r="D1580" s="4" t="n"/>
      <c r="E1580" s="4" t="n"/>
      <c r="F1580">
        <f>IF(A1580="","",SUMIFS(المبيعات!$F$2:$F$2000,المبيعات!$D$2:$D$2000,A1580))</f>
        <v/>
      </c>
      <c r="G1580">
        <f>IF(A1580="","",E1580-F1580)</f>
        <v/>
      </c>
      <c r="H1580" s="4" t="n"/>
      <c r="I1580">
        <f>IF(OR(A1580="",H1580=""),"",IF(G1580&lt;=H1580,"اطلب الآن",""))</f>
        <v/>
      </c>
    </row>
    <row r="1581">
      <c r="A1581" s="4" t="n"/>
      <c r="B1581" s="4" t="n"/>
      <c r="C1581" s="4" t="n"/>
      <c r="D1581" s="4" t="n"/>
      <c r="E1581" s="4" t="n"/>
      <c r="F1581">
        <f>IF(A1581="","",SUMIFS(المبيعات!$F$2:$F$2000,المبيعات!$D$2:$D$2000,A1581))</f>
        <v/>
      </c>
      <c r="G1581">
        <f>IF(A1581="","",E1581-F1581)</f>
        <v/>
      </c>
      <c r="H1581" s="4" t="n"/>
      <c r="I1581">
        <f>IF(OR(A1581="",H1581=""),"",IF(G1581&lt;=H1581,"اطلب الآن",""))</f>
        <v/>
      </c>
    </row>
    <row r="1582">
      <c r="A1582" s="4" t="n"/>
      <c r="B1582" s="4" t="n"/>
      <c r="C1582" s="4" t="n"/>
      <c r="D1582" s="4" t="n"/>
      <c r="E1582" s="4" t="n"/>
      <c r="F1582">
        <f>IF(A1582="","",SUMIFS(المبيعات!$F$2:$F$2000,المبيعات!$D$2:$D$2000,A1582))</f>
        <v/>
      </c>
      <c r="G1582">
        <f>IF(A1582="","",E1582-F1582)</f>
        <v/>
      </c>
      <c r="H1582" s="4" t="n"/>
      <c r="I1582">
        <f>IF(OR(A1582="",H1582=""),"",IF(G1582&lt;=H1582,"اطلب الآن",""))</f>
        <v/>
      </c>
    </row>
    <row r="1583">
      <c r="A1583" s="4" t="n"/>
      <c r="B1583" s="4" t="n"/>
      <c r="C1583" s="4" t="n"/>
      <c r="D1583" s="4" t="n"/>
      <c r="E1583" s="4" t="n"/>
      <c r="F1583">
        <f>IF(A1583="","",SUMIFS(المبيعات!$F$2:$F$2000,المبيعات!$D$2:$D$2000,A1583))</f>
        <v/>
      </c>
      <c r="G1583">
        <f>IF(A1583="","",E1583-F1583)</f>
        <v/>
      </c>
      <c r="H1583" s="4" t="n"/>
      <c r="I1583">
        <f>IF(OR(A1583="",H1583=""),"",IF(G1583&lt;=H1583,"اطلب الآن",""))</f>
        <v/>
      </c>
    </row>
    <row r="1584">
      <c r="A1584" s="4" t="n"/>
      <c r="B1584" s="4" t="n"/>
      <c r="C1584" s="4" t="n"/>
      <c r="D1584" s="4" t="n"/>
      <c r="E1584" s="4" t="n"/>
      <c r="F1584">
        <f>IF(A1584="","",SUMIFS(المبيعات!$F$2:$F$2000,المبيعات!$D$2:$D$2000,A1584))</f>
        <v/>
      </c>
      <c r="G1584">
        <f>IF(A1584="","",E1584-F1584)</f>
        <v/>
      </c>
      <c r="H1584" s="4" t="n"/>
      <c r="I1584">
        <f>IF(OR(A1584="",H1584=""),"",IF(G1584&lt;=H1584,"اطلب الآن",""))</f>
        <v/>
      </c>
    </row>
    <row r="1585">
      <c r="A1585" s="4" t="n"/>
      <c r="B1585" s="4" t="n"/>
      <c r="C1585" s="4" t="n"/>
      <c r="D1585" s="4" t="n"/>
      <c r="E1585" s="4" t="n"/>
      <c r="F1585">
        <f>IF(A1585="","",SUMIFS(المبيعات!$F$2:$F$2000,المبيعات!$D$2:$D$2000,A1585))</f>
        <v/>
      </c>
      <c r="G1585">
        <f>IF(A1585="","",E1585-F1585)</f>
        <v/>
      </c>
      <c r="H1585" s="4" t="n"/>
      <c r="I1585">
        <f>IF(OR(A1585="",H1585=""),"",IF(G1585&lt;=H1585,"اطلب الآن",""))</f>
        <v/>
      </c>
    </row>
    <row r="1586">
      <c r="A1586" s="4" t="n"/>
      <c r="B1586" s="4" t="n"/>
      <c r="C1586" s="4" t="n"/>
      <c r="D1586" s="4" t="n"/>
      <c r="E1586" s="4" t="n"/>
      <c r="F1586">
        <f>IF(A1586="","",SUMIFS(المبيعات!$F$2:$F$2000,المبيعات!$D$2:$D$2000,A1586))</f>
        <v/>
      </c>
      <c r="G1586">
        <f>IF(A1586="","",E1586-F1586)</f>
        <v/>
      </c>
      <c r="H1586" s="4" t="n"/>
      <c r="I1586">
        <f>IF(OR(A1586="",H1586=""),"",IF(G1586&lt;=H1586,"اطلب الآن",""))</f>
        <v/>
      </c>
    </row>
    <row r="1587">
      <c r="A1587" s="4" t="n"/>
      <c r="B1587" s="4" t="n"/>
      <c r="C1587" s="4" t="n"/>
      <c r="D1587" s="4" t="n"/>
      <c r="E1587" s="4" t="n"/>
      <c r="F1587">
        <f>IF(A1587="","",SUMIFS(المبيعات!$F$2:$F$2000,المبيعات!$D$2:$D$2000,A1587))</f>
        <v/>
      </c>
      <c r="G1587">
        <f>IF(A1587="","",E1587-F1587)</f>
        <v/>
      </c>
      <c r="H1587" s="4" t="n"/>
      <c r="I1587">
        <f>IF(OR(A1587="",H1587=""),"",IF(G1587&lt;=H1587,"اطلب الآن",""))</f>
        <v/>
      </c>
    </row>
    <row r="1588">
      <c r="A1588" s="4" t="n"/>
      <c r="B1588" s="4" t="n"/>
      <c r="C1588" s="4" t="n"/>
      <c r="D1588" s="4" t="n"/>
      <c r="E1588" s="4" t="n"/>
      <c r="F1588">
        <f>IF(A1588="","",SUMIFS(المبيعات!$F$2:$F$2000,المبيعات!$D$2:$D$2000,A1588))</f>
        <v/>
      </c>
      <c r="G1588">
        <f>IF(A1588="","",E1588-F1588)</f>
        <v/>
      </c>
      <c r="H1588" s="4" t="n"/>
      <c r="I1588">
        <f>IF(OR(A1588="",H1588=""),"",IF(G1588&lt;=H1588,"اطلب الآن",""))</f>
        <v/>
      </c>
    </row>
    <row r="1589">
      <c r="A1589" s="4" t="n"/>
      <c r="B1589" s="4" t="n"/>
      <c r="C1589" s="4" t="n"/>
      <c r="D1589" s="4" t="n"/>
      <c r="E1589" s="4" t="n"/>
      <c r="F1589">
        <f>IF(A1589="","",SUMIFS(المبيعات!$F$2:$F$2000,المبيعات!$D$2:$D$2000,A1589))</f>
        <v/>
      </c>
      <c r="G1589">
        <f>IF(A1589="","",E1589-F1589)</f>
        <v/>
      </c>
      <c r="H1589" s="4" t="n"/>
      <c r="I1589">
        <f>IF(OR(A1589="",H1589=""),"",IF(G1589&lt;=H1589,"اطلب الآن",""))</f>
        <v/>
      </c>
    </row>
    <row r="1590">
      <c r="A1590" s="4" t="n"/>
      <c r="B1590" s="4" t="n"/>
      <c r="C1590" s="4" t="n"/>
      <c r="D1590" s="4" t="n"/>
      <c r="E1590" s="4" t="n"/>
      <c r="F1590">
        <f>IF(A1590="","",SUMIFS(المبيعات!$F$2:$F$2000,المبيعات!$D$2:$D$2000,A1590))</f>
        <v/>
      </c>
      <c r="G1590">
        <f>IF(A1590="","",E1590-F1590)</f>
        <v/>
      </c>
      <c r="H1590" s="4" t="n"/>
      <c r="I1590">
        <f>IF(OR(A1590="",H1590=""),"",IF(G1590&lt;=H1590,"اطلب الآن",""))</f>
        <v/>
      </c>
    </row>
    <row r="1591">
      <c r="A1591" s="4" t="n"/>
      <c r="B1591" s="4" t="n"/>
      <c r="C1591" s="4" t="n"/>
      <c r="D1591" s="4" t="n"/>
      <c r="E1591" s="4" t="n"/>
      <c r="F1591">
        <f>IF(A1591="","",SUMIFS(المبيعات!$F$2:$F$2000,المبيعات!$D$2:$D$2000,A1591))</f>
        <v/>
      </c>
      <c r="G1591">
        <f>IF(A1591="","",E1591-F1591)</f>
        <v/>
      </c>
      <c r="H1591" s="4" t="n"/>
      <c r="I1591">
        <f>IF(OR(A1591="",H1591=""),"",IF(G1591&lt;=H1591,"اطلب الآن",""))</f>
        <v/>
      </c>
    </row>
    <row r="1592">
      <c r="A1592" s="4" t="n"/>
      <c r="B1592" s="4" t="n"/>
      <c r="C1592" s="4" t="n"/>
      <c r="D1592" s="4" t="n"/>
      <c r="E1592" s="4" t="n"/>
      <c r="F1592">
        <f>IF(A1592="","",SUMIFS(المبيعات!$F$2:$F$2000,المبيعات!$D$2:$D$2000,A1592))</f>
        <v/>
      </c>
      <c r="G1592">
        <f>IF(A1592="","",E1592-F1592)</f>
        <v/>
      </c>
      <c r="H1592" s="4" t="n"/>
      <c r="I1592">
        <f>IF(OR(A1592="",H1592=""),"",IF(G1592&lt;=H1592,"اطلب الآن",""))</f>
        <v/>
      </c>
    </row>
    <row r="1593">
      <c r="A1593" s="4" t="n"/>
      <c r="B1593" s="4" t="n"/>
      <c r="C1593" s="4" t="n"/>
      <c r="D1593" s="4" t="n"/>
      <c r="E1593" s="4" t="n"/>
      <c r="F1593">
        <f>IF(A1593="","",SUMIFS(المبيعات!$F$2:$F$2000,المبيعات!$D$2:$D$2000,A1593))</f>
        <v/>
      </c>
      <c r="G1593">
        <f>IF(A1593="","",E1593-F1593)</f>
        <v/>
      </c>
      <c r="H1593" s="4" t="n"/>
      <c r="I1593">
        <f>IF(OR(A1593="",H1593=""),"",IF(G1593&lt;=H1593,"اطلب الآن",""))</f>
        <v/>
      </c>
    </row>
    <row r="1594">
      <c r="A1594" s="4" t="n"/>
      <c r="B1594" s="4" t="n"/>
      <c r="C1594" s="4" t="n"/>
      <c r="D1594" s="4" t="n"/>
      <c r="E1594" s="4" t="n"/>
      <c r="F1594">
        <f>IF(A1594="","",SUMIFS(المبيعات!$F$2:$F$2000,المبيعات!$D$2:$D$2000,A1594))</f>
        <v/>
      </c>
      <c r="G1594">
        <f>IF(A1594="","",E1594-F1594)</f>
        <v/>
      </c>
      <c r="H1594" s="4" t="n"/>
      <c r="I1594">
        <f>IF(OR(A1594="",H1594=""),"",IF(G1594&lt;=H1594,"اطلب الآن",""))</f>
        <v/>
      </c>
    </row>
    <row r="1595">
      <c r="A1595" s="4" t="n"/>
      <c r="B1595" s="4" t="n"/>
      <c r="C1595" s="4" t="n"/>
      <c r="D1595" s="4" t="n"/>
      <c r="E1595" s="4" t="n"/>
      <c r="F1595">
        <f>IF(A1595="","",SUMIFS(المبيعات!$F$2:$F$2000,المبيعات!$D$2:$D$2000,A1595))</f>
        <v/>
      </c>
      <c r="G1595">
        <f>IF(A1595="","",E1595-F1595)</f>
        <v/>
      </c>
      <c r="H1595" s="4" t="n"/>
      <c r="I1595">
        <f>IF(OR(A1595="",H1595=""),"",IF(G1595&lt;=H1595,"اطلب الآن",""))</f>
        <v/>
      </c>
    </row>
    <row r="1596">
      <c r="A1596" s="4" t="n"/>
      <c r="B1596" s="4" t="n"/>
      <c r="C1596" s="4" t="n"/>
      <c r="D1596" s="4" t="n"/>
      <c r="E1596" s="4" t="n"/>
      <c r="F1596">
        <f>IF(A1596="","",SUMIFS(المبيعات!$F$2:$F$2000,المبيعات!$D$2:$D$2000,A1596))</f>
        <v/>
      </c>
      <c r="G1596">
        <f>IF(A1596="","",E1596-F1596)</f>
        <v/>
      </c>
      <c r="H1596" s="4" t="n"/>
      <c r="I1596">
        <f>IF(OR(A1596="",H1596=""),"",IF(G1596&lt;=H1596,"اطلب الآن",""))</f>
        <v/>
      </c>
    </row>
    <row r="1597">
      <c r="A1597" s="4" t="n"/>
      <c r="B1597" s="4" t="n"/>
      <c r="C1597" s="4" t="n"/>
      <c r="D1597" s="4" t="n"/>
      <c r="E1597" s="4" t="n"/>
      <c r="F1597">
        <f>IF(A1597="","",SUMIFS(المبيعات!$F$2:$F$2000,المبيعات!$D$2:$D$2000,A1597))</f>
        <v/>
      </c>
      <c r="G1597">
        <f>IF(A1597="","",E1597-F1597)</f>
        <v/>
      </c>
      <c r="H1597" s="4" t="n"/>
      <c r="I1597">
        <f>IF(OR(A1597="",H1597=""),"",IF(G1597&lt;=H1597,"اطلب الآن",""))</f>
        <v/>
      </c>
    </row>
    <row r="1598">
      <c r="A1598" s="4" t="n"/>
      <c r="B1598" s="4" t="n"/>
      <c r="C1598" s="4" t="n"/>
      <c r="D1598" s="4" t="n"/>
      <c r="E1598" s="4" t="n"/>
      <c r="F1598">
        <f>IF(A1598="","",SUMIFS(المبيعات!$F$2:$F$2000,المبيعات!$D$2:$D$2000,A1598))</f>
        <v/>
      </c>
      <c r="G1598">
        <f>IF(A1598="","",E1598-F1598)</f>
        <v/>
      </c>
      <c r="H1598" s="4" t="n"/>
      <c r="I1598">
        <f>IF(OR(A1598="",H1598=""),"",IF(G1598&lt;=H1598,"اطلب الآن",""))</f>
        <v/>
      </c>
    </row>
    <row r="1599">
      <c r="A1599" s="4" t="n"/>
      <c r="B1599" s="4" t="n"/>
      <c r="C1599" s="4" t="n"/>
      <c r="D1599" s="4" t="n"/>
      <c r="E1599" s="4" t="n"/>
      <c r="F1599">
        <f>IF(A1599="","",SUMIFS(المبيعات!$F$2:$F$2000,المبيعات!$D$2:$D$2000,A1599))</f>
        <v/>
      </c>
      <c r="G1599">
        <f>IF(A1599="","",E1599-F1599)</f>
        <v/>
      </c>
      <c r="H1599" s="4" t="n"/>
      <c r="I1599">
        <f>IF(OR(A1599="",H1599=""),"",IF(G1599&lt;=H1599,"اطلب الآن",""))</f>
        <v/>
      </c>
    </row>
    <row r="1600">
      <c r="A1600" s="4" t="n"/>
      <c r="B1600" s="4" t="n"/>
      <c r="C1600" s="4" t="n"/>
      <c r="D1600" s="4" t="n"/>
      <c r="E1600" s="4" t="n"/>
      <c r="F1600">
        <f>IF(A1600="","",SUMIFS(المبيعات!$F$2:$F$2000,المبيعات!$D$2:$D$2000,A1600))</f>
        <v/>
      </c>
      <c r="G1600">
        <f>IF(A1600="","",E1600-F1600)</f>
        <v/>
      </c>
      <c r="H1600" s="4" t="n"/>
      <c r="I1600">
        <f>IF(OR(A1600="",H1600=""),"",IF(G1600&lt;=H1600,"اطلب الآن",""))</f>
        <v/>
      </c>
    </row>
    <row r="1601">
      <c r="A1601" s="4" t="n"/>
      <c r="B1601" s="4" t="n"/>
      <c r="C1601" s="4" t="n"/>
      <c r="D1601" s="4" t="n"/>
      <c r="E1601" s="4" t="n"/>
      <c r="F1601">
        <f>IF(A1601="","",SUMIFS(المبيعات!$F$2:$F$2000,المبيعات!$D$2:$D$2000,A1601))</f>
        <v/>
      </c>
      <c r="G1601">
        <f>IF(A1601="","",E1601-F1601)</f>
        <v/>
      </c>
      <c r="H1601" s="4" t="n"/>
      <c r="I1601">
        <f>IF(OR(A1601="",H1601=""),"",IF(G1601&lt;=H1601,"اطلب الآن",""))</f>
        <v/>
      </c>
    </row>
    <row r="1602">
      <c r="A1602" s="4" t="n"/>
      <c r="B1602" s="4" t="n"/>
      <c r="C1602" s="4" t="n"/>
      <c r="D1602" s="4" t="n"/>
      <c r="E1602" s="4" t="n"/>
      <c r="F1602">
        <f>IF(A1602="","",SUMIFS(المبيعات!$F$2:$F$2000,المبيعات!$D$2:$D$2000,A1602))</f>
        <v/>
      </c>
      <c r="G1602">
        <f>IF(A1602="","",E1602-F1602)</f>
        <v/>
      </c>
      <c r="H1602" s="4" t="n"/>
      <c r="I1602">
        <f>IF(OR(A1602="",H1602=""),"",IF(G1602&lt;=H1602,"اطلب الآن",""))</f>
        <v/>
      </c>
    </row>
    <row r="1603">
      <c r="A1603" s="4" t="n"/>
      <c r="B1603" s="4" t="n"/>
      <c r="C1603" s="4" t="n"/>
      <c r="D1603" s="4" t="n"/>
      <c r="E1603" s="4" t="n"/>
      <c r="F1603">
        <f>IF(A1603="","",SUMIFS(المبيعات!$F$2:$F$2000,المبيعات!$D$2:$D$2000,A1603))</f>
        <v/>
      </c>
      <c r="G1603">
        <f>IF(A1603="","",E1603-F1603)</f>
        <v/>
      </c>
      <c r="H1603" s="4" t="n"/>
      <c r="I1603">
        <f>IF(OR(A1603="",H1603=""),"",IF(G1603&lt;=H1603,"اطلب الآن",""))</f>
        <v/>
      </c>
    </row>
    <row r="1604">
      <c r="A1604" s="4" t="n"/>
      <c r="B1604" s="4" t="n"/>
      <c r="C1604" s="4" t="n"/>
      <c r="D1604" s="4" t="n"/>
      <c r="E1604" s="4" t="n"/>
      <c r="F1604">
        <f>IF(A1604="","",SUMIFS(المبيعات!$F$2:$F$2000,المبيعات!$D$2:$D$2000,A1604))</f>
        <v/>
      </c>
      <c r="G1604">
        <f>IF(A1604="","",E1604-F1604)</f>
        <v/>
      </c>
      <c r="H1604" s="4" t="n"/>
      <c r="I1604">
        <f>IF(OR(A1604="",H1604=""),"",IF(G1604&lt;=H1604,"اطلب الآن",""))</f>
        <v/>
      </c>
    </row>
    <row r="1605">
      <c r="A1605" s="4" t="n"/>
      <c r="B1605" s="4" t="n"/>
      <c r="C1605" s="4" t="n"/>
      <c r="D1605" s="4" t="n"/>
      <c r="E1605" s="4" t="n"/>
      <c r="F1605">
        <f>IF(A1605="","",SUMIFS(المبيعات!$F$2:$F$2000,المبيعات!$D$2:$D$2000,A1605))</f>
        <v/>
      </c>
      <c r="G1605">
        <f>IF(A1605="","",E1605-F1605)</f>
        <v/>
      </c>
      <c r="H1605" s="4" t="n"/>
      <c r="I1605">
        <f>IF(OR(A1605="",H1605=""),"",IF(G1605&lt;=H1605,"اطلب الآن",""))</f>
        <v/>
      </c>
    </row>
    <row r="1606">
      <c r="A1606" s="4" t="n"/>
      <c r="B1606" s="4" t="n"/>
      <c r="C1606" s="4" t="n"/>
      <c r="D1606" s="4" t="n"/>
      <c r="E1606" s="4" t="n"/>
      <c r="F1606">
        <f>IF(A1606="","",SUMIFS(المبيعات!$F$2:$F$2000,المبيعات!$D$2:$D$2000,A1606))</f>
        <v/>
      </c>
      <c r="G1606">
        <f>IF(A1606="","",E1606-F1606)</f>
        <v/>
      </c>
      <c r="H1606" s="4" t="n"/>
      <c r="I1606">
        <f>IF(OR(A1606="",H1606=""),"",IF(G1606&lt;=H1606,"اطلب الآن",""))</f>
        <v/>
      </c>
    </row>
    <row r="1607">
      <c r="A1607" s="4" t="n"/>
      <c r="B1607" s="4" t="n"/>
      <c r="C1607" s="4" t="n"/>
      <c r="D1607" s="4" t="n"/>
      <c r="E1607" s="4" t="n"/>
      <c r="F1607">
        <f>IF(A1607="","",SUMIFS(المبيعات!$F$2:$F$2000,المبيعات!$D$2:$D$2000,A1607))</f>
        <v/>
      </c>
      <c r="G1607">
        <f>IF(A1607="","",E1607-F1607)</f>
        <v/>
      </c>
      <c r="H1607" s="4" t="n"/>
      <c r="I1607">
        <f>IF(OR(A1607="",H1607=""),"",IF(G1607&lt;=H1607,"اطلب الآن",""))</f>
        <v/>
      </c>
    </row>
    <row r="1608">
      <c r="A1608" s="4" t="n"/>
      <c r="B1608" s="4" t="n"/>
      <c r="C1608" s="4" t="n"/>
      <c r="D1608" s="4" t="n"/>
      <c r="E1608" s="4" t="n"/>
      <c r="F1608">
        <f>IF(A1608="","",SUMIFS(المبيعات!$F$2:$F$2000,المبيعات!$D$2:$D$2000,A1608))</f>
        <v/>
      </c>
      <c r="G1608">
        <f>IF(A1608="","",E1608-F1608)</f>
        <v/>
      </c>
      <c r="H1608" s="4" t="n"/>
      <c r="I1608">
        <f>IF(OR(A1608="",H1608=""),"",IF(G1608&lt;=H1608,"اطلب الآن",""))</f>
        <v/>
      </c>
    </row>
    <row r="1609">
      <c r="A1609" s="4" t="n"/>
      <c r="B1609" s="4" t="n"/>
      <c r="C1609" s="4" t="n"/>
      <c r="D1609" s="4" t="n"/>
      <c r="E1609" s="4" t="n"/>
      <c r="F1609">
        <f>IF(A1609="","",SUMIFS(المبيعات!$F$2:$F$2000,المبيعات!$D$2:$D$2000,A1609))</f>
        <v/>
      </c>
      <c r="G1609">
        <f>IF(A1609="","",E1609-F1609)</f>
        <v/>
      </c>
      <c r="H1609" s="4" t="n"/>
      <c r="I1609">
        <f>IF(OR(A1609="",H1609=""),"",IF(G1609&lt;=H1609,"اطلب الآن",""))</f>
        <v/>
      </c>
    </row>
    <row r="1610">
      <c r="A1610" s="4" t="n"/>
      <c r="B1610" s="4" t="n"/>
      <c r="C1610" s="4" t="n"/>
      <c r="D1610" s="4" t="n"/>
      <c r="E1610" s="4" t="n"/>
      <c r="F1610">
        <f>IF(A1610="","",SUMIFS(المبيعات!$F$2:$F$2000,المبيعات!$D$2:$D$2000,A1610))</f>
        <v/>
      </c>
      <c r="G1610">
        <f>IF(A1610="","",E1610-F1610)</f>
        <v/>
      </c>
      <c r="H1610" s="4" t="n"/>
      <c r="I1610">
        <f>IF(OR(A1610="",H1610=""),"",IF(G1610&lt;=H1610,"اطلب الآن",""))</f>
        <v/>
      </c>
    </row>
    <row r="1611">
      <c r="A1611" s="4" t="n"/>
      <c r="B1611" s="4" t="n"/>
      <c r="C1611" s="4" t="n"/>
      <c r="D1611" s="4" t="n"/>
      <c r="E1611" s="4" t="n"/>
      <c r="F1611">
        <f>IF(A1611="","",SUMIFS(المبيعات!$F$2:$F$2000,المبيعات!$D$2:$D$2000,A1611))</f>
        <v/>
      </c>
      <c r="G1611">
        <f>IF(A1611="","",E1611-F1611)</f>
        <v/>
      </c>
      <c r="H1611" s="4" t="n"/>
      <c r="I1611">
        <f>IF(OR(A1611="",H1611=""),"",IF(G1611&lt;=H1611,"اطلب الآن",""))</f>
        <v/>
      </c>
    </row>
    <row r="1612">
      <c r="A1612" s="4" t="n"/>
      <c r="B1612" s="4" t="n"/>
      <c r="C1612" s="4" t="n"/>
      <c r="D1612" s="4" t="n"/>
      <c r="E1612" s="4" t="n"/>
      <c r="F1612">
        <f>IF(A1612="","",SUMIFS(المبيعات!$F$2:$F$2000,المبيعات!$D$2:$D$2000,A1612))</f>
        <v/>
      </c>
      <c r="G1612">
        <f>IF(A1612="","",E1612-F1612)</f>
        <v/>
      </c>
      <c r="H1612" s="4" t="n"/>
      <c r="I1612">
        <f>IF(OR(A1612="",H1612=""),"",IF(G1612&lt;=H1612,"اطلب الآن",""))</f>
        <v/>
      </c>
    </row>
    <row r="1613">
      <c r="A1613" s="4" t="n"/>
      <c r="B1613" s="4" t="n"/>
      <c r="C1613" s="4" t="n"/>
      <c r="D1613" s="4" t="n"/>
      <c r="E1613" s="4" t="n"/>
      <c r="F1613">
        <f>IF(A1613="","",SUMIFS(المبيعات!$F$2:$F$2000,المبيعات!$D$2:$D$2000,A1613))</f>
        <v/>
      </c>
      <c r="G1613">
        <f>IF(A1613="","",E1613-F1613)</f>
        <v/>
      </c>
      <c r="H1613" s="4" t="n"/>
      <c r="I1613">
        <f>IF(OR(A1613="",H1613=""),"",IF(G1613&lt;=H1613,"اطلب الآن",""))</f>
        <v/>
      </c>
    </row>
    <row r="1614">
      <c r="A1614" s="4" t="n"/>
      <c r="B1614" s="4" t="n"/>
      <c r="C1614" s="4" t="n"/>
      <c r="D1614" s="4" t="n"/>
      <c r="E1614" s="4" t="n"/>
      <c r="F1614">
        <f>IF(A1614="","",SUMIFS(المبيعات!$F$2:$F$2000,المبيعات!$D$2:$D$2000,A1614))</f>
        <v/>
      </c>
      <c r="G1614">
        <f>IF(A1614="","",E1614-F1614)</f>
        <v/>
      </c>
      <c r="H1614" s="4" t="n"/>
      <c r="I1614">
        <f>IF(OR(A1614="",H1614=""),"",IF(G1614&lt;=H1614,"اطلب الآن",""))</f>
        <v/>
      </c>
    </row>
    <row r="1615">
      <c r="A1615" s="4" t="n"/>
      <c r="B1615" s="4" t="n"/>
      <c r="C1615" s="4" t="n"/>
      <c r="D1615" s="4" t="n"/>
      <c r="E1615" s="4" t="n"/>
      <c r="F1615">
        <f>IF(A1615="","",SUMIFS(المبيعات!$F$2:$F$2000,المبيعات!$D$2:$D$2000,A1615))</f>
        <v/>
      </c>
      <c r="G1615">
        <f>IF(A1615="","",E1615-F1615)</f>
        <v/>
      </c>
      <c r="H1615" s="4" t="n"/>
      <c r="I1615">
        <f>IF(OR(A1615="",H1615=""),"",IF(G1615&lt;=H1615,"اطلب الآن",""))</f>
        <v/>
      </c>
    </row>
    <row r="1616">
      <c r="A1616" s="4" t="n"/>
      <c r="B1616" s="4" t="n"/>
      <c r="C1616" s="4" t="n"/>
      <c r="D1616" s="4" t="n"/>
      <c r="E1616" s="4" t="n"/>
      <c r="F1616">
        <f>IF(A1616="","",SUMIFS(المبيعات!$F$2:$F$2000,المبيعات!$D$2:$D$2000,A1616))</f>
        <v/>
      </c>
      <c r="G1616">
        <f>IF(A1616="","",E1616-F1616)</f>
        <v/>
      </c>
      <c r="H1616" s="4" t="n"/>
      <c r="I1616">
        <f>IF(OR(A1616="",H1616=""),"",IF(G1616&lt;=H1616,"اطلب الآن",""))</f>
        <v/>
      </c>
    </row>
    <row r="1617">
      <c r="A1617" s="4" t="n"/>
      <c r="B1617" s="4" t="n"/>
      <c r="C1617" s="4" t="n"/>
      <c r="D1617" s="4" t="n"/>
      <c r="E1617" s="4" t="n"/>
      <c r="F1617">
        <f>IF(A1617="","",SUMIFS(المبيعات!$F$2:$F$2000,المبيعات!$D$2:$D$2000,A1617))</f>
        <v/>
      </c>
      <c r="G1617">
        <f>IF(A1617="","",E1617-F1617)</f>
        <v/>
      </c>
      <c r="H1617" s="4" t="n"/>
      <c r="I1617">
        <f>IF(OR(A1617="",H1617=""),"",IF(G1617&lt;=H1617,"اطلب الآن",""))</f>
        <v/>
      </c>
    </row>
    <row r="1618">
      <c r="A1618" s="4" t="n"/>
      <c r="B1618" s="4" t="n"/>
      <c r="C1618" s="4" t="n"/>
      <c r="D1618" s="4" t="n"/>
      <c r="E1618" s="4" t="n"/>
      <c r="F1618">
        <f>IF(A1618="","",SUMIFS(المبيعات!$F$2:$F$2000,المبيعات!$D$2:$D$2000,A1618))</f>
        <v/>
      </c>
      <c r="G1618">
        <f>IF(A1618="","",E1618-F1618)</f>
        <v/>
      </c>
      <c r="H1618" s="4" t="n"/>
      <c r="I1618">
        <f>IF(OR(A1618="",H1618=""),"",IF(G1618&lt;=H1618,"اطلب الآن",""))</f>
        <v/>
      </c>
    </row>
    <row r="1619">
      <c r="A1619" s="4" t="n"/>
      <c r="B1619" s="4" t="n"/>
      <c r="C1619" s="4" t="n"/>
      <c r="D1619" s="4" t="n"/>
      <c r="E1619" s="4" t="n"/>
      <c r="F1619">
        <f>IF(A1619="","",SUMIFS(المبيعات!$F$2:$F$2000,المبيعات!$D$2:$D$2000,A1619))</f>
        <v/>
      </c>
      <c r="G1619">
        <f>IF(A1619="","",E1619-F1619)</f>
        <v/>
      </c>
      <c r="H1619" s="4" t="n"/>
      <c r="I1619">
        <f>IF(OR(A1619="",H1619=""),"",IF(G1619&lt;=H1619,"اطلب الآن",""))</f>
        <v/>
      </c>
    </row>
    <row r="1620">
      <c r="A1620" s="4" t="n"/>
      <c r="B1620" s="4" t="n"/>
      <c r="C1620" s="4" t="n"/>
      <c r="D1620" s="4" t="n"/>
      <c r="E1620" s="4" t="n"/>
      <c r="F1620">
        <f>IF(A1620="","",SUMIFS(المبيعات!$F$2:$F$2000,المبيعات!$D$2:$D$2000,A1620))</f>
        <v/>
      </c>
      <c r="G1620">
        <f>IF(A1620="","",E1620-F1620)</f>
        <v/>
      </c>
      <c r="H1620" s="4" t="n"/>
      <c r="I1620">
        <f>IF(OR(A1620="",H1620=""),"",IF(G1620&lt;=H1620,"اطلب الآن",""))</f>
        <v/>
      </c>
    </row>
    <row r="1621">
      <c r="A1621" s="4" t="n"/>
      <c r="B1621" s="4" t="n"/>
      <c r="C1621" s="4" t="n"/>
      <c r="D1621" s="4" t="n"/>
      <c r="E1621" s="4" t="n"/>
      <c r="F1621">
        <f>IF(A1621="","",SUMIFS(المبيعات!$F$2:$F$2000,المبيعات!$D$2:$D$2000,A1621))</f>
        <v/>
      </c>
      <c r="G1621">
        <f>IF(A1621="","",E1621-F1621)</f>
        <v/>
      </c>
      <c r="H1621" s="4" t="n"/>
      <c r="I1621">
        <f>IF(OR(A1621="",H1621=""),"",IF(G1621&lt;=H1621,"اطلب الآن",""))</f>
        <v/>
      </c>
    </row>
    <row r="1622">
      <c r="A1622" s="4" t="n"/>
      <c r="B1622" s="4" t="n"/>
      <c r="C1622" s="4" t="n"/>
      <c r="D1622" s="4" t="n"/>
      <c r="E1622" s="4" t="n"/>
      <c r="F1622">
        <f>IF(A1622="","",SUMIFS(المبيعات!$F$2:$F$2000,المبيعات!$D$2:$D$2000,A1622))</f>
        <v/>
      </c>
      <c r="G1622">
        <f>IF(A1622="","",E1622-F1622)</f>
        <v/>
      </c>
      <c r="H1622" s="4" t="n"/>
      <c r="I1622">
        <f>IF(OR(A1622="",H1622=""),"",IF(G1622&lt;=H1622,"اطلب الآن",""))</f>
        <v/>
      </c>
    </row>
    <row r="1623">
      <c r="A1623" s="4" t="n"/>
      <c r="B1623" s="4" t="n"/>
      <c r="C1623" s="4" t="n"/>
      <c r="D1623" s="4" t="n"/>
      <c r="E1623" s="4" t="n"/>
      <c r="F1623">
        <f>IF(A1623="","",SUMIFS(المبيعات!$F$2:$F$2000,المبيعات!$D$2:$D$2000,A1623))</f>
        <v/>
      </c>
      <c r="G1623">
        <f>IF(A1623="","",E1623-F1623)</f>
        <v/>
      </c>
      <c r="H1623" s="4" t="n"/>
      <c r="I1623">
        <f>IF(OR(A1623="",H1623=""),"",IF(G1623&lt;=H1623,"اطلب الآن",""))</f>
        <v/>
      </c>
    </row>
    <row r="1624">
      <c r="A1624" s="4" t="n"/>
      <c r="B1624" s="4" t="n"/>
      <c r="C1624" s="4" t="n"/>
      <c r="D1624" s="4" t="n"/>
      <c r="E1624" s="4" t="n"/>
      <c r="F1624">
        <f>IF(A1624="","",SUMIFS(المبيعات!$F$2:$F$2000,المبيعات!$D$2:$D$2000,A1624))</f>
        <v/>
      </c>
      <c r="G1624">
        <f>IF(A1624="","",E1624-F1624)</f>
        <v/>
      </c>
      <c r="H1624" s="4" t="n"/>
      <c r="I1624">
        <f>IF(OR(A1624="",H1624=""),"",IF(G1624&lt;=H1624,"اطلب الآن",""))</f>
        <v/>
      </c>
    </row>
    <row r="1625">
      <c r="A1625" s="4" t="n"/>
      <c r="B1625" s="4" t="n"/>
      <c r="C1625" s="4" t="n"/>
      <c r="D1625" s="4" t="n"/>
      <c r="E1625" s="4" t="n"/>
      <c r="F1625">
        <f>IF(A1625="","",SUMIFS(المبيعات!$F$2:$F$2000,المبيعات!$D$2:$D$2000,A1625))</f>
        <v/>
      </c>
      <c r="G1625">
        <f>IF(A1625="","",E1625-F1625)</f>
        <v/>
      </c>
      <c r="H1625" s="4" t="n"/>
      <c r="I1625">
        <f>IF(OR(A1625="",H1625=""),"",IF(G1625&lt;=H1625,"اطلب الآن",""))</f>
        <v/>
      </c>
    </row>
    <row r="1626">
      <c r="A1626" s="4" t="n"/>
      <c r="B1626" s="4" t="n"/>
      <c r="C1626" s="4" t="n"/>
      <c r="D1626" s="4" t="n"/>
      <c r="E1626" s="4" t="n"/>
      <c r="F1626">
        <f>IF(A1626="","",SUMIFS(المبيعات!$F$2:$F$2000,المبيعات!$D$2:$D$2000,A1626))</f>
        <v/>
      </c>
      <c r="G1626">
        <f>IF(A1626="","",E1626-F1626)</f>
        <v/>
      </c>
      <c r="H1626" s="4" t="n"/>
      <c r="I1626">
        <f>IF(OR(A1626="",H1626=""),"",IF(G1626&lt;=H1626,"اطلب الآن",""))</f>
        <v/>
      </c>
    </row>
    <row r="1627">
      <c r="A1627" s="4" t="n"/>
      <c r="B1627" s="4" t="n"/>
      <c r="C1627" s="4" t="n"/>
      <c r="D1627" s="4" t="n"/>
      <c r="E1627" s="4" t="n"/>
      <c r="F1627">
        <f>IF(A1627="","",SUMIFS(المبيعات!$F$2:$F$2000,المبيعات!$D$2:$D$2000,A1627))</f>
        <v/>
      </c>
      <c r="G1627">
        <f>IF(A1627="","",E1627-F1627)</f>
        <v/>
      </c>
      <c r="H1627" s="4" t="n"/>
      <c r="I1627">
        <f>IF(OR(A1627="",H1627=""),"",IF(G1627&lt;=H1627,"اطلب الآن",""))</f>
        <v/>
      </c>
    </row>
    <row r="1628">
      <c r="A1628" s="4" t="n"/>
      <c r="B1628" s="4" t="n"/>
      <c r="C1628" s="4" t="n"/>
      <c r="D1628" s="4" t="n"/>
      <c r="E1628" s="4" t="n"/>
      <c r="F1628">
        <f>IF(A1628="","",SUMIFS(المبيعات!$F$2:$F$2000,المبيعات!$D$2:$D$2000,A1628))</f>
        <v/>
      </c>
      <c r="G1628">
        <f>IF(A1628="","",E1628-F1628)</f>
        <v/>
      </c>
      <c r="H1628" s="4" t="n"/>
      <c r="I1628">
        <f>IF(OR(A1628="",H1628=""),"",IF(G1628&lt;=H1628,"اطلب الآن",""))</f>
        <v/>
      </c>
    </row>
    <row r="1629">
      <c r="A1629" s="4" t="n"/>
      <c r="B1629" s="4" t="n"/>
      <c r="C1629" s="4" t="n"/>
      <c r="D1629" s="4" t="n"/>
      <c r="E1629" s="4" t="n"/>
      <c r="F1629">
        <f>IF(A1629="","",SUMIFS(المبيعات!$F$2:$F$2000,المبيعات!$D$2:$D$2000,A1629))</f>
        <v/>
      </c>
      <c r="G1629">
        <f>IF(A1629="","",E1629-F1629)</f>
        <v/>
      </c>
      <c r="H1629" s="4" t="n"/>
      <c r="I1629">
        <f>IF(OR(A1629="",H1629=""),"",IF(G1629&lt;=H1629,"اطلب الآن",""))</f>
        <v/>
      </c>
    </row>
    <row r="1630">
      <c r="A1630" s="4" t="n"/>
      <c r="B1630" s="4" t="n"/>
      <c r="C1630" s="4" t="n"/>
      <c r="D1630" s="4" t="n"/>
      <c r="E1630" s="4" t="n"/>
      <c r="F1630">
        <f>IF(A1630="","",SUMIFS(المبيعات!$F$2:$F$2000,المبيعات!$D$2:$D$2000,A1630))</f>
        <v/>
      </c>
      <c r="G1630">
        <f>IF(A1630="","",E1630-F1630)</f>
        <v/>
      </c>
      <c r="H1630" s="4" t="n"/>
      <c r="I1630">
        <f>IF(OR(A1630="",H1630=""),"",IF(G1630&lt;=H1630,"اطلب الآن",""))</f>
        <v/>
      </c>
    </row>
    <row r="1631">
      <c r="A1631" s="4" t="n"/>
      <c r="B1631" s="4" t="n"/>
      <c r="C1631" s="4" t="n"/>
      <c r="D1631" s="4" t="n"/>
      <c r="E1631" s="4" t="n"/>
      <c r="F1631">
        <f>IF(A1631="","",SUMIFS(المبيعات!$F$2:$F$2000,المبيعات!$D$2:$D$2000,A1631))</f>
        <v/>
      </c>
      <c r="G1631">
        <f>IF(A1631="","",E1631-F1631)</f>
        <v/>
      </c>
      <c r="H1631" s="4" t="n"/>
      <c r="I1631">
        <f>IF(OR(A1631="",H1631=""),"",IF(G1631&lt;=H1631,"اطلب الآن",""))</f>
        <v/>
      </c>
    </row>
    <row r="1632">
      <c r="A1632" s="4" t="n"/>
      <c r="B1632" s="4" t="n"/>
      <c r="C1632" s="4" t="n"/>
      <c r="D1632" s="4" t="n"/>
      <c r="E1632" s="4" t="n"/>
      <c r="F1632">
        <f>IF(A1632="","",SUMIFS(المبيعات!$F$2:$F$2000,المبيعات!$D$2:$D$2000,A1632))</f>
        <v/>
      </c>
      <c r="G1632">
        <f>IF(A1632="","",E1632-F1632)</f>
        <v/>
      </c>
      <c r="H1632" s="4" t="n"/>
      <c r="I1632">
        <f>IF(OR(A1632="",H1632=""),"",IF(G1632&lt;=H1632,"اطلب الآن",""))</f>
        <v/>
      </c>
    </row>
    <row r="1633">
      <c r="A1633" s="4" t="n"/>
      <c r="B1633" s="4" t="n"/>
      <c r="C1633" s="4" t="n"/>
      <c r="D1633" s="4" t="n"/>
      <c r="E1633" s="4" t="n"/>
      <c r="F1633">
        <f>IF(A1633="","",SUMIFS(المبيعات!$F$2:$F$2000,المبيعات!$D$2:$D$2000,A1633))</f>
        <v/>
      </c>
      <c r="G1633">
        <f>IF(A1633="","",E1633-F1633)</f>
        <v/>
      </c>
      <c r="H1633" s="4" t="n"/>
      <c r="I1633">
        <f>IF(OR(A1633="",H1633=""),"",IF(G1633&lt;=H1633,"اطلب الآن",""))</f>
        <v/>
      </c>
    </row>
    <row r="1634">
      <c r="A1634" s="4" t="n"/>
      <c r="B1634" s="4" t="n"/>
      <c r="C1634" s="4" t="n"/>
      <c r="D1634" s="4" t="n"/>
      <c r="E1634" s="4" t="n"/>
      <c r="F1634">
        <f>IF(A1634="","",SUMIFS(المبيعات!$F$2:$F$2000,المبيعات!$D$2:$D$2000,A1634))</f>
        <v/>
      </c>
      <c r="G1634">
        <f>IF(A1634="","",E1634-F1634)</f>
        <v/>
      </c>
      <c r="H1634" s="4" t="n"/>
      <c r="I1634">
        <f>IF(OR(A1634="",H1634=""),"",IF(G1634&lt;=H1634,"اطلب الآن",""))</f>
        <v/>
      </c>
    </row>
    <row r="1635">
      <c r="A1635" s="4" t="n"/>
      <c r="B1635" s="4" t="n"/>
      <c r="C1635" s="4" t="n"/>
      <c r="D1635" s="4" t="n"/>
      <c r="E1635" s="4" t="n"/>
      <c r="F1635">
        <f>IF(A1635="","",SUMIFS(المبيعات!$F$2:$F$2000,المبيعات!$D$2:$D$2000,A1635))</f>
        <v/>
      </c>
      <c r="G1635">
        <f>IF(A1635="","",E1635-F1635)</f>
        <v/>
      </c>
      <c r="H1635" s="4" t="n"/>
      <c r="I1635">
        <f>IF(OR(A1635="",H1635=""),"",IF(G1635&lt;=H1635,"اطلب الآن",""))</f>
        <v/>
      </c>
    </row>
    <row r="1636">
      <c r="A1636" s="4" t="n"/>
      <c r="B1636" s="4" t="n"/>
      <c r="C1636" s="4" t="n"/>
      <c r="D1636" s="4" t="n"/>
      <c r="E1636" s="4" t="n"/>
      <c r="F1636">
        <f>IF(A1636="","",SUMIFS(المبيعات!$F$2:$F$2000,المبيعات!$D$2:$D$2000,A1636))</f>
        <v/>
      </c>
      <c r="G1636">
        <f>IF(A1636="","",E1636-F1636)</f>
        <v/>
      </c>
      <c r="H1636" s="4" t="n"/>
      <c r="I1636">
        <f>IF(OR(A1636="",H1636=""),"",IF(G1636&lt;=H1636,"اطلب الآن",""))</f>
        <v/>
      </c>
    </row>
    <row r="1637">
      <c r="A1637" s="4" t="n"/>
      <c r="B1637" s="4" t="n"/>
      <c r="C1637" s="4" t="n"/>
      <c r="D1637" s="4" t="n"/>
      <c r="E1637" s="4" t="n"/>
      <c r="F1637">
        <f>IF(A1637="","",SUMIFS(المبيعات!$F$2:$F$2000,المبيعات!$D$2:$D$2000,A1637))</f>
        <v/>
      </c>
      <c r="G1637">
        <f>IF(A1637="","",E1637-F1637)</f>
        <v/>
      </c>
      <c r="H1637" s="4" t="n"/>
      <c r="I1637">
        <f>IF(OR(A1637="",H1637=""),"",IF(G1637&lt;=H1637,"اطلب الآن",""))</f>
        <v/>
      </c>
    </row>
    <row r="1638">
      <c r="A1638" s="4" t="n"/>
      <c r="B1638" s="4" t="n"/>
      <c r="C1638" s="4" t="n"/>
      <c r="D1638" s="4" t="n"/>
      <c r="E1638" s="4" t="n"/>
      <c r="F1638">
        <f>IF(A1638="","",SUMIFS(المبيعات!$F$2:$F$2000,المبيعات!$D$2:$D$2000,A1638))</f>
        <v/>
      </c>
      <c r="G1638">
        <f>IF(A1638="","",E1638-F1638)</f>
        <v/>
      </c>
      <c r="H1638" s="4" t="n"/>
      <c r="I1638">
        <f>IF(OR(A1638="",H1638=""),"",IF(G1638&lt;=H1638,"اطلب الآن",""))</f>
        <v/>
      </c>
    </row>
    <row r="1639">
      <c r="A1639" s="4" t="n"/>
      <c r="B1639" s="4" t="n"/>
      <c r="C1639" s="4" t="n"/>
      <c r="D1639" s="4" t="n"/>
      <c r="E1639" s="4" t="n"/>
      <c r="F1639">
        <f>IF(A1639="","",SUMIFS(المبيعات!$F$2:$F$2000,المبيعات!$D$2:$D$2000,A1639))</f>
        <v/>
      </c>
      <c r="G1639">
        <f>IF(A1639="","",E1639-F1639)</f>
        <v/>
      </c>
      <c r="H1639" s="4" t="n"/>
      <c r="I1639">
        <f>IF(OR(A1639="",H1639=""),"",IF(G1639&lt;=H1639,"اطلب الآن",""))</f>
        <v/>
      </c>
    </row>
    <row r="1640">
      <c r="A1640" s="4" t="n"/>
      <c r="B1640" s="4" t="n"/>
      <c r="C1640" s="4" t="n"/>
      <c r="D1640" s="4" t="n"/>
      <c r="E1640" s="4" t="n"/>
      <c r="F1640">
        <f>IF(A1640="","",SUMIFS(المبيعات!$F$2:$F$2000,المبيعات!$D$2:$D$2000,A1640))</f>
        <v/>
      </c>
      <c r="G1640">
        <f>IF(A1640="","",E1640-F1640)</f>
        <v/>
      </c>
      <c r="H1640" s="4" t="n"/>
      <c r="I1640">
        <f>IF(OR(A1640="",H1640=""),"",IF(G1640&lt;=H1640,"اطلب الآن",""))</f>
        <v/>
      </c>
    </row>
    <row r="1641">
      <c r="A1641" s="4" t="n"/>
      <c r="B1641" s="4" t="n"/>
      <c r="C1641" s="4" t="n"/>
      <c r="D1641" s="4" t="n"/>
      <c r="E1641" s="4" t="n"/>
      <c r="F1641">
        <f>IF(A1641="","",SUMIFS(المبيعات!$F$2:$F$2000,المبيعات!$D$2:$D$2000,A1641))</f>
        <v/>
      </c>
      <c r="G1641">
        <f>IF(A1641="","",E1641-F1641)</f>
        <v/>
      </c>
      <c r="H1641" s="4" t="n"/>
      <c r="I1641">
        <f>IF(OR(A1641="",H1641=""),"",IF(G1641&lt;=H1641,"اطلب الآن",""))</f>
        <v/>
      </c>
    </row>
    <row r="1642">
      <c r="A1642" s="4" t="n"/>
      <c r="B1642" s="4" t="n"/>
      <c r="C1642" s="4" t="n"/>
      <c r="D1642" s="4" t="n"/>
      <c r="E1642" s="4" t="n"/>
      <c r="F1642">
        <f>IF(A1642="","",SUMIFS(المبيعات!$F$2:$F$2000,المبيعات!$D$2:$D$2000,A1642))</f>
        <v/>
      </c>
      <c r="G1642">
        <f>IF(A1642="","",E1642-F1642)</f>
        <v/>
      </c>
      <c r="H1642" s="4" t="n"/>
      <c r="I1642">
        <f>IF(OR(A1642="",H1642=""),"",IF(G1642&lt;=H1642,"اطلب الآن",""))</f>
        <v/>
      </c>
    </row>
    <row r="1643">
      <c r="A1643" s="4" t="n"/>
      <c r="B1643" s="4" t="n"/>
      <c r="C1643" s="4" t="n"/>
      <c r="D1643" s="4" t="n"/>
      <c r="E1643" s="4" t="n"/>
      <c r="F1643">
        <f>IF(A1643="","",SUMIFS(المبيعات!$F$2:$F$2000,المبيعات!$D$2:$D$2000,A1643))</f>
        <v/>
      </c>
      <c r="G1643">
        <f>IF(A1643="","",E1643-F1643)</f>
        <v/>
      </c>
      <c r="H1643" s="4" t="n"/>
      <c r="I1643">
        <f>IF(OR(A1643="",H1643=""),"",IF(G1643&lt;=H1643,"اطلب الآن",""))</f>
        <v/>
      </c>
    </row>
    <row r="1644">
      <c r="A1644" s="4" t="n"/>
      <c r="B1644" s="4" t="n"/>
      <c r="C1644" s="4" t="n"/>
      <c r="D1644" s="4" t="n"/>
      <c r="E1644" s="4" t="n"/>
      <c r="F1644">
        <f>IF(A1644="","",SUMIFS(المبيعات!$F$2:$F$2000,المبيعات!$D$2:$D$2000,A1644))</f>
        <v/>
      </c>
      <c r="G1644">
        <f>IF(A1644="","",E1644-F1644)</f>
        <v/>
      </c>
      <c r="H1644" s="4" t="n"/>
      <c r="I1644">
        <f>IF(OR(A1644="",H1644=""),"",IF(G1644&lt;=H1644,"اطلب الآن",""))</f>
        <v/>
      </c>
    </row>
    <row r="1645">
      <c r="A1645" s="4" t="n"/>
      <c r="B1645" s="4" t="n"/>
      <c r="C1645" s="4" t="n"/>
      <c r="D1645" s="4" t="n"/>
      <c r="E1645" s="4" t="n"/>
      <c r="F1645">
        <f>IF(A1645="","",SUMIFS(المبيعات!$F$2:$F$2000,المبيعات!$D$2:$D$2000,A1645))</f>
        <v/>
      </c>
      <c r="G1645">
        <f>IF(A1645="","",E1645-F1645)</f>
        <v/>
      </c>
      <c r="H1645" s="4" t="n"/>
      <c r="I1645">
        <f>IF(OR(A1645="",H1645=""),"",IF(G1645&lt;=H1645,"اطلب الآن",""))</f>
        <v/>
      </c>
    </row>
    <row r="1646">
      <c r="A1646" s="4" t="n"/>
      <c r="B1646" s="4" t="n"/>
      <c r="C1646" s="4" t="n"/>
      <c r="D1646" s="4" t="n"/>
      <c r="E1646" s="4" t="n"/>
      <c r="F1646">
        <f>IF(A1646="","",SUMIFS(المبيعات!$F$2:$F$2000,المبيعات!$D$2:$D$2000,A1646))</f>
        <v/>
      </c>
      <c r="G1646">
        <f>IF(A1646="","",E1646-F1646)</f>
        <v/>
      </c>
      <c r="H1646" s="4" t="n"/>
      <c r="I1646">
        <f>IF(OR(A1646="",H1646=""),"",IF(G1646&lt;=H1646,"اطلب الآن",""))</f>
        <v/>
      </c>
    </row>
    <row r="1647">
      <c r="A1647" s="4" t="n"/>
      <c r="B1647" s="4" t="n"/>
      <c r="C1647" s="4" t="n"/>
      <c r="D1647" s="4" t="n"/>
      <c r="E1647" s="4" t="n"/>
      <c r="F1647">
        <f>IF(A1647="","",SUMIFS(المبيعات!$F$2:$F$2000,المبيعات!$D$2:$D$2000,A1647))</f>
        <v/>
      </c>
      <c r="G1647">
        <f>IF(A1647="","",E1647-F1647)</f>
        <v/>
      </c>
      <c r="H1647" s="4" t="n"/>
      <c r="I1647">
        <f>IF(OR(A1647="",H1647=""),"",IF(G1647&lt;=H1647,"اطلب الآن",""))</f>
        <v/>
      </c>
    </row>
    <row r="1648">
      <c r="A1648" s="4" t="n"/>
      <c r="B1648" s="4" t="n"/>
      <c r="C1648" s="4" t="n"/>
      <c r="D1648" s="4" t="n"/>
      <c r="E1648" s="4" t="n"/>
      <c r="F1648">
        <f>IF(A1648="","",SUMIFS(المبيعات!$F$2:$F$2000,المبيعات!$D$2:$D$2000,A1648))</f>
        <v/>
      </c>
      <c r="G1648">
        <f>IF(A1648="","",E1648-F1648)</f>
        <v/>
      </c>
      <c r="H1648" s="4" t="n"/>
      <c r="I1648">
        <f>IF(OR(A1648="",H1648=""),"",IF(G1648&lt;=H1648,"اطلب الآن",""))</f>
        <v/>
      </c>
    </row>
    <row r="1649">
      <c r="A1649" s="4" t="n"/>
      <c r="B1649" s="4" t="n"/>
      <c r="C1649" s="4" t="n"/>
      <c r="D1649" s="4" t="n"/>
      <c r="E1649" s="4" t="n"/>
      <c r="F1649">
        <f>IF(A1649="","",SUMIFS(المبيعات!$F$2:$F$2000,المبيعات!$D$2:$D$2000,A1649))</f>
        <v/>
      </c>
      <c r="G1649">
        <f>IF(A1649="","",E1649-F1649)</f>
        <v/>
      </c>
      <c r="H1649" s="4" t="n"/>
      <c r="I1649">
        <f>IF(OR(A1649="",H1649=""),"",IF(G1649&lt;=H1649,"اطلب الآن",""))</f>
        <v/>
      </c>
    </row>
    <row r="1650">
      <c r="A1650" s="4" t="n"/>
      <c r="B1650" s="4" t="n"/>
      <c r="C1650" s="4" t="n"/>
      <c r="D1650" s="4" t="n"/>
      <c r="E1650" s="4" t="n"/>
      <c r="F1650">
        <f>IF(A1650="","",SUMIFS(المبيعات!$F$2:$F$2000,المبيعات!$D$2:$D$2000,A1650))</f>
        <v/>
      </c>
      <c r="G1650">
        <f>IF(A1650="","",E1650-F1650)</f>
        <v/>
      </c>
      <c r="H1650" s="4" t="n"/>
      <c r="I1650">
        <f>IF(OR(A1650="",H1650=""),"",IF(G1650&lt;=H1650,"اطلب الآن",""))</f>
        <v/>
      </c>
    </row>
    <row r="1651">
      <c r="A1651" s="4" t="n"/>
      <c r="B1651" s="4" t="n"/>
      <c r="C1651" s="4" t="n"/>
      <c r="D1651" s="4" t="n"/>
      <c r="E1651" s="4" t="n"/>
      <c r="F1651">
        <f>IF(A1651="","",SUMIFS(المبيعات!$F$2:$F$2000,المبيعات!$D$2:$D$2000,A1651))</f>
        <v/>
      </c>
      <c r="G1651">
        <f>IF(A1651="","",E1651-F1651)</f>
        <v/>
      </c>
      <c r="H1651" s="4" t="n"/>
      <c r="I1651">
        <f>IF(OR(A1651="",H1651=""),"",IF(G1651&lt;=H1651,"اطلب الآن",""))</f>
        <v/>
      </c>
    </row>
    <row r="1652">
      <c r="A1652" s="4" t="n"/>
      <c r="B1652" s="4" t="n"/>
      <c r="C1652" s="4" t="n"/>
      <c r="D1652" s="4" t="n"/>
      <c r="E1652" s="4" t="n"/>
      <c r="F1652">
        <f>IF(A1652="","",SUMIFS(المبيعات!$F$2:$F$2000,المبيعات!$D$2:$D$2000,A1652))</f>
        <v/>
      </c>
      <c r="G1652">
        <f>IF(A1652="","",E1652-F1652)</f>
        <v/>
      </c>
      <c r="H1652" s="4" t="n"/>
      <c r="I1652">
        <f>IF(OR(A1652="",H1652=""),"",IF(G1652&lt;=H1652,"اطلب الآن",""))</f>
        <v/>
      </c>
    </row>
    <row r="1653">
      <c r="A1653" s="4" t="n"/>
      <c r="B1653" s="4" t="n"/>
      <c r="C1653" s="4" t="n"/>
      <c r="D1653" s="4" t="n"/>
      <c r="E1653" s="4" t="n"/>
      <c r="F1653">
        <f>IF(A1653="","",SUMIFS(المبيعات!$F$2:$F$2000,المبيعات!$D$2:$D$2000,A1653))</f>
        <v/>
      </c>
      <c r="G1653">
        <f>IF(A1653="","",E1653-F1653)</f>
        <v/>
      </c>
      <c r="H1653" s="4" t="n"/>
      <c r="I1653">
        <f>IF(OR(A1653="",H1653=""),"",IF(G1653&lt;=H1653,"اطلب الآن",""))</f>
        <v/>
      </c>
    </row>
    <row r="1654">
      <c r="A1654" s="4" t="n"/>
      <c r="B1654" s="4" t="n"/>
      <c r="C1654" s="4" t="n"/>
      <c r="D1654" s="4" t="n"/>
      <c r="E1654" s="4" t="n"/>
      <c r="F1654">
        <f>IF(A1654="","",SUMIFS(المبيعات!$F$2:$F$2000,المبيعات!$D$2:$D$2000,A1654))</f>
        <v/>
      </c>
      <c r="G1654">
        <f>IF(A1654="","",E1654-F1654)</f>
        <v/>
      </c>
      <c r="H1654" s="4" t="n"/>
      <c r="I1654">
        <f>IF(OR(A1654="",H1654=""),"",IF(G1654&lt;=H1654,"اطلب الآن",""))</f>
        <v/>
      </c>
    </row>
    <row r="1655">
      <c r="A1655" s="4" t="n"/>
      <c r="B1655" s="4" t="n"/>
      <c r="C1655" s="4" t="n"/>
      <c r="D1655" s="4" t="n"/>
      <c r="E1655" s="4" t="n"/>
      <c r="F1655">
        <f>IF(A1655="","",SUMIFS(المبيعات!$F$2:$F$2000,المبيعات!$D$2:$D$2000,A1655))</f>
        <v/>
      </c>
      <c r="G1655">
        <f>IF(A1655="","",E1655-F1655)</f>
        <v/>
      </c>
      <c r="H1655" s="4" t="n"/>
      <c r="I1655">
        <f>IF(OR(A1655="",H1655=""),"",IF(G1655&lt;=H1655,"اطلب الآن",""))</f>
        <v/>
      </c>
    </row>
    <row r="1656">
      <c r="A1656" s="4" t="n"/>
      <c r="B1656" s="4" t="n"/>
      <c r="C1656" s="4" t="n"/>
      <c r="D1656" s="4" t="n"/>
      <c r="E1656" s="4" t="n"/>
      <c r="F1656">
        <f>IF(A1656="","",SUMIFS(المبيعات!$F$2:$F$2000,المبيعات!$D$2:$D$2000,A1656))</f>
        <v/>
      </c>
      <c r="G1656">
        <f>IF(A1656="","",E1656-F1656)</f>
        <v/>
      </c>
      <c r="H1656" s="4" t="n"/>
      <c r="I1656">
        <f>IF(OR(A1656="",H1656=""),"",IF(G1656&lt;=H1656,"اطلب الآن",""))</f>
        <v/>
      </c>
    </row>
    <row r="1657">
      <c r="A1657" s="4" t="n"/>
      <c r="B1657" s="4" t="n"/>
      <c r="C1657" s="4" t="n"/>
      <c r="D1657" s="4" t="n"/>
      <c r="E1657" s="4" t="n"/>
      <c r="F1657">
        <f>IF(A1657="","",SUMIFS(المبيعات!$F$2:$F$2000,المبيعات!$D$2:$D$2000,A1657))</f>
        <v/>
      </c>
      <c r="G1657">
        <f>IF(A1657="","",E1657-F1657)</f>
        <v/>
      </c>
      <c r="H1657" s="4" t="n"/>
      <c r="I1657">
        <f>IF(OR(A1657="",H1657=""),"",IF(G1657&lt;=H1657,"اطلب الآن",""))</f>
        <v/>
      </c>
    </row>
    <row r="1658">
      <c r="A1658" s="4" t="n"/>
      <c r="B1658" s="4" t="n"/>
      <c r="C1658" s="4" t="n"/>
      <c r="D1658" s="4" t="n"/>
      <c r="E1658" s="4" t="n"/>
      <c r="F1658">
        <f>IF(A1658="","",SUMIFS(المبيعات!$F$2:$F$2000,المبيعات!$D$2:$D$2000,A1658))</f>
        <v/>
      </c>
      <c r="G1658">
        <f>IF(A1658="","",E1658-F1658)</f>
        <v/>
      </c>
      <c r="H1658" s="4" t="n"/>
      <c r="I1658">
        <f>IF(OR(A1658="",H1658=""),"",IF(G1658&lt;=H1658,"اطلب الآن",""))</f>
        <v/>
      </c>
    </row>
    <row r="1659">
      <c r="A1659" s="4" t="n"/>
      <c r="B1659" s="4" t="n"/>
      <c r="C1659" s="4" t="n"/>
      <c r="D1659" s="4" t="n"/>
      <c r="E1659" s="4" t="n"/>
      <c r="F1659">
        <f>IF(A1659="","",SUMIFS(المبيعات!$F$2:$F$2000,المبيعات!$D$2:$D$2000,A1659))</f>
        <v/>
      </c>
      <c r="G1659">
        <f>IF(A1659="","",E1659-F1659)</f>
        <v/>
      </c>
      <c r="H1659" s="4" t="n"/>
      <c r="I1659">
        <f>IF(OR(A1659="",H1659=""),"",IF(G1659&lt;=H1659,"اطلب الآن",""))</f>
        <v/>
      </c>
    </row>
    <row r="1660">
      <c r="A1660" s="4" t="n"/>
      <c r="B1660" s="4" t="n"/>
      <c r="C1660" s="4" t="n"/>
      <c r="D1660" s="4" t="n"/>
      <c r="E1660" s="4" t="n"/>
      <c r="F1660">
        <f>IF(A1660="","",SUMIFS(المبيعات!$F$2:$F$2000,المبيعات!$D$2:$D$2000,A1660))</f>
        <v/>
      </c>
      <c r="G1660">
        <f>IF(A1660="","",E1660-F1660)</f>
        <v/>
      </c>
      <c r="H1660" s="4" t="n"/>
      <c r="I1660">
        <f>IF(OR(A1660="",H1660=""),"",IF(G1660&lt;=H1660,"اطلب الآن",""))</f>
        <v/>
      </c>
    </row>
    <row r="1661">
      <c r="A1661" s="4" t="n"/>
      <c r="B1661" s="4" t="n"/>
      <c r="C1661" s="4" t="n"/>
      <c r="D1661" s="4" t="n"/>
      <c r="E1661" s="4" t="n"/>
      <c r="F1661">
        <f>IF(A1661="","",SUMIFS(المبيعات!$F$2:$F$2000,المبيعات!$D$2:$D$2000,A1661))</f>
        <v/>
      </c>
      <c r="G1661">
        <f>IF(A1661="","",E1661-F1661)</f>
        <v/>
      </c>
      <c r="H1661" s="4" t="n"/>
      <c r="I1661">
        <f>IF(OR(A1661="",H1661=""),"",IF(G1661&lt;=H1661,"اطلب الآن",""))</f>
        <v/>
      </c>
    </row>
    <row r="1662">
      <c r="A1662" s="4" t="n"/>
      <c r="B1662" s="4" t="n"/>
      <c r="C1662" s="4" t="n"/>
      <c r="D1662" s="4" t="n"/>
      <c r="E1662" s="4" t="n"/>
      <c r="F1662">
        <f>IF(A1662="","",SUMIFS(المبيعات!$F$2:$F$2000,المبيعات!$D$2:$D$2000,A1662))</f>
        <v/>
      </c>
      <c r="G1662">
        <f>IF(A1662="","",E1662-F1662)</f>
        <v/>
      </c>
      <c r="H1662" s="4" t="n"/>
      <c r="I1662">
        <f>IF(OR(A1662="",H1662=""),"",IF(G1662&lt;=H1662,"اطلب الآن",""))</f>
        <v/>
      </c>
    </row>
    <row r="1663">
      <c r="A1663" s="4" t="n"/>
      <c r="B1663" s="4" t="n"/>
      <c r="C1663" s="4" t="n"/>
      <c r="D1663" s="4" t="n"/>
      <c r="E1663" s="4" t="n"/>
      <c r="F1663">
        <f>IF(A1663="","",SUMIFS(المبيعات!$F$2:$F$2000,المبيعات!$D$2:$D$2000,A1663))</f>
        <v/>
      </c>
      <c r="G1663">
        <f>IF(A1663="","",E1663-F1663)</f>
        <v/>
      </c>
      <c r="H1663" s="4" t="n"/>
      <c r="I1663">
        <f>IF(OR(A1663="",H1663=""),"",IF(G1663&lt;=H1663,"اطلب الآن",""))</f>
        <v/>
      </c>
    </row>
    <row r="1664">
      <c r="A1664" s="4" t="n"/>
      <c r="B1664" s="4" t="n"/>
      <c r="C1664" s="4" t="n"/>
      <c r="D1664" s="4" t="n"/>
      <c r="E1664" s="4" t="n"/>
      <c r="F1664">
        <f>IF(A1664="","",SUMIFS(المبيعات!$F$2:$F$2000,المبيعات!$D$2:$D$2000,A1664))</f>
        <v/>
      </c>
      <c r="G1664">
        <f>IF(A1664="","",E1664-F1664)</f>
        <v/>
      </c>
      <c r="H1664" s="4" t="n"/>
      <c r="I1664">
        <f>IF(OR(A1664="",H1664=""),"",IF(G1664&lt;=H1664,"اطلب الآن",""))</f>
        <v/>
      </c>
    </row>
    <row r="1665">
      <c r="A1665" s="4" t="n"/>
      <c r="B1665" s="4" t="n"/>
      <c r="C1665" s="4" t="n"/>
      <c r="D1665" s="4" t="n"/>
      <c r="E1665" s="4" t="n"/>
      <c r="F1665">
        <f>IF(A1665="","",SUMIFS(المبيعات!$F$2:$F$2000,المبيعات!$D$2:$D$2000,A1665))</f>
        <v/>
      </c>
      <c r="G1665">
        <f>IF(A1665="","",E1665-F1665)</f>
        <v/>
      </c>
      <c r="H1665" s="4" t="n"/>
      <c r="I1665">
        <f>IF(OR(A1665="",H1665=""),"",IF(G1665&lt;=H1665,"اطلب الآن",""))</f>
        <v/>
      </c>
    </row>
    <row r="1666">
      <c r="A1666" s="4" t="n"/>
      <c r="B1666" s="4" t="n"/>
      <c r="C1666" s="4" t="n"/>
      <c r="D1666" s="4" t="n"/>
      <c r="E1666" s="4" t="n"/>
      <c r="F1666">
        <f>IF(A1666="","",SUMIFS(المبيعات!$F$2:$F$2000,المبيعات!$D$2:$D$2000,A1666))</f>
        <v/>
      </c>
      <c r="G1666">
        <f>IF(A1666="","",E1666-F1666)</f>
        <v/>
      </c>
      <c r="H1666" s="4" t="n"/>
      <c r="I1666">
        <f>IF(OR(A1666="",H1666=""),"",IF(G1666&lt;=H1666,"اطلب الآن",""))</f>
        <v/>
      </c>
    </row>
    <row r="1667">
      <c r="A1667" s="4" t="n"/>
      <c r="B1667" s="4" t="n"/>
      <c r="C1667" s="4" t="n"/>
      <c r="D1667" s="4" t="n"/>
      <c r="E1667" s="4" t="n"/>
      <c r="F1667">
        <f>IF(A1667="","",SUMIFS(المبيعات!$F$2:$F$2000,المبيعات!$D$2:$D$2000,A1667))</f>
        <v/>
      </c>
      <c r="G1667">
        <f>IF(A1667="","",E1667-F1667)</f>
        <v/>
      </c>
      <c r="H1667" s="4" t="n"/>
      <c r="I1667">
        <f>IF(OR(A1667="",H1667=""),"",IF(G1667&lt;=H1667,"اطلب الآن",""))</f>
        <v/>
      </c>
    </row>
    <row r="1668">
      <c r="A1668" s="4" t="n"/>
      <c r="B1668" s="4" t="n"/>
      <c r="C1668" s="4" t="n"/>
      <c r="D1668" s="4" t="n"/>
      <c r="E1668" s="4" t="n"/>
      <c r="F1668">
        <f>IF(A1668="","",SUMIFS(المبيعات!$F$2:$F$2000,المبيعات!$D$2:$D$2000,A1668))</f>
        <v/>
      </c>
      <c r="G1668">
        <f>IF(A1668="","",E1668-F1668)</f>
        <v/>
      </c>
      <c r="H1668" s="4" t="n"/>
      <c r="I1668">
        <f>IF(OR(A1668="",H1668=""),"",IF(G1668&lt;=H1668,"اطلب الآن",""))</f>
        <v/>
      </c>
    </row>
    <row r="1669">
      <c r="A1669" s="4" t="n"/>
      <c r="B1669" s="4" t="n"/>
      <c r="C1669" s="4" t="n"/>
      <c r="D1669" s="4" t="n"/>
      <c r="E1669" s="4" t="n"/>
      <c r="F1669">
        <f>IF(A1669="","",SUMIFS(المبيعات!$F$2:$F$2000,المبيعات!$D$2:$D$2000,A1669))</f>
        <v/>
      </c>
      <c r="G1669">
        <f>IF(A1669="","",E1669-F1669)</f>
        <v/>
      </c>
      <c r="H1669" s="4" t="n"/>
      <c r="I1669">
        <f>IF(OR(A1669="",H1669=""),"",IF(G1669&lt;=H1669,"اطلب الآن",""))</f>
        <v/>
      </c>
    </row>
    <row r="1670">
      <c r="A1670" s="4" t="n"/>
      <c r="B1670" s="4" t="n"/>
      <c r="C1670" s="4" t="n"/>
      <c r="D1670" s="4" t="n"/>
      <c r="E1670" s="4" t="n"/>
      <c r="F1670">
        <f>IF(A1670="","",SUMIFS(المبيعات!$F$2:$F$2000,المبيعات!$D$2:$D$2000,A1670))</f>
        <v/>
      </c>
      <c r="G1670">
        <f>IF(A1670="","",E1670-F1670)</f>
        <v/>
      </c>
      <c r="H1670" s="4" t="n"/>
      <c r="I1670">
        <f>IF(OR(A1670="",H1670=""),"",IF(G1670&lt;=H1670,"اطلب الآن",""))</f>
        <v/>
      </c>
    </row>
    <row r="1671">
      <c r="A1671" s="4" t="n"/>
      <c r="B1671" s="4" t="n"/>
      <c r="C1671" s="4" t="n"/>
      <c r="D1671" s="4" t="n"/>
      <c r="E1671" s="4" t="n"/>
      <c r="F1671">
        <f>IF(A1671="","",SUMIFS(المبيعات!$F$2:$F$2000,المبيعات!$D$2:$D$2000,A1671))</f>
        <v/>
      </c>
      <c r="G1671">
        <f>IF(A1671="","",E1671-F1671)</f>
        <v/>
      </c>
      <c r="H1671" s="4" t="n"/>
      <c r="I1671">
        <f>IF(OR(A1671="",H1671=""),"",IF(G1671&lt;=H1671,"اطلب الآن",""))</f>
        <v/>
      </c>
    </row>
    <row r="1672">
      <c r="A1672" s="4" t="n"/>
      <c r="B1672" s="4" t="n"/>
      <c r="C1672" s="4" t="n"/>
      <c r="D1672" s="4" t="n"/>
      <c r="E1672" s="4" t="n"/>
      <c r="F1672">
        <f>IF(A1672="","",SUMIFS(المبيعات!$F$2:$F$2000,المبيعات!$D$2:$D$2000,A1672))</f>
        <v/>
      </c>
      <c r="G1672">
        <f>IF(A1672="","",E1672-F1672)</f>
        <v/>
      </c>
      <c r="H1672" s="4" t="n"/>
      <c r="I1672">
        <f>IF(OR(A1672="",H1672=""),"",IF(G1672&lt;=H1672,"اطلب الآن",""))</f>
        <v/>
      </c>
    </row>
    <row r="1673">
      <c r="A1673" s="4" t="n"/>
      <c r="B1673" s="4" t="n"/>
      <c r="C1673" s="4" t="n"/>
      <c r="D1673" s="4" t="n"/>
      <c r="E1673" s="4" t="n"/>
      <c r="F1673">
        <f>IF(A1673="","",SUMIFS(المبيعات!$F$2:$F$2000,المبيعات!$D$2:$D$2000,A1673))</f>
        <v/>
      </c>
      <c r="G1673">
        <f>IF(A1673="","",E1673-F1673)</f>
        <v/>
      </c>
      <c r="H1673" s="4" t="n"/>
      <c r="I1673">
        <f>IF(OR(A1673="",H1673=""),"",IF(G1673&lt;=H1673,"اطلب الآن",""))</f>
        <v/>
      </c>
    </row>
    <row r="1674">
      <c r="A1674" s="4" t="n"/>
      <c r="B1674" s="4" t="n"/>
      <c r="C1674" s="4" t="n"/>
      <c r="D1674" s="4" t="n"/>
      <c r="E1674" s="4" t="n"/>
      <c r="F1674">
        <f>IF(A1674="","",SUMIFS(المبيعات!$F$2:$F$2000,المبيعات!$D$2:$D$2000,A1674))</f>
        <v/>
      </c>
      <c r="G1674">
        <f>IF(A1674="","",E1674-F1674)</f>
        <v/>
      </c>
      <c r="H1674" s="4" t="n"/>
      <c r="I1674">
        <f>IF(OR(A1674="",H1674=""),"",IF(G1674&lt;=H1674,"اطلب الآن",""))</f>
        <v/>
      </c>
    </row>
    <row r="1675">
      <c r="A1675" s="4" t="n"/>
      <c r="B1675" s="4" t="n"/>
      <c r="C1675" s="4" t="n"/>
      <c r="D1675" s="4" t="n"/>
      <c r="E1675" s="4" t="n"/>
      <c r="F1675">
        <f>IF(A1675="","",SUMIFS(المبيعات!$F$2:$F$2000,المبيعات!$D$2:$D$2000,A1675))</f>
        <v/>
      </c>
      <c r="G1675">
        <f>IF(A1675="","",E1675-F1675)</f>
        <v/>
      </c>
      <c r="H1675" s="4" t="n"/>
      <c r="I1675">
        <f>IF(OR(A1675="",H1675=""),"",IF(G1675&lt;=H1675,"اطلب الآن",""))</f>
        <v/>
      </c>
    </row>
    <row r="1676">
      <c r="A1676" s="4" t="n"/>
      <c r="B1676" s="4" t="n"/>
      <c r="C1676" s="4" t="n"/>
      <c r="D1676" s="4" t="n"/>
      <c r="E1676" s="4" t="n"/>
      <c r="F1676">
        <f>IF(A1676="","",SUMIFS(المبيعات!$F$2:$F$2000,المبيعات!$D$2:$D$2000,A1676))</f>
        <v/>
      </c>
      <c r="G1676">
        <f>IF(A1676="","",E1676-F1676)</f>
        <v/>
      </c>
      <c r="H1676" s="4" t="n"/>
      <c r="I1676">
        <f>IF(OR(A1676="",H1676=""),"",IF(G1676&lt;=H1676,"اطلب الآن",""))</f>
        <v/>
      </c>
    </row>
    <row r="1677">
      <c r="A1677" s="4" t="n"/>
      <c r="B1677" s="4" t="n"/>
      <c r="C1677" s="4" t="n"/>
      <c r="D1677" s="4" t="n"/>
      <c r="E1677" s="4" t="n"/>
      <c r="F1677">
        <f>IF(A1677="","",SUMIFS(المبيعات!$F$2:$F$2000,المبيعات!$D$2:$D$2000,A1677))</f>
        <v/>
      </c>
      <c r="G1677">
        <f>IF(A1677="","",E1677-F1677)</f>
        <v/>
      </c>
      <c r="H1677" s="4" t="n"/>
      <c r="I1677">
        <f>IF(OR(A1677="",H1677=""),"",IF(G1677&lt;=H1677,"اطلب الآن",""))</f>
        <v/>
      </c>
    </row>
    <row r="1678">
      <c r="A1678" s="4" t="n"/>
      <c r="B1678" s="4" t="n"/>
      <c r="C1678" s="4" t="n"/>
      <c r="D1678" s="4" t="n"/>
      <c r="E1678" s="4" t="n"/>
      <c r="F1678">
        <f>IF(A1678="","",SUMIFS(المبيعات!$F$2:$F$2000,المبيعات!$D$2:$D$2000,A1678))</f>
        <v/>
      </c>
      <c r="G1678">
        <f>IF(A1678="","",E1678-F1678)</f>
        <v/>
      </c>
      <c r="H1678" s="4" t="n"/>
      <c r="I1678">
        <f>IF(OR(A1678="",H1678=""),"",IF(G1678&lt;=H1678,"اطلب الآن",""))</f>
        <v/>
      </c>
    </row>
    <row r="1679">
      <c r="A1679" s="4" t="n"/>
      <c r="B1679" s="4" t="n"/>
      <c r="C1679" s="4" t="n"/>
      <c r="D1679" s="4" t="n"/>
      <c r="E1679" s="4" t="n"/>
      <c r="F1679">
        <f>IF(A1679="","",SUMIFS(المبيعات!$F$2:$F$2000,المبيعات!$D$2:$D$2000,A1679))</f>
        <v/>
      </c>
      <c r="G1679">
        <f>IF(A1679="","",E1679-F1679)</f>
        <v/>
      </c>
      <c r="H1679" s="4" t="n"/>
      <c r="I1679">
        <f>IF(OR(A1679="",H1679=""),"",IF(G1679&lt;=H1679,"اطلب الآن",""))</f>
        <v/>
      </c>
    </row>
    <row r="1680">
      <c r="A1680" s="4" t="n"/>
      <c r="B1680" s="4" t="n"/>
      <c r="C1680" s="4" t="n"/>
      <c r="D1680" s="4" t="n"/>
      <c r="E1680" s="4" t="n"/>
      <c r="F1680">
        <f>IF(A1680="","",SUMIFS(المبيعات!$F$2:$F$2000,المبيعات!$D$2:$D$2000,A1680))</f>
        <v/>
      </c>
      <c r="G1680">
        <f>IF(A1680="","",E1680-F1680)</f>
        <v/>
      </c>
      <c r="H1680" s="4" t="n"/>
      <c r="I1680">
        <f>IF(OR(A1680="",H1680=""),"",IF(G1680&lt;=H1680,"اطلب الآن",""))</f>
        <v/>
      </c>
    </row>
    <row r="1681">
      <c r="A1681" s="4" t="n"/>
      <c r="B1681" s="4" t="n"/>
      <c r="C1681" s="4" t="n"/>
      <c r="D1681" s="4" t="n"/>
      <c r="E1681" s="4" t="n"/>
      <c r="F1681">
        <f>IF(A1681="","",SUMIFS(المبيعات!$F$2:$F$2000,المبيعات!$D$2:$D$2000,A1681))</f>
        <v/>
      </c>
      <c r="G1681">
        <f>IF(A1681="","",E1681-F1681)</f>
        <v/>
      </c>
      <c r="H1681" s="4" t="n"/>
      <c r="I1681">
        <f>IF(OR(A1681="",H1681=""),"",IF(G1681&lt;=H1681,"اطلب الآن",""))</f>
        <v/>
      </c>
    </row>
    <row r="1682">
      <c r="A1682" s="4" t="n"/>
      <c r="B1682" s="4" t="n"/>
      <c r="C1682" s="4" t="n"/>
      <c r="D1682" s="4" t="n"/>
      <c r="E1682" s="4" t="n"/>
      <c r="F1682">
        <f>IF(A1682="","",SUMIFS(المبيعات!$F$2:$F$2000,المبيعات!$D$2:$D$2000,A1682))</f>
        <v/>
      </c>
      <c r="G1682">
        <f>IF(A1682="","",E1682-F1682)</f>
        <v/>
      </c>
      <c r="H1682" s="4" t="n"/>
      <c r="I1682">
        <f>IF(OR(A1682="",H1682=""),"",IF(G1682&lt;=H1682,"اطلب الآن",""))</f>
        <v/>
      </c>
    </row>
    <row r="1683">
      <c r="A1683" s="4" t="n"/>
      <c r="B1683" s="4" t="n"/>
      <c r="C1683" s="4" t="n"/>
      <c r="D1683" s="4" t="n"/>
      <c r="E1683" s="4" t="n"/>
      <c r="F1683">
        <f>IF(A1683="","",SUMIFS(المبيعات!$F$2:$F$2000,المبيعات!$D$2:$D$2000,A1683))</f>
        <v/>
      </c>
      <c r="G1683">
        <f>IF(A1683="","",E1683-F1683)</f>
        <v/>
      </c>
      <c r="H1683" s="4" t="n"/>
      <c r="I1683">
        <f>IF(OR(A1683="",H1683=""),"",IF(G1683&lt;=H1683,"اطلب الآن",""))</f>
        <v/>
      </c>
    </row>
    <row r="1684">
      <c r="A1684" s="4" t="n"/>
      <c r="B1684" s="4" t="n"/>
      <c r="C1684" s="4" t="n"/>
      <c r="D1684" s="4" t="n"/>
      <c r="E1684" s="4" t="n"/>
      <c r="F1684">
        <f>IF(A1684="","",SUMIFS(المبيعات!$F$2:$F$2000,المبيعات!$D$2:$D$2000,A1684))</f>
        <v/>
      </c>
      <c r="G1684">
        <f>IF(A1684="","",E1684-F1684)</f>
        <v/>
      </c>
      <c r="H1684" s="4" t="n"/>
      <c r="I1684">
        <f>IF(OR(A1684="",H1684=""),"",IF(G1684&lt;=H1684,"اطلب الآن",""))</f>
        <v/>
      </c>
    </row>
    <row r="1685">
      <c r="A1685" s="4" t="n"/>
      <c r="B1685" s="4" t="n"/>
      <c r="C1685" s="4" t="n"/>
      <c r="D1685" s="4" t="n"/>
      <c r="E1685" s="4" t="n"/>
      <c r="F1685">
        <f>IF(A1685="","",SUMIFS(المبيعات!$F$2:$F$2000,المبيعات!$D$2:$D$2000,A1685))</f>
        <v/>
      </c>
      <c r="G1685">
        <f>IF(A1685="","",E1685-F1685)</f>
        <v/>
      </c>
      <c r="H1685" s="4" t="n"/>
      <c r="I1685">
        <f>IF(OR(A1685="",H1685=""),"",IF(G1685&lt;=H1685,"اطلب الآن",""))</f>
        <v/>
      </c>
    </row>
    <row r="1686">
      <c r="A1686" s="4" t="n"/>
      <c r="B1686" s="4" t="n"/>
      <c r="C1686" s="4" t="n"/>
      <c r="D1686" s="4" t="n"/>
      <c r="E1686" s="4" t="n"/>
      <c r="F1686">
        <f>IF(A1686="","",SUMIFS(المبيعات!$F$2:$F$2000,المبيعات!$D$2:$D$2000,A1686))</f>
        <v/>
      </c>
      <c r="G1686">
        <f>IF(A1686="","",E1686-F1686)</f>
        <v/>
      </c>
      <c r="H1686" s="4" t="n"/>
      <c r="I1686">
        <f>IF(OR(A1686="",H1686=""),"",IF(G1686&lt;=H1686,"اطلب الآن",""))</f>
        <v/>
      </c>
    </row>
    <row r="1687">
      <c r="A1687" s="4" t="n"/>
      <c r="B1687" s="4" t="n"/>
      <c r="C1687" s="4" t="n"/>
      <c r="D1687" s="4" t="n"/>
      <c r="E1687" s="4" t="n"/>
      <c r="F1687">
        <f>IF(A1687="","",SUMIFS(المبيعات!$F$2:$F$2000,المبيعات!$D$2:$D$2000,A1687))</f>
        <v/>
      </c>
      <c r="G1687">
        <f>IF(A1687="","",E1687-F1687)</f>
        <v/>
      </c>
      <c r="H1687" s="4" t="n"/>
      <c r="I1687">
        <f>IF(OR(A1687="",H1687=""),"",IF(G1687&lt;=H1687,"اطلب الآن",""))</f>
        <v/>
      </c>
    </row>
    <row r="1688">
      <c r="A1688" s="4" t="n"/>
      <c r="B1688" s="4" t="n"/>
      <c r="C1688" s="4" t="n"/>
      <c r="D1688" s="4" t="n"/>
      <c r="E1688" s="4" t="n"/>
      <c r="F1688">
        <f>IF(A1688="","",SUMIFS(المبيعات!$F$2:$F$2000,المبيعات!$D$2:$D$2000,A1688))</f>
        <v/>
      </c>
      <c r="G1688">
        <f>IF(A1688="","",E1688-F1688)</f>
        <v/>
      </c>
      <c r="H1688" s="4" t="n"/>
      <c r="I1688">
        <f>IF(OR(A1688="",H1688=""),"",IF(G1688&lt;=H1688,"اطلب الآن",""))</f>
        <v/>
      </c>
    </row>
    <row r="1689">
      <c r="A1689" s="4" t="n"/>
      <c r="B1689" s="4" t="n"/>
      <c r="C1689" s="4" t="n"/>
      <c r="D1689" s="4" t="n"/>
      <c r="E1689" s="4" t="n"/>
      <c r="F1689">
        <f>IF(A1689="","",SUMIFS(المبيعات!$F$2:$F$2000,المبيعات!$D$2:$D$2000,A1689))</f>
        <v/>
      </c>
      <c r="G1689">
        <f>IF(A1689="","",E1689-F1689)</f>
        <v/>
      </c>
      <c r="H1689" s="4" t="n"/>
      <c r="I1689">
        <f>IF(OR(A1689="",H1689=""),"",IF(G1689&lt;=H1689,"اطلب الآن",""))</f>
        <v/>
      </c>
    </row>
    <row r="1690">
      <c r="A1690" s="4" t="n"/>
      <c r="B1690" s="4" t="n"/>
      <c r="C1690" s="4" t="n"/>
      <c r="D1690" s="4" t="n"/>
      <c r="E1690" s="4" t="n"/>
      <c r="F1690">
        <f>IF(A1690="","",SUMIFS(المبيعات!$F$2:$F$2000,المبيعات!$D$2:$D$2000,A1690))</f>
        <v/>
      </c>
      <c r="G1690">
        <f>IF(A1690="","",E1690-F1690)</f>
        <v/>
      </c>
      <c r="H1690" s="4" t="n"/>
      <c r="I1690">
        <f>IF(OR(A1690="",H1690=""),"",IF(G1690&lt;=H1690,"اطلب الآن",""))</f>
        <v/>
      </c>
    </row>
    <row r="1691">
      <c r="A1691" s="4" t="n"/>
      <c r="B1691" s="4" t="n"/>
      <c r="C1691" s="4" t="n"/>
      <c r="D1691" s="4" t="n"/>
      <c r="E1691" s="4" t="n"/>
      <c r="F1691">
        <f>IF(A1691="","",SUMIFS(المبيعات!$F$2:$F$2000,المبيعات!$D$2:$D$2000,A1691))</f>
        <v/>
      </c>
      <c r="G1691">
        <f>IF(A1691="","",E1691-F1691)</f>
        <v/>
      </c>
      <c r="H1691" s="4" t="n"/>
      <c r="I1691">
        <f>IF(OR(A1691="",H1691=""),"",IF(G1691&lt;=H1691,"اطلب الآن",""))</f>
        <v/>
      </c>
    </row>
    <row r="1692">
      <c r="A1692" s="4" t="n"/>
      <c r="B1692" s="4" t="n"/>
      <c r="C1692" s="4" t="n"/>
      <c r="D1692" s="4" t="n"/>
      <c r="E1692" s="4" t="n"/>
      <c r="F1692">
        <f>IF(A1692="","",SUMIFS(المبيعات!$F$2:$F$2000,المبيعات!$D$2:$D$2000,A1692))</f>
        <v/>
      </c>
      <c r="G1692">
        <f>IF(A1692="","",E1692-F1692)</f>
        <v/>
      </c>
      <c r="H1692" s="4" t="n"/>
      <c r="I1692">
        <f>IF(OR(A1692="",H1692=""),"",IF(G1692&lt;=H1692,"اطلب الآن",""))</f>
        <v/>
      </c>
    </row>
    <row r="1693">
      <c r="A1693" s="4" t="n"/>
      <c r="B1693" s="4" t="n"/>
      <c r="C1693" s="4" t="n"/>
      <c r="D1693" s="4" t="n"/>
      <c r="E1693" s="4" t="n"/>
      <c r="F1693">
        <f>IF(A1693="","",SUMIFS(المبيعات!$F$2:$F$2000,المبيعات!$D$2:$D$2000,A1693))</f>
        <v/>
      </c>
      <c r="G1693">
        <f>IF(A1693="","",E1693-F1693)</f>
        <v/>
      </c>
      <c r="H1693" s="4" t="n"/>
      <c r="I1693">
        <f>IF(OR(A1693="",H1693=""),"",IF(G1693&lt;=H1693,"اطلب الآن",""))</f>
        <v/>
      </c>
    </row>
    <row r="1694">
      <c r="A1694" s="4" t="n"/>
      <c r="B1694" s="4" t="n"/>
      <c r="C1694" s="4" t="n"/>
      <c r="D1694" s="4" t="n"/>
      <c r="E1694" s="4" t="n"/>
      <c r="F1694">
        <f>IF(A1694="","",SUMIFS(المبيعات!$F$2:$F$2000,المبيعات!$D$2:$D$2000,A1694))</f>
        <v/>
      </c>
      <c r="G1694">
        <f>IF(A1694="","",E1694-F1694)</f>
        <v/>
      </c>
      <c r="H1694" s="4" t="n"/>
      <c r="I1694">
        <f>IF(OR(A1694="",H1694=""),"",IF(G1694&lt;=H1694,"اطلب الآن",""))</f>
        <v/>
      </c>
    </row>
    <row r="1695">
      <c r="A1695" s="4" t="n"/>
      <c r="B1695" s="4" t="n"/>
      <c r="C1695" s="4" t="n"/>
      <c r="D1695" s="4" t="n"/>
      <c r="E1695" s="4" t="n"/>
      <c r="F1695">
        <f>IF(A1695="","",SUMIFS(المبيعات!$F$2:$F$2000,المبيعات!$D$2:$D$2000,A1695))</f>
        <v/>
      </c>
      <c r="G1695">
        <f>IF(A1695="","",E1695-F1695)</f>
        <v/>
      </c>
      <c r="H1695" s="4" t="n"/>
      <c r="I1695">
        <f>IF(OR(A1695="",H1695=""),"",IF(G1695&lt;=H1695,"اطلب الآن",""))</f>
        <v/>
      </c>
    </row>
    <row r="1696">
      <c r="A1696" s="4" t="n"/>
      <c r="B1696" s="4" t="n"/>
      <c r="C1696" s="4" t="n"/>
      <c r="D1696" s="4" t="n"/>
      <c r="E1696" s="4" t="n"/>
      <c r="F1696">
        <f>IF(A1696="","",SUMIFS(المبيعات!$F$2:$F$2000,المبيعات!$D$2:$D$2000,A1696))</f>
        <v/>
      </c>
      <c r="G1696">
        <f>IF(A1696="","",E1696-F1696)</f>
        <v/>
      </c>
      <c r="H1696" s="4" t="n"/>
      <c r="I1696">
        <f>IF(OR(A1696="",H1696=""),"",IF(G1696&lt;=H1696,"اطلب الآن",""))</f>
        <v/>
      </c>
    </row>
    <row r="1697">
      <c r="A1697" s="4" t="n"/>
      <c r="B1697" s="4" t="n"/>
      <c r="C1697" s="4" t="n"/>
      <c r="D1697" s="4" t="n"/>
      <c r="E1697" s="4" t="n"/>
      <c r="F1697">
        <f>IF(A1697="","",SUMIFS(المبيعات!$F$2:$F$2000,المبيعات!$D$2:$D$2000,A1697))</f>
        <v/>
      </c>
      <c r="G1697">
        <f>IF(A1697="","",E1697-F1697)</f>
        <v/>
      </c>
      <c r="H1697" s="4" t="n"/>
      <c r="I1697">
        <f>IF(OR(A1697="",H1697=""),"",IF(G1697&lt;=H1697,"اطلب الآن",""))</f>
        <v/>
      </c>
    </row>
    <row r="1698">
      <c r="A1698" s="4" t="n"/>
      <c r="B1698" s="4" t="n"/>
      <c r="C1698" s="4" t="n"/>
      <c r="D1698" s="4" t="n"/>
      <c r="E1698" s="4" t="n"/>
      <c r="F1698">
        <f>IF(A1698="","",SUMIFS(المبيعات!$F$2:$F$2000,المبيعات!$D$2:$D$2000,A1698))</f>
        <v/>
      </c>
      <c r="G1698">
        <f>IF(A1698="","",E1698-F1698)</f>
        <v/>
      </c>
      <c r="H1698" s="4" t="n"/>
      <c r="I1698">
        <f>IF(OR(A1698="",H1698=""),"",IF(G1698&lt;=H1698,"اطلب الآن",""))</f>
        <v/>
      </c>
    </row>
    <row r="1699">
      <c r="A1699" s="4" t="n"/>
      <c r="B1699" s="4" t="n"/>
      <c r="C1699" s="4" t="n"/>
      <c r="D1699" s="4" t="n"/>
      <c r="E1699" s="4" t="n"/>
      <c r="F1699">
        <f>IF(A1699="","",SUMIFS(المبيعات!$F$2:$F$2000,المبيعات!$D$2:$D$2000,A1699))</f>
        <v/>
      </c>
      <c r="G1699">
        <f>IF(A1699="","",E1699-F1699)</f>
        <v/>
      </c>
      <c r="H1699" s="4" t="n"/>
      <c r="I1699">
        <f>IF(OR(A1699="",H1699=""),"",IF(G1699&lt;=H1699,"اطلب الآن",""))</f>
        <v/>
      </c>
    </row>
    <row r="1700">
      <c r="A1700" s="4" t="n"/>
      <c r="B1700" s="4" t="n"/>
      <c r="C1700" s="4" t="n"/>
      <c r="D1700" s="4" t="n"/>
      <c r="E1700" s="4" t="n"/>
      <c r="F1700">
        <f>IF(A1700="","",SUMIFS(المبيعات!$F$2:$F$2000,المبيعات!$D$2:$D$2000,A1700))</f>
        <v/>
      </c>
      <c r="G1700">
        <f>IF(A1700="","",E1700-F1700)</f>
        <v/>
      </c>
      <c r="H1700" s="4" t="n"/>
      <c r="I1700">
        <f>IF(OR(A1700="",H1700=""),"",IF(G1700&lt;=H1700,"اطلب الآن",""))</f>
        <v/>
      </c>
    </row>
    <row r="1701">
      <c r="A1701" s="4" t="n"/>
      <c r="B1701" s="4" t="n"/>
      <c r="C1701" s="4" t="n"/>
      <c r="D1701" s="4" t="n"/>
      <c r="E1701" s="4" t="n"/>
      <c r="F1701">
        <f>IF(A1701="","",SUMIFS(المبيعات!$F$2:$F$2000,المبيعات!$D$2:$D$2000,A1701))</f>
        <v/>
      </c>
      <c r="G1701">
        <f>IF(A1701="","",E1701-F1701)</f>
        <v/>
      </c>
      <c r="H1701" s="4" t="n"/>
      <c r="I1701">
        <f>IF(OR(A1701="",H1701=""),"",IF(G1701&lt;=H1701,"اطلب الآن",""))</f>
        <v/>
      </c>
    </row>
    <row r="1702">
      <c r="A1702" s="4" t="n"/>
      <c r="B1702" s="4" t="n"/>
      <c r="C1702" s="4" t="n"/>
      <c r="D1702" s="4" t="n"/>
      <c r="E1702" s="4" t="n"/>
      <c r="F1702">
        <f>IF(A1702="","",SUMIFS(المبيعات!$F$2:$F$2000,المبيعات!$D$2:$D$2000,A1702))</f>
        <v/>
      </c>
      <c r="G1702">
        <f>IF(A1702="","",E1702-F1702)</f>
        <v/>
      </c>
      <c r="H1702" s="4" t="n"/>
      <c r="I1702">
        <f>IF(OR(A1702="",H1702=""),"",IF(G1702&lt;=H1702,"اطلب الآن",""))</f>
        <v/>
      </c>
    </row>
    <row r="1703">
      <c r="A1703" s="4" t="n"/>
      <c r="B1703" s="4" t="n"/>
      <c r="C1703" s="4" t="n"/>
      <c r="D1703" s="4" t="n"/>
      <c r="E1703" s="4" t="n"/>
      <c r="F1703">
        <f>IF(A1703="","",SUMIFS(المبيعات!$F$2:$F$2000,المبيعات!$D$2:$D$2000,A1703))</f>
        <v/>
      </c>
      <c r="G1703">
        <f>IF(A1703="","",E1703-F1703)</f>
        <v/>
      </c>
      <c r="H1703" s="4" t="n"/>
      <c r="I1703">
        <f>IF(OR(A1703="",H1703=""),"",IF(G1703&lt;=H1703,"اطلب الآن",""))</f>
        <v/>
      </c>
    </row>
    <row r="1704">
      <c r="A1704" s="4" t="n"/>
      <c r="B1704" s="4" t="n"/>
      <c r="C1704" s="4" t="n"/>
      <c r="D1704" s="4" t="n"/>
      <c r="E1704" s="4" t="n"/>
      <c r="F1704">
        <f>IF(A1704="","",SUMIFS(المبيعات!$F$2:$F$2000,المبيعات!$D$2:$D$2000,A1704))</f>
        <v/>
      </c>
      <c r="G1704">
        <f>IF(A1704="","",E1704-F1704)</f>
        <v/>
      </c>
      <c r="H1704" s="4" t="n"/>
      <c r="I1704">
        <f>IF(OR(A1704="",H1704=""),"",IF(G1704&lt;=H1704,"اطلب الآن",""))</f>
        <v/>
      </c>
    </row>
    <row r="1705">
      <c r="A1705" s="4" t="n"/>
      <c r="B1705" s="4" t="n"/>
      <c r="C1705" s="4" t="n"/>
      <c r="D1705" s="4" t="n"/>
      <c r="E1705" s="4" t="n"/>
      <c r="F1705">
        <f>IF(A1705="","",SUMIFS(المبيعات!$F$2:$F$2000,المبيعات!$D$2:$D$2000,A1705))</f>
        <v/>
      </c>
      <c r="G1705">
        <f>IF(A1705="","",E1705-F1705)</f>
        <v/>
      </c>
      <c r="H1705" s="4" t="n"/>
      <c r="I1705">
        <f>IF(OR(A1705="",H1705=""),"",IF(G1705&lt;=H1705,"اطلب الآن",""))</f>
        <v/>
      </c>
    </row>
    <row r="1706">
      <c r="A1706" s="4" t="n"/>
      <c r="B1706" s="4" t="n"/>
      <c r="C1706" s="4" t="n"/>
      <c r="D1706" s="4" t="n"/>
      <c r="E1706" s="4" t="n"/>
      <c r="F1706">
        <f>IF(A1706="","",SUMIFS(المبيعات!$F$2:$F$2000,المبيعات!$D$2:$D$2000,A1706))</f>
        <v/>
      </c>
      <c r="G1706">
        <f>IF(A1706="","",E1706-F1706)</f>
        <v/>
      </c>
      <c r="H1706" s="4" t="n"/>
      <c r="I1706">
        <f>IF(OR(A1706="",H1706=""),"",IF(G1706&lt;=H1706,"اطلب الآن",""))</f>
        <v/>
      </c>
    </row>
    <row r="1707">
      <c r="A1707" s="4" t="n"/>
      <c r="B1707" s="4" t="n"/>
      <c r="C1707" s="4" t="n"/>
      <c r="D1707" s="4" t="n"/>
      <c r="E1707" s="4" t="n"/>
      <c r="F1707">
        <f>IF(A1707="","",SUMIFS(المبيعات!$F$2:$F$2000,المبيعات!$D$2:$D$2000,A1707))</f>
        <v/>
      </c>
      <c r="G1707">
        <f>IF(A1707="","",E1707-F1707)</f>
        <v/>
      </c>
      <c r="H1707" s="4" t="n"/>
      <c r="I1707">
        <f>IF(OR(A1707="",H1707=""),"",IF(G1707&lt;=H1707,"اطلب الآن",""))</f>
        <v/>
      </c>
    </row>
    <row r="1708">
      <c r="A1708" s="4" t="n"/>
      <c r="B1708" s="4" t="n"/>
      <c r="C1708" s="4" t="n"/>
      <c r="D1708" s="4" t="n"/>
      <c r="E1708" s="4" t="n"/>
      <c r="F1708">
        <f>IF(A1708="","",SUMIFS(المبيعات!$F$2:$F$2000,المبيعات!$D$2:$D$2000,A1708))</f>
        <v/>
      </c>
      <c r="G1708">
        <f>IF(A1708="","",E1708-F1708)</f>
        <v/>
      </c>
      <c r="H1708" s="4" t="n"/>
      <c r="I1708">
        <f>IF(OR(A1708="",H1708=""),"",IF(G1708&lt;=H1708,"اطلب الآن",""))</f>
        <v/>
      </c>
    </row>
    <row r="1709">
      <c r="A1709" s="4" t="n"/>
      <c r="B1709" s="4" t="n"/>
      <c r="C1709" s="4" t="n"/>
      <c r="D1709" s="4" t="n"/>
      <c r="E1709" s="4" t="n"/>
      <c r="F1709">
        <f>IF(A1709="","",SUMIFS(المبيعات!$F$2:$F$2000,المبيعات!$D$2:$D$2000,A1709))</f>
        <v/>
      </c>
      <c r="G1709">
        <f>IF(A1709="","",E1709-F1709)</f>
        <v/>
      </c>
      <c r="H1709" s="4" t="n"/>
      <c r="I1709">
        <f>IF(OR(A1709="",H1709=""),"",IF(G1709&lt;=H1709,"اطلب الآن",""))</f>
        <v/>
      </c>
    </row>
    <row r="1710">
      <c r="A1710" s="4" t="n"/>
      <c r="B1710" s="4" t="n"/>
      <c r="C1710" s="4" t="n"/>
      <c r="D1710" s="4" t="n"/>
      <c r="E1710" s="4" t="n"/>
      <c r="F1710">
        <f>IF(A1710="","",SUMIFS(المبيعات!$F$2:$F$2000,المبيعات!$D$2:$D$2000,A1710))</f>
        <v/>
      </c>
      <c r="G1710">
        <f>IF(A1710="","",E1710-F1710)</f>
        <v/>
      </c>
      <c r="H1710" s="4" t="n"/>
      <c r="I1710">
        <f>IF(OR(A1710="",H1710=""),"",IF(G1710&lt;=H1710,"اطلب الآن",""))</f>
        <v/>
      </c>
    </row>
    <row r="1711">
      <c r="A1711" s="4" t="n"/>
      <c r="B1711" s="4" t="n"/>
      <c r="C1711" s="4" t="n"/>
      <c r="D1711" s="4" t="n"/>
      <c r="E1711" s="4" t="n"/>
      <c r="F1711">
        <f>IF(A1711="","",SUMIFS(المبيعات!$F$2:$F$2000,المبيعات!$D$2:$D$2000,A1711))</f>
        <v/>
      </c>
      <c r="G1711">
        <f>IF(A1711="","",E1711-F1711)</f>
        <v/>
      </c>
      <c r="H1711" s="4" t="n"/>
      <c r="I1711">
        <f>IF(OR(A1711="",H1711=""),"",IF(G1711&lt;=H1711,"اطلب الآن",""))</f>
        <v/>
      </c>
    </row>
    <row r="1712">
      <c r="A1712" s="4" t="n"/>
      <c r="B1712" s="4" t="n"/>
      <c r="C1712" s="4" t="n"/>
      <c r="D1712" s="4" t="n"/>
      <c r="E1712" s="4" t="n"/>
      <c r="F1712">
        <f>IF(A1712="","",SUMIFS(المبيعات!$F$2:$F$2000,المبيعات!$D$2:$D$2000,A1712))</f>
        <v/>
      </c>
      <c r="G1712">
        <f>IF(A1712="","",E1712-F1712)</f>
        <v/>
      </c>
      <c r="H1712" s="4" t="n"/>
      <c r="I1712">
        <f>IF(OR(A1712="",H1712=""),"",IF(G1712&lt;=H1712,"اطلب الآن",""))</f>
        <v/>
      </c>
    </row>
    <row r="1713">
      <c r="A1713" s="4" t="n"/>
      <c r="B1713" s="4" t="n"/>
      <c r="C1713" s="4" t="n"/>
      <c r="D1713" s="4" t="n"/>
      <c r="E1713" s="4" t="n"/>
      <c r="F1713">
        <f>IF(A1713="","",SUMIFS(المبيعات!$F$2:$F$2000,المبيعات!$D$2:$D$2000,A1713))</f>
        <v/>
      </c>
      <c r="G1713">
        <f>IF(A1713="","",E1713-F1713)</f>
        <v/>
      </c>
      <c r="H1713" s="4" t="n"/>
      <c r="I1713">
        <f>IF(OR(A1713="",H1713=""),"",IF(G1713&lt;=H1713,"اطلب الآن",""))</f>
        <v/>
      </c>
    </row>
    <row r="1714">
      <c r="A1714" s="4" t="n"/>
      <c r="B1714" s="4" t="n"/>
      <c r="C1714" s="4" t="n"/>
      <c r="D1714" s="4" t="n"/>
      <c r="E1714" s="4" t="n"/>
      <c r="F1714">
        <f>IF(A1714="","",SUMIFS(المبيعات!$F$2:$F$2000,المبيعات!$D$2:$D$2000,A1714))</f>
        <v/>
      </c>
      <c r="G1714">
        <f>IF(A1714="","",E1714-F1714)</f>
        <v/>
      </c>
      <c r="H1714" s="4" t="n"/>
      <c r="I1714">
        <f>IF(OR(A1714="",H1714=""),"",IF(G1714&lt;=H1714,"اطلب الآن",""))</f>
        <v/>
      </c>
    </row>
    <row r="1715">
      <c r="A1715" s="4" t="n"/>
      <c r="B1715" s="4" t="n"/>
      <c r="C1715" s="4" t="n"/>
      <c r="D1715" s="4" t="n"/>
      <c r="E1715" s="4" t="n"/>
      <c r="F1715">
        <f>IF(A1715="","",SUMIFS(المبيعات!$F$2:$F$2000,المبيعات!$D$2:$D$2000,A1715))</f>
        <v/>
      </c>
      <c r="G1715">
        <f>IF(A1715="","",E1715-F1715)</f>
        <v/>
      </c>
      <c r="H1715" s="4" t="n"/>
      <c r="I1715">
        <f>IF(OR(A1715="",H1715=""),"",IF(G1715&lt;=H1715,"اطلب الآن",""))</f>
        <v/>
      </c>
    </row>
    <row r="1716">
      <c r="A1716" s="4" t="n"/>
      <c r="B1716" s="4" t="n"/>
      <c r="C1716" s="4" t="n"/>
      <c r="D1716" s="4" t="n"/>
      <c r="E1716" s="4" t="n"/>
      <c r="F1716">
        <f>IF(A1716="","",SUMIFS(المبيعات!$F$2:$F$2000,المبيعات!$D$2:$D$2000,A1716))</f>
        <v/>
      </c>
      <c r="G1716">
        <f>IF(A1716="","",E1716-F1716)</f>
        <v/>
      </c>
      <c r="H1716" s="4" t="n"/>
      <c r="I1716">
        <f>IF(OR(A1716="",H1716=""),"",IF(G1716&lt;=H1716,"اطلب الآن",""))</f>
        <v/>
      </c>
    </row>
    <row r="1717">
      <c r="A1717" s="4" t="n"/>
      <c r="B1717" s="4" t="n"/>
      <c r="C1717" s="4" t="n"/>
      <c r="D1717" s="4" t="n"/>
      <c r="E1717" s="4" t="n"/>
      <c r="F1717">
        <f>IF(A1717="","",SUMIFS(المبيعات!$F$2:$F$2000,المبيعات!$D$2:$D$2000,A1717))</f>
        <v/>
      </c>
      <c r="G1717">
        <f>IF(A1717="","",E1717-F1717)</f>
        <v/>
      </c>
      <c r="H1717" s="4" t="n"/>
      <c r="I1717">
        <f>IF(OR(A1717="",H1717=""),"",IF(G1717&lt;=H1717,"اطلب الآن",""))</f>
        <v/>
      </c>
    </row>
    <row r="1718">
      <c r="A1718" s="4" t="n"/>
      <c r="B1718" s="4" t="n"/>
      <c r="C1718" s="4" t="n"/>
      <c r="D1718" s="4" t="n"/>
      <c r="E1718" s="4" t="n"/>
      <c r="F1718">
        <f>IF(A1718="","",SUMIFS(المبيعات!$F$2:$F$2000,المبيعات!$D$2:$D$2000,A1718))</f>
        <v/>
      </c>
      <c r="G1718">
        <f>IF(A1718="","",E1718-F1718)</f>
        <v/>
      </c>
      <c r="H1718" s="4" t="n"/>
      <c r="I1718">
        <f>IF(OR(A1718="",H1718=""),"",IF(G1718&lt;=H1718,"اطلب الآن",""))</f>
        <v/>
      </c>
    </row>
    <row r="1719">
      <c r="A1719" s="4" t="n"/>
      <c r="B1719" s="4" t="n"/>
      <c r="C1719" s="4" t="n"/>
      <c r="D1719" s="4" t="n"/>
      <c r="E1719" s="4" t="n"/>
      <c r="F1719">
        <f>IF(A1719="","",SUMIFS(المبيعات!$F$2:$F$2000,المبيعات!$D$2:$D$2000,A1719))</f>
        <v/>
      </c>
      <c r="G1719">
        <f>IF(A1719="","",E1719-F1719)</f>
        <v/>
      </c>
      <c r="H1719" s="4" t="n"/>
      <c r="I1719">
        <f>IF(OR(A1719="",H1719=""),"",IF(G1719&lt;=H1719,"اطلب الآن",""))</f>
        <v/>
      </c>
    </row>
    <row r="1720">
      <c r="A1720" s="4" t="n"/>
      <c r="B1720" s="4" t="n"/>
      <c r="C1720" s="4" t="n"/>
      <c r="D1720" s="4" t="n"/>
      <c r="E1720" s="4" t="n"/>
      <c r="F1720">
        <f>IF(A1720="","",SUMIFS(المبيعات!$F$2:$F$2000,المبيعات!$D$2:$D$2000,A1720))</f>
        <v/>
      </c>
      <c r="G1720">
        <f>IF(A1720="","",E1720-F1720)</f>
        <v/>
      </c>
      <c r="H1720" s="4" t="n"/>
      <c r="I1720">
        <f>IF(OR(A1720="",H1720=""),"",IF(G1720&lt;=H1720,"اطلب الآن",""))</f>
        <v/>
      </c>
    </row>
    <row r="1721">
      <c r="A1721" s="4" t="n"/>
      <c r="B1721" s="4" t="n"/>
      <c r="C1721" s="4" t="n"/>
      <c r="D1721" s="4" t="n"/>
      <c r="E1721" s="4" t="n"/>
      <c r="F1721">
        <f>IF(A1721="","",SUMIFS(المبيعات!$F$2:$F$2000,المبيعات!$D$2:$D$2000,A1721))</f>
        <v/>
      </c>
      <c r="G1721">
        <f>IF(A1721="","",E1721-F1721)</f>
        <v/>
      </c>
      <c r="H1721" s="4" t="n"/>
      <c r="I1721">
        <f>IF(OR(A1721="",H1721=""),"",IF(G1721&lt;=H1721,"اطلب الآن",""))</f>
        <v/>
      </c>
    </row>
    <row r="1722">
      <c r="A1722" s="4" t="n"/>
      <c r="B1722" s="4" t="n"/>
      <c r="C1722" s="4" t="n"/>
      <c r="D1722" s="4" t="n"/>
      <c r="E1722" s="4" t="n"/>
      <c r="F1722">
        <f>IF(A1722="","",SUMIFS(المبيعات!$F$2:$F$2000,المبيعات!$D$2:$D$2000,A1722))</f>
        <v/>
      </c>
      <c r="G1722">
        <f>IF(A1722="","",E1722-F1722)</f>
        <v/>
      </c>
      <c r="H1722" s="4" t="n"/>
      <c r="I1722">
        <f>IF(OR(A1722="",H1722=""),"",IF(G1722&lt;=H1722,"اطلب الآن",""))</f>
        <v/>
      </c>
    </row>
    <row r="1723">
      <c r="A1723" s="4" t="n"/>
      <c r="B1723" s="4" t="n"/>
      <c r="C1723" s="4" t="n"/>
      <c r="D1723" s="4" t="n"/>
      <c r="E1723" s="4" t="n"/>
      <c r="F1723">
        <f>IF(A1723="","",SUMIFS(المبيعات!$F$2:$F$2000,المبيعات!$D$2:$D$2000,A1723))</f>
        <v/>
      </c>
      <c r="G1723">
        <f>IF(A1723="","",E1723-F1723)</f>
        <v/>
      </c>
      <c r="H1723" s="4" t="n"/>
      <c r="I1723">
        <f>IF(OR(A1723="",H1723=""),"",IF(G1723&lt;=H1723,"اطلب الآن",""))</f>
        <v/>
      </c>
    </row>
    <row r="1724">
      <c r="A1724" s="4" t="n"/>
      <c r="B1724" s="4" t="n"/>
      <c r="C1724" s="4" t="n"/>
      <c r="D1724" s="4" t="n"/>
      <c r="E1724" s="4" t="n"/>
      <c r="F1724">
        <f>IF(A1724="","",SUMIFS(المبيعات!$F$2:$F$2000,المبيعات!$D$2:$D$2000,A1724))</f>
        <v/>
      </c>
      <c r="G1724">
        <f>IF(A1724="","",E1724-F1724)</f>
        <v/>
      </c>
      <c r="H1724" s="4" t="n"/>
      <c r="I1724">
        <f>IF(OR(A1724="",H1724=""),"",IF(G1724&lt;=H1724,"اطلب الآن",""))</f>
        <v/>
      </c>
    </row>
    <row r="1725">
      <c r="A1725" s="4" t="n"/>
      <c r="B1725" s="4" t="n"/>
      <c r="C1725" s="4" t="n"/>
      <c r="D1725" s="4" t="n"/>
      <c r="E1725" s="4" t="n"/>
      <c r="F1725">
        <f>IF(A1725="","",SUMIFS(المبيعات!$F$2:$F$2000,المبيعات!$D$2:$D$2000,A1725))</f>
        <v/>
      </c>
      <c r="G1725">
        <f>IF(A1725="","",E1725-F1725)</f>
        <v/>
      </c>
      <c r="H1725" s="4" t="n"/>
      <c r="I1725">
        <f>IF(OR(A1725="",H1725=""),"",IF(G1725&lt;=H1725,"اطلب الآن",""))</f>
        <v/>
      </c>
    </row>
    <row r="1726">
      <c r="A1726" s="4" t="n"/>
      <c r="B1726" s="4" t="n"/>
      <c r="C1726" s="4" t="n"/>
      <c r="D1726" s="4" t="n"/>
      <c r="E1726" s="4" t="n"/>
      <c r="F1726">
        <f>IF(A1726="","",SUMIFS(المبيعات!$F$2:$F$2000,المبيعات!$D$2:$D$2000,A1726))</f>
        <v/>
      </c>
      <c r="G1726">
        <f>IF(A1726="","",E1726-F1726)</f>
        <v/>
      </c>
      <c r="H1726" s="4" t="n"/>
      <c r="I1726">
        <f>IF(OR(A1726="",H1726=""),"",IF(G1726&lt;=H1726,"اطلب الآن",""))</f>
        <v/>
      </c>
    </row>
    <row r="1727">
      <c r="A1727" s="4" t="n"/>
      <c r="B1727" s="4" t="n"/>
      <c r="C1727" s="4" t="n"/>
      <c r="D1727" s="4" t="n"/>
      <c r="E1727" s="4" t="n"/>
      <c r="F1727">
        <f>IF(A1727="","",SUMIFS(المبيعات!$F$2:$F$2000,المبيعات!$D$2:$D$2000,A1727))</f>
        <v/>
      </c>
      <c r="G1727">
        <f>IF(A1727="","",E1727-F1727)</f>
        <v/>
      </c>
      <c r="H1727" s="4" t="n"/>
      <c r="I1727">
        <f>IF(OR(A1727="",H1727=""),"",IF(G1727&lt;=H1727,"اطلب الآن",""))</f>
        <v/>
      </c>
    </row>
    <row r="1728">
      <c r="A1728" s="4" t="n"/>
      <c r="B1728" s="4" t="n"/>
      <c r="C1728" s="4" t="n"/>
      <c r="D1728" s="4" t="n"/>
      <c r="E1728" s="4" t="n"/>
      <c r="F1728">
        <f>IF(A1728="","",SUMIFS(المبيعات!$F$2:$F$2000,المبيعات!$D$2:$D$2000,A1728))</f>
        <v/>
      </c>
      <c r="G1728">
        <f>IF(A1728="","",E1728-F1728)</f>
        <v/>
      </c>
      <c r="H1728" s="4" t="n"/>
      <c r="I1728">
        <f>IF(OR(A1728="",H1728=""),"",IF(G1728&lt;=H1728,"اطلب الآن",""))</f>
        <v/>
      </c>
    </row>
    <row r="1729">
      <c r="A1729" s="4" t="n"/>
      <c r="B1729" s="4" t="n"/>
      <c r="C1729" s="4" t="n"/>
      <c r="D1729" s="4" t="n"/>
      <c r="E1729" s="4" t="n"/>
      <c r="F1729">
        <f>IF(A1729="","",SUMIFS(المبيعات!$F$2:$F$2000,المبيعات!$D$2:$D$2000,A1729))</f>
        <v/>
      </c>
      <c r="G1729">
        <f>IF(A1729="","",E1729-F1729)</f>
        <v/>
      </c>
      <c r="H1729" s="4" t="n"/>
      <c r="I1729">
        <f>IF(OR(A1729="",H1729=""),"",IF(G1729&lt;=H1729,"اطلب الآن",""))</f>
        <v/>
      </c>
    </row>
    <row r="1730">
      <c r="A1730" s="4" t="n"/>
      <c r="B1730" s="4" t="n"/>
      <c r="C1730" s="4" t="n"/>
      <c r="D1730" s="4" t="n"/>
      <c r="E1730" s="4" t="n"/>
      <c r="F1730">
        <f>IF(A1730="","",SUMIFS(المبيعات!$F$2:$F$2000,المبيعات!$D$2:$D$2000,A1730))</f>
        <v/>
      </c>
      <c r="G1730">
        <f>IF(A1730="","",E1730-F1730)</f>
        <v/>
      </c>
      <c r="H1730" s="4" t="n"/>
      <c r="I1730">
        <f>IF(OR(A1730="",H1730=""),"",IF(G1730&lt;=H1730,"اطلب الآن",""))</f>
        <v/>
      </c>
    </row>
    <row r="1731">
      <c r="A1731" s="4" t="n"/>
      <c r="B1731" s="4" t="n"/>
      <c r="C1731" s="4" t="n"/>
      <c r="D1731" s="4" t="n"/>
      <c r="E1731" s="4" t="n"/>
      <c r="F1731">
        <f>IF(A1731="","",SUMIFS(المبيعات!$F$2:$F$2000,المبيعات!$D$2:$D$2000,A1731))</f>
        <v/>
      </c>
      <c r="G1731">
        <f>IF(A1731="","",E1731-F1731)</f>
        <v/>
      </c>
      <c r="H1731" s="4" t="n"/>
      <c r="I1731">
        <f>IF(OR(A1731="",H1731=""),"",IF(G1731&lt;=H1731,"اطلب الآن",""))</f>
        <v/>
      </c>
    </row>
    <row r="1732">
      <c r="A1732" s="4" t="n"/>
      <c r="B1732" s="4" t="n"/>
      <c r="C1732" s="4" t="n"/>
      <c r="D1732" s="4" t="n"/>
      <c r="E1732" s="4" t="n"/>
      <c r="F1732">
        <f>IF(A1732="","",SUMIFS(المبيعات!$F$2:$F$2000,المبيعات!$D$2:$D$2000,A1732))</f>
        <v/>
      </c>
      <c r="G1732">
        <f>IF(A1732="","",E1732-F1732)</f>
        <v/>
      </c>
      <c r="H1732" s="4" t="n"/>
      <c r="I1732">
        <f>IF(OR(A1732="",H1732=""),"",IF(G1732&lt;=H1732,"اطلب الآن",""))</f>
        <v/>
      </c>
    </row>
    <row r="1733">
      <c r="A1733" s="4" t="n"/>
      <c r="B1733" s="4" t="n"/>
      <c r="C1733" s="4" t="n"/>
      <c r="D1733" s="4" t="n"/>
      <c r="E1733" s="4" t="n"/>
      <c r="F1733">
        <f>IF(A1733="","",SUMIFS(المبيعات!$F$2:$F$2000,المبيعات!$D$2:$D$2000,A1733))</f>
        <v/>
      </c>
      <c r="G1733">
        <f>IF(A1733="","",E1733-F1733)</f>
        <v/>
      </c>
      <c r="H1733" s="4" t="n"/>
      <c r="I1733">
        <f>IF(OR(A1733="",H1733=""),"",IF(G1733&lt;=H1733,"اطلب الآن",""))</f>
        <v/>
      </c>
    </row>
    <row r="1734">
      <c r="A1734" s="4" t="n"/>
      <c r="B1734" s="4" t="n"/>
      <c r="C1734" s="4" t="n"/>
      <c r="D1734" s="4" t="n"/>
      <c r="E1734" s="4" t="n"/>
      <c r="F1734">
        <f>IF(A1734="","",SUMIFS(المبيعات!$F$2:$F$2000,المبيعات!$D$2:$D$2000,A1734))</f>
        <v/>
      </c>
      <c r="G1734">
        <f>IF(A1734="","",E1734-F1734)</f>
        <v/>
      </c>
      <c r="H1734" s="4" t="n"/>
      <c r="I1734">
        <f>IF(OR(A1734="",H1734=""),"",IF(G1734&lt;=H1734,"اطلب الآن",""))</f>
        <v/>
      </c>
    </row>
    <row r="1735">
      <c r="A1735" s="4" t="n"/>
      <c r="B1735" s="4" t="n"/>
      <c r="C1735" s="4" t="n"/>
      <c r="D1735" s="4" t="n"/>
      <c r="E1735" s="4" t="n"/>
      <c r="F1735">
        <f>IF(A1735="","",SUMIFS(المبيعات!$F$2:$F$2000,المبيعات!$D$2:$D$2000,A1735))</f>
        <v/>
      </c>
      <c r="G1735">
        <f>IF(A1735="","",E1735-F1735)</f>
        <v/>
      </c>
      <c r="H1735" s="4" t="n"/>
      <c r="I1735">
        <f>IF(OR(A1735="",H1735=""),"",IF(G1735&lt;=H1735,"اطلب الآن",""))</f>
        <v/>
      </c>
    </row>
    <row r="1736">
      <c r="A1736" s="4" t="n"/>
      <c r="B1736" s="4" t="n"/>
      <c r="C1736" s="4" t="n"/>
      <c r="D1736" s="4" t="n"/>
      <c r="E1736" s="4" t="n"/>
      <c r="F1736">
        <f>IF(A1736="","",SUMIFS(المبيعات!$F$2:$F$2000,المبيعات!$D$2:$D$2000,A1736))</f>
        <v/>
      </c>
      <c r="G1736">
        <f>IF(A1736="","",E1736-F1736)</f>
        <v/>
      </c>
      <c r="H1736" s="4" t="n"/>
      <c r="I1736">
        <f>IF(OR(A1736="",H1736=""),"",IF(G1736&lt;=H1736,"اطلب الآن",""))</f>
        <v/>
      </c>
    </row>
    <row r="1737">
      <c r="A1737" s="4" t="n"/>
      <c r="B1737" s="4" t="n"/>
      <c r="C1737" s="4" t="n"/>
      <c r="D1737" s="4" t="n"/>
      <c r="E1737" s="4" t="n"/>
      <c r="F1737">
        <f>IF(A1737="","",SUMIFS(المبيعات!$F$2:$F$2000,المبيعات!$D$2:$D$2000,A1737))</f>
        <v/>
      </c>
      <c r="G1737">
        <f>IF(A1737="","",E1737-F1737)</f>
        <v/>
      </c>
      <c r="H1737" s="4" t="n"/>
      <c r="I1737">
        <f>IF(OR(A1737="",H1737=""),"",IF(G1737&lt;=H1737,"اطلب الآن",""))</f>
        <v/>
      </c>
    </row>
    <row r="1738">
      <c r="A1738" s="4" t="n"/>
      <c r="B1738" s="4" t="n"/>
      <c r="C1738" s="4" t="n"/>
      <c r="D1738" s="4" t="n"/>
      <c r="E1738" s="4" t="n"/>
      <c r="F1738">
        <f>IF(A1738="","",SUMIFS(المبيعات!$F$2:$F$2000,المبيعات!$D$2:$D$2000,A1738))</f>
        <v/>
      </c>
      <c r="G1738">
        <f>IF(A1738="","",E1738-F1738)</f>
        <v/>
      </c>
      <c r="H1738" s="4" t="n"/>
      <c r="I1738">
        <f>IF(OR(A1738="",H1738=""),"",IF(G1738&lt;=H1738,"اطلب الآن",""))</f>
        <v/>
      </c>
    </row>
    <row r="1739">
      <c r="A1739" s="4" t="n"/>
      <c r="B1739" s="4" t="n"/>
      <c r="C1739" s="4" t="n"/>
      <c r="D1739" s="4" t="n"/>
      <c r="E1739" s="4" t="n"/>
      <c r="F1739">
        <f>IF(A1739="","",SUMIFS(المبيعات!$F$2:$F$2000,المبيعات!$D$2:$D$2000,A1739))</f>
        <v/>
      </c>
      <c r="G1739">
        <f>IF(A1739="","",E1739-F1739)</f>
        <v/>
      </c>
      <c r="H1739" s="4" t="n"/>
      <c r="I1739">
        <f>IF(OR(A1739="",H1739=""),"",IF(G1739&lt;=H1739,"اطلب الآن",""))</f>
        <v/>
      </c>
    </row>
    <row r="1740">
      <c r="A1740" s="4" t="n"/>
      <c r="B1740" s="4" t="n"/>
      <c r="C1740" s="4" t="n"/>
      <c r="D1740" s="4" t="n"/>
      <c r="E1740" s="4" t="n"/>
      <c r="F1740">
        <f>IF(A1740="","",SUMIFS(المبيعات!$F$2:$F$2000,المبيعات!$D$2:$D$2000,A1740))</f>
        <v/>
      </c>
      <c r="G1740">
        <f>IF(A1740="","",E1740-F1740)</f>
        <v/>
      </c>
      <c r="H1740" s="4" t="n"/>
      <c r="I1740">
        <f>IF(OR(A1740="",H1740=""),"",IF(G1740&lt;=H1740,"اطلب الآن",""))</f>
        <v/>
      </c>
    </row>
    <row r="1741">
      <c r="A1741" s="4" t="n"/>
      <c r="B1741" s="4" t="n"/>
      <c r="C1741" s="4" t="n"/>
      <c r="D1741" s="4" t="n"/>
      <c r="E1741" s="4" t="n"/>
      <c r="F1741">
        <f>IF(A1741="","",SUMIFS(المبيعات!$F$2:$F$2000,المبيعات!$D$2:$D$2000,A1741))</f>
        <v/>
      </c>
      <c r="G1741">
        <f>IF(A1741="","",E1741-F1741)</f>
        <v/>
      </c>
      <c r="H1741" s="4" t="n"/>
      <c r="I1741">
        <f>IF(OR(A1741="",H1741=""),"",IF(G1741&lt;=H1741,"اطلب الآن",""))</f>
        <v/>
      </c>
    </row>
    <row r="1742">
      <c r="A1742" s="4" t="n"/>
      <c r="B1742" s="4" t="n"/>
      <c r="C1742" s="4" t="n"/>
      <c r="D1742" s="4" t="n"/>
      <c r="E1742" s="4" t="n"/>
      <c r="F1742">
        <f>IF(A1742="","",SUMIFS(المبيعات!$F$2:$F$2000,المبيعات!$D$2:$D$2000,A1742))</f>
        <v/>
      </c>
      <c r="G1742">
        <f>IF(A1742="","",E1742-F1742)</f>
        <v/>
      </c>
      <c r="H1742" s="4" t="n"/>
      <c r="I1742">
        <f>IF(OR(A1742="",H1742=""),"",IF(G1742&lt;=H1742,"اطلب الآن",""))</f>
        <v/>
      </c>
    </row>
    <row r="1743">
      <c r="A1743" s="4" t="n"/>
      <c r="B1743" s="4" t="n"/>
      <c r="C1743" s="4" t="n"/>
      <c r="D1743" s="4" t="n"/>
      <c r="E1743" s="4" t="n"/>
      <c r="F1743">
        <f>IF(A1743="","",SUMIFS(المبيعات!$F$2:$F$2000,المبيعات!$D$2:$D$2000,A1743))</f>
        <v/>
      </c>
      <c r="G1743">
        <f>IF(A1743="","",E1743-F1743)</f>
        <v/>
      </c>
      <c r="H1743" s="4" t="n"/>
      <c r="I1743">
        <f>IF(OR(A1743="",H1743=""),"",IF(G1743&lt;=H1743,"اطلب الآن",""))</f>
        <v/>
      </c>
    </row>
    <row r="1744">
      <c r="A1744" s="4" t="n"/>
      <c r="B1744" s="4" t="n"/>
      <c r="C1744" s="4" t="n"/>
      <c r="D1744" s="4" t="n"/>
      <c r="E1744" s="4" t="n"/>
      <c r="F1744">
        <f>IF(A1744="","",SUMIFS(المبيعات!$F$2:$F$2000,المبيعات!$D$2:$D$2000,A1744))</f>
        <v/>
      </c>
      <c r="G1744">
        <f>IF(A1744="","",E1744-F1744)</f>
        <v/>
      </c>
      <c r="H1744" s="4" t="n"/>
      <c r="I1744">
        <f>IF(OR(A1744="",H1744=""),"",IF(G1744&lt;=H1744,"اطلب الآن",""))</f>
        <v/>
      </c>
    </row>
    <row r="1745">
      <c r="A1745" s="4" t="n"/>
      <c r="B1745" s="4" t="n"/>
      <c r="C1745" s="4" t="n"/>
      <c r="D1745" s="4" t="n"/>
      <c r="E1745" s="4" t="n"/>
      <c r="F1745">
        <f>IF(A1745="","",SUMIFS(المبيعات!$F$2:$F$2000,المبيعات!$D$2:$D$2000,A1745))</f>
        <v/>
      </c>
      <c r="G1745">
        <f>IF(A1745="","",E1745-F1745)</f>
        <v/>
      </c>
      <c r="H1745" s="4" t="n"/>
      <c r="I1745">
        <f>IF(OR(A1745="",H1745=""),"",IF(G1745&lt;=H1745,"اطلب الآن",""))</f>
        <v/>
      </c>
    </row>
    <row r="1746">
      <c r="A1746" s="4" t="n"/>
      <c r="B1746" s="4" t="n"/>
      <c r="C1746" s="4" t="n"/>
      <c r="D1746" s="4" t="n"/>
      <c r="E1746" s="4" t="n"/>
      <c r="F1746">
        <f>IF(A1746="","",SUMIFS(المبيعات!$F$2:$F$2000,المبيعات!$D$2:$D$2000,A1746))</f>
        <v/>
      </c>
      <c r="G1746">
        <f>IF(A1746="","",E1746-F1746)</f>
        <v/>
      </c>
      <c r="H1746" s="4" t="n"/>
      <c r="I1746">
        <f>IF(OR(A1746="",H1746=""),"",IF(G1746&lt;=H1746,"اطلب الآن",""))</f>
        <v/>
      </c>
    </row>
    <row r="1747">
      <c r="A1747" s="4" t="n"/>
      <c r="B1747" s="4" t="n"/>
      <c r="C1747" s="4" t="n"/>
      <c r="D1747" s="4" t="n"/>
      <c r="E1747" s="4" t="n"/>
      <c r="F1747">
        <f>IF(A1747="","",SUMIFS(المبيعات!$F$2:$F$2000,المبيعات!$D$2:$D$2000,A1747))</f>
        <v/>
      </c>
      <c r="G1747">
        <f>IF(A1747="","",E1747-F1747)</f>
        <v/>
      </c>
      <c r="H1747" s="4" t="n"/>
      <c r="I1747">
        <f>IF(OR(A1747="",H1747=""),"",IF(G1747&lt;=H1747,"اطلب الآن",""))</f>
        <v/>
      </c>
    </row>
    <row r="1748">
      <c r="A1748" s="4" t="n"/>
      <c r="B1748" s="4" t="n"/>
      <c r="C1748" s="4" t="n"/>
      <c r="D1748" s="4" t="n"/>
      <c r="E1748" s="4" t="n"/>
      <c r="F1748">
        <f>IF(A1748="","",SUMIFS(المبيعات!$F$2:$F$2000,المبيعات!$D$2:$D$2000,A1748))</f>
        <v/>
      </c>
      <c r="G1748">
        <f>IF(A1748="","",E1748-F1748)</f>
        <v/>
      </c>
      <c r="H1748" s="4" t="n"/>
      <c r="I1748">
        <f>IF(OR(A1748="",H1748=""),"",IF(G1748&lt;=H1748,"اطلب الآن",""))</f>
        <v/>
      </c>
    </row>
    <row r="1749">
      <c r="A1749" s="4" t="n"/>
      <c r="B1749" s="4" t="n"/>
      <c r="C1749" s="4" t="n"/>
      <c r="D1749" s="4" t="n"/>
      <c r="E1749" s="4" t="n"/>
      <c r="F1749">
        <f>IF(A1749="","",SUMIFS(المبيعات!$F$2:$F$2000,المبيعات!$D$2:$D$2000,A1749))</f>
        <v/>
      </c>
      <c r="G1749">
        <f>IF(A1749="","",E1749-F1749)</f>
        <v/>
      </c>
      <c r="H1749" s="4" t="n"/>
      <c r="I1749">
        <f>IF(OR(A1749="",H1749=""),"",IF(G1749&lt;=H1749,"اطلب الآن",""))</f>
        <v/>
      </c>
    </row>
    <row r="1750">
      <c r="A1750" s="4" t="n"/>
      <c r="B1750" s="4" t="n"/>
      <c r="C1750" s="4" t="n"/>
      <c r="D1750" s="4" t="n"/>
      <c r="E1750" s="4" t="n"/>
      <c r="F1750">
        <f>IF(A1750="","",SUMIFS(المبيعات!$F$2:$F$2000,المبيعات!$D$2:$D$2000,A1750))</f>
        <v/>
      </c>
      <c r="G1750">
        <f>IF(A1750="","",E1750-F1750)</f>
        <v/>
      </c>
      <c r="H1750" s="4" t="n"/>
      <c r="I1750">
        <f>IF(OR(A1750="",H1750=""),"",IF(G1750&lt;=H1750,"اطلب الآن",""))</f>
        <v/>
      </c>
    </row>
    <row r="1751">
      <c r="A1751" s="4" t="n"/>
      <c r="B1751" s="4" t="n"/>
      <c r="C1751" s="4" t="n"/>
      <c r="D1751" s="4" t="n"/>
      <c r="E1751" s="4" t="n"/>
      <c r="F1751">
        <f>IF(A1751="","",SUMIFS(المبيعات!$F$2:$F$2000,المبيعات!$D$2:$D$2000,A1751))</f>
        <v/>
      </c>
      <c r="G1751">
        <f>IF(A1751="","",E1751-F1751)</f>
        <v/>
      </c>
      <c r="H1751" s="4" t="n"/>
      <c r="I1751">
        <f>IF(OR(A1751="",H1751=""),"",IF(G1751&lt;=H1751,"اطلب الآن",""))</f>
        <v/>
      </c>
    </row>
    <row r="1752">
      <c r="A1752" s="4" t="n"/>
      <c r="B1752" s="4" t="n"/>
      <c r="C1752" s="4" t="n"/>
      <c r="D1752" s="4" t="n"/>
      <c r="E1752" s="4" t="n"/>
      <c r="F1752">
        <f>IF(A1752="","",SUMIFS(المبيعات!$F$2:$F$2000,المبيعات!$D$2:$D$2000,A1752))</f>
        <v/>
      </c>
      <c r="G1752">
        <f>IF(A1752="","",E1752-F1752)</f>
        <v/>
      </c>
      <c r="H1752" s="4" t="n"/>
      <c r="I1752">
        <f>IF(OR(A1752="",H1752=""),"",IF(G1752&lt;=H1752,"اطلب الآن",""))</f>
        <v/>
      </c>
    </row>
    <row r="1753">
      <c r="A1753" s="4" t="n"/>
      <c r="B1753" s="4" t="n"/>
      <c r="C1753" s="4" t="n"/>
      <c r="D1753" s="4" t="n"/>
      <c r="E1753" s="4" t="n"/>
      <c r="F1753">
        <f>IF(A1753="","",SUMIFS(المبيعات!$F$2:$F$2000,المبيعات!$D$2:$D$2000,A1753))</f>
        <v/>
      </c>
      <c r="G1753">
        <f>IF(A1753="","",E1753-F1753)</f>
        <v/>
      </c>
      <c r="H1753" s="4" t="n"/>
      <c r="I1753">
        <f>IF(OR(A1753="",H1753=""),"",IF(G1753&lt;=H1753,"اطلب الآن",""))</f>
        <v/>
      </c>
    </row>
    <row r="1754">
      <c r="A1754" s="4" t="n"/>
      <c r="B1754" s="4" t="n"/>
      <c r="C1754" s="4" t="n"/>
      <c r="D1754" s="4" t="n"/>
      <c r="E1754" s="4" t="n"/>
      <c r="F1754">
        <f>IF(A1754="","",SUMIFS(المبيعات!$F$2:$F$2000,المبيعات!$D$2:$D$2000,A1754))</f>
        <v/>
      </c>
      <c r="G1754">
        <f>IF(A1754="","",E1754-F1754)</f>
        <v/>
      </c>
      <c r="H1754" s="4" t="n"/>
      <c r="I1754">
        <f>IF(OR(A1754="",H1754=""),"",IF(G1754&lt;=H1754,"اطلب الآن",""))</f>
        <v/>
      </c>
    </row>
    <row r="1755">
      <c r="A1755" s="4" t="n"/>
      <c r="B1755" s="4" t="n"/>
      <c r="C1755" s="4" t="n"/>
      <c r="D1755" s="4" t="n"/>
      <c r="E1755" s="4" t="n"/>
      <c r="F1755">
        <f>IF(A1755="","",SUMIFS(المبيعات!$F$2:$F$2000,المبيعات!$D$2:$D$2000,A1755))</f>
        <v/>
      </c>
      <c r="G1755">
        <f>IF(A1755="","",E1755-F1755)</f>
        <v/>
      </c>
      <c r="H1755" s="4" t="n"/>
      <c r="I1755">
        <f>IF(OR(A1755="",H1755=""),"",IF(G1755&lt;=H1755,"اطلب الآن",""))</f>
        <v/>
      </c>
    </row>
    <row r="1756">
      <c r="A1756" s="4" t="n"/>
      <c r="B1756" s="4" t="n"/>
      <c r="C1756" s="4" t="n"/>
      <c r="D1756" s="4" t="n"/>
      <c r="E1756" s="4" t="n"/>
      <c r="F1756">
        <f>IF(A1756="","",SUMIFS(المبيعات!$F$2:$F$2000,المبيعات!$D$2:$D$2000,A1756))</f>
        <v/>
      </c>
      <c r="G1756">
        <f>IF(A1756="","",E1756-F1756)</f>
        <v/>
      </c>
      <c r="H1756" s="4" t="n"/>
      <c r="I1756">
        <f>IF(OR(A1756="",H1756=""),"",IF(G1756&lt;=H1756,"اطلب الآن",""))</f>
        <v/>
      </c>
    </row>
    <row r="1757">
      <c r="A1757" s="4" t="n"/>
      <c r="B1757" s="4" t="n"/>
      <c r="C1757" s="4" t="n"/>
      <c r="D1757" s="4" t="n"/>
      <c r="E1757" s="4" t="n"/>
      <c r="F1757">
        <f>IF(A1757="","",SUMIFS(المبيعات!$F$2:$F$2000,المبيعات!$D$2:$D$2000,A1757))</f>
        <v/>
      </c>
      <c r="G1757">
        <f>IF(A1757="","",E1757-F1757)</f>
        <v/>
      </c>
      <c r="H1757" s="4" t="n"/>
      <c r="I1757">
        <f>IF(OR(A1757="",H1757=""),"",IF(G1757&lt;=H1757,"اطلب الآن",""))</f>
        <v/>
      </c>
    </row>
    <row r="1758">
      <c r="A1758" s="4" t="n"/>
      <c r="B1758" s="4" t="n"/>
      <c r="C1758" s="4" t="n"/>
      <c r="D1758" s="4" t="n"/>
      <c r="E1758" s="4" t="n"/>
      <c r="F1758">
        <f>IF(A1758="","",SUMIFS(المبيعات!$F$2:$F$2000,المبيعات!$D$2:$D$2000,A1758))</f>
        <v/>
      </c>
      <c r="G1758">
        <f>IF(A1758="","",E1758-F1758)</f>
        <v/>
      </c>
      <c r="H1758" s="4" t="n"/>
      <c r="I1758">
        <f>IF(OR(A1758="",H1758=""),"",IF(G1758&lt;=H1758,"اطلب الآن",""))</f>
        <v/>
      </c>
    </row>
    <row r="1759">
      <c r="A1759" s="4" t="n"/>
      <c r="B1759" s="4" t="n"/>
      <c r="C1759" s="4" t="n"/>
      <c r="D1759" s="4" t="n"/>
      <c r="E1759" s="4" t="n"/>
      <c r="F1759">
        <f>IF(A1759="","",SUMIFS(المبيعات!$F$2:$F$2000,المبيعات!$D$2:$D$2000,A1759))</f>
        <v/>
      </c>
      <c r="G1759">
        <f>IF(A1759="","",E1759-F1759)</f>
        <v/>
      </c>
      <c r="H1759" s="4" t="n"/>
      <c r="I1759">
        <f>IF(OR(A1759="",H1759=""),"",IF(G1759&lt;=H1759,"اطلب الآن",""))</f>
        <v/>
      </c>
    </row>
    <row r="1760">
      <c r="A1760" s="4" t="n"/>
      <c r="B1760" s="4" t="n"/>
      <c r="C1760" s="4" t="n"/>
      <c r="D1760" s="4" t="n"/>
      <c r="E1760" s="4" t="n"/>
      <c r="F1760">
        <f>IF(A1760="","",SUMIFS(المبيعات!$F$2:$F$2000,المبيعات!$D$2:$D$2000,A1760))</f>
        <v/>
      </c>
      <c r="G1760">
        <f>IF(A1760="","",E1760-F1760)</f>
        <v/>
      </c>
      <c r="H1760" s="4" t="n"/>
      <c r="I1760">
        <f>IF(OR(A1760="",H1760=""),"",IF(G1760&lt;=H1760,"اطلب الآن",""))</f>
        <v/>
      </c>
    </row>
    <row r="1761">
      <c r="A1761" s="4" t="n"/>
      <c r="B1761" s="4" t="n"/>
      <c r="C1761" s="4" t="n"/>
      <c r="D1761" s="4" t="n"/>
      <c r="E1761" s="4" t="n"/>
      <c r="F1761">
        <f>IF(A1761="","",SUMIFS(المبيعات!$F$2:$F$2000,المبيعات!$D$2:$D$2000,A1761))</f>
        <v/>
      </c>
      <c r="G1761">
        <f>IF(A1761="","",E1761-F1761)</f>
        <v/>
      </c>
      <c r="H1761" s="4" t="n"/>
      <c r="I1761">
        <f>IF(OR(A1761="",H1761=""),"",IF(G1761&lt;=H1761,"اطلب الآن",""))</f>
        <v/>
      </c>
    </row>
    <row r="1762">
      <c r="A1762" s="4" t="n"/>
      <c r="B1762" s="4" t="n"/>
      <c r="C1762" s="4" t="n"/>
      <c r="D1762" s="4" t="n"/>
      <c r="E1762" s="4" t="n"/>
      <c r="F1762">
        <f>IF(A1762="","",SUMIFS(المبيعات!$F$2:$F$2000,المبيعات!$D$2:$D$2000,A1762))</f>
        <v/>
      </c>
      <c r="G1762">
        <f>IF(A1762="","",E1762-F1762)</f>
        <v/>
      </c>
      <c r="H1762" s="4" t="n"/>
      <c r="I1762">
        <f>IF(OR(A1762="",H1762=""),"",IF(G1762&lt;=H1762,"اطلب الآن",""))</f>
        <v/>
      </c>
    </row>
    <row r="1763">
      <c r="A1763" s="4" t="n"/>
      <c r="B1763" s="4" t="n"/>
      <c r="C1763" s="4" t="n"/>
      <c r="D1763" s="4" t="n"/>
      <c r="E1763" s="4" t="n"/>
      <c r="F1763">
        <f>IF(A1763="","",SUMIFS(المبيعات!$F$2:$F$2000,المبيعات!$D$2:$D$2000,A1763))</f>
        <v/>
      </c>
      <c r="G1763">
        <f>IF(A1763="","",E1763-F1763)</f>
        <v/>
      </c>
      <c r="H1763" s="4" t="n"/>
      <c r="I1763">
        <f>IF(OR(A1763="",H1763=""),"",IF(G1763&lt;=H1763,"اطلب الآن",""))</f>
        <v/>
      </c>
    </row>
    <row r="1764">
      <c r="A1764" s="4" t="n"/>
      <c r="B1764" s="4" t="n"/>
      <c r="C1764" s="4" t="n"/>
      <c r="D1764" s="4" t="n"/>
      <c r="E1764" s="4" t="n"/>
      <c r="F1764">
        <f>IF(A1764="","",SUMIFS(المبيعات!$F$2:$F$2000,المبيعات!$D$2:$D$2000,A1764))</f>
        <v/>
      </c>
      <c r="G1764">
        <f>IF(A1764="","",E1764-F1764)</f>
        <v/>
      </c>
      <c r="H1764" s="4" t="n"/>
      <c r="I1764">
        <f>IF(OR(A1764="",H1764=""),"",IF(G1764&lt;=H1764,"اطلب الآن",""))</f>
        <v/>
      </c>
    </row>
    <row r="1765">
      <c r="A1765" s="4" t="n"/>
      <c r="B1765" s="4" t="n"/>
      <c r="C1765" s="4" t="n"/>
      <c r="D1765" s="4" t="n"/>
      <c r="E1765" s="4" t="n"/>
      <c r="F1765">
        <f>IF(A1765="","",SUMIFS(المبيعات!$F$2:$F$2000,المبيعات!$D$2:$D$2000,A1765))</f>
        <v/>
      </c>
      <c r="G1765">
        <f>IF(A1765="","",E1765-F1765)</f>
        <v/>
      </c>
      <c r="H1765" s="4" t="n"/>
      <c r="I1765">
        <f>IF(OR(A1765="",H1765=""),"",IF(G1765&lt;=H1765,"اطلب الآن",""))</f>
        <v/>
      </c>
    </row>
    <row r="1766">
      <c r="A1766" s="4" t="n"/>
      <c r="B1766" s="4" t="n"/>
      <c r="C1766" s="4" t="n"/>
      <c r="D1766" s="4" t="n"/>
      <c r="E1766" s="4" t="n"/>
      <c r="F1766">
        <f>IF(A1766="","",SUMIFS(المبيعات!$F$2:$F$2000,المبيعات!$D$2:$D$2000,A1766))</f>
        <v/>
      </c>
      <c r="G1766">
        <f>IF(A1766="","",E1766-F1766)</f>
        <v/>
      </c>
      <c r="H1766" s="4" t="n"/>
      <c r="I1766">
        <f>IF(OR(A1766="",H1766=""),"",IF(G1766&lt;=H1766,"اطلب الآن",""))</f>
        <v/>
      </c>
    </row>
    <row r="1767">
      <c r="A1767" s="4" t="n"/>
      <c r="B1767" s="4" t="n"/>
      <c r="C1767" s="4" t="n"/>
      <c r="D1767" s="4" t="n"/>
      <c r="E1767" s="4" t="n"/>
      <c r="F1767">
        <f>IF(A1767="","",SUMIFS(المبيعات!$F$2:$F$2000,المبيعات!$D$2:$D$2000,A1767))</f>
        <v/>
      </c>
      <c r="G1767">
        <f>IF(A1767="","",E1767-F1767)</f>
        <v/>
      </c>
      <c r="H1767" s="4" t="n"/>
      <c r="I1767">
        <f>IF(OR(A1767="",H1767=""),"",IF(G1767&lt;=H1767,"اطلب الآن",""))</f>
        <v/>
      </c>
    </row>
    <row r="1768">
      <c r="A1768" s="4" t="n"/>
      <c r="B1768" s="4" t="n"/>
      <c r="C1768" s="4" t="n"/>
      <c r="D1768" s="4" t="n"/>
      <c r="E1768" s="4" t="n"/>
      <c r="F1768">
        <f>IF(A1768="","",SUMIFS(المبيعات!$F$2:$F$2000,المبيعات!$D$2:$D$2000,A1768))</f>
        <v/>
      </c>
      <c r="G1768">
        <f>IF(A1768="","",E1768-F1768)</f>
        <v/>
      </c>
      <c r="H1768" s="4" t="n"/>
      <c r="I1768">
        <f>IF(OR(A1768="",H1768=""),"",IF(G1768&lt;=H1768,"اطلب الآن",""))</f>
        <v/>
      </c>
    </row>
    <row r="1769">
      <c r="A1769" s="4" t="n"/>
      <c r="B1769" s="4" t="n"/>
      <c r="C1769" s="4" t="n"/>
      <c r="D1769" s="4" t="n"/>
      <c r="E1769" s="4" t="n"/>
      <c r="F1769">
        <f>IF(A1769="","",SUMIFS(المبيعات!$F$2:$F$2000,المبيعات!$D$2:$D$2000,A1769))</f>
        <v/>
      </c>
      <c r="G1769">
        <f>IF(A1769="","",E1769-F1769)</f>
        <v/>
      </c>
      <c r="H1769" s="4" t="n"/>
      <c r="I1769">
        <f>IF(OR(A1769="",H1769=""),"",IF(G1769&lt;=H1769,"اطلب الآن",""))</f>
        <v/>
      </c>
    </row>
    <row r="1770">
      <c r="A1770" s="4" t="n"/>
      <c r="B1770" s="4" t="n"/>
      <c r="C1770" s="4" t="n"/>
      <c r="D1770" s="4" t="n"/>
      <c r="E1770" s="4" t="n"/>
      <c r="F1770">
        <f>IF(A1770="","",SUMIFS(المبيعات!$F$2:$F$2000,المبيعات!$D$2:$D$2000,A1770))</f>
        <v/>
      </c>
      <c r="G1770">
        <f>IF(A1770="","",E1770-F1770)</f>
        <v/>
      </c>
      <c r="H1770" s="4" t="n"/>
      <c r="I1770">
        <f>IF(OR(A1770="",H1770=""),"",IF(G1770&lt;=H1770,"اطلب الآن",""))</f>
        <v/>
      </c>
    </row>
    <row r="1771">
      <c r="A1771" s="4" t="n"/>
      <c r="B1771" s="4" t="n"/>
      <c r="C1771" s="4" t="n"/>
      <c r="D1771" s="4" t="n"/>
      <c r="E1771" s="4" t="n"/>
      <c r="F1771">
        <f>IF(A1771="","",SUMIFS(المبيعات!$F$2:$F$2000,المبيعات!$D$2:$D$2000,A1771))</f>
        <v/>
      </c>
      <c r="G1771">
        <f>IF(A1771="","",E1771-F1771)</f>
        <v/>
      </c>
      <c r="H1771" s="4" t="n"/>
      <c r="I1771">
        <f>IF(OR(A1771="",H1771=""),"",IF(G1771&lt;=H1771,"اطلب الآن",""))</f>
        <v/>
      </c>
    </row>
    <row r="1772">
      <c r="A1772" s="4" t="n"/>
      <c r="B1772" s="4" t="n"/>
      <c r="C1772" s="4" t="n"/>
      <c r="D1772" s="4" t="n"/>
      <c r="E1772" s="4" t="n"/>
      <c r="F1772">
        <f>IF(A1772="","",SUMIFS(المبيعات!$F$2:$F$2000,المبيعات!$D$2:$D$2000,A1772))</f>
        <v/>
      </c>
      <c r="G1772">
        <f>IF(A1772="","",E1772-F1772)</f>
        <v/>
      </c>
      <c r="H1772" s="4" t="n"/>
      <c r="I1772">
        <f>IF(OR(A1772="",H1772=""),"",IF(G1772&lt;=H1772,"اطلب الآن",""))</f>
        <v/>
      </c>
    </row>
    <row r="1773">
      <c r="A1773" s="4" t="n"/>
      <c r="B1773" s="4" t="n"/>
      <c r="C1773" s="4" t="n"/>
      <c r="D1773" s="4" t="n"/>
      <c r="E1773" s="4" t="n"/>
      <c r="F1773">
        <f>IF(A1773="","",SUMIFS(المبيعات!$F$2:$F$2000,المبيعات!$D$2:$D$2000,A1773))</f>
        <v/>
      </c>
      <c r="G1773">
        <f>IF(A1773="","",E1773-F1773)</f>
        <v/>
      </c>
      <c r="H1773" s="4" t="n"/>
      <c r="I1773">
        <f>IF(OR(A1773="",H1773=""),"",IF(G1773&lt;=H1773,"اطلب الآن",""))</f>
        <v/>
      </c>
    </row>
    <row r="1774">
      <c r="A1774" s="4" t="n"/>
      <c r="B1774" s="4" t="n"/>
      <c r="C1774" s="4" t="n"/>
      <c r="D1774" s="4" t="n"/>
      <c r="E1774" s="4" t="n"/>
      <c r="F1774">
        <f>IF(A1774="","",SUMIFS(المبيعات!$F$2:$F$2000,المبيعات!$D$2:$D$2000,A1774))</f>
        <v/>
      </c>
      <c r="G1774">
        <f>IF(A1774="","",E1774-F1774)</f>
        <v/>
      </c>
      <c r="H1774" s="4" t="n"/>
      <c r="I1774">
        <f>IF(OR(A1774="",H1774=""),"",IF(G1774&lt;=H1774,"اطلب الآن",""))</f>
        <v/>
      </c>
    </row>
    <row r="1775">
      <c r="A1775" s="4" t="n"/>
      <c r="B1775" s="4" t="n"/>
      <c r="C1775" s="4" t="n"/>
      <c r="D1775" s="4" t="n"/>
      <c r="E1775" s="4" t="n"/>
      <c r="F1775">
        <f>IF(A1775="","",SUMIFS(المبيعات!$F$2:$F$2000,المبيعات!$D$2:$D$2000,A1775))</f>
        <v/>
      </c>
      <c r="G1775">
        <f>IF(A1775="","",E1775-F1775)</f>
        <v/>
      </c>
      <c r="H1775" s="4" t="n"/>
      <c r="I1775">
        <f>IF(OR(A1775="",H1775=""),"",IF(G1775&lt;=H1775,"اطلب الآن",""))</f>
        <v/>
      </c>
    </row>
    <row r="1776">
      <c r="A1776" s="4" t="n"/>
      <c r="B1776" s="4" t="n"/>
      <c r="C1776" s="4" t="n"/>
      <c r="D1776" s="4" t="n"/>
      <c r="E1776" s="4" t="n"/>
      <c r="F1776">
        <f>IF(A1776="","",SUMIFS(المبيعات!$F$2:$F$2000,المبيعات!$D$2:$D$2000,A1776))</f>
        <v/>
      </c>
      <c r="G1776">
        <f>IF(A1776="","",E1776-F1776)</f>
        <v/>
      </c>
      <c r="H1776" s="4" t="n"/>
      <c r="I1776">
        <f>IF(OR(A1776="",H1776=""),"",IF(G1776&lt;=H1776,"اطلب الآن",""))</f>
        <v/>
      </c>
    </row>
    <row r="1777">
      <c r="A1777" s="4" t="n"/>
      <c r="B1777" s="4" t="n"/>
      <c r="C1777" s="4" t="n"/>
      <c r="D1777" s="4" t="n"/>
      <c r="E1777" s="4" t="n"/>
      <c r="F1777">
        <f>IF(A1777="","",SUMIFS(المبيعات!$F$2:$F$2000,المبيعات!$D$2:$D$2000,A1777))</f>
        <v/>
      </c>
      <c r="G1777">
        <f>IF(A1777="","",E1777-F1777)</f>
        <v/>
      </c>
      <c r="H1777" s="4" t="n"/>
      <c r="I1777">
        <f>IF(OR(A1777="",H1777=""),"",IF(G1777&lt;=H1777,"اطلب الآن",""))</f>
        <v/>
      </c>
    </row>
    <row r="1778">
      <c r="A1778" s="4" t="n"/>
      <c r="B1778" s="4" t="n"/>
      <c r="C1778" s="4" t="n"/>
      <c r="D1778" s="4" t="n"/>
      <c r="E1778" s="4" t="n"/>
      <c r="F1778">
        <f>IF(A1778="","",SUMIFS(المبيعات!$F$2:$F$2000,المبيعات!$D$2:$D$2000,A1778))</f>
        <v/>
      </c>
      <c r="G1778">
        <f>IF(A1778="","",E1778-F1778)</f>
        <v/>
      </c>
      <c r="H1778" s="4" t="n"/>
      <c r="I1778">
        <f>IF(OR(A1778="",H1778=""),"",IF(G1778&lt;=H1778,"اطلب الآن",""))</f>
        <v/>
      </c>
    </row>
    <row r="1779">
      <c r="A1779" s="4" t="n"/>
      <c r="B1779" s="4" t="n"/>
      <c r="C1779" s="4" t="n"/>
      <c r="D1779" s="4" t="n"/>
      <c r="E1779" s="4" t="n"/>
      <c r="F1779">
        <f>IF(A1779="","",SUMIFS(المبيعات!$F$2:$F$2000,المبيعات!$D$2:$D$2000,A1779))</f>
        <v/>
      </c>
      <c r="G1779">
        <f>IF(A1779="","",E1779-F1779)</f>
        <v/>
      </c>
      <c r="H1779" s="4" t="n"/>
      <c r="I1779">
        <f>IF(OR(A1779="",H1779=""),"",IF(G1779&lt;=H1779,"اطلب الآن",""))</f>
        <v/>
      </c>
    </row>
    <row r="1780">
      <c r="A1780" s="4" t="n"/>
      <c r="B1780" s="4" t="n"/>
      <c r="C1780" s="4" t="n"/>
      <c r="D1780" s="4" t="n"/>
      <c r="E1780" s="4" t="n"/>
      <c r="F1780">
        <f>IF(A1780="","",SUMIFS(المبيعات!$F$2:$F$2000,المبيعات!$D$2:$D$2000,A1780))</f>
        <v/>
      </c>
      <c r="G1780">
        <f>IF(A1780="","",E1780-F1780)</f>
        <v/>
      </c>
      <c r="H1780" s="4" t="n"/>
      <c r="I1780">
        <f>IF(OR(A1780="",H1780=""),"",IF(G1780&lt;=H1780,"اطلب الآن",""))</f>
        <v/>
      </c>
    </row>
    <row r="1781">
      <c r="A1781" s="4" t="n"/>
      <c r="B1781" s="4" t="n"/>
      <c r="C1781" s="4" t="n"/>
      <c r="D1781" s="4" t="n"/>
      <c r="E1781" s="4" t="n"/>
      <c r="F1781">
        <f>IF(A1781="","",SUMIFS(المبيعات!$F$2:$F$2000,المبيعات!$D$2:$D$2000,A1781))</f>
        <v/>
      </c>
      <c r="G1781">
        <f>IF(A1781="","",E1781-F1781)</f>
        <v/>
      </c>
      <c r="H1781" s="4" t="n"/>
      <c r="I1781">
        <f>IF(OR(A1781="",H1781=""),"",IF(G1781&lt;=H1781,"اطلب الآن",""))</f>
        <v/>
      </c>
    </row>
    <row r="1782">
      <c r="A1782" s="4" t="n"/>
      <c r="B1782" s="4" t="n"/>
      <c r="C1782" s="4" t="n"/>
      <c r="D1782" s="4" t="n"/>
      <c r="E1782" s="4" t="n"/>
      <c r="F1782">
        <f>IF(A1782="","",SUMIFS(المبيعات!$F$2:$F$2000,المبيعات!$D$2:$D$2000,A1782))</f>
        <v/>
      </c>
      <c r="G1782">
        <f>IF(A1782="","",E1782-F1782)</f>
        <v/>
      </c>
      <c r="H1782" s="4" t="n"/>
      <c r="I1782">
        <f>IF(OR(A1782="",H1782=""),"",IF(G1782&lt;=H1782,"اطلب الآن",""))</f>
        <v/>
      </c>
    </row>
    <row r="1783">
      <c r="A1783" s="4" t="n"/>
      <c r="B1783" s="4" t="n"/>
      <c r="C1783" s="4" t="n"/>
      <c r="D1783" s="4" t="n"/>
      <c r="E1783" s="4" t="n"/>
      <c r="F1783">
        <f>IF(A1783="","",SUMIFS(المبيعات!$F$2:$F$2000,المبيعات!$D$2:$D$2000,A1783))</f>
        <v/>
      </c>
      <c r="G1783">
        <f>IF(A1783="","",E1783-F1783)</f>
        <v/>
      </c>
      <c r="H1783" s="4" t="n"/>
      <c r="I1783">
        <f>IF(OR(A1783="",H1783=""),"",IF(G1783&lt;=H1783,"اطلب الآن",""))</f>
        <v/>
      </c>
    </row>
    <row r="1784">
      <c r="A1784" s="4" t="n"/>
      <c r="B1784" s="4" t="n"/>
      <c r="C1784" s="4" t="n"/>
      <c r="D1784" s="4" t="n"/>
      <c r="E1784" s="4" t="n"/>
      <c r="F1784">
        <f>IF(A1784="","",SUMIFS(المبيعات!$F$2:$F$2000,المبيعات!$D$2:$D$2000,A1784))</f>
        <v/>
      </c>
      <c r="G1784">
        <f>IF(A1784="","",E1784-F1784)</f>
        <v/>
      </c>
      <c r="H1784" s="4" t="n"/>
      <c r="I1784">
        <f>IF(OR(A1784="",H1784=""),"",IF(G1784&lt;=H1784,"اطلب الآن",""))</f>
        <v/>
      </c>
    </row>
    <row r="1785">
      <c r="A1785" s="4" t="n"/>
      <c r="B1785" s="4" t="n"/>
      <c r="C1785" s="4" t="n"/>
      <c r="D1785" s="4" t="n"/>
      <c r="E1785" s="4" t="n"/>
      <c r="F1785">
        <f>IF(A1785="","",SUMIFS(المبيعات!$F$2:$F$2000,المبيعات!$D$2:$D$2000,A1785))</f>
        <v/>
      </c>
      <c r="G1785">
        <f>IF(A1785="","",E1785-F1785)</f>
        <v/>
      </c>
      <c r="H1785" s="4" t="n"/>
      <c r="I1785">
        <f>IF(OR(A1785="",H1785=""),"",IF(G1785&lt;=H1785,"اطلب الآن",""))</f>
        <v/>
      </c>
    </row>
    <row r="1786">
      <c r="A1786" s="4" t="n"/>
      <c r="B1786" s="4" t="n"/>
      <c r="C1786" s="4" t="n"/>
      <c r="D1786" s="4" t="n"/>
      <c r="E1786" s="4" t="n"/>
      <c r="F1786">
        <f>IF(A1786="","",SUMIFS(المبيعات!$F$2:$F$2000,المبيعات!$D$2:$D$2000,A1786))</f>
        <v/>
      </c>
      <c r="G1786">
        <f>IF(A1786="","",E1786-F1786)</f>
        <v/>
      </c>
      <c r="H1786" s="4" t="n"/>
      <c r="I1786">
        <f>IF(OR(A1786="",H1786=""),"",IF(G1786&lt;=H1786,"اطلب الآن",""))</f>
        <v/>
      </c>
    </row>
    <row r="1787">
      <c r="A1787" s="4" t="n"/>
      <c r="B1787" s="4" t="n"/>
      <c r="C1787" s="4" t="n"/>
      <c r="D1787" s="4" t="n"/>
      <c r="E1787" s="4" t="n"/>
      <c r="F1787">
        <f>IF(A1787="","",SUMIFS(المبيعات!$F$2:$F$2000,المبيعات!$D$2:$D$2000,A1787))</f>
        <v/>
      </c>
      <c r="G1787">
        <f>IF(A1787="","",E1787-F1787)</f>
        <v/>
      </c>
      <c r="H1787" s="4" t="n"/>
      <c r="I1787">
        <f>IF(OR(A1787="",H1787=""),"",IF(G1787&lt;=H1787,"اطلب الآن",""))</f>
        <v/>
      </c>
    </row>
    <row r="1788">
      <c r="A1788" s="4" t="n"/>
      <c r="B1788" s="4" t="n"/>
      <c r="C1788" s="4" t="n"/>
      <c r="D1788" s="4" t="n"/>
      <c r="E1788" s="4" t="n"/>
      <c r="F1788">
        <f>IF(A1788="","",SUMIFS(المبيعات!$F$2:$F$2000,المبيعات!$D$2:$D$2000,A1788))</f>
        <v/>
      </c>
      <c r="G1788">
        <f>IF(A1788="","",E1788-F1788)</f>
        <v/>
      </c>
      <c r="H1788" s="4" t="n"/>
      <c r="I1788">
        <f>IF(OR(A1788="",H1788=""),"",IF(G1788&lt;=H1788,"اطلب الآن",""))</f>
        <v/>
      </c>
    </row>
    <row r="1789">
      <c r="A1789" s="4" t="n"/>
      <c r="B1789" s="4" t="n"/>
      <c r="C1789" s="4" t="n"/>
      <c r="D1789" s="4" t="n"/>
      <c r="E1789" s="4" t="n"/>
      <c r="F1789">
        <f>IF(A1789="","",SUMIFS(المبيعات!$F$2:$F$2000,المبيعات!$D$2:$D$2000,A1789))</f>
        <v/>
      </c>
      <c r="G1789">
        <f>IF(A1789="","",E1789-F1789)</f>
        <v/>
      </c>
      <c r="H1789" s="4" t="n"/>
      <c r="I1789">
        <f>IF(OR(A1789="",H1789=""),"",IF(G1789&lt;=H1789,"اطلب الآن",""))</f>
        <v/>
      </c>
    </row>
    <row r="1790">
      <c r="A1790" s="4" t="n"/>
      <c r="B1790" s="4" t="n"/>
      <c r="C1790" s="4" t="n"/>
      <c r="D1790" s="4" t="n"/>
      <c r="E1790" s="4" t="n"/>
      <c r="F1790">
        <f>IF(A1790="","",SUMIFS(المبيعات!$F$2:$F$2000,المبيعات!$D$2:$D$2000,A1790))</f>
        <v/>
      </c>
      <c r="G1790">
        <f>IF(A1790="","",E1790-F1790)</f>
        <v/>
      </c>
      <c r="H1790" s="4" t="n"/>
      <c r="I1790">
        <f>IF(OR(A1790="",H1790=""),"",IF(G1790&lt;=H1790,"اطلب الآن",""))</f>
        <v/>
      </c>
    </row>
    <row r="1791">
      <c r="A1791" s="4" t="n"/>
      <c r="B1791" s="4" t="n"/>
      <c r="C1791" s="4" t="n"/>
      <c r="D1791" s="4" t="n"/>
      <c r="E1791" s="4" t="n"/>
      <c r="F1791">
        <f>IF(A1791="","",SUMIFS(المبيعات!$F$2:$F$2000,المبيعات!$D$2:$D$2000,A1791))</f>
        <v/>
      </c>
      <c r="G1791">
        <f>IF(A1791="","",E1791-F1791)</f>
        <v/>
      </c>
      <c r="H1791" s="4" t="n"/>
      <c r="I1791">
        <f>IF(OR(A1791="",H1791=""),"",IF(G1791&lt;=H1791,"اطلب الآن",""))</f>
        <v/>
      </c>
    </row>
    <row r="1792">
      <c r="A1792" s="4" t="n"/>
      <c r="B1792" s="4" t="n"/>
      <c r="C1792" s="4" t="n"/>
      <c r="D1792" s="4" t="n"/>
      <c r="E1792" s="4" t="n"/>
      <c r="F1792">
        <f>IF(A1792="","",SUMIFS(المبيعات!$F$2:$F$2000,المبيعات!$D$2:$D$2000,A1792))</f>
        <v/>
      </c>
      <c r="G1792">
        <f>IF(A1792="","",E1792-F1792)</f>
        <v/>
      </c>
      <c r="H1792" s="4" t="n"/>
      <c r="I1792">
        <f>IF(OR(A1792="",H1792=""),"",IF(G1792&lt;=H1792,"اطلب الآن",""))</f>
        <v/>
      </c>
    </row>
    <row r="1793">
      <c r="A1793" s="4" t="n"/>
      <c r="B1793" s="4" t="n"/>
      <c r="C1793" s="4" t="n"/>
      <c r="D1793" s="4" t="n"/>
      <c r="E1793" s="4" t="n"/>
      <c r="F1793">
        <f>IF(A1793="","",SUMIFS(المبيعات!$F$2:$F$2000,المبيعات!$D$2:$D$2000,A1793))</f>
        <v/>
      </c>
      <c r="G1793">
        <f>IF(A1793="","",E1793-F1793)</f>
        <v/>
      </c>
      <c r="H1793" s="4" t="n"/>
      <c r="I1793">
        <f>IF(OR(A1793="",H1793=""),"",IF(G1793&lt;=H1793,"اطلب الآن",""))</f>
        <v/>
      </c>
    </row>
    <row r="1794">
      <c r="A1794" s="4" t="n"/>
      <c r="B1794" s="4" t="n"/>
      <c r="C1794" s="4" t="n"/>
      <c r="D1794" s="4" t="n"/>
      <c r="E1794" s="4" t="n"/>
      <c r="F1794">
        <f>IF(A1794="","",SUMIFS(المبيعات!$F$2:$F$2000,المبيعات!$D$2:$D$2000,A1794))</f>
        <v/>
      </c>
      <c r="G1794">
        <f>IF(A1794="","",E1794-F1794)</f>
        <v/>
      </c>
      <c r="H1794" s="4" t="n"/>
      <c r="I1794">
        <f>IF(OR(A1794="",H1794=""),"",IF(G1794&lt;=H1794,"اطلب الآن",""))</f>
        <v/>
      </c>
    </row>
    <row r="1795">
      <c r="A1795" s="4" t="n"/>
      <c r="B1795" s="4" t="n"/>
      <c r="C1795" s="4" t="n"/>
      <c r="D1795" s="4" t="n"/>
      <c r="E1795" s="4" t="n"/>
      <c r="F1795">
        <f>IF(A1795="","",SUMIFS(المبيعات!$F$2:$F$2000,المبيعات!$D$2:$D$2000,A1795))</f>
        <v/>
      </c>
      <c r="G1795">
        <f>IF(A1795="","",E1795-F1795)</f>
        <v/>
      </c>
      <c r="H1795" s="4" t="n"/>
      <c r="I1795">
        <f>IF(OR(A1795="",H1795=""),"",IF(G1795&lt;=H1795,"اطلب الآن",""))</f>
        <v/>
      </c>
    </row>
    <row r="1796">
      <c r="A1796" s="4" t="n"/>
      <c r="B1796" s="4" t="n"/>
      <c r="C1796" s="4" t="n"/>
      <c r="D1796" s="4" t="n"/>
      <c r="E1796" s="4" t="n"/>
      <c r="F1796">
        <f>IF(A1796="","",SUMIFS(المبيعات!$F$2:$F$2000,المبيعات!$D$2:$D$2000,A1796))</f>
        <v/>
      </c>
      <c r="G1796">
        <f>IF(A1796="","",E1796-F1796)</f>
        <v/>
      </c>
      <c r="H1796" s="4" t="n"/>
      <c r="I1796">
        <f>IF(OR(A1796="",H1796=""),"",IF(G1796&lt;=H1796,"اطلب الآن",""))</f>
        <v/>
      </c>
    </row>
    <row r="1797">
      <c r="A1797" s="4" t="n"/>
      <c r="B1797" s="4" t="n"/>
      <c r="C1797" s="4" t="n"/>
      <c r="D1797" s="4" t="n"/>
      <c r="E1797" s="4" t="n"/>
      <c r="F1797">
        <f>IF(A1797="","",SUMIFS(المبيعات!$F$2:$F$2000,المبيعات!$D$2:$D$2000,A1797))</f>
        <v/>
      </c>
      <c r="G1797">
        <f>IF(A1797="","",E1797-F1797)</f>
        <v/>
      </c>
      <c r="H1797" s="4" t="n"/>
      <c r="I1797">
        <f>IF(OR(A1797="",H1797=""),"",IF(G1797&lt;=H1797,"اطلب الآن",""))</f>
        <v/>
      </c>
    </row>
    <row r="1798">
      <c r="A1798" s="4" t="n"/>
      <c r="B1798" s="4" t="n"/>
      <c r="C1798" s="4" t="n"/>
      <c r="D1798" s="4" t="n"/>
      <c r="E1798" s="4" t="n"/>
      <c r="F1798">
        <f>IF(A1798="","",SUMIFS(المبيعات!$F$2:$F$2000,المبيعات!$D$2:$D$2000,A1798))</f>
        <v/>
      </c>
      <c r="G1798">
        <f>IF(A1798="","",E1798-F1798)</f>
        <v/>
      </c>
      <c r="H1798" s="4" t="n"/>
      <c r="I1798">
        <f>IF(OR(A1798="",H1798=""),"",IF(G1798&lt;=H1798,"اطلب الآن",""))</f>
        <v/>
      </c>
    </row>
    <row r="1799">
      <c r="A1799" s="4" t="n"/>
      <c r="B1799" s="4" t="n"/>
      <c r="C1799" s="4" t="n"/>
      <c r="D1799" s="4" t="n"/>
      <c r="E1799" s="4" t="n"/>
      <c r="F1799">
        <f>IF(A1799="","",SUMIFS(المبيعات!$F$2:$F$2000,المبيعات!$D$2:$D$2000,A1799))</f>
        <v/>
      </c>
      <c r="G1799">
        <f>IF(A1799="","",E1799-F1799)</f>
        <v/>
      </c>
      <c r="H1799" s="4" t="n"/>
      <c r="I1799">
        <f>IF(OR(A1799="",H1799=""),"",IF(G1799&lt;=H1799,"اطلب الآن",""))</f>
        <v/>
      </c>
    </row>
    <row r="1800">
      <c r="A1800" s="4" t="n"/>
      <c r="B1800" s="4" t="n"/>
      <c r="C1800" s="4" t="n"/>
      <c r="D1800" s="4" t="n"/>
      <c r="E1800" s="4" t="n"/>
      <c r="F1800">
        <f>IF(A1800="","",SUMIFS(المبيعات!$F$2:$F$2000,المبيعات!$D$2:$D$2000,A1800))</f>
        <v/>
      </c>
      <c r="G1800">
        <f>IF(A1800="","",E1800-F1800)</f>
        <v/>
      </c>
      <c r="H1800" s="4" t="n"/>
      <c r="I1800">
        <f>IF(OR(A1800="",H1800=""),"",IF(G1800&lt;=H1800,"اطلب الآن",""))</f>
        <v/>
      </c>
    </row>
    <row r="1801">
      <c r="A1801" s="4" t="n"/>
      <c r="B1801" s="4" t="n"/>
      <c r="C1801" s="4" t="n"/>
      <c r="D1801" s="4" t="n"/>
      <c r="E1801" s="4" t="n"/>
      <c r="F1801">
        <f>IF(A1801="","",SUMIFS(المبيعات!$F$2:$F$2000,المبيعات!$D$2:$D$2000,A1801))</f>
        <v/>
      </c>
      <c r="G1801">
        <f>IF(A1801="","",E1801-F1801)</f>
        <v/>
      </c>
      <c r="H1801" s="4" t="n"/>
      <c r="I1801">
        <f>IF(OR(A1801="",H1801=""),"",IF(G1801&lt;=H1801,"اطلب الآن",""))</f>
        <v/>
      </c>
    </row>
    <row r="1802">
      <c r="A1802" s="4" t="n"/>
      <c r="B1802" s="4" t="n"/>
      <c r="C1802" s="4" t="n"/>
      <c r="D1802" s="4" t="n"/>
      <c r="E1802" s="4" t="n"/>
      <c r="F1802">
        <f>IF(A1802="","",SUMIFS(المبيعات!$F$2:$F$2000,المبيعات!$D$2:$D$2000,A1802))</f>
        <v/>
      </c>
      <c r="G1802">
        <f>IF(A1802="","",E1802-F1802)</f>
        <v/>
      </c>
      <c r="H1802" s="4" t="n"/>
      <c r="I1802">
        <f>IF(OR(A1802="",H1802=""),"",IF(G1802&lt;=H1802,"اطلب الآن",""))</f>
        <v/>
      </c>
    </row>
    <row r="1803">
      <c r="A1803" s="4" t="n"/>
      <c r="B1803" s="4" t="n"/>
      <c r="C1803" s="4" t="n"/>
      <c r="D1803" s="4" t="n"/>
      <c r="E1803" s="4" t="n"/>
      <c r="F1803">
        <f>IF(A1803="","",SUMIFS(المبيعات!$F$2:$F$2000,المبيعات!$D$2:$D$2000,A1803))</f>
        <v/>
      </c>
      <c r="G1803">
        <f>IF(A1803="","",E1803-F1803)</f>
        <v/>
      </c>
      <c r="H1803" s="4" t="n"/>
      <c r="I1803">
        <f>IF(OR(A1803="",H1803=""),"",IF(G1803&lt;=H1803,"اطلب الآن",""))</f>
        <v/>
      </c>
    </row>
    <row r="1804">
      <c r="A1804" s="4" t="n"/>
      <c r="B1804" s="4" t="n"/>
      <c r="C1804" s="4" t="n"/>
      <c r="D1804" s="4" t="n"/>
      <c r="E1804" s="4" t="n"/>
      <c r="F1804">
        <f>IF(A1804="","",SUMIFS(المبيعات!$F$2:$F$2000,المبيعات!$D$2:$D$2000,A1804))</f>
        <v/>
      </c>
      <c r="G1804">
        <f>IF(A1804="","",E1804-F1804)</f>
        <v/>
      </c>
      <c r="H1804" s="4" t="n"/>
      <c r="I1804">
        <f>IF(OR(A1804="",H1804=""),"",IF(G1804&lt;=H1804,"اطلب الآن",""))</f>
        <v/>
      </c>
    </row>
    <row r="1805">
      <c r="A1805" s="4" t="n"/>
      <c r="B1805" s="4" t="n"/>
      <c r="C1805" s="4" t="n"/>
      <c r="D1805" s="4" t="n"/>
      <c r="E1805" s="4" t="n"/>
      <c r="F1805">
        <f>IF(A1805="","",SUMIFS(المبيعات!$F$2:$F$2000,المبيعات!$D$2:$D$2000,A1805))</f>
        <v/>
      </c>
      <c r="G1805">
        <f>IF(A1805="","",E1805-F1805)</f>
        <v/>
      </c>
      <c r="H1805" s="4" t="n"/>
      <c r="I1805">
        <f>IF(OR(A1805="",H1805=""),"",IF(G1805&lt;=H1805,"اطلب الآن",""))</f>
        <v/>
      </c>
    </row>
    <row r="1806">
      <c r="A1806" s="4" t="n"/>
      <c r="B1806" s="4" t="n"/>
      <c r="C1806" s="4" t="n"/>
      <c r="D1806" s="4" t="n"/>
      <c r="E1806" s="4" t="n"/>
      <c r="F1806">
        <f>IF(A1806="","",SUMIFS(المبيعات!$F$2:$F$2000,المبيعات!$D$2:$D$2000,A1806))</f>
        <v/>
      </c>
      <c r="G1806">
        <f>IF(A1806="","",E1806-F1806)</f>
        <v/>
      </c>
      <c r="H1806" s="4" t="n"/>
      <c r="I1806">
        <f>IF(OR(A1806="",H1806=""),"",IF(G1806&lt;=H1806,"اطلب الآن",""))</f>
        <v/>
      </c>
    </row>
    <row r="1807">
      <c r="A1807" s="4" t="n"/>
      <c r="B1807" s="4" t="n"/>
      <c r="C1807" s="4" t="n"/>
      <c r="D1807" s="4" t="n"/>
      <c r="E1807" s="4" t="n"/>
      <c r="F1807">
        <f>IF(A1807="","",SUMIFS(المبيعات!$F$2:$F$2000,المبيعات!$D$2:$D$2000,A1807))</f>
        <v/>
      </c>
      <c r="G1807">
        <f>IF(A1807="","",E1807-F1807)</f>
        <v/>
      </c>
      <c r="H1807" s="4" t="n"/>
      <c r="I1807">
        <f>IF(OR(A1807="",H1807=""),"",IF(G1807&lt;=H1807,"اطلب الآن",""))</f>
        <v/>
      </c>
    </row>
    <row r="1808">
      <c r="A1808" s="4" t="n"/>
      <c r="B1808" s="4" t="n"/>
      <c r="C1808" s="4" t="n"/>
      <c r="D1808" s="4" t="n"/>
      <c r="E1808" s="4" t="n"/>
      <c r="F1808">
        <f>IF(A1808="","",SUMIFS(المبيعات!$F$2:$F$2000,المبيعات!$D$2:$D$2000,A1808))</f>
        <v/>
      </c>
      <c r="G1808">
        <f>IF(A1808="","",E1808-F1808)</f>
        <v/>
      </c>
      <c r="H1808" s="4" t="n"/>
      <c r="I1808">
        <f>IF(OR(A1808="",H1808=""),"",IF(G1808&lt;=H1808,"اطلب الآن",""))</f>
        <v/>
      </c>
    </row>
    <row r="1809">
      <c r="A1809" s="4" t="n"/>
      <c r="B1809" s="4" t="n"/>
      <c r="C1809" s="4" t="n"/>
      <c r="D1809" s="4" t="n"/>
      <c r="E1809" s="4" t="n"/>
      <c r="F1809">
        <f>IF(A1809="","",SUMIFS(المبيعات!$F$2:$F$2000,المبيعات!$D$2:$D$2000,A1809))</f>
        <v/>
      </c>
      <c r="G1809">
        <f>IF(A1809="","",E1809-F1809)</f>
        <v/>
      </c>
      <c r="H1809" s="4" t="n"/>
      <c r="I1809">
        <f>IF(OR(A1809="",H1809=""),"",IF(G1809&lt;=H1809,"اطلب الآن",""))</f>
        <v/>
      </c>
    </row>
    <row r="1810">
      <c r="A1810" s="4" t="n"/>
      <c r="B1810" s="4" t="n"/>
      <c r="C1810" s="4" t="n"/>
      <c r="D1810" s="4" t="n"/>
      <c r="E1810" s="4" t="n"/>
      <c r="F1810">
        <f>IF(A1810="","",SUMIFS(المبيعات!$F$2:$F$2000,المبيعات!$D$2:$D$2000,A1810))</f>
        <v/>
      </c>
      <c r="G1810">
        <f>IF(A1810="","",E1810-F1810)</f>
        <v/>
      </c>
      <c r="H1810" s="4" t="n"/>
      <c r="I1810">
        <f>IF(OR(A1810="",H1810=""),"",IF(G1810&lt;=H1810,"اطلب الآن",""))</f>
        <v/>
      </c>
    </row>
    <row r="1811">
      <c r="A1811" s="4" t="n"/>
      <c r="B1811" s="4" t="n"/>
      <c r="C1811" s="4" t="n"/>
      <c r="D1811" s="4" t="n"/>
      <c r="E1811" s="4" t="n"/>
      <c r="F1811">
        <f>IF(A1811="","",SUMIFS(المبيعات!$F$2:$F$2000,المبيعات!$D$2:$D$2000,A1811))</f>
        <v/>
      </c>
      <c r="G1811">
        <f>IF(A1811="","",E1811-F1811)</f>
        <v/>
      </c>
      <c r="H1811" s="4" t="n"/>
      <c r="I1811">
        <f>IF(OR(A1811="",H1811=""),"",IF(G1811&lt;=H1811,"اطلب الآن",""))</f>
        <v/>
      </c>
    </row>
    <row r="1812">
      <c r="A1812" s="4" t="n"/>
      <c r="B1812" s="4" t="n"/>
      <c r="C1812" s="4" t="n"/>
      <c r="D1812" s="4" t="n"/>
      <c r="E1812" s="4" t="n"/>
      <c r="F1812">
        <f>IF(A1812="","",SUMIFS(المبيعات!$F$2:$F$2000,المبيعات!$D$2:$D$2000,A1812))</f>
        <v/>
      </c>
      <c r="G1812">
        <f>IF(A1812="","",E1812-F1812)</f>
        <v/>
      </c>
      <c r="H1812" s="4" t="n"/>
      <c r="I1812">
        <f>IF(OR(A1812="",H1812=""),"",IF(G1812&lt;=H1812,"اطلب الآن",""))</f>
        <v/>
      </c>
    </row>
    <row r="1813">
      <c r="A1813" s="4" t="n"/>
      <c r="B1813" s="4" t="n"/>
      <c r="C1813" s="4" t="n"/>
      <c r="D1813" s="4" t="n"/>
      <c r="E1813" s="4" t="n"/>
      <c r="F1813">
        <f>IF(A1813="","",SUMIFS(المبيعات!$F$2:$F$2000,المبيعات!$D$2:$D$2000,A1813))</f>
        <v/>
      </c>
      <c r="G1813">
        <f>IF(A1813="","",E1813-F1813)</f>
        <v/>
      </c>
      <c r="H1813" s="4" t="n"/>
      <c r="I1813">
        <f>IF(OR(A1813="",H1813=""),"",IF(G1813&lt;=H1813,"اطلب الآن",""))</f>
        <v/>
      </c>
    </row>
    <row r="1814">
      <c r="A1814" s="4" t="n"/>
      <c r="B1814" s="4" t="n"/>
      <c r="C1814" s="4" t="n"/>
      <c r="D1814" s="4" t="n"/>
      <c r="E1814" s="4" t="n"/>
      <c r="F1814">
        <f>IF(A1814="","",SUMIFS(المبيعات!$F$2:$F$2000,المبيعات!$D$2:$D$2000,A1814))</f>
        <v/>
      </c>
      <c r="G1814">
        <f>IF(A1814="","",E1814-F1814)</f>
        <v/>
      </c>
      <c r="H1814" s="4" t="n"/>
      <c r="I1814">
        <f>IF(OR(A1814="",H1814=""),"",IF(G1814&lt;=H1814,"اطلب الآن",""))</f>
        <v/>
      </c>
    </row>
    <row r="1815">
      <c r="A1815" s="4" t="n"/>
      <c r="B1815" s="4" t="n"/>
      <c r="C1815" s="4" t="n"/>
      <c r="D1815" s="4" t="n"/>
      <c r="E1815" s="4" t="n"/>
      <c r="F1815">
        <f>IF(A1815="","",SUMIFS(المبيعات!$F$2:$F$2000,المبيعات!$D$2:$D$2000,A1815))</f>
        <v/>
      </c>
      <c r="G1815">
        <f>IF(A1815="","",E1815-F1815)</f>
        <v/>
      </c>
      <c r="H1815" s="4" t="n"/>
      <c r="I1815">
        <f>IF(OR(A1815="",H1815=""),"",IF(G1815&lt;=H1815,"اطلب الآن",""))</f>
        <v/>
      </c>
    </row>
    <row r="1816">
      <c r="A1816" s="4" t="n"/>
      <c r="B1816" s="4" t="n"/>
      <c r="C1816" s="4" t="n"/>
      <c r="D1816" s="4" t="n"/>
      <c r="E1816" s="4" t="n"/>
      <c r="F1816">
        <f>IF(A1816="","",SUMIFS(المبيعات!$F$2:$F$2000,المبيعات!$D$2:$D$2000,A1816))</f>
        <v/>
      </c>
      <c r="G1816">
        <f>IF(A1816="","",E1816-F1816)</f>
        <v/>
      </c>
      <c r="H1816" s="4" t="n"/>
      <c r="I1816">
        <f>IF(OR(A1816="",H1816=""),"",IF(G1816&lt;=H1816,"اطلب الآن",""))</f>
        <v/>
      </c>
    </row>
    <row r="1817">
      <c r="A1817" s="4" t="n"/>
      <c r="B1817" s="4" t="n"/>
      <c r="C1817" s="4" t="n"/>
      <c r="D1817" s="4" t="n"/>
      <c r="E1817" s="4" t="n"/>
      <c r="F1817">
        <f>IF(A1817="","",SUMIFS(المبيعات!$F$2:$F$2000,المبيعات!$D$2:$D$2000,A1817))</f>
        <v/>
      </c>
      <c r="G1817">
        <f>IF(A1817="","",E1817-F1817)</f>
        <v/>
      </c>
      <c r="H1817" s="4" t="n"/>
      <c r="I1817">
        <f>IF(OR(A1817="",H1817=""),"",IF(G1817&lt;=H1817,"اطلب الآن",""))</f>
        <v/>
      </c>
    </row>
    <row r="1818">
      <c r="A1818" s="4" t="n"/>
      <c r="B1818" s="4" t="n"/>
      <c r="C1818" s="4" t="n"/>
      <c r="D1818" s="4" t="n"/>
      <c r="E1818" s="4" t="n"/>
      <c r="F1818">
        <f>IF(A1818="","",SUMIFS(المبيعات!$F$2:$F$2000,المبيعات!$D$2:$D$2000,A1818))</f>
        <v/>
      </c>
      <c r="G1818">
        <f>IF(A1818="","",E1818-F1818)</f>
        <v/>
      </c>
      <c r="H1818" s="4" t="n"/>
      <c r="I1818">
        <f>IF(OR(A1818="",H1818=""),"",IF(G1818&lt;=H1818,"اطلب الآن",""))</f>
        <v/>
      </c>
    </row>
    <row r="1819">
      <c r="A1819" s="4" t="n"/>
      <c r="B1819" s="4" t="n"/>
      <c r="C1819" s="4" t="n"/>
      <c r="D1819" s="4" t="n"/>
      <c r="E1819" s="4" t="n"/>
      <c r="F1819">
        <f>IF(A1819="","",SUMIFS(المبيعات!$F$2:$F$2000,المبيعات!$D$2:$D$2000,A1819))</f>
        <v/>
      </c>
      <c r="G1819">
        <f>IF(A1819="","",E1819-F1819)</f>
        <v/>
      </c>
      <c r="H1819" s="4" t="n"/>
      <c r="I1819">
        <f>IF(OR(A1819="",H1819=""),"",IF(G1819&lt;=H1819,"اطلب الآن",""))</f>
        <v/>
      </c>
    </row>
    <row r="1820">
      <c r="A1820" s="4" t="n"/>
      <c r="B1820" s="4" t="n"/>
      <c r="C1820" s="4" t="n"/>
      <c r="D1820" s="4" t="n"/>
      <c r="E1820" s="4" t="n"/>
      <c r="F1820">
        <f>IF(A1820="","",SUMIFS(المبيعات!$F$2:$F$2000,المبيعات!$D$2:$D$2000,A1820))</f>
        <v/>
      </c>
      <c r="G1820">
        <f>IF(A1820="","",E1820-F1820)</f>
        <v/>
      </c>
      <c r="H1820" s="4" t="n"/>
      <c r="I1820">
        <f>IF(OR(A1820="",H1820=""),"",IF(G1820&lt;=H1820,"اطلب الآن",""))</f>
        <v/>
      </c>
    </row>
    <row r="1821">
      <c r="A1821" s="4" t="n"/>
      <c r="B1821" s="4" t="n"/>
      <c r="C1821" s="4" t="n"/>
      <c r="D1821" s="4" t="n"/>
      <c r="E1821" s="4" t="n"/>
      <c r="F1821">
        <f>IF(A1821="","",SUMIFS(المبيعات!$F$2:$F$2000,المبيعات!$D$2:$D$2000,A1821))</f>
        <v/>
      </c>
      <c r="G1821">
        <f>IF(A1821="","",E1821-F1821)</f>
        <v/>
      </c>
      <c r="H1821" s="4" t="n"/>
      <c r="I1821">
        <f>IF(OR(A1821="",H1821=""),"",IF(G1821&lt;=H1821,"اطلب الآن",""))</f>
        <v/>
      </c>
    </row>
    <row r="1822">
      <c r="A1822" s="4" t="n"/>
      <c r="B1822" s="4" t="n"/>
      <c r="C1822" s="4" t="n"/>
      <c r="D1822" s="4" t="n"/>
      <c r="E1822" s="4" t="n"/>
      <c r="F1822">
        <f>IF(A1822="","",SUMIFS(المبيعات!$F$2:$F$2000,المبيعات!$D$2:$D$2000,A1822))</f>
        <v/>
      </c>
      <c r="G1822">
        <f>IF(A1822="","",E1822-F1822)</f>
        <v/>
      </c>
      <c r="H1822" s="4" t="n"/>
      <c r="I1822">
        <f>IF(OR(A1822="",H1822=""),"",IF(G1822&lt;=H1822,"اطلب الآن",""))</f>
        <v/>
      </c>
    </row>
    <row r="1823">
      <c r="A1823" s="4" t="n"/>
      <c r="B1823" s="4" t="n"/>
      <c r="C1823" s="4" t="n"/>
      <c r="D1823" s="4" t="n"/>
      <c r="E1823" s="4" t="n"/>
      <c r="F1823">
        <f>IF(A1823="","",SUMIFS(المبيعات!$F$2:$F$2000,المبيعات!$D$2:$D$2000,A1823))</f>
        <v/>
      </c>
      <c r="G1823">
        <f>IF(A1823="","",E1823-F1823)</f>
        <v/>
      </c>
      <c r="H1823" s="4" t="n"/>
      <c r="I1823">
        <f>IF(OR(A1823="",H1823=""),"",IF(G1823&lt;=H1823,"اطلب الآن",""))</f>
        <v/>
      </c>
    </row>
    <row r="1824">
      <c r="A1824" s="4" t="n"/>
      <c r="B1824" s="4" t="n"/>
      <c r="C1824" s="4" t="n"/>
      <c r="D1824" s="4" t="n"/>
      <c r="E1824" s="4" t="n"/>
      <c r="F1824">
        <f>IF(A1824="","",SUMIFS(المبيعات!$F$2:$F$2000,المبيعات!$D$2:$D$2000,A1824))</f>
        <v/>
      </c>
      <c r="G1824">
        <f>IF(A1824="","",E1824-F1824)</f>
        <v/>
      </c>
      <c r="H1824" s="4" t="n"/>
      <c r="I1824">
        <f>IF(OR(A1824="",H1824=""),"",IF(G1824&lt;=H1824,"اطلب الآن",""))</f>
        <v/>
      </c>
    </row>
    <row r="1825">
      <c r="A1825" s="4" t="n"/>
      <c r="B1825" s="4" t="n"/>
      <c r="C1825" s="4" t="n"/>
      <c r="D1825" s="4" t="n"/>
      <c r="E1825" s="4" t="n"/>
      <c r="F1825">
        <f>IF(A1825="","",SUMIFS(المبيعات!$F$2:$F$2000,المبيعات!$D$2:$D$2000,A1825))</f>
        <v/>
      </c>
      <c r="G1825">
        <f>IF(A1825="","",E1825-F1825)</f>
        <v/>
      </c>
      <c r="H1825" s="4" t="n"/>
      <c r="I1825">
        <f>IF(OR(A1825="",H1825=""),"",IF(G1825&lt;=H1825,"اطلب الآن",""))</f>
        <v/>
      </c>
    </row>
    <row r="1826">
      <c r="A1826" s="4" t="n"/>
      <c r="B1826" s="4" t="n"/>
      <c r="C1826" s="4" t="n"/>
      <c r="D1826" s="4" t="n"/>
      <c r="E1826" s="4" t="n"/>
      <c r="F1826">
        <f>IF(A1826="","",SUMIFS(المبيعات!$F$2:$F$2000,المبيعات!$D$2:$D$2000,A1826))</f>
        <v/>
      </c>
      <c r="G1826">
        <f>IF(A1826="","",E1826-F1826)</f>
        <v/>
      </c>
      <c r="H1826" s="4" t="n"/>
      <c r="I1826">
        <f>IF(OR(A1826="",H1826=""),"",IF(G1826&lt;=H1826,"اطلب الآن",""))</f>
        <v/>
      </c>
    </row>
    <row r="1827">
      <c r="A1827" s="4" t="n"/>
      <c r="B1827" s="4" t="n"/>
      <c r="C1827" s="4" t="n"/>
      <c r="D1827" s="4" t="n"/>
      <c r="E1827" s="4" t="n"/>
      <c r="F1827">
        <f>IF(A1827="","",SUMIFS(المبيعات!$F$2:$F$2000,المبيعات!$D$2:$D$2000,A1827))</f>
        <v/>
      </c>
      <c r="G1827">
        <f>IF(A1827="","",E1827-F1827)</f>
        <v/>
      </c>
      <c r="H1827" s="4" t="n"/>
      <c r="I1827">
        <f>IF(OR(A1827="",H1827=""),"",IF(G1827&lt;=H1827,"اطلب الآن",""))</f>
        <v/>
      </c>
    </row>
    <row r="1828">
      <c r="A1828" s="4" t="n"/>
      <c r="B1828" s="4" t="n"/>
      <c r="C1828" s="4" t="n"/>
      <c r="D1828" s="4" t="n"/>
      <c r="E1828" s="4" t="n"/>
      <c r="F1828">
        <f>IF(A1828="","",SUMIFS(المبيعات!$F$2:$F$2000,المبيعات!$D$2:$D$2000,A1828))</f>
        <v/>
      </c>
      <c r="G1828">
        <f>IF(A1828="","",E1828-F1828)</f>
        <v/>
      </c>
      <c r="H1828" s="4" t="n"/>
      <c r="I1828">
        <f>IF(OR(A1828="",H1828=""),"",IF(G1828&lt;=H1828,"اطلب الآن",""))</f>
        <v/>
      </c>
    </row>
    <row r="1829">
      <c r="A1829" s="4" t="n"/>
      <c r="B1829" s="4" t="n"/>
      <c r="C1829" s="4" t="n"/>
      <c r="D1829" s="4" t="n"/>
      <c r="E1829" s="4" t="n"/>
      <c r="F1829">
        <f>IF(A1829="","",SUMIFS(المبيعات!$F$2:$F$2000,المبيعات!$D$2:$D$2000,A1829))</f>
        <v/>
      </c>
      <c r="G1829">
        <f>IF(A1829="","",E1829-F1829)</f>
        <v/>
      </c>
      <c r="H1829" s="4" t="n"/>
      <c r="I1829">
        <f>IF(OR(A1829="",H1829=""),"",IF(G1829&lt;=H1829,"اطلب الآن",""))</f>
        <v/>
      </c>
    </row>
    <row r="1830">
      <c r="A1830" s="4" t="n"/>
      <c r="B1830" s="4" t="n"/>
      <c r="C1830" s="4" t="n"/>
      <c r="D1830" s="4" t="n"/>
      <c r="E1830" s="4" t="n"/>
      <c r="F1830">
        <f>IF(A1830="","",SUMIFS(المبيعات!$F$2:$F$2000,المبيعات!$D$2:$D$2000,A1830))</f>
        <v/>
      </c>
      <c r="G1830">
        <f>IF(A1830="","",E1830-F1830)</f>
        <v/>
      </c>
      <c r="H1830" s="4" t="n"/>
      <c r="I1830">
        <f>IF(OR(A1830="",H1830=""),"",IF(G1830&lt;=H1830,"اطلب الآن",""))</f>
        <v/>
      </c>
    </row>
    <row r="1831">
      <c r="A1831" s="4" t="n"/>
      <c r="B1831" s="4" t="n"/>
      <c r="C1831" s="4" t="n"/>
      <c r="D1831" s="4" t="n"/>
      <c r="E1831" s="4" t="n"/>
      <c r="F1831">
        <f>IF(A1831="","",SUMIFS(المبيعات!$F$2:$F$2000,المبيعات!$D$2:$D$2000,A1831))</f>
        <v/>
      </c>
      <c r="G1831">
        <f>IF(A1831="","",E1831-F1831)</f>
        <v/>
      </c>
      <c r="H1831" s="4" t="n"/>
      <c r="I1831">
        <f>IF(OR(A1831="",H1831=""),"",IF(G1831&lt;=H1831,"اطلب الآن",""))</f>
        <v/>
      </c>
    </row>
    <row r="1832">
      <c r="A1832" s="4" t="n"/>
      <c r="B1832" s="4" t="n"/>
      <c r="C1832" s="4" t="n"/>
      <c r="D1832" s="4" t="n"/>
      <c r="E1832" s="4" t="n"/>
      <c r="F1832">
        <f>IF(A1832="","",SUMIFS(المبيعات!$F$2:$F$2000,المبيعات!$D$2:$D$2000,A1832))</f>
        <v/>
      </c>
      <c r="G1832">
        <f>IF(A1832="","",E1832-F1832)</f>
        <v/>
      </c>
      <c r="H1832" s="4" t="n"/>
      <c r="I1832">
        <f>IF(OR(A1832="",H1832=""),"",IF(G1832&lt;=H1832,"اطلب الآن",""))</f>
        <v/>
      </c>
    </row>
    <row r="1833">
      <c r="A1833" s="4" t="n"/>
      <c r="B1833" s="4" t="n"/>
      <c r="C1833" s="4" t="n"/>
      <c r="D1833" s="4" t="n"/>
      <c r="E1833" s="4" t="n"/>
      <c r="F1833">
        <f>IF(A1833="","",SUMIFS(المبيعات!$F$2:$F$2000,المبيعات!$D$2:$D$2000,A1833))</f>
        <v/>
      </c>
      <c r="G1833">
        <f>IF(A1833="","",E1833-F1833)</f>
        <v/>
      </c>
      <c r="H1833" s="4" t="n"/>
      <c r="I1833">
        <f>IF(OR(A1833="",H1833=""),"",IF(G1833&lt;=H1833,"اطلب الآن",""))</f>
        <v/>
      </c>
    </row>
    <row r="1834">
      <c r="A1834" s="4" t="n"/>
      <c r="B1834" s="4" t="n"/>
      <c r="C1834" s="4" t="n"/>
      <c r="D1834" s="4" t="n"/>
      <c r="E1834" s="4" t="n"/>
      <c r="F1834">
        <f>IF(A1834="","",SUMIFS(المبيعات!$F$2:$F$2000,المبيعات!$D$2:$D$2000,A1834))</f>
        <v/>
      </c>
      <c r="G1834">
        <f>IF(A1834="","",E1834-F1834)</f>
        <v/>
      </c>
      <c r="H1834" s="4" t="n"/>
      <c r="I1834">
        <f>IF(OR(A1834="",H1834=""),"",IF(G1834&lt;=H1834,"اطلب الآن",""))</f>
        <v/>
      </c>
    </row>
    <row r="1835">
      <c r="A1835" s="4" t="n"/>
      <c r="B1835" s="4" t="n"/>
      <c r="C1835" s="4" t="n"/>
      <c r="D1835" s="4" t="n"/>
      <c r="E1835" s="4" t="n"/>
      <c r="F1835">
        <f>IF(A1835="","",SUMIFS(المبيعات!$F$2:$F$2000,المبيعات!$D$2:$D$2000,A1835))</f>
        <v/>
      </c>
      <c r="G1835">
        <f>IF(A1835="","",E1835-F1835)</f>
        <v/>
      </c>
      <c r="H1835" s="4" t="n"/>
      <c r="I1835">
        <f>IF(OR(A1835="",H1835=""),"",IF(G1835&lt;=H1835,"اطلب الآن",""))</f>
        <v/>
      </c>
    </row>
    <row r="1836">
      <c r="A1836" s="4" t="n"/>
      <c r="B1836" s="4" t="n"/>
      <c r="C1836" s="4" t="n"/>
      <c r="D1836" s="4" t="n"/>
      <c r="E1836" s="4" t="n"/>
      <c r="F1836">
        <f>IF(A1836="","",SUMIFS(المبيعات!$F$2:$F$2000,المبيعات!$D$2:$D$2000,A1836))</f>
        <v/>
      </c>
      <c r="G1836">
        <f>IF(A1836="","",E1836-F1836)</f>
        <v/>
      </c>
      <c r="H1836" s="4" t="n"/>
      <c r="I1836">
        <f>IF(OR(A1836="",H1836=""),"",IF(G1836&lt;=H1836,"اطلب الآن",""))</f>
        <v/>
      </c>
    </row>
    <row r="1837">
      <c r="A1837" s="4" t="n"/>
      <c r="B1837" s="4" t="n"/>
      <c r="C1837" s="4" t="n"/>
      <c r="D1837" s="4" t="n"/>
      <c r="E1837" s="4" t="n"/>
      <c r="F1837">
        <f>IF(A1837="","",SUMIFS(المبيعات!$F$2:$F$2000,المبيعات!$D$2:$D$2000,A1837))</f>
        <v/>
      </c>
      <c r="G1837">
        <f>IF(A1837="","",E1837-F1837)</f>
        <v/>
      </c>
      <c r="H1837" s="4" t="n"/>
      <c r="I1837">
        <f>IF(OR(A1837="",H1837=""),"",IF(G1837&lt;=H1837,"اطلب الآن",""))</f>
        <v/>
      </c>
    </row>
    <row r="1838">
      <c r="A1838" s="4" t="n"/>
      <c r="B1838" s="4" t="n"/>
      <c r="C1838" s="4" t="n"/>
      <c r="D1838" s="4" t="n"/>
      <c r="E1838" s="4" t="n"/>
      <c r="F1838">
        <f>IF(A1838="","",SUMIFS(المبيعات!$F$2:$F$2000,المبيعات!$D$2:$D$2000,A1838))</f>
        <v/>
      </c>
      <c r="G1838">
        <f>IF(A1838="","",E1838-F1838)</f>
        <v/>
      </c>
      <c r="H1838" s="4" t="n"/>
      <c r="I1838">
        <f>IF(OR(A1838="",H1838=""),"",IF(G1838&lt;=H1838,"اطلب الآن",""))</f>
        <v/>
      </c>
    </row>
    <row r="1839">
      <c r="A1839" s="4" t="n"/>
      <c r="B1839" s="4" t="n"/>
      <c r="C1839" s="4" t="n"/>
      <c r="D1839" s="4" t="n"/>
      <c r="E1839" s="4" t="n"/>
      <c r="F1839">
        <f>IF(A1839="","",SUMIFS(المبيعات!$F$2:$F$2000,المبيعات!$D$2:$D$2000,A1839))</f>
        <v/>
      </c>
      <c r="G1839">
        <f>IF(A1839="","",E1839-F1839)</f>
        <v/>
      </c>
      <c r="H1839" s="4" t="n"/>
      <c r="I1839">
        <f>IF(OR(A1839="",H1839=""),"",IF(G1839&lt;=H1839,"اطلب الآن",""))</f>
        <v/>
      </c>
    </row>
    <row r="1840">
      <c r="A1840" s="4" t="n"/>
      <c r="B1840" s="4" t="n"/>
      <c r="C1840" s="4" t="n"/>
      <c r="D1840" s="4" t="n"/>
      <c r="E1840" s="4" t="n"/>
      <c r="F1840">
        <f>IF(A1840="","",SUMIFS(المبيعات!$F$2:$F$2000,المبيعات!$D$2:$D$2000,A1840))</f>
        <v/>
      </c>
      <c r="G1840">
        <f>IF(A1840="","",E1840-F1840)</f>
        <v/>
      </c>
      <c r="H1840" s="4" t="n"/>
      <c r="I1840">
        <f>IF(OR(A1840="",H1840=""),"",IF(G1840&lt;=H1840,"اطلب الآن",""))</f>
        <v/>
      </c>
    </row>
    <row r="1841">
      <c r="A1841" s="4" t="n"/>
      <c r="B1841" s="4" t="n"/>
      <c r="C1841" s="4" t="n"/>
      <c r="D1841" s="4" t="n"/>
      <c r="E1841" s="4" t="n"/>
      <c r="F1841">
        <f>IF(A1841="","",SUMIFS(المبيعات!$F$2:$F$2000,المبيعات!$D$2:$D$2000,A1841))</f>
        <v/>
      </c>
      <c r="G1841">
        <f>IF(A1841="","",E1841-F1841)</f>
        <v/>
      </c>
      <c r="H1841" s="4" t="n"/>
      <c r="I1841">
        <f>IF(OR(A1841="",H1841=""),"",IF(G1841&lt;=H1841,"اطلب الآن",""))</f>
        <v/>
      </c>
    </row>
    <row r="1842">
      <c r="A1842" s="4" t="n"/>
      <c r="B1842" s="4" t="n"/>
      <c r="C1842" s="4" t="n"/>
      <c r="D1842" s="4" t="n"/>
      <c r="E1842" s="4" t="n"/>
      <c r="F1842">
        <f>IF(A1842="","",SUMIFS(المبيعات!$F$2:$F$2000,المبيعات!$D$2:$D$2000,A1842))</f>
        <v/>
      </c>
      <c r="G1842">
        <f>IF(A1842="","",E1842-F1842)</f>
        <v/>
      </c>
      <c r="H1842" s="4" t="n"/>
      <c r="I1842">
        <f>IF(OR(A1842="",H1842=""),"",IF(G1842&lt;=H1842,"اطلب الآن",""))</f>
        <v/>
      </c>
    </row>
    <row r="1843">
      <c r="A1843" s="4" t="n"/>
      <c r="B1843" s="4" t="n"/>
      <c r="C1843" s="4" t="n"/>
      <c r="D1843" s="4" t="n"/>
      <c r="E1843" s="4" t="n"/>
      <c r="F1843">
        <f>IF(A1843="","",SUMIFS(المبيعات!$F$2:$F$2000,المبيعات!$D$2:$D$2000,A1843))</f>
        <v/>
      </c>
      <c r="G1843">
        <f>IF(A1843="","",E1843-F1843)</f>
        <v/>
      </c>
      <c r="H1843" s="4" t="n"/>
      <c r="I1843">
        <f>IF(OR(A1843="",H1843=""),"",IF(G1843&lt;=H1843,"اطلب الآن",""))</f>
        <v/>
      </c>
    </row>
    <row r="1844">
      <c r="A1844" s="4" t="n"/>
      <c r="B1844" s="4" t="n"/>
      <c r="C1844" s="4" t="n"/>
      <c r="D1844" s="4" t="n"/>
      <c r="E1844" s="4" t="n"/>
      <c r="F1844">
        <f>IF(A1844="","",SUMIFS(المبيعات!$F$2:$F$2000,المبيعات!$D$2:$D$2000,A1844))</f>
        <v/>
      </c>
      <c r="G1844">
        <f>IF(A1844="","",E1844-F1844)</f>
        <v/>
      </c>
      <c r="H1844" s="4" t="n"/>
      <c r="I1844">
        <f>IF(OR(A1844="",H1844=""),"",IF(G1844&lt;=H1844,"اطلب الآن",""))</f>
        <v/>
      </c>
    </row>
    <row r="1845">
      <c r="A1845" s="4" t="n"/>
      <c r="B1845" s="4" t="n"/>
      <c r="C1845" s="4" t="n"/>
      <c r="D1845" s="4" t="n"/>
      <c r="E1845" s="4" t="n"/>
      <c r="F1845">
        <f>IF(A1845="","",SUMIFS(المبيعات!$F$2:$F$2000,المبيعات!$D$2:$D$2000,A1845))</f>
        <v/>
      </c>
      <c r="G1845">
        <f>IF(A1845="","",E1845-F1845)</f>
        <v/>
      </c>
      <c r="H1845" s="4" t="n"/>
      <c r="I1845">
        <f>IF(OR(A1845="",H1845=""),"",IF(G1845&lt;=H1845,"اطلب الآن",""))</f>
        <v/>
      </c>
    </row>
    <row r="1846">
      <c r="A1846" s="4" t="n"/>
      <c r="B1846" s="4" t="n"/>
      <c r="C1846" s="4" t="n"/>
      <c r="D1846" s="4" t="n"/>
      <c r="E1846" s="4" t="n"/>
      <c r="F1846">
        <f>IF(A1846="","",SUMIFS(المبيعات!$F$2:$F$2000,المبيعات!$D$2:$D$2000,A1846))</f>
        <v/>
      </c>
      <c r="G1846">
        <f>IF(A1846="","",E1846-F1846)</f>
        <v/>
      </c>
      <c r="H1846" s="4" t="n"/>
      <c r="I1846">
        <f>IF(OR(A1846="",H1846=""),"",IF(G1846&lt;=H1846,"اطلب الآن",""))</f>
        <v/>
      </c>
    </row>
    <row r="1847">
      <c r="A1847" s="4" t="n"/>
      <c r="B1847" s="4" t="n"/>
      <c r="C1847" s="4" t="n"/>
      <c r="D1847" s="4" t="n"/>
      <c r="E1847" s="4" t="n"/>
      <c r="F1847">
        <f>IF(A1847="","",SUMIFS(المبيعات!$F$2:$F$2000,المبيعات!$D$2:$D$2000,A1847))</f>
        <v/>
      </c>
      <c r="G1847">
        <f>IF(A1847="","",E1847-F1847)</f>
        <v/>
      </c>
      <c r="H1847" s="4" t="n"/>
      <c r="I1847">
        <f>IF(OR(A1847="",H1847=""),"",IF(G1847&lt;=H1847,"اطلب الآن",""))</f>
        <v/>
      </c>
    </row>
    <row r="1848">
      <c r="A1848" s="4" t="n"/>
      <c r="B1848" s="4" t="n"/>
      <c r="C1848" s="4" t="n"/>
      <c r="D1848" s="4" t="n"/>
      <c r="E1848" s="4" t="n"/>
      <c r="F1848">
        <f>IF(A1848="","",SUMIFS(المبيعات!$F$2:$F$2000,المبيعات!$D$2:$D$2000,A1848))</f>
        <v/>
      </c>
      <c r="G1848">
        <f>IF(A1848="","",E1848-F1848)</f>
        <v/>
      </c>
      <c r="H1848" s="4" t="n"/>
      <c r="I1848">
        <f>IF(OR(A1848="",H1848=""),"",IF(G1848&lt;=H1848,"اطلب الآن",""))</f>
        <v/>
      </c>
    </row>
    <row r="1849">
      <c r="A1849" s="4" t="n"/>
      <c r="B1849" s="4" t="n"/>
      <c r="C1849" s="4" t="n"/>
      <c r="D1849" s="4" t="n"/>
      <c r="E1849" s="4" t="n"/>
      <c r="F1849">
        <f>IF(A1849="","",SUMIFS(المبيعات!$F$2:$F$2000,المبيعات!$D$2:$D$2000,A1849))</f>
        <v/>
      </c>
      <c r="G1849">
        <f>IF(A1849="","",E1849-F1849)</f>
        <v/>
      </c>
      <c r="H1849" s="4" t="n"/>
      <c r="I1849">
        <f>IF(OR(A1849="",H1849=""),"",IF(G1849&lt;=H1849,"اطلب الآن",""))</f>
        <v/>
      </c>
    </row>
    <row r="1850">
      <c r="A1850" s="4" t="n"/>
      <c r="B1850" s="4" t="n"/>
      <c r="C1850" s="4" t="n"/>
      <c r="D1850" s="4" t="n"/>
      <c r="E1850" s="4" t="n"/>
      <c r="F1850">
        <f>IF(A1850="","",SUMIFS(المبيعات!$F$2:$F$2000,المبيعات!$D$2:$D$2000,A1850))</f>
        <v/>
      </c>
      <c r="G1850">
        <f>IF(A1850="","",E1850-F1850)</f>
        <v/>
      </c>
      <c r="H1850" s="4" t="n"/>
      <c r="I1850">
        <f>IF(OR(A1850="",H1850=""),"",IF(G1850&lt;=H1850,"اطلب الآن",""))</f>
        <v/>
      </c>
    </row>
    <row r="1851">
      <c r="A1851" s="4" t="n"/>
      <c r="B1851" s="4" t="n"/>
      <c r="C1851" s="4" t="n"/>
      <c r="D1851" s="4" t="n"/>
      <c r="E1851" s="4" t="n"/>
      <c r="F1851">
        <f>IF(A1851="","",SUMIFS(المبيعات!$F$2:$F$2000,المبيعات!$D$2:$D$2000,A1851))</f>
        <v/>
      </c>
      <c r="G1851">
        <f>IF(A1851="","",E1851-F1851)</f>
        <v/>
      </c>
      <c r="H1851" s="4" t="n"/>
      <c r="I1851">
        <f>IF(OR(A1851="",H1851=""),"",IF(G1851&lt;=H1851,"اطلب الآن",""))</f>
        <v/>
      </c>
    </row>
    <row r="1852">
      <c r="A1852" s="4" t="n"/>
      <c r="B1852" s="4" t="n"/>
      <c r="C1852" s="4" t="n"/>
      <c r="D1852" s="4" t="n"/>
      <c r="E1852" s="4" t="n"/>
      <c r="F1852">
        <f>IF(A1852="","",SUMIFS(المبيعات!$F$2:$F$2000,المبيعات!$D$2:$D$2000,A1852))</f>
        <v/>
      </c>
      <c r="G1852">
        <f>IF(A1852="","",E1852-F1852)</f>
        <v/>
      </c>
      <c r="H1852" s="4" t="n"/>
      <c r="I1852">
        <f>IF(OR(A1852="",H1852=""),"",IF(G1852&lt;=H1852,"اطلب الآن",""))</f>
        <v/>
      </c>
    </row>
    <row r="1853">
      <c r="A1853" s="4" t="n"/>
      <c r="B1853" s="4" t="n"/>
      <c r="C1853" s="4" t="n"/>
      <c r="D1853" s="4" t="n"/>
      <c r="E1853" s="4" t="n"/>
      <c r="F1853">
        <f>IF(A1853="","",SUMIFS(المبيعات!$F$2:$F$2000,المبيعات!$D$2:$D$2000,A1853))</f>
        <v/>
      </c>
      <c r="G1853">
        <f>IF(A1853="","",E1853-F1853)</f>
        <v/>
      </c>
      <c r="H1853" s="4" t="n"/>
      <c r="I1853">
        <f>IF(OR(A1853="",H1853=""),"",IF(G1853&lt;=H1853,"اطلب الآن",""))</f>
        <v/>
      </c>
    </row>
    <row r="1854">
      <c r="A1854" s="4" t="n"/>
      <c r="B1854" s="4" t="n"/>
      <c r="C1854" s="4" t="n"/>
      <c r="D1854" s="4" t="n"/>
      <c r="E1854" s="4" t="n"/>
      <c r="F1854">
        <f>IF(A1854="","",SUMIFS(المبيعات!$F$2:$F$2000,المبيعات!$D$2:$D$2000,A1854))</f>
        <v/>
      </c>
      <c r="G1854">
        <f>IF(A1854="","",E1854-F1854)</f>
        <v/>
      </c>
      <c r="H1854" s="4" t="n"/>
      <c r="I1854">
        <f>IF(OR(A1854="",H1854=""),"",IF(G1854&lt;=H1854,"اطلب الآن",""))</f>
        <v/>
      </c>
    </row>
    <row r="1855">
      <c r="A1855" s="4" t="n"/>
      <c r="B1855" s="4" t="n"/>
      <c r="C1855" s="4" t="n"/>
      <c r="D1855" s="4" t="n"/>
      <c r="E1855" s="4" t="n"/>
      <c r="F1855">
        <f>IF(A1855="","",SUMIFS(المبيعات!$F$2:$F$2000,المبيعات!$D$2:$D$2000,A1855))</f>
        <v/>
      </c>
      <c r="G1855">
        <f>IF(A1855="","",E1855-F1855)</f>
        <v/>
      </c>
      <c r="H1855" s="4" t="n"/>
      <c r="I1855">
        <f>IF(OR(A1855="",H1855=""),"",IF(G1855&lt;=H1855,"اطلب الآن",""))</f>
        <v/>
      </c>
    </row>
    <row r="1856">
      <c r="A1856" s="4" t="n"/>
      <c r="B1856" s="4" t="n"/>
      <c r="C1856" s="4" t="n"/>
      <c r="D1856" s="4" t="n"/>
      <c r="E1856" s="4" t="n"/>
      <c r="F1856">
        <f>IF(A1856="","",SUMIFS(المبيعات!$F$2:$F$2000,المبيعات!$D$2:$D$2000,A1856))</f>
        <v/>
      </c>
      <c r="G1856">
        <f>IF(A1856="","",E1856-F1856)</f>
        <v/>
      </c>
      <c r="H1856" s="4" t="n"/>
      <c r="I1856">
        <f>IF(OR(A1856="",H1856=""),"",IF(G1856&lt;=H1856,"اطلب الآن",""))</f>
        <v/>
      </c>
    </row>
    <row r="1857">
      <c r="A1857" s="4" t="n"/>
      <c r="B1857" s="4" t="n"/>
      <c r="C1857" s="4" t="n"/>
      <c r="D1857" s="4" t="n"/>
      <c r="E1857" s="4" t="n"/>
      <c r="F1857">
        <f>IF(A1857="","",SUMIFS(المبيعات!$F$2:$F$2000,المبيعات!$D$2:$D$2000,A1857))</f>
        <v/>
      </c>
      <c r="G1857">
        <f>IF(A1857="","",E1857-F1857)</f>
        <v/>
      </c>
      <c r="H1857" s="4" t="n"/>
      <c r="I1857">
        <f>IF(OR(A1857="",H1857=""),"",IF(G1857&lt;=H1857,"اطلب الآن",""))</f>
        <v/>
      </c>
    </row>
    <row r="1858">
      <c r="A1858" s="4" t="n"/>
      <c r="B1858" s="4" t="n"/>
      <c r="C1858" s="4" t="n"/>
      <c r="D1858" s="4" t="n"/>
      <c r="E1858" s="4" t="n"/>
      <c r="F1858">
        <f>IF(A1858="","",SUMIFS(المبيعات!$F$2:$F$2000,المبيعات!$D$2:$D$2000,A1858))</f>
        <v/>
      </c>
      <c r="G1858">
        <f>IF(A1858="","",E1858-F1858)</f>
        <v/>
      </c>
      <c r="H1858" s="4" t="n"/>
      <c r="I1858">
        <f>IF(OR(A1858="",H1858=""),"",IF(G1858&lt;=H1858,"اطلب الآن",""))</f>
        <v/>
      </c>
    </row>
    <row r="1859">
      <c r="A1859" s="4" t="n"/>
      <c r="B1859" s="4" t="n"/>
      <c r="C1859" s="4" t="n"/>
      <c r="D1859" s="4" t="n"/>
      <c r="E1859" s="4" t="n"/>
      <c r="F1859">
        <f>IF(A1859="","",SUMIFS(المبيعات!$F$2:$F$2000,المبيعات!$D$2:$D$2000,A1859))</f>
        <v/>
      </c>
      <c r="G1859">
        <f>IF(A1859="","",E1859-F1859)</f>
        <v/>
      </c>
      <c r="H1859" s="4" t="n"/>
      <c r="I1859">
        <f>IF(OR(A1859="",H1859=""),"",IF(G1859&lt;=H1859,"اطلب الآن",""))</f>
        <v/>
      </c>
    </row>
    <row r="1860">
      <c r="A1860" s="4" t="n"/>
      <c r="B1860" s="4" t="n"/>
      <c r="C1860" s="4" t="n"/>
      <c r="D1860" s="4" t="n"/>
      <c r="E1860" s="4" t="n"/>
      <c r="F1860">
        <f>IF(A1860="","",SUMIFS(المبيعات!$F$2:$F$2000,المبيعات!$D$2:$D$2000,A1860))</f>
        <v/>
      </c>
      <c r="G1860">
        <f>IF(A1860="","",E1860-F1860)</f>
        <v/>
      </c>
      <c r="H1860" s="4" t="n"/>
      <c r="I1860">
        <f>IF(OR(A1860="",H1860=""),"",IF(G1860&lt;=H1860,"اطلب الآن",""))</f>
        <v/>
      </c>
    </row>
    <row r="1861">
      <c r="A1861" s="4" t="n"/>
      <c r="B1861" s="4" t="n"/>
      <c r="C1861" s="4" t="n"/>
      <c r="D1861" s="4" t="n"/>
      <c r="E1861" s="4" t="n"/>
      <c r="F1861">
        <f>IF(A1861="","",SUMIFS(المبيعات!$F$2:$F$2000,المبيعات!$D$2:$D$2000,A1861))</f>
        <v/>
      </c>
      <c r="G1861">
        <f>IF(A1861="","",E1861-F1861)</f>
        <v/>
      </c>
      <c r="H1861" s="4" t="n"/>
      <c r="I1861">
        <f>IF(OR(A1861="",H1861=""),"",IF(G1861&lt;=H1861,"اطلب الآن",""))</f>
        <v/>
      </c>
    </row>
    <row r="1862">
      <c r="A1862" s="4" t="n"/>
      <c r="B1862" s="4" t="n"/>
      <c r="C1862" s="4" t="n"/>
      <c r="D1862" s="4" t="n"/>
      <c r="E1862" s="4" t="n"/>
      <c r="F1862">
        <f>IF(A1862="","",SUMIFS(المبيعات!$F$2:$F$2000,المبيعات!$D$2:$D$2000,A1862))</f>
        <v/>
      </c>
      <c r="G1862">
        <f>IF(A1862="","",E1862-F1862)</f>
        <v/>
      </c>
      <c r="H1862" s="4" t="n"/>
      <c r="I1862">
        <f>IF(OR(A1862="",H1862=""),"",IF(G1862&lt;=H1862,"اطلب الآن",""))</f>
        <v/>
      </c>
    </row>
    <row r="1863">
      <c r="A1863" s="4" t="n"/>
      <c r="B1863" s="4" t="n"/>
      <c r="C1863" s="4" t="n"/>
      <c r="D1863" s="4" t="n"/>
      <c r="E1863" s="4" t="n"/>
      <c r="F1863">
        <f>IF(A1863="","",SUMIFS(المبيعات!$F$2:$F$2000,المبيعات!$D$2:$D$2000,A1863))</f>
        <v/>
      </c>
      <c r="G1863">
        <f>IF(A1863="","",E1863-F1863)</f>
        <v/>
      </c>
      <c r="H1863" s="4" t="n"/>
      <c r="I1863">
        <f>IF(OR(A1863="",H1863=""),"",IF(G1863&lt;=H1863,"اطلب الآن",""))</f>
        <v/>
      </c>
    </row>
    <row r="1864">
      <c r="A1864" s="4" t="n"/>
      <c r="B1864" s="4" t="n"/>
      <c r="C1864" s="4" t="n"/>
      <c r="D1864" s="4" t="n"/>
      <c r="E1864" s="4" t="n"/>
      <c r="F1864">
        <f>IF(A1864="","",SUMIFS(المبيعات!$F$2:$F$2000,المبيعات!$D$2:$D$2000,A1864))</f>
        <v/>
      </c>
      <c r="G1864">
        <f>IF(A1864="","",E1864-F1864)</f>
        <v/>
      </c>
      <c r="H1864" s="4" t="n"/>
      <c r="I1864">
        <f>IF(OR(A1864="",H1864=""),"",IF(G1864&lt;=H1864,"اطلب الآن",""))</f>
        <v/>
      </c>
    </row>
    <row r="1865">
      <c r="A1865" s="4" t="n"/>
      <c r="B1865" s="4" t="n"/>
      <c r="C1865" s="4" t="n"/>
      <c r="D1865" s="4" t="n"/>
      <c r="E1865" s="4" t="n"/>
      <c r="F1865">
        <f>IF(A1865="","",SUMIFS(المبيعات!$F$2:$F$2000,المبيعات!$D$2:$D$2000,A1865))</f>
        <v/>
      </c>
      <c r="G1865">
        <f>IF(A1865="","",E1865-F1865)</f>
        <v/>
      </c>
      <c r="H1865" s="4" t="n"/>
      <c r="I1865">
        <f>IF(OR(A1865="",H1865=""),"",IF(G1865&lt;=H1865,"اطلب الآن",""))</f>
        <v/>
      </c>
    </row>
    <row r="1866">
      <c r="A1866" s="4" t="n"/>
      <c r="B1866" s="4" t="n"/>
      <c r="C1866" s="4" t="n"/>
      <c r="D1866" s="4" t="n"/>
      <c r="E1866" s="4" t="n"/>
      <c r="F1866">
        <f>IF(A1866="","",SUMIFS(المبيعات!$F$2:$F$2000,المبيعات!$D$2:$D$2000,A1866))</f>
        <v/>
      </c>
      <c r="G1866">
        <f>IF(A1866="","",E1866-F1866)</f>
        <v/>
      </c>
      <c r="H1866" s="4" t="n"/>
      <c r="I1866">
        <f>IF(OR(A1866="",H1866=""),"",IF(G1866&lt;=H1866,"اطلب الآن",""))</f>
        <v/>
      </c>
    </row>
    <row r="1867">
      <c r="A1867" s="4" t="n"/>
      <c r="B1867" s="4" t="n"/>
      <c r="C1867" s="4" t="n"/>
      <c r="D1867" s="4" t="n"/>
      <c r="E1867" s="4" t="n"/>
      <c r="F1867">
        <f>IF(A1867="","",SUMIFS(المبيعات!$F$2:$F$2000,المبيعات!$D$2:$D$2000,A1867))</f>
        <v/>
      </c>
      <c r="G1867">
        <f>IF(A1867="","",E1867-F1867)</f>
        <v/>
      </c>
      <c r="H1867" s="4" t="n"/>
      <c r="I1867">
        <f>IF(OR(A1867="",H1867=""),"",IF(G1867&lt;=H1867,"اطلب الآن",""))</f>
        <v/>
      </c>
    </row>
    <row r="1868">
      <c r="A1868" s="4" t="n"/>
      <c r="B1868" s="4" t="n"/>
      <c r="C1868" s="4" t="n"/>
      <c r="D1868" s="4" t="n"/>
      <c r="E1868" s="4" t="n"/>
      <c r="F1868">
        <f>IF(A1868="","",SUMIFS(المبيعات!$F$2:$F$2000,المبيعات!$D$2:$D$2000,A1868))</f>
        <v/>
      </c>
      <c r="G1868">
        <f>IF(A1868="","",E1868-F1868)</f>
        <v/>
      </c>
      <c r="H1868" s="4" t="n"/>
      <c r="I1868">
        <f>IF(OR(A1868="",H1868=""),"",IF(G1868&lt;=H1868,"اطلب الآن",""))</f>
        <v/>
      </c>
    </row>
    <row r="1869">
      <c r="A1869" s="4" t="n"/>
      <c r="B1869" s="4" t="n"/>
      <c r="C1869" s="4" t="n"/>
      <c r="D1869" s="4" t="n"/>
      <c r="E1869" s="4" t="n"/>
      <c r="F1869">
        <f>IF(A1869="","",SUMIFS(المبيعات!$F$2:$F$2000,المبيعات!$D$2:$D$2000,A1869))</f>
        <v/>
      </c>
      <c r="G1869">
        <f>IF(A1869="","",E1869-F1869)</f>
        <v/>
      </c>
      <c r="H1869" s="4" t="n"/>
      <c r="I1869">
        <f>IF(OR(A1869="",H1869=""),"",IF(G1869&lt;=H1869,"اطلب الآن",""))</f>
        <v/>
      </c>
    </row>
    <row r="1870">
      <c r="A1870" s="4" t="n"/>
      <c r="B1870" s="4" t="n"/>
      <c r="C1870" s="4" t="n"/>
      <c r="D1870" s="4" t="n"/>
      <c r="E1870" s="4" t="n"/>
      <c r="F1870">
        <f>IF(A1870="","",SUMIFS(المبيعات!$F$2:$F$2000,المبيعات!$D$2:$D$2000,A1870))</f>
        <v/>
      </c>
      <c r="G1870">
        <f>IF(A1870="","",E1870-F1870)</f>
        <v/>
      </c>
      <c r="H1870" s="4" t="n"/>
      <c r="I1870">
        <f>IF(OR(A1870="",H1870=""),"",IF(G1870&lt;=H1870,"اطلب الآن",""))</f>
        <v/>
      </c>
    </row>
    <row r="1871">
      <c r="A1871" s="4" t="n"/>
      <c r="B1871" s="4" t="n"/>
      <c r="C1871" s="4" t="n"/>
      <c r="D1871" s="4" t="n"/>
      <c r="E1871" s="4" t="n"/>
      <c r="F1871">
        <f>IF(A1871="","",SUMIFS(المبيعات!$F$2:$F$2000,المبيعات!$D$2:$D$2000,A1871))</f>
        <v/>
      </c>
      <c r="G1871">
        <f>IF(A1871="","",E1871-F1871)</f>
        <v/>
      </c>
      <c r="H1871" s="4" t="n"/>
      <c r="I1871">
        <f>IF(OR(A1871="",H1871=""),"",IF(G1871&lt;=H1871,"اطلب الآن",""))</f>
        <v/>
      </c>
    </row>
    <row r="1872">
      <c r="A1872" s="4" t="n"/>
      <c r="B1872" s="4" t="n"/>
      <c r="C1872" s="4" t="n"/>
      <c r="D1872" s="4" t="n"/>
      <c r="E1872" s="4" t="n"/>
      <c r="F1872">
        <f>IF(A1872="","",SUMIFS(المبيعات!$F$2:$F$2000,المبيعات!$D$2:$D$2000,A1872))</f>
        <v/>
      </c>
      <c r="G1872">
        <f>IF(A1872="","",E1872-F1872)</f>
        <v/>
      </c>
      <c r="H1872" s="4" t="n"/>
      <c r="I1872">
        <f>IF(OR(A1872="",H1872=""),"",IF(G1872&lt;=H1872,"اطلب الآن",""))</f>
        <v/>
      </c>
    </row>
    <row r="1873">
      <c r="A1873" s="4" t="n"/>
      <c r="B1873" s="4" t="n"/>
      <c r="C1873" s="4" t="n"/>
      <c r="D1873" s="4" t="n"/>
      <c r="E1873" s="4" t="n"/>
      <c r="F1873">
        <f>IF(A1873="","",SUMIFS(المبيعات!$F$2:$F$2000,المبيعات!$D$2:$D$2000,A1873))</f>
        <v/>
      </c>
      <c r="G1873">
        <f>IF(A1873="","",E1873-F1873)</f>
        <v/>
      </c>
      <c r="H1873" s="4" t="n"/>
      <c r="I1873">
        <f>IF(OR(A1873="",H1873=""),"",IF(G1873&lt;=H1873,"اطلب الآن",""))</f>
        <v/>
      </c>
    </row>
    <row r="1874">
      <c r="A1874" s="4" t="n"/>
      <c r="B1874" s="4" t="n"/>
      <c r="C1874" s="4" t="n"/>
      <c r="D1874" s="4" t="n"/>
      <c r="E1874" s="4" t="n"/>
      <c r="F1874">
        <f>IF(A1874="","",SUMIFS(المبيعات!$F$2:$F$2000,المبيعات!$D$2:$D$2000,A1874))</f>
        <v/>
      </c>
      <c r="G1874">
        <f>IF(A1874="","",E1874-F1874)</f>
        <v/>
      </c>
      <c r="H1874" s="4" t="n"/>
      <c r="I1874">
        <f>IF(OR(A1874="",H1874=""),"",IF(G1874&lt;=H1874,"اطلب الآن",""))</f>
        <v/>
      </c>
    </row>
    <row r="1875">
      <c r="A1875" s="4" t="n"/>
      <c r="B1875" s="4" t="n"/>
      <c r="C1875" s="4" t="n"/>
      <c r="D1875" s="4" t="n"/>
      <c r="E1875" s="4" t="n"/>
      <c r="F1875">
        <f>IF(A1875="","",SUMIFS(المبيعات!$F$2:$F$2000,المبيعات!$D$2:$D$2000,A1875))</f>
        <v/>
      </c>
      <c r="G1875">
        <f>IF(A1875="","",E1875-F1875)</f>
        <v/>
      </c>
      <c r="H1875" s="4" t="n"/>
      <c r="I1875">
        <f>IF(OR(A1875="",H1875=""),"",IF(G1875&lt;=H1875,"اطلب الآن",""))</f>
        <v/>
      </c>
    </row>
    <row r="1876">
      <c r="A1876" s="4" t="n"/>
      <c r="B1876" s="4" t="n"/>
      <c r="C1876" s="4" t="n"/>
      <c r="D1876" s="4" t="n"/>
      <c r="E1876" s="4" t="n"/>
      <c r="F1876">
        <f>IF(A1876="","",SUMIFS(المبيعات!$F$2:$F$2000,المبيعات!$D$2:$D$2000,A1876))</f>
        <v/>
      </c>
      <c r="G1876">
        <f>IF(A1876="","",E1876-F1876)</f>
        <v/>
      </c>
      <c r="H1876" s="4" t="n"/>
      <c r="I1876">
        <f>IF(OR(A1876="",H1876=""),"",IF(G1876&lt;=H1876,"اطلب الآن",""))</f>
        <v/>
      </c>
    </row>
    <row r="1877">
      <c r="A1877" s="4" t="n"/>
      <c r="B1877" s="4" t="n"/>
      <c r="C1877" s="4" t="n"/>
      <c r="D1877" s="4" t="n"/>
      <c r="E1877" s="4" t="n"/>
      <c r="F1877">
        <f>IF(A1877="","",SUMIFS(المبيعات!$F$2:$F$2000,المبيعات!$D$2:$D$2000,A1877))</f>
        <v/>
      </c>
      <c r="G1877">
        <f>IF(A1877="","",E1877-F1877)</f>
        <v/>
      </c>
      <c r="H1877" s="4" t="n"/>
      <c r="I1877">
        <f>IF(OR(A1877="",H1877=""),"",IF(G1877&lt;=H1877,"اطلب الآن",""))</f>
        <v/>
      </c>
    </row>
    <row r="1878">
      <c r="A1878" s="4" t="n"/>
      <c r="B1878" s="4" t="n"/>
      <c r="C1878" s="4" t="n"/>
      <c r="D1878" s="4" t="n"/>
      <c r="E1878" s="4" t="n"/>
      <c r="F1878">
        <f>IF(A1878="","",SUMIFS(المبيعات!$F$2:$F$2000,المبيعات!$D$2:$D$2000,A1878))</f>
        <v/>
      </c>
      <c r="G1878">
        <f>IF(A1878="","",E1878-F1878)</f>
        <v/>
      </c>
      <c r="H1878" s="4" t="n"/>
      <c r="I1878">
        <f>IF(OR(A1878="",H1878=""),"",IF(G1878&lt;=H1878,"اطلب الآن",""))</f>
        <v/>
      </c>
    </row>
    <row r="1879">
      <c r="A1879" s="4" t="n"/>
      <c r="B1879" s="4" t="n"/>
      <c r="C1879" s="4" t="n"/>
      <c r="D1879" s="4" t="n"/>
      <c r="E1879" s="4" t="n"/>
      <c r="F1879">
        <f>IF(A1879="","",SUMIFS(المبيعات!$F$2:$F$2000,المبيعات!$D$2:$D$2000,A1879))</f>
        <v/>
      </c>
      <c r="G1879">
        <f>IF(A1879="","",E1879-F1879)</f>
        <v/>
      </c>
      <c r="H1879" s="4" t="n"/>
      <c r="I1879">
        <f>IF(OR(A1879="",H1879=""),"",IF(G1879&lt;=H1879,"اطلب الآن",""))</f>
        <v/>
      </c>
    </row>
    <row r="1880">
      <c r="A1880" s="4" t="n"/>
      <c r="B1880" s="4" t="n"/>
      <c r="C1880" s="4" t="n"/>
      <c r="D1880" s="4" t="n"/>
      <c r="E1880" s="4" t="n"/>
      <c r="F1880">
        <f>IF(A1880="","",SUMIFS(المبيعات!$F$2:$F$2000,المبيعات!$D$2:$D$2000,A1880))</f>
        <v/>
      </c>
      <c r="G1880">
        <f>IF(A1880="","",E1880-F1880)</f>
        <v/>
      </c>
      <c r="H1880" s="4" t="n"/>
      <c r="I1880">
        <f>IF(OR(A1880="",H1880=""),"",IF(G1880&lt;=H1880,"اطلب الآن",""))</f>
        <v/>
      </c>
    </row>
    <row r="1881">
      <c r="A1881" s="4" t="n"/>
      <c r="B1881" s="4" t="n"/>
      <c r="C1881" s="4" t="n"/>
      <c r="D1881" s="4" t="n"/>
      <c r="E1881" s="4" t="n"/>
      <c r="F1881">
        <f>IF(A1881="","",SUMIFS(المبيعات!$F$2:$F$2000,المبيعات!$D$2:$D$2000,A1881))</f>
        <v/>
      </c>
      <c r="G1881">
        <f>IF(A1881="","",E1881-F1881)</f>
        <v/>
      </c>
      <c r="H1881" s="4" t="n"/>
      <c r="I1881">
        <f>IF(OR(A1881="",H1881=""),"",IF(G1881&lt;=H1881,"اطلب الآن",""))</f>
        <v/>
      </c>
    </row>
    <row r="1882">
      <c r="A1882" s="4" t="n"/>
      <c r="B1882" s="4" t="n"/>
      <c r="C1882" s="4" t="n"/>
      <c r="D1882" s="4" t="n"/>
      <c r="E1882" s="4" t="n"/>
      <c r="F1882">
        <f>IF(A1882="","",SUMIFS(المبيعات!$F$2:$F$2000,المبيعات!$D$2:$D$2000,A1882))</f>
        <v/>
      </c>
      <c r="G1882">
        <f>IF(A1882="","",E1882-F1882)</f>
        <v/>
      </c>
      <c r="H1882" s="4" t="n"/>
      <c r="I1882">
        <f>IF(OR(A1882="",H1882=""),"",IF(G1882&lt;=H1882,"اطلب الآن",""))</f>
        <v/>
      </c>
    </row>
    <row r="1883">
      <c r="A1883" s="4" t="n"/>
      <c r="B1883" s="4" t="n"/>
      <c r="C1883" s="4" t="n"/>
      <c r="D1883" s="4" t="n"/>
      <c r="E1883" s="4" t="n"/>
      <c r="F1883">
        <f>IF(A1883="","",SUMIFS(المبيعات!$F$2:$F$2000,المبيعات!$D$2:$D$2000,A1883))</f>
        <v/>
      </c>
      <c r="G1883">
        <f>IF(A1883="","",E1883-F1883)</f>
        <v/>
      </c>
      <c r="H1883" s="4" t="n"/>
      <c r="I1883">
        <f>IF(OR(A1883="",H1883=""),"",IF(G1883&lt;=H1883,"اطلب الآن",""))</f>
        <v/>
      </c>
    </row>
    <row r="1884">
      <c r="A1884" s="4" t="n"/>
      <c r="B1884" s="4" t="n"/>
      <c r="C1884" s="4" t="n"/>
      <c r="D1884" s="4" t="n"/>
      <c r="E1884" s="4" t="n"/>
      <c r="F1884">
        <f>IF(A1884="","",SUMIFS(المبيعات!$F$2:$F$2000,المبيعات!$D$2:$D$2000,A1884))</f>
        <v/>
      </c>
      <c r="G1884">
        <f>IF(A1884="","",E1884-F1884)</f>
        <v/>
      </c>
      <c r="H1884" s="4" t="n"/>
      <c r="I1884">
        <f>IF(OR(A1884="",H1884=""),"",IF(G1884&lt;=H1884,"اطلب الآن",""))</f>
        <v/>
      </c>
    </row>
    <row r="1885">
      <c r="A1885" s="4" t="n"/>
      <c r="B1885" s="4" t="n"/>
      <c r="C1885" s="4" t="n"/>
      <c r="D1885" s="4" t="n"/>
      <c r="E1885" s="4" t="n"/>
      <c r="F1885">
        <f>IF(A1885="","",SUMIFS(المبيعات!$F$2:$F$2000,المبيعات!$D$2:$D$2000,A1885))</f>
        <v/>
      </c>
      <c r="G1885">
        <f>IF(A1885="","",E1885-F1885)</f>
        <v/>
      </c>
      <c r="H1885" s="4" t="n"/>
      <c r="I1885">
        <f>IF(OR(A1885="",H1885=""),"",IF(G1885&lt;=H1885,"اطلب الآن",""))</f>
        <v/>
      </c>
    </row>
    <row r="1886">
      <c r="A1886" s="4" t="n"/>
      <c r="B1886" s="4" t="n"/>
      <c r="C1886" s="4" t="n"/>
      <c r="D1886" s="4" t="n"/>
      <c r="E1886" s="4" t="n"/>
      <c r="F1886">
        <f>IF(A1886="","",SUMIFS(المبيعات!$F$2:$F$2000,المبيعات!$D$2:$D$2000,A1886))</f>
        <v/>
      </c>
      <c r="G1886">
        <f>IF(A1886="","",E1886-F1886)</f>
        <v/>
      </c>
      <c r="H1886" s="4" t="n"/>
      <c r="I1886">
        <f>IF(OR(A1886="",H1886=""),"",IF(G1886&lt;=H1886,"اطلب الآن",""))</f>
        <v/>
      </c>
    </row>
    <row r="1887">
      <c r="A1887" s="4" t="n"/>
      <c r="B1887" s="4" t="n"/>
      <c r="C1887" s="4" t="n"/>
      <c r="D1887" s="4" t="n"/>
      <c r="E1887" s="4" t="n"/>
      <c r="F1887">
        <f>IF(A1887="","",SUMIFS(المبيعات!$F$2:$F$2000,المبيعات!$D$2:$D$2000,A1887))</f>
        <v/>
      </c>
      <c r="G1887">
        <f>IF(A1887="","",E1887-F1887)</f>
        <v/>
      </c>
      <c r="H1887" s="4" t="n"/>
      <c r="I1887">
        <f>IF(OR(A1887="",H1887=""),"",IF(G1887&lt;=H1887,"اطلب الآن",""))</f>
        <v/>
      </c>
    </row>
    <row r="1888">
      <c r="A1888" s="4" t="n"/>
      <c r="B1888" s="4" t="n"/>
      <c r="C1888" s="4" t="n"/>
      <c r="D1888" s="4" t="n"/>
      <c r="E1888" s="4" t="n"/>
      <c r="F1888">
        <f>IF(A1888="","",SUMIFS(المبيعات!$F$2:$F$2000,المبيعات!$D$2:$D$2000,A1888))</f>
        <v/>
      </c>
      <c r="G1888">
        <f>IF(A1888="","",E1888-F1888)</f>
        <v/>
      </c>
      <c r="H1888" s="4" t="n"/>
      <c r="I1888">
        <f>IF(OR(A1888="",H1888=""),"",IF(G1888&lt;=H1888,"اطلب الآن",""))</f>
        <v/>
      </c>
    </row>
    <row r="1889">
      <c r="A1889" s="4" t="n"/>
      <c r="B1889" s="4" t="n"/>
      <c r="C1889" s="4" t="n"/>
      <c r="D1889" s="4" t="n"/>
      <c r="E1889" s="4" t="n"/>
      <c r="F1889">
        <f>IF(A1889="","",SUMIFS(المبيعات!$F$2:$F$2000,المبيعات!$D$2:$D$2000,A1889))</f>
        <v/>
      </c>
      <c r="G1889">
        <f>IF(A1889="","",E1889-F1889)</f>
        <v/>
      </c>
      <c r="H1889" s="4" t="n"/>
      <c r="I1889">
        <f>IF(OR(A1889="",H1889=""),"",IF(G1889&lt;=H1889,"اطلب الآن",""))</f>
        <v/>
      </c>
    </row>
    <row r="1890">
      <c r="A1890" s="4" t="n"/>
      <c r="B1890" s="4" t="n"/>
      <c r="C1890" s="4" t="n"/>
      <c r="D1890" s="4" t="n"/>
      <c r="E1890" s="4" t="n"/>
      <c r="F1890">
        <f>IF(A1890="","",SUMIFS(المبيعات!$F$2:$F$2000,المبيعات!$D$2:$D$2000,A1890))</f>
        <v/>
      </c>
      <c r="G1890">
        <f>IF(A1890="","",E1890-F1890)</f>
        <v/>
      </c>
      <c r="H1890" s="4" t="n"/>
      <c r="I1890">
        <f>IF(OR(A1890="",H1890=""),"",IF(G1890&lt;=H1890,"اطلب الآن",""))</f>
        <v/>
      </c>
    </row>
    <row r="1891">
      <c r="A1891" s="4" t="n"/>
      <c r="B1891" s="4" t="n"/>
      <c r="C1891" s="4" t="n"/>
      <c r="D1891" s="4" t="n"/>
      <c r="E1891" s="4" t="n"/>
      <c r="F1891">
        <f>IF(A1891="","",SUMIFS(المبيعات!$F$2:$F$2000,المبيعات!$D$2:$D$2000,A1891))</f>
        <v/>
      </c>
      <c r="G1891">
        <f>IF(A1891="","",E1891-F1891)</f>
        <v/>
      </c>
      <c r="H1891" s="4" t="n"/>
      <c r="I1891">
        <f>IF(OR(A1891="",H1891=""),"",IF(G1891&lt;=H1891,"اطلب الآن",""))</f>
        <v/>
      </c>
    </row>
    <row r="1892">
      <c r="A1892" s="4" t="n"/>
      <c r="B1892" s="4" t="n"/>
      <c r="C1892" s="4" t="n"/>
      <c r="D1892" s="4" t="n"/>
      <c r="E1892" s="4" t="n"/>
      <c r="F1892">
        <f>IF(A1892="","",SUMIFS(المبيعات!$F$2:$F$2000,المبيعات!$D$2:$D$2000,A1892))</f>
        <v/>
      </c>
      <c r="G1892">
        <f>IF(A1892="","",E1892-F1892)</f>
        <v/>
      </c>
      <c r="H1892" s="4" t="n"/>
      <c r="I1892">
        <f>IF(OR(A1892="",H1892=""),"",IF(G1892&lt;=H1892,"اطلب الآن",""))</f>
        <v/>
      </c>
    </row>
    <row r="1893">
      <c r="A1893" s="4" t="n"/>
      <c r="B1893" s="4" t="n"/>
      <c r="C1893" s="4" t="n"/>
      <c r="D1893" s="4" t="n"/>
      <c r="E1893" s="4" t="n"/>
      <c r="F1893">
        <f>IF(A1893="","",SUMIFS(المبيعات!$F$2:$F$2000,المبيعات!$D$2:$D$2000,A1893))</f>
        <v/>
      </c>
      <c r="G1893">
        <f>IF(A1893="","",E1893-F1893)</f>
        <v/>
      </c>
      <c r="H1893" s="4" t="n"/>
      <c r="I1893">
        <f>IF(OR(A1893="",H1893=""),"",IF(G1893&lt;=H1893,"اطلب الآن",""))</f>
        <v/>
      </c>
    </row>
    <row r="1894">
      <c r="A1894" s="4" t="n"/>
      <c r="B1894" s="4" t="n"/>
      <c r="C1894" s="4" t="n"/>
      <c r="D1894" s="4" t="n"/>
      <c r="E1894" s="4" t="n"/>
      <c r="F1894">
        <f>IF(A1894="","",SUMIFS(المبيعات!$F$2:$F$2000,المبيعات!$D$2:$D$2000,A1894))</f>
        <v/>
      </c>
      <c r="G1894">
        <f>IF(A1894="","",E1894-F1894)</f>
        <v/>
      </c>
      <c r="H1894" s="4" t="n"/>
      <c r="I1894">
        <f>IF(OR(A1894="",H1894=""),"",IF(G1894&lt;=H1894,"اطلب الآن",""))</f>
        <v/>
      </c>
    </row>
    <row r="1895">
      <c r="A1895" s="4" t="n"/>
      <c r="B1895" s="4" t="n"/>
      <c r="C1895" s="4" t="n"/>
      <c r="D1895" s="4" t="n"/>
      <c r="E1895" s="4" t="n"/>
      <c r="F1895">
        <f>IF(A1895="","",SUMIFS(المبيعات!$F$2:$F$2000,المبيعات!$D$2:$D$2000,A1895))</f>
        <v/>
      </c>
      <c r="G1895">
        <f>IF(A1895="","",E1895-F1895)</f>
        <v/>
      </c>
      <c r="H1895" s="4" t="n"/>
      <c r="I1895">
        <f>IF(OR(A1895="",H1895=""),"",IF(G1895&lt;=H1895,"اطلب الآن",""))</f>
        <v/>
      </c>
    </row>
    <row r="1896">
      <c r="A1896" s="4" t="n"/>
      <c r="B1896" s="4" t="n"/>
      <c r="C1896" s="4" t="n"/>
      <c r="D1896" s="4" t="n"/>
      <c r="E1896" s="4" t="n"/>
      <c r="F1896">
        <f>IF(A1896="","",SUMIFS(المبيعات!$F$2:$F$2000,المبيعات!$D$2:$D$2000,A1896))</f>
        <v/>
      </c>
      <c r="G1896">
        <f>IF(A1896="","",E1896-F1896)</f>
        <v/>
      </c>
      <c r="H1896" s="4" t="n"/>
      <c r="I1896">
        <f>IF(OR(A1896="",H1896=""),"",IF(G1896&lt;=H1896,"اطلب الآن",""))</f>
        <v/>
      </c>
    </row>
    <row r="1897">
      <c r="A1897" s="4" t="n"/>
      <c r="B1897" s="4" t="n"/>
      <c r="C1897" s="4" t="n"/>
      <c r="D1897" s="4" t="n"/>
      <c r="E1897" s="4" t="n"/>
      <c r="F1897">
        <f>IF(A1897="","",SUMIFS(المبيعات!$F$2:$F$2000,المبيعات!$D$2:$D$2000,A1897))</f>
        <v/>
      </c>
      <c r="G1897">
        <f>IF(A1897="","",E1897-F1897)</f>
        <v/>
      </c>
      <c r="H1897" s="4" t="n"/>
      <c r="I1897">
        <f>IF(OR(A1897="",H1897=""),"",IF(G1897&lt;=H1897,"اطلب الآن",""))</f>
        <v/>
      </c>
    </row>
    <row r="1898">
      <c r="A1898" s="4" t="n"/>
      <c r="B1898" s="4" t="n"/>
      <c r="C1898" s="4" t="n"/>
      <c r="D1898" s="4" t="n"/>
      <c r="E1898" s="4" t="n"/>
      <c r="F1898">
        <f>IF(A1898="","",SUMIFS(المبيعات!$F$2:$F$2000,المبيعات!$D$2:$D$2000,A1898))</f>
        <v/>
      </c>
      <c r="G1898">
        <f>IF(A1898="","",E1898-F1898)</f>
        <v/>
      </c>
      <c r="H1898" s="4" t="n"/>
      <c r="I1898">
        <f>IF(OR(A1898="",H1898=""),"",IF(G1898&lt;=H1898,"اطلب الآن",""))</f>
        <v/>
      </c>
    </row>
    <row r="1899">
      <c r="A1899" s="4" t="n"/>
      <c r="B1899" s="4" t="n"/>
      <c r="C1899" s="4" t="n"/>
      <c r="D1899" s="4" t="n"/>
      <c r="E1899" s="4" t="n"/>
      <c r="F1899">
        <f>IF(A1899="","",SUMIFS(المبيعات!$F$2:$F$2000,المبيعات!$D$2:$D$2000,A1899))</f>
        <v/>
      </c>
      <c r="G1899">
        <f>IF(A1899="","",E1899-F1899)</f>
        <v/>
      </c>
      <c r="H1899" s="4" t="n"/>
      <c r="I1899">
        <f>IF(OR(A1899="",H1899=""),"",IF(G1899&lt;=H1899,"اطلب الآن",""))</f>
        <v/>
      </c>
    </row>
    <row r="1900">
      <c r="A1900" s="4" t="n"/>
      <c r="B1900" s="4" t="n"/>
      <c r="C1900" s="4" t="n"/>
      <c r="D1900" s="4" t="n"/>
      <c r="E1900" s="4" t="n"/>
      <c r="F1900">
        <f>IF(A1900="","",SUMIFS(المبيعات!$F$2:$F$2000,المبيعات!$D$2:$D$2000,A1900))</f>
        <v/>
      </c>
      <c r="G1900">
        <f>IF(A1900="","",E1900-F1900)</f>
        <v/>
      </c>
      <c r="H1900" s="4" t="n"/>
      <c r="I1900">
        <f>IF(OR(A1900="",H1900=""),"",IF(G1900&lt;=H1900,"اطلب الآن",""))</f>
        <v/>
      </c>
    </row>
    <row r="1901">
      <c r="A1901" s="4" t="n"/>
      <c r="B1901" s="4" t="n"/>
      <c r="C1901" s="4" t="n"/>
      <c r="D1901" s="4" t="n"/>
      <c r="E1901" s="4" t="n"/>
      <c r="F1901">
        <f>IF(A1901="","",SUMIFS(المبيعات!$F$2:$F$2000,المبيعات!$D$2:$D$2000,A1901))</f>
        <v/>
      </c>
      <c r="G1901">
        <f>IF(A1901="","",E1901-F1901)</f>
        <v/>
      </c>
      <c r="H1901" s="4" t="n"/>
      <c r="I1901">
        <f>IF(OR(A1901="",H1901=""),"",IF(G1901&lt;=H1901,"اطلب الآن",""))</f>
        <v/>
      </c>
    </row>
    <row r="1902">
      <c r="A1902" s="4" t="n"/>
      <c r="B1902" s="4" t="n"/>
      <c r="C1902" s="4" t="n"/>
      <c r="D1902" s="4" t="n"/>
      <c r="E1902" s="4" t="n"/>
      <c r="F1902">
        <f>IF(A1902="","",SUMIFS(المبيعات!$F$2:$F$2000,المبيعات!$D$2:$D$2000,A1902))</f>
        <v/>
      </c>
      <c r="G1902">
        <f>IF(A1902="","",E1902-F1902)</f>
        <v/>
      </c>
      <c r="H1902" s="4" t="n"/>
      <c r="I1902">
        <f>IF(OR(A1902="",H1902=""),"",IF(G1902&lt;=H1902,"اطلب الآن",""))</f>
        <v/>
      </c>
    </row>
    <row r="1903">
      <c r="A1903" s="4" t="n"/>
      <c r="B1903" s="4" t="n"/>
      <c r="C1903" s="4" t="n"/>
      <c r="D1903" s="4" t="n"/>
      <c r="E1903" s="4" t="n"/>
      <c r="F1903">
        <f>IF(A1903="","",SUMIFS(المبيعات!$F$2:$F$2000,المبيعات!$D$2:$D$2000,A1903))</f>
        <v/>
      </c>
      <c r="G1903">
        <f>IF(A1903="","",E1903-F1903)</f>
        <v/>
      </c>
      <c r="H1903" s="4" t="n"/>
      <c r="I1903">
        <f>IF(OR(A1903="",H1903=""),"",IF(G1903&lt;=H1903,"اطلب الآن",""))</f>
        <v/>
      </c>
    </row>
    <row r="1904">
      <c r="A1904" s="4" t="n"/>
      <c r="B1904" s="4" t="n"/>
      <c r="C1904" s="4" t="n"/>
      <c r="D1904" s="4" t="n"/>
      <c r="E1904" s="4" t="n"/>
      <c r="F1904">
        <f>IF(A1904="","",SUMIFS(المبيعات!$F$2:$F$2000,المبيعات!$D$2:$D$2000,A1904))</f>
        <v/>
      </c>
      <c r="G1904">
        <f>IF(A1904="","",E1904-F1904)</f>
        <v/>
      </c>
      <c r="H1904" s="4" t="n"/>
      <c r="I1904">
        <f>IF(OR(A1904="",H1904=""),"",IF(G1904&lt;=H1904,"اطلب الآن",""))</f>
        <v/>
      </c>
    </row>
    <row r="1905">
      <c r="A1905" s="4" t="n"/>
      <c r="B1905" s="4" t="n"/>
      <c r="C1905" s="4" t="n"/>
      <c r="D1905" s="4" t="n"/>
      <c r="E1905" s="4" t="n"/>
      <c r="F1905">
        <f>IF(A1905="","",SUMIFS(المبيعات!$F$2:$F$2000,المبيعات!$D$2:$D$2000,A1905))</f>
        <v/>
      </c>
      <c r="G1905">
        <f>IF(A1905="","",E1905-F1905)</f>
        <v/>
      </c>
      <c r="H1905" s="4" t="n"/>
      <c r="I1905">
        <f>IF(OR(A1905="",H1905=""),"",IF(G1905&lt;=H1905,"اطلب الآن",""))</f>
        <v/>
      </c>
    </row>
    <row r="1906">
      <c r="A1906" s="4" t="n"/>
      <c r="B1906" s="4" t="n"/>
      <c r="C1906" s="4" t="n"/>
      <c r="D1906" s="4" t="n"/>
      <c r="E1906" s="4" t="n"/>
      <c r="F1906">
        <f>IF(A1906="","",SUMIFS(المبيعات!$F$2:$F$2000,المبيعات!$D$2:$D$2000,A1906))</f>
        <v/>
      </c>
      <c r="G1906">
        <f>IF(A1906="","",E1906-F1906)</f>
        <v/>
      </c>
      <c r="H1906" s="4" t="n"/>
      <c r="I1906">
        <f>IF(OR(A1906="",H1906=""),"",IF(G1906&lt;=H1906,"اطلب الآن",""))</f>
        <v/>
      </c>
    </row>
    <row r="1907">
      <c r="A1907" s="4" t="n"/>
      <c r="B1907" s="4" t="n"/>
      <c r="C1907" s="4" t="n"/>
      <c r="D1907" s="4" t="n"/>
      <c r="E1907" s="4" t="n"/>
      <c r="F1907">
        <f>IF(A1907="","",SUMIFS(المبيعات!$F$2:$F$2000,المبيعات!$D$2:$D$2000,A1907))</f>
        <v/>
      </c>
      <c r="G1907">
        <f>IF(A1907="","",E1907-F1907)</f>
        <v/>
      </c>
      <c r="H1907" s="4" t="n"/>
      <c r="I1907">
        <f>IF(OR(A1907="",H1907=""),"",IF(G1907&lt;=H1907,"اطلب الآن",""))</f>
        <v/>
      </c>
    </row>
    <row r="1908">
      <c r="A1908" s="4" t="n"/>
      <c r="B1908" s="4" t="n"/>
      <c r="C1908" s="4" t="n"/>
      <c r="D1908" s="4" t="n"/>
      <c r="E1908" s="4" t="n"/>
      <c r="F1908">
        <f>IF(A1908="","",SUMIFS(المبيعات!$F$2:$F$2000,المبيعات!$D$2:$D$2000,A1908))</f>
        <v/>
      </c>
      <c r="G1908">
        <f>IF(A1908="","",E1908-F1908)</f>
        <v/>
      </c>
      <c r="H1908" s="4" t="n"/>
      <c r="I1908">
        <f>IF(OR(A1908="",H1908=""),"",IF(G1908&lt;=H1908,"اطلب الآن",""))</f>
        <v/>
      </c>
    </row>
    <row r="1909">
      <c r="A1909" s="4" t="n"/>
      <c r="B1909" s="4" t="n"/>
      <c r="C1909" s="4" t="n"/>
      <c r="D1909" s="4" t="n"/>
      <c r="E1909" s="4" t="n"/>
      <c r="F1909">
        <f>IF(A1909="","",SUMIFS(المبيعات!$F$2:$F$2000,المبيعات!$D$2:$D$2000,A1909))</f>
        <v/>
      </c>
      <c r="G1909">
        <f>IF(A1909="","",E1909-F1909)</f>
        <v/>
      </c>
      <c r="H1909" s="4" t="n"/>
      <c r="I1909">
        <f>IF(OR(A1909="",H1909=""),"",IF(G1909&lt;=H1909,"اطلب الآن",""))</f>
        <v/>
      </c>
    </row>
    <row r="1910">
      <c r="A1910" s="4" t="n"/>
      <c r="B1910" s="4" t="n"/>
      <c r="C1910" s="4" t="n"/>
      <c r="D1910" s="4" t="n"/>
      <c r="E1910" s="4" t="n"/>
      <c r="F1910">
        <f>IF(A1910="","",SUMIFS(المبيعات!$F$2:$F$2000,المبيعات!$D$2:$D$2000,A1910))</f>
        <v/>
      </c>
      <c r="G1910">
        <f>IF(A1910="","",E1910-F1910)</f>
        <v/>
      </c>
      <c r="H1910" s="4" t="n"/>
      <c r="I1910">
        <f>IF(OR(A1910="",H1910=""),"",IF(G1910&lt;=H1910,"اطلب الآن",""))</f>
        <v/>
      </c>
    </row>
    <row r="1911">
      <c r="A1911" s="4" t="n"/>
      <c r="B1911" s="4" t="n"/>
      <c r="C1911" s="4" t="n"/>
      <c r="D1911" s="4" t="n"/>
      <c r="E1911" s="4" t="n"/>
      <c r="F1911">
        <f>IF(A1911="","",SUMIFS(المبيعات!$F$2:$F$2000,المبيعات!$D$2:$D$2000,A1911))</f>
        <v/>
      </c>
      <c r="G1911">
        <f>IF(A1911="","",E1911-F1911)</f>
        <v/>
      </c>
      <c r="H1911" s="4" t="n"/>
      <c r="I1911">
        <f>IF(OR(A1911="",H1911=""),"",IF(G1911&lt;=H1911,"اطلب الآن",""))</f>
        <v/>
      </c>
    </row>
    <row r="1912">
      <c r="A1912" s="4" t="n"/>
      <c r="B1912" s="4" t="n"/>
      <c r="C1912" s="4" t="n"/>
      <c r="D1912" s="4" t="n"/>
      <c r="E1912" s="4" t="n"/>
      <c r="F1912">
        <f>IF(A1912="","",SUMIFS(المبيعات!$F$2:$F$2000,المبيعات!$D$2:$D$2000,A1912))</f>
        <v/>
      </c>
      <c r="G1912">
        <f>IF(A1912="","",E1912-F1912)</f>
        <v/>
      </c>
      <c r="H1912" s="4" t="n"/>
      <c r="I1912">
        <f>IF(OR(A1912="",H1912=""),"",IF(G1912&lt;=H1912,"اطلب الآن",""))</f>
        <v/>
      </c>
    </row>
    <row r="1913">
      <c r="A1913" s="4" t="n"/>
      <c r="B1913" s="4" t="n"/>
      <c r="C1913" s="4" t="n"/>
      <c r="D1913" s="4" t="n"/>
      <c r="E1913" s="4" t="n"/>
      <c r="F1913">
        <f>IF(A1913="","",SUMIFS(المبيعات!$F$2:$F$2000,المبيعات!$D$2:$D$2000,A1913))</f>
        <v/>
      </c>
      <c r="G1913">
        <f>IF(A1913="","",E1913-F1913)</f>
        <v/>
      </c>
      <c r="H1913" s="4" t="n"/>
      <c r="I1913">
        <f>IF(OR(A1913="",H1913=""),"",IF(G1913&lt;=H1913,"اطلب الآن",""))</f>
        <v/>
      </c>
    </row>
    <row r="1914">
      <c r="A1914" s="4" t="n"/>
      <c r="B1914" s="4" t="n"/>
      <c r="C1914" s="4" t="n"/>
      <c r="D1914" s="4" t="n"/>
      <c r="E1914" s="4" t="n"/>
      <c r="F1914">
        <f>IF(A1914="","",SUMIFS(المبيعات!$F$2:$F$2000,المبيعات!$D$2:$D$2000,A1914))</f>
        <v/>
      </c>
      <c r="G1914">
        <f>IF(A1914="","",E1914-F1914)</f>
        <v/>
      </c>
      <c r="H1914" s="4" t="n"/>
      <c r="I1914">
        <f>IF(OR(A1914="",H1914=""),"",IF(G1914&lt;=H1914,"اطلب الآن",""))</f>
        <v/>
      </c>
    </row>
    <row r="1915">
      <c r="A1915" s="4" t="n"/>
      <c r="B1915" s="4" t="n"/>
      <c r="C1915" s="4" t="n"/>
      <c r="D1915" s="4" t="n"/>
      <c r="E1915" s="4" t="n"/>
      <c r="F1915">
        <f>IF(A1915="","",SUMIFS(المبيعات!$F$2:$F$2000,المبيعات!$D$2:$D$2000,A1915))</f>
        <v/>
      </c>
      <c r="G1915">
        <f>IF(A1915="","",E1915-F1915)</f>
        <v/>
      </c>
      <c r="H1915" s="4" t="n"/>
      <c r="I1915">
        <f>IF(OR(A1915="",H1915=""),"",IF(G1915&lt;=H1915,"اطلب الآن",""))</f>
        <v/>
      </c>
    </row>
    <row r="1916">
      <c r="A1916" s="4" t="n"/>
      <c r="B1916" s="4" t="n"/>
      <c r="C1916" s="4" t="n"/>
      <c r="D1916" s="4" t="n"/>
      <c r="E1916" s="4" t="n"/>
      <c r="F1916">
        <f>IF(A1916="","",SUMIFS(المبيعات!$F$2:$F$2000,المبيعات!$D$2:$D$2000,A1916))</f>
        <v/>
      </c>
      <c r="G1916">
        <f>IF(A1916="","",E1916-F1916)</f>
        <v/>
      </c>
      <c r="H1916" s="4" t="n"/>
      <c r="I1916">
        <f>IF(OR(A1916="",H1916=""),"",IF(G1916&lt;=H1916,"اطلب الآن",""))</f>
        <v/>
      </c>
    </row>
    <row r="1917">
      <c r="A1917" s="4" t="n"/>
      <c r="B1917" s="4" t="n"/>
      <c r="C1917" s="4" t="n"/>
      <c r="D1917" s="4" t="n"/>
      <c r="E1917" s="4" t="n"/>
      <c r="F1917">
        <f>IF(A1917="","",SUMIFS(المبيعات!$F$2:$F$2000,المبيعات!$D$2:$D$2000,A1917))</f>
        <v/>
      </c>
      <c r="G1917">
        <f>IF(A1917="","",E1917-F1917)</f>
        <v/>
      </c>
      <c r="H1917" s="4" t="n"/>
      <c r="I1917">
        <f>IF(OR(A1917="",H1917=""),"",IF(G1917&lt;=H1917,"اطلب الآن",""))</f>
        <v/>
      </c>
    </row>
    <row r="1918">
      <c r="A1918" s="4" t="n"/>
      <c r="B1918" s="4" t="n"/>
      <c r="C1918" s="4" t="n"/>
      <c r="D1918" s="4" t="n"/>
      <c r="E1918" s="4" t="n"/>
      <c r="F1918">
        <f>IF(A1918="","",SUMIFS(المبيعات!$F$2:$F$2000,المبيعات!$D$2:$D$2000,A1918))</f>
        <v/>
      </c>
      <c r="G1918">
        <f>IF(A1918="","",E1918-F1918)</f>
        <v/>
      </c>
      <c r="H1918" s="4" t="n"/>
      <c r="I1918">
        <f>IF(OR(A1918="",H1918=""),"",IF(G1918&lt;=H1918,"اطلب الآن",""))</f>
        <v/>
      </c>
    </row>
    <row r="1919">
      <c r="A1919" s="4" t="n"/>
      <c r="B1919" s="4" t="n"/>
      <c r="C1919" s="4" t="n"/>
      <c r="D1919" s="4" t="n"/>
      <c r="E1919" s="4" t="n"/>
      <c r="F1919">
        <f>IF(A1919="","",SUMIFS(المبيعات!$F$2:$F$2000,المبيعات!$D$2:$D$2000,A1919))</f>
        <v/>
      </c>
      <c r="G1919">
        <f>IF(A1919="","",E1919-F1919)</f>
        <v/>
      </c>
      <c r="H1919" s="4" t="n"/>
      <c r="I1919">
        <f>IF(OR(A1919="",H1919=""),"",IF(G1919&lt;=H1919,"اطلب الآن",""))</f>
        <v/>
      </c>
    </row>
    <row r="1920">
      <c r="A1920" s="4" t="n"/>
      <c r="B1920" s="4" t="n"/>
      <c r="C1920" s="4" t="n"/>
      <c r="D1920" s="4" t="n"/>
      <c r="E1920" s="4" t="n"/>
      <c r="F1920">
        <f>IF(A1920="","",SUMIFS(المبيعات!$F$2:$F$2000,المبيعات!$D$2:$D$2000,A1920))</f>
        <v/>
      </c>
      <c r="G1920">
        <f>IF(A1920="","",E1920-F1920)</f>
        <v/>
      </c>
      <c r="H1920" s="4" t="n"/>
      <c r="I1920">
        <f>IF(OR(A1920="",H1920=""),"",IF(G1920&lt;=H1920,"اطلب الآن",""))</f>
        <v/>
      </c>
    </row>
    <row r="1921">
      <c r="A1921" s="4" t="n"/>
      <c r="B1921" s="4" t="n"/>
      <c r="C1921" s="4" t="n"/>
      <c r="D1921" s="4" t="n"/>
      <c r="E1921" s="4" t="n"/>
      <c r="F1921">
        <f>IF(A1921="","",SUMIFS(المبيعات!$F$2:$F$2000,المبيعات!$D$2:$D$2000,A1921))</f>
        <v/>
      </c>
      <c r="G1921">
        <f>IF(A1921="","",E1921-F1921)</f>
        <v/>
      </c>
      <c r="H1921" s="4" t="n"/>
      <c r="I1921">
        <f>IF(OR(A1921="",H1921=""),"",IF(G1921&lt;=H1921,"اطلب الآن",""))</f>
        <v/>
      </c>
    </row>
    <row r="1922">
      <c r="A1922" s="4" t="n"/>
      <c r="B1922" s="4" t="n"/>
      <c r="C1922" s="4" t="n"/>
      <c r="D1922" s="4" t="n"/>
      <c r="E1922" s="4" t="n"/>
      <c r="F1922">
        <f>IF(A1922="","",SUMIFS(المبيعات!$F$2:$F$2000,المبيعات!$D$2:$D$2000,A1922))</f>
        <v/>
      </c>
      <c r="G1922">
        <f>IF(A1922="","",E1922-F1922)</f>
        <v/>
      </c>
      <c r="H1922" s="4" t="n"/>
      <c r="I1922">
        <f>IF(OR(A1922="",H1922=""),"",IF(G1922&lt;=H1922,"اطلب الآن",""))</f>
        <v/>
      </c>
    </row>
    <row r="1923">
      <c r="A1923" s="4" t="n"/>
      <c r="B1923" s="4" t="n"/>
      <c r="C1923" s="4" t="n"/>
      <c r="D1923" s="4" t="n"/>
      <c r="E1923" s="4" t="n"/>
      <c r="F1923">
        <f>IF(A1923="","",SUMIFS(المبيعات!$F$2:$F$2000,المبيعات!$D$2:$D$2000,A1923))</f>
        <v/>
      </c>
      <c r="G1923">
        <f>IF(A1923="","",E1923-F1923)</f>
        <v/>
      </c>
      <c r="H1923" s="4" t="n"/>
      <c r="I1923">
        <f>IF(OR(A1923="",H1923=""),"",IF(G1923&lt;=H1923,"اطلب الآن",""))</f>
        <v/>
      </c>
    </row>
    <row r="1924">
      <c r="A1924" s="4" t="n"/>
      <c r="B1924" s="4" t="n"/>
      <c r="C1924" s="4" t="n"/>
      <c r="D1924" s="4" t="n"/>
      <c r="E1924" s="4" t="n"/>
      <c r="F1924">
        <f>IF(A1924="","",SUMIFS(المبيعات!$F$2:$F$2000,المبيعات!$D$2:$D$2000,A1924))</f>
        <v/>
      </c>
      <c r="G1924">
        <f>IF(A1924="","",E1924-F1924)</f>
        <v/>
      </c>
      <c r="H1924" s="4" t="n"/>
      <c r="I1924">
        <f>IF(OR(A1924="",H1924=""),"",IF(G1924&lt;=H1924,"اطلب الآن",""))</f>
        <v/>
      </c>
    </row>
    <row r="1925">
      <c r="A1925" s="4" t="n"/>
      <c r="B1925" s="4" t="n"/>
      <c r="C1925" s="4" t="n"/>
      <c r="D1925" s="4" t="n"/>
      <c r="E1925" s="4" t="n"/>
      <c r="F1925">
        <f>IF(A1925="","",SUMIFS(المبيعات!$F$2:$F$2000,المبيعات!$D$2:$D$2000,A1925))</f>
        <v/>
      </c>
      <c r="G1925">
        <f>IF(A1925="","",E1925-F1925)</f>
        <v/>
      </c>
      <c r="H1925" s="4" t="n"/>
      <c r="I1925">
        <f>IF(OR(A1925="",H1925=""),"",IF(G1925&lt;=H1925,"اطلب الآن",""))</f>
        <v/>
      </c>
    </row>
    <row r="1926">
      <c r="A1926" s="4" t="n"/>
      <c r="B1926" s="4" t="n"/>
      <c r="C1926" s="4" t="n"/>
      <c r="D1926" s="4" t="n"/>
      <c r="E1926" s="4" t="n"/>
      <c r="F1926">
        <f>IF(A1926="","",SUMIFS(المبيعات!$F$2:$F$2000,المبيعات!$D$2:$D$2000,A1926))</f>
        <v/>
      </c>
      <c r="G1926">
        <f>IF(A1926="","",E1926-F1926)</f>
        <v/>
      </c>
      <c r="H1926" s="4" t="n"/>
      <c r="I1926">
        <f>IF(OR(A1926="",H1926=""),"",IF(G1926&lt;=H1926,"اطلب الآن",""))</f>
        <v/>
      </c>
    </row>
    <row r="1927">
      <c r="A1927" s="4" t="n"/>
      <c r="B1927" s="4" t="n"/>
      <c r="C1927" s="4" t="n"/>
      <c r="D1927" s="4" t="n"/>
      <c r="E1927" s="4" t="n"/>
      <c r="F1927">
        <f>IF(A1927="","",SUMIFS(المبيعات!$F$2:$F$2000,المبيعات!$D$2:$D$2000,A1927))</f>
        <v/>
      </c>
      <c r="G1927">
        <f>IF(A1927="","",E1927-F1927)</f>
        <v/>
      </c>
      <c r="H1927" s="4" t="n"/>
      <c r="I1927">
        <f>IF(OR(A1927="",H1927=""),"",IF(G1927&lt;=H1927,"اطلب الآن",""))</f>
        <v/>
      </c>
    </row>
    <row r="1928">
      <c r="A1928" s="4" t="n"/>
      <c r="B1928" s="4" t="n"/>
      <c r="C1928" s="4" t="n"/>
      <c r="D1928" s="4" t="n"/>
      <c r="E1928" s="4" t="n"/>
      <c r="F1928">
        <f>IF(A1928="","",SUMIFS(المبيعات!$F$2:$F$2000,المبيعات!$D$2:$D$2000,A1928))</f>
        <v/>
      </c>
      <c r="G1928">
        <f>IF(A1928="","",E1928-F1928)</f>
        <v/>
      </c>
      <c r="H1928" s="4" t="n"/>
      <c r="I1928">
        <f>IF(OR(A1928="",H1928=""),"",IF(G1928&lt;=H1928,"اطلب الآن",""))</f>
        <v/>
      </c>
    </row>
    <row r="1929">
      <c r="A1929" s="4" t="n"/>
      <c r="B1929" s="4" t="n"/>
      <c r="C1929" s="4" t="n"/>
      <c r="D1929" s="4" t="n"/>
      <c r="E1929" s="4" t="n"/>
      <c r="F1929">
        <f>IF(A1929="","",SUMIFS(المبيعات!$F$2:$F$2000,المبيعات!$D$2:$D$2000,A1929))</f>
        <v/>
      </c>
      <c r="G1929">
        <f>IF(A1929="","",E1929-F1929)</f>
        <v/>
      </c>
      <c r="H1929" s="4" t="n"/>
      <c r="I1929">
        <f>IF(OR(A1929="",H1929=""),"",IF(G1929&lt;=H1929,"اطلب الآن",""))</f>
        <v/>
      </c>
    </row>
    <row r="1930">
      <c r="A1930" s="4" t="n"/>
      <c r="B1930" s="4" t="n"/>
      <c r="C1930" s="4" t="n"/>
      <c r="D1930" s="4" t="n"/>
      <c r="E1930" s="4" t="n"/>
      <c r="F1930">
        <f>IF(A1930="","",SUMIFS(المبيعات!$F$2:$F$2000,المبيعات!$D$2:$D$2000,A1930))</f>
        <v/>
      </c>
      <c r="G1930">
        <f>IF(A1930="","",E1930-F1930)</f>
        <v/>
      </c>
      <c r="H1930" s="4" t="n"/>
      <c r="I1930">
        <f>IF(OR(A1930="",H1930=""),"",IF(G1930&lt;=H1930,"اطلب الآن",""))</f>
        <v/>
      </c>
    </row>
    <row r="1931">
      <c r="A1931" s="4" t="n"/>
      <c r="B1931" s="4" t="n"/>
      <c r="C1931" s="4" t="n"/>
      <c r="D1931" s="4" t="n"/>
      <c r="E1931" s="4" t="n"/>
      <c r="F1931">
        <f>IF(A1931="","",SUMIFS(المبيعات!$F$2:$F$2000,المبيعات!$D$2:$D$2000,A1931))</f>
        <v/>
      </c>
      <c r="G1931">
        <f>IF(A1931="","",E1931-F1931)</f>
        <v/>
      </c>
      <c r="H1931" s="4" t="n"/>
      <c r="I1931">
        <f>IF(OR(A1931="",H1931=""),"",IF(G1931&lt;=H1931,"اطلب الآن",""))</f>
        <v/>
      </c>
    </row>
    <row r="1932">
      <c r="A1932" s="4" t="n"/>
      <c r="B1932" s="4" t="n"/>
      <c r="C1932" s="4" t="n"/>
      <c r="D1932" s="4" t="n"/>
      <c r="E1932" s="4" t="n"/>
      <c r="F1932">
        <f>IF(A1932="","",SUMIFS(المبيعات!$F$2:$F$2000,المبيعات!$D$2:$D$2000,A1932))</f>
        <v/>
      </c>
      <c r="G1932">
        <f>IF(A1932="","",E1932-F1932)</f>
        <v/>
      </c>
      <c r="H1932" s="4" t="n"/>
      <c r="I1932">
        <f>IF(OR(A1932="",H1932=""),"",IF(G1932&lt;=H1932,"اطلب الآن",""))</f>
        <v/>
      </c>
    </row>
    <row r="1933">
      <c r="A1933" s="4" t="n"/>
      <c r="B1933" s="4" t="n"/>
      <c r="C1933" s="4" t="n"/>
      <c r="D1933" s="4" t="n"/>
      <c r="E1933" s="4" t="n"/>
      <c r="F1933">
        <f>IF(A1933="","",SUMIFS(المبيعات!$F$2:$F$2000,المبيعات!$D$2:$D$2000,A1933))</f>
        <v/>
      </c>
      <c r="G1933">
        <f>IF(A1933="","",E1933-F1933)</f>
        <v/>
      </c>
      <c r="H1933" s="4" t="n"/>
      <c r="I1933">
        <f>IF(OR(A1933="",H1933=""),"",IF(G1933&lt;=H1933,"اطلب الآن",""))</f>
        <v/>
      </c>
    </row>
    <row r="1934">
      <c r="A1934" s="4" t="n"/>
      <c r="B1934" s="4" t="n"/>
      <c r="C1934" s="4" t="n"/>
      <c r="D1934" s="4" t="n"/>
      <c r="E1934" s="4" t="n"/>
      <c r="F1934">
        <f>IF(A1934="","",SUMIFS(المبيعات!$F$2:$F$2000,المبيعات!$D$2:$D$2000,A1934))</f>
        <v/>
      </c>
      <c r="G1934">
        <f>IF(A1934="","",E1934-F1934)</f>
        <v/>
      </c>
      <c r="H1934" s="4" t="n"/>
      <c r="I1934">
        <f>IF(OR(A1934="",H1934=""),"",IF(G1934&lt;=H1934,"اطلب الآن",""))</f>
        <v/>
      </c>
    </row>
    <row r="1935">
      <c r="A1935" s="4" t="n"/>
      <c r="B1935" s="4" t="n"/>
      <c r="C1935" s="4" t="n"/>
      <c r="D1935" s="4" t="n"/>
      <c r="E1935" s="4" t="n"/>
      <c r="F1935">
        <f>IF(A1935="","",SUMIFS(المبيعات!$F$2:$F$2000,المبيعات!$D$2:$D$2000,A1935))</f>
        <v/>
      </c>
      <c r="G1935">
        <f>IF(A1935="","",E1935-F1935)</f>
        <v/>
      </c>
      <c r="H1935" s="4" t="n"/>
      <c r="I1935">
        <f>IF(OR(A1935="",H1935=""),"",IF(G1935&lt;=H1935,"اطلب الآن",""))</f>
        <v/>
      </c>
    </row>
    <row r="1936">
      <c r="A1936" s="4" t="n"/>
      <c r="B1936" s="4" t="n"/>
      <c r="C1936" s="4" t="n"/>
      <c r="D1936" s="4" t="n"/>
      <c r="E1936" s="4" t="n"/>
      <c r="F1936">
        <f>IF(A1936="","",SUMIFS(المبيعات!$F$2:$F$2000,المبيعات!$D$2:$D$2000,A1936))</f>
        <v/>
      </c>
      <c r="G1936">
        <f>IF(A1936="","",E1936-F1936)</f>
        <v/>
      </c>
      <c r="H1936" s="4" t="n"/>
      <c r="I1936">
        <f>IF(OR(A1936="",H1936=""),"",IF(G1936&lt;=H1936,"اطلب الآن",""))</f>
        <v/>
      </c>
    </row>
    <row r="1937">
      <c r="A1937" s="4" t="n"/>
      <c r="B1937" s="4" t="n"/>
      <c r="C1937" s="4" t="n"/>
      <c r="D1937" s="4" t="n"/>
      <c r="E1937" s="4" t="n"/>
      <c r="F1937">
        <f>IF(A1937="","",SUMIFS(المبيعات!$F$2:$F$2000,المبيعات!$D$2:$D$2000,A1937))</f>
        <v/>
      </c>
      <c r="G1937">
        <f>IF(A1937="","",E1937-F1937)</f>
        <v/>
      </c>
      <c r="H1937" s="4" t="n"/>
      <c r="I1937">
        <f>IF(OR(A1937="",H1937=""),"",IF(G1937&lt;=H1937,"اطلب الآن",""))</f>
        <v/>
      </c>
    </row>
    <row r="1938">
      <c r="A1938" s="4" t="n"/>
      <c r="B1938" s="4" t="n"/>
      <c r="C1938" s="4" t="n"/>
      <c r="D1938" s="4" t="n"/>
      <c r="E1938" s="4" t="n"/>
      <c r="F1938">
        <f>IF(A1938="","",SUMIFS(المبيعات!$F$2:$F$2000,المبيعات!$D$2:$D$2000,A1938))</f>
        <v/>
      </c>
      <c r="G1938">
        <f>IF(A1938="","",E1938-F1938)</f>
        <v/>
      </c>
      <c r="H1938" s="4" t="n"/>
      <c r="I1938">
        <f>IF(OR(A1938="",H1938=""),"",IF(G1938&lt;=H1938,"اطلب الآن",""))</f>
        <v/>
      </c>
    </row>
    <row r="1939">
      <c r="A1939" s="4" t="n"/>
      <c r="B1939" s="4" t="n"/>
      <c r="C1939" s="4" t="n"/>
      <c r="D1939" s="4" t="n"/>
      <c r="E1939" s="4" t="n"/>
      <c r="F1939">
        <f>IF(A1939="","",SUMIFS(المبيعات!$F$2:$F$2000,المبيعات!$D$2:$D$2000,A1939))</f>
        <v/>
      </c>
      <c r="G1939">
        <f>IF(A1939="","",E1939-F1939)</f>
        <v/>
      </c>
      <c r="H1939" s="4" t="n"/>
      <c r="I1939">
        <f>IF(OR(A1939="",H1939=""),"",IF(G1939&lt;=H1939,"اطلب الآن",""))</f>
        <v/>
      </c>
    </row>
    <row r="1940">
      <c r="A1940" s="4" t="n"/>
      <c r="B1940" s="4" t="n"/>
      <c r="C1940" s="4" t="n"/>
      <c r="D1940" s="4" t="n"/>
      <c r="E1940" s="4" t="n"/>
      <c r="F1940">
        <f>IF(A1940="","",SUMIFS(المبيعات!$F$2:$F$2000,المبيعات!$D$2:$D$2000,A1940))</f>
        <v/>
      </c>
      <c r="G1940">
        <f>IF(A1940="","",E1940-F1940)</f>
        <v/>
      </c>
      <c r="H1940" s="4" t="n"/>
      <c r="I1940">
        <f>IF(OR(A1940="",H1940=""),"",IF(G1940&lt;=H1940,"اطلب الآن",""))</f>
        <v/>
      </c>
    </row>
    <row r="1941">
      <c r="A1941" s="4" t="n"/>
      <c r="B1941" s="4" t="n"/>
      <c r="C1941" s="4" t="n"/>
      <c r="D1941" s="4" t="n"/>
      <c r="E1941" s="4" t="n"/>
      <c r="F1941">
        <f>IF(A1941="","",SUMIFS(المبيعات!$F$2:$F$2000,المبيعات!$D$2:$D$2000,A1941))</f>
        <v/>
      </c>
      <c r="G1941">
        <f>IF(A1941="","",E1941-F1941)</f>
        <v/>
      </c>
      <c r="H1941" s="4" t="n"/>
      <c r="I1941">
        <f>IF(OR(A1941="",H1941=""),"",IF(G1941&lt;=H1941,"اطلب الآن",""))</f>
        <v/>
      </c>
    </row>
    <row r="1942">
      <c r="A1942" s="4" t="n"/>
      <c r="B1942" s="4" t="n"/>
      <c r="C1942" s="4" t="n"/>
      <c r="D1942" s="4" t="n"/>
      <c r="E1942" s="4" t="n"/>
      <c r="F1942">
        <f>IF(A1942="","",SUMIFS(المبيعات!$F$2:$F$2000,المبيعات!$D$2:$D$2000,A1942))</f>
        <v/>
      </c>
      <c r="G1942">
        <f>IF(A1942="","",E1942-F1942)</f>
        <v/>
      </c>
      <c r="H1942" s="4" t="n"/>
      <c r="I1942">
        <f>IF(OR(A1942="",H1942=""),"",IF(G1942&lt;=H1942,"اطلب الآن",""))</f>
        <v/>
      </c>
    </row>
    <row r="1943">
      <c r="A1943" s="4" t="n"/>
      <c r="B1943" s="4" t="n"/>
      <c r="C1943" s="4" t="n"/>
      <c r="D1943" s="4" t="n"/>
      <c r="E1943" s="4" t="n"/>
      <c r="F1943">
        <f>IF(A1943="","",SUMIFS(المبيعات!$F$2:$F$2000,المبيعات!$D$2:$D$2000,A1943))</f>
        <v/>
      </c>
      <c r="G1943">
        <f>IF(A1943="","",E1943-F1943)</f>
        <v/>
      </c>
      <c r="H1943" s="4" t="n"/>
      <c r="I1943">
        <f>IF(OR(A1943="",H1943=""),"",IF(G1943&lt;=H1943,"اطلب الآن",""))</f>
        <v/>
      </c>
    </row>
    <row r="1944">
      <c r="A1944" s="4" t="n"/>
      <c r="B1944" s="4" t="n"/>
      <c r="C1944" s="4" t="n"/>
      <c r="D1944" s="4" t="n"/>
      <c r="E1944" s="4" t="n"/>
      <c r="F1944">
        <f>IF(A1944="","",SUMIFS(المبيعات!$F$2:$F$2000,المبيعات!$D$2:$D$2000,A1944))</f>
        <v/>
      </c>
      <c r="G1944">
        <f>IF(A1944="","",E1944-F1944)</f>
        <v/>
      </c>
      <c r="H1944" s="4" t="n"/>
      <c r="I1944">
        <f>IF(OR(A1944="",H1944=""),"",IF(G1944&lt;=H1944,"اطلب الآن",""))</f>
        <v/>
      </c>
    </row>
    <row r="1945">
      <c r="A1945" s="4" t="n"/>
      <c r="B1945" s="4" t="n"/>
      <c r="C1945" s="4" t="n"/>
      <c r="D1945" s="4" t="n"/>
      <c r="E1945" s="4" t="n"/>
      <c r="F1945">
        <f>IF(A1945="","",SUMIFS(المبيعات!$F$2:$F$2000,المبيعات!$D$2:$D$2000,A1945))</f>
        <v/>
      </c>
      <c r="G1945">
        <f>IF(A1945="","",E1945-F1945)</f>
        <v/>
      </c>
      <c r="H1945" s="4" t="n"/>
      <c r="I1945">
        <f>IF(OR(A1945="",H1945=""),"",IF(G1945&lt;=H1945,"اطلب الآن",""))</f>
        <v/>
      </c>
    </row>
    <row r="1946">
      <c r="A1946" s="4" t="n"/>
      <c r="B1946" s="4" t="n"/>
      <c r="C1946" s="4" t="n"/>
      <c r="D1946" s="4" t="n"/>
      <c r="E1946" s="4" t="n"/>
      <c r="F1946">
        <f>IF(A1946="","",SUMIFS(المبيعات!$F$2:$F$2000,المبيعات!$D$2:$D$2000,A1946))</f>
        <v/>
      </c>
      <c r="G1946">
        <f>IF(A1946="","",E1946-F1946)</f>
        <v/>
      </c>
      <c r="H1946" s="4" t="n"/>
      <c r="I1946">
        <f>IF(OR(A1946="",H1946=""),"",IF(G1946&lt;=H1946,"اطلب الآن",""))</f>
        <v/>
      </c>
    </row>
    <row r="1947">
      <c r="A1947" s="4" t="n"/>
      <c r="B1947" s="4" t="n"/>
      <c r="C1947" s="4" t="n"/>
      <c r="D1947" s="4" t="n"/>
      <c r="E1947" s="4" t="n"/>
      <c r="F1947">
        <f>IF(A1947="","",SUMIFS(المبيعات!$F$2:$F$2000,المبيعات!$D$2:$D$2000,A1947))</f>
        <v/>
      </c>
      <c r="G1947">
        <f>IF(A1947="","",E1947-F1947)</f>
        <v/>
      </c>
      <c r="H1947" s="4" t="n"/>
      <c r="I1947">
        <f>IF(OR(A1947="",H1947=""),"",IF(G1947&lt;=H1947,"اطلب الآن",""))</f>
        <v/>
      </c>
    </row>
    <row r="1948">
      <c r="A1948" s="4" t="n"/>
      <c r="B1948" s="4" t="n"/>
      <c r="C1948" s="4" t="n"/>
      <c r="D1948" s="4" t="n"/>
      <c r="E1948" s="4" t="n"/>
      <c r="F1948">
        <f>IF(A1948="","",SUMIFS(المبيعات!$F$2:$F$2000,المبيعات!$D$2:$D$2000,A1948))</f>
        <v/>
      </c>
      <c r="G1948">
        <f>IF(A1948="","",E1948-F1948)</f>
        <v/>
      </c>
      <c r="H1948" s="4" t="n"/>
      <c r="I1948">
        <f>IF(OR(A1948="",H1948=""),"",IF(G1948&lt;=H1948,"اطلب الآن",""))</f>
        <v/>
      </c>
    </row>
    <row r="1949">
      <c r="A1949" s="4" t="n"/>
      <c r="B1949" s="4" t="n"/>
      <c r="C1949" s="4" t="n"/>
      <c r="D1949" s="4" t="n"/>
      <c r="E1949" s="4" t="n"/>
      <c r="F1949">
        <f>IF(A1949="","",SUMIFS(المبيعات!$F$2:$F$2000,المبيعات!$D$2:$D$2000,A1949))</f>
        <v/>
      </c>
      <c r="G1949">
        <f>IF(A1949="","",E1949-F1949)</f>
        <v/>
      </c>
      <c r="H1949" s="4" t="n"/>
      <c r="I1949">
        <f>IF(OR(A1949="",H1949=""),"",IF(G1949&lt;=H1949,"اطلب الآن",""))</f>
        <v/>
      </c>
    </row>
    <row r="1950">
      <c r="A1950" s="4" t="n"/>
      <c r="B1950" s="4" t="n"/>
      <c r="C1950" s="4" t="n"/>
      <c r="D1950" s="4" t="n"/>
      <c r="E1950" s="4" t="n"/>
      <c r="F1950">
        <f>IF(A1950="","",SUMIFS(المبيعات!$F$2:$F$2000,المبيعات!$D$2:$D$2000,A1950))</f>
        <v/>
      </c>
      <c r="G1950">
        <f>IF(A1950="","",E1950-F1950)</f>
        <v/>
      </c>
      <c r="H1950" s="4" t="n"/>
      <c r="I1950">
        <f>IF(OR(A1950="",H1950=""),"",IF(G1950&lt;=H1950,"اطلب الآن",""))</f>
        <v/>
      </c>
    </row>
    <row r="1951">
      <c r="A1951" s="4" t="n"/>
      <c r="B1951" s="4" t="n"/>
      <c r="C1951" s="4" t="n"/>
      <c r="D1951" s="4" t="n"/>
      <c r="E1951" s="4" t="n"/>
      <c r="F1951">
        <f>IF(A1951="","",SUMIFS(المبيعات!$F$2:$F$2000,المبيعات!$D$2:$D$2000,A1951))</f>
        <v/>
      </c>
      <c r="G1951">
        <f>IF(A1951="","",E1951-F1951)</f>
        <v/>
      </c>
      <c r="H1951" s="4" t="n"/>
      <c r="I1951">
        <f>IF(OR(A1951="",H1951=""),"",IF(G1951&lt;=H1951,"اطلب الآن",""))</f>
        <v/>
      </c>
    </row>
    <row r="1952">
      <c r="A1952" s="4" t="n"/>
      <c r="B1952" s="4" t="n"/>
      <c r="C1952" s="4" t="n"/>
      <c r="D1952" s="4" t="n"/>
      <c r="E1952" s="4" t="n"/>
      <c r="F1952">
        <f>IF(A1952="","",SUMIFS(المبيعات!$F$2:$F$2000,المبيعات!$D$2:$D$2000,A1952))</f>
        <v/>
      </c>
      <c r="G1952">
        <f>IF(A1952="","",E1952-F1952)</f>
        <v/>
      </c>
      <c r="H1952" s="4" t="n"/>
      <c r="I1952">
        <f>IF(OR(A1952="",H1952=""),"",IF(G1952&lt;=H1952,"اطلب الآن",""))</f>
        <v/>
      </c>
    </row>
    <row r="1953">
      <c r="A1953" s="4" t="n"/>
      <c r="B1953" s="4" t="n"/>
      <c r="C1953" s="4" t="n"/>
      <c r="D1953" s="4" t="n"/>
      <c r="E1953" s="4" t="n"/>
      <c r="F1953">
        <f>IF(A1953="","",SUMIFS(المبيعات!$F$2:$F$2000,المبيعات!$D$2:$D$2000,A1953))</f>
        <v/>
      </c>
      <c r="G1953">
        <f>IF(A1953="","",E1953-F1953)</f>
        <v/>
      </c>
      <c r="H1953" s="4" t="n"/>
      <c r="I1953">
        <f>IF(OR(A1953="",H1953=""),"",IF(G1953&lt;=H1953,"اطلب الآن",""))</f>
        <v/>
      </c>
    </row>
    <row r="1954">
      <c r="A1954" s="4" t="n"/>
      <c r="B1954" s="4" t="n"/>
      <c r="C1954" s="4" t="n"/>
      <c r="D1954" s="4" t="n"/>
      <c r="E1954" s="4" t="n"/>
      <c r="F1954">
        <f>IF(A1954="","",SUMIFS(المبيعات!$F$2:$F$2000,المبيعات!$D$2:$D$2000,A1954))</f>
        <v/>
      </c>
      <c r="G1954">
        <f>IF(A1954="","",E1954-F1954)</f>
        <v/>
      </c>
      <c r="H1954" s="4" t="n"/>
      <c r="I1954">
        <f>IF(OR(A1954="",H1954=""),"",IF(G1954&lt;=H1954,"اطلب الآن",""))</f>
        <v/>
      </c>
    </row>
    <row r="1955">
      <c r="A1955" s="4" t="n"/>
      <c r="B1955" s="4" t="n"/>
      <c r="C1955" s="4" t="n"/>
      <c r="D1955" s="4" t="n"/>
      <c r="E1955" s="4" t="n"/>
      <c r="F1955">
        <f>IF(A1955="","",SUMIFS(المبيعات!$F$2:$F$2000,المبيعات!$D$2:$D$2000,A1955))</f>
        <v/>
      </c>
      <c r="G1955">
        <f>IF(A1955="","",E1955-F1955)</f>
        <v/>
      </c>
      <c r="H1955" s="4" t="n"/>
      <c r="I1955">
        <f>IF(OR(A1955="",H1955=""),"",IF(G1955&lt;=H1955,"اطلب الآن",""))</f>
        <v/>
      </c>
    </row>
    <row r="1956">
      <c r="A1956" s="4" t="n"/>
      <c r="B1956" s="4" t="n"/>
      <c r="C1956" s="4" t="n"/>
      <c r="D1956" s="4" t="n"/>
      <c r="E1956" s="4" t="n"/>
      <c r="F1956">
        <f>IF(A1956="","",SUMIFS(المبيعات!$F$2:$F$2000,المبيعات!$D$2:$D$2000,A1956))</f>
        <v/>
      </c>
      <c r="G1956">
        <f>IF(A1956="","",E1956-F1956)</f>
        <v/>
      </c>
      <c r="H1956" s="4" t="n"/>
      <c r="I1956">
        <f>IF(OR(A1956="",H1956=""),"",IF(G1956&lt;=H1956,"اطلب الآن",""))</f>
        <v/>
      </c>
    </row>
    <row r="1957">
      <c r="A1957" s="4" t="n"/>
      <c r="B1957" s="4" t="n"/>
      <c r="C1957" s="4" t="n"/>
      <c r="D1957" s="4" t="n"/>
      <c r="E1957" s="4" t="n"/>
      <c r="F1957">
        <f>IF(A1957="","",SUMIFS(المبيعات!$F$2:$F$2000,المبيعات!$D$2:$D$2000,A1957))</f>
        <v/>
      </c>
      <c r="G1957">
        <f>IF(A1957="","",E1957-F1957)</f>
        <v/>
      </c>
      <c r="H1957" s="4" t="n"/>
      <c r="I1957">
        <f>IF(OR(A1957="",H1957=""),"",IF(G1957&lt;=H1957,"اطلب الآن",""))</f>
        <v/>
      </c>
    </row>
    <row r="1958">
      <c r="A1958" s="4" t="n"/>
      <c r="B1958" s="4" t="n"/>
      <c r="C1958" s="4" t="n"/>
      <c r="D1958" s="4" t="n"/>
      <c r="E1958" s="4" t="n"/>
      <c r="F1958">
        <f>IF(A1958="","",SUMIFS(المبيعات!$F$2:$F$2000,المبيعات!$D$2:$D$2000,A1958))</f>
        <v/>
      </c>
      <c r="G1958">
        <f>IF(A1958="","",E1958-F1958)</f>
        <v/>
      </c>
      <c r="H1958" s="4" t="n"/>
      <c r="I1958">
        <f>IF(OR(A1958="",H1958=""),"",IF(G1958&lt;=H1958,"اطلب الآن",""))</f>
        <v/>
      </c>
    </row>
    <row r="1959">
      <c r="A1959" s="4" t="n"/>
      <c r="B1959" s="4" t="n"/>
      <c r="C1959" s="4" t="n"/>
      <c r="D1959" s="4" t="n"/>
      <c r="E1959" s="4" t="n"/>
      <c r="F1959">
        <f>IF(A1959="","",SUMIFS(المبيعات!$F$2:$F$2000,المبيعات!$D$2:$D$2000,A1959))</f>
        <v/>
      </c>
      <c r="G1959">
        <f>IF(A1959="","",E1959-F1959)</f>
        <v/>
      </c>
      <c r="H1959" s="4" t="n"/>
      <c r="I1959">
        <f>IF(OR(A1959="",H1959=""),"",IF(G1959&lt;=H1959,"اطلب الآن",""))</f>
        <v/>
      </c>
    </row>
    <row r="1960">
      <c r="A1960" s="4" t="n"/>
      <c r="B1960" s="4" t="n"/>
      <c r="C1960" s="4" t="n"/>
      <c r="D1960" s="4" t="n"/>
      <c r="E1960" s="4" t="n"/>
      <c r="F1960">
        <f>IF(A1960="","",SUMIFS(المبيعات!$F$2:$F$2000,المبيعات!$D$2:$D$2000,A1960))</f>
        <v/>
      </c>
      <c r="G1960">
        <f>IF(A1960="","",E1960-F1960)</f>
        <v/>
      </c>
      <c r="H1960" s="4" t="n"/>
      <c r="I1960">
        <f>IF(OR(A1960="",H1960=""),"",IF(G1960&lt;=H1960,"اطلب الآن",""))</f>
        <v/>
      </c>
    </row>
    <row r="1961">
      <c r="A1961" s="4" t="n"/>
      <c r="B1961" s="4" t="n"/>
      <c r="C1961" s="4" t="n"/>
      <c r="D1961" s="4" t="n"/>
      <c r="E1961" s="4" t="n"/>
      <c r="F1961">
        <f>IF(A1961="","",SUMIFS(المبيعات!$F$2:$F$2000,المبيعات!$D$2:$D$2000,A1961))</f>
        <v/>
      </c>
      <c r="G1961">
        <f>IF(A1961="","",E1961-F1961)</f>
        <v/>
      </c>
      <c r="H1961" s="4" t="n"/>
      <c r="I1961">
        <f>IF(OR(A1961="",H1961=""),"",IF(G1961&lt;=H1961,"اطلب الآن",""))</f>
        <v/>
      </c>
    </row>
    <row r="1962">
      <c r="A1962" s="4" t="n"/>
      <c r="B1962" s="4" t="n"/>
      <c r="C1962" s="4" t="n"/>
      <c r="D1962" s="4" t="n"/>
      <c r="E1962" s="4" t="n"/>
      <c r="F1962">
        <f>IF(A1962="","",SUMIFS(المبيعات!$F$2:$F$2000,المبيعات!$D$2:$D$2000,A1962))</f>
        <v/>
      </c>
      <c r="G1962">
        <f>IF(A1962="","",E1962-F1962)</f>
        <v/>
      </c>
      <c r="H1962" s="4" t="n"/>
      <c r="I1962">
        <f>IF(OR(A1962="",H1962=""),"",IF(G1962&lt;=H1962,"اطلب الآن",""))</f>
        <v/>
      </c>
    </row>
    <row r="1963">
      <c r="A1963" s="4" t="n"/>
      <c r="B1963" s="4" t="n"/>
      <c r="C1963" s="4" t="n"/>
      <c r="D1963" s="4" t="n"/>
      <c r="E1963" s="4" t="n"/>
      <c r="F1963">
        <f>IF(A1963="","",SUMIFS(المبيعات!$F$2:$F$2000,المبيعات!$D$2:$D$2000,A1963))</f>
        <v/>
      </c>
      <c r="G1963">
        <f>IF(A1963="","",E1963-F1963)</f>
        <v/>
      </c>
      <c r="H1963" s="4" t="n"/>
      <c r="I1963">
        <f>IF(OR(A1963="",H1963=""),"",IF(G1963&lt;=H1963,"اطلب الآن",""))</f>
        <v/>
      </c>
    </row>
    <row r="1964">
      <c r="A1964" s="4" t="n"/>
      <c r="B1964" s="4" t="n"/>
      <c r="C1964" s="4" t="n"/>
      <c r="D1964" s="4" t="n"/>
      <c r="E1964" s="4" t="n"/>
      <c r="F1964">
        <f>IF(A1964="","",SUMIFS(المبيعات!$F$2:$F$2000,المبيعات!$D$2:$D$2000,A1964))</f>
        <v/>
      </c>
      <c r="G1964">
        <f>IF(A1964="","",E1964-F1964)</f>
        <v/>
      </c>
      <c r="H1964" s="4" t="n"/>
      <c r="I1964">
        <f>IF(OR(A1964="",H1964=""),"",IF(G1964&lt;=H1964,"اطلب الآن",""))</f>
        <v/>
      </c>
    </row>
    <row r="1965">
      <c r="A1965" s="4" t="n"/>
      <c r="B1965" s="4" t="n"/>
      <c r="C1965" s="4" t="n"/>
      <c r="D1965" s="4" t="n"/>
      <c r="E1965" s="4" t="n"/>
      <c r="F1965">
        <f>IF(A1965="","",SUMIFS(المبيعات!$F$2:$F$2000,المبيعات!$D$2:$D$2000,A1965))</f>
        <v/>
      </c>
      <c r="G1965">
        <f>IF(A1965="","",E1965-F1965)</f>
        <v/>
      </c>
      <c r="H1965" s="4" t="n"/>
      <c r="I1965">
        <f>IF(OR(A1965="",H1965=""),"",IF(G1965&lt;=H1965,"اطلب الآن",""))</f>
        <v/>
      </c>
    </row>
    <row r="1966">
      <c r="A1966" s="4" t="n"/>
      <c r="B1966" s="4" t="n"/>
      <c r="C1966" s="4" t="n"/>
      <c r="D1966" s="4" t="n"/>
      <c r="E1966" s="4" t="n"/>
      <c r="F1966">
        <f>IF(A1966="","",SUMIFS(المبيعات!$F$2:$F$2000,المبيعات!$D$2:$D$2000,A1966))</f>
        <v/>
      </c>
      <c r="G1966">
        <f>IF(A1966="","",E1966-F1966)</f>
        <v/>
      </c>
      <c r="H1966" s="4" t="n"/>
      <c r="I1966">
        <f>IF(OR(A1966="",H1966=""),"",IF(G1966&lt;=H1966,"اطلب الآن",""))</f>
        <v/>
      </c>
    </row>
    <row r="1967">
      <c r="A1967" s="4" t="n"/>
      <c r="B1967" s="4" t="n"/>
      <c r="C1967" s="4" t="n"/>
      <c r="D1967" s="4" t="n"/>
      <c r="E1967" s="4" t="n"/>
      <c r="F1967">
        <f>IF(A1967="","",SUMIFS(المبيعات!$F$2:$F$2000,المبيعات!$D$2:$D$2000,A1967))</f>
        <v/>
      </c>
      <c r="G1967">
        <f>IF(A1967="","",E1967-F1967)</f>
        <v/>
      </c>
      <c r="H1967" s="4" t="n"/>
      <c r="I1967">
        <f>IF(OR(A1967="",H1967=""),"",IF(G1967&lt;=H1967,"اطلب الآن",""))</f>
        <v/>
      </c>
    </row>
    <row r="1968">
      <c r="A1968" s="4" t="n"/>
      <c r="B1968" s="4" t="n"/>
      <c r="C1968" s="4" t="n"/>
      <c r="D1968" s="4" t="n"/>
      <c r="E1968" s="4" t="n"/>
      <c r="F1968">
        <f>IF(A1968="","",SUMIFS(المبيعات!$F$2:$F$2000,المبيعات!$D$2:$D$2000,A1968))</f>
        <v/>
      </c>
      <c r="G1968">
        <f>IF(A1968="","",E1968-F1968)</f>
        <v/>
      </c>
      <c r="H1968" s="4" t="n"/>
      <c r="I1968">
        <f>IF(OR(A1968="",H1968=""),"",IF(G1968&lt;=H1968,"اطلب الآن",""))</f>
        <v/>
      </c>
    </row>
    <row r="1969">
      <c r="A1969" s="4" t="n"/>
      <c r="B1969" s="4" t="n"/>
      <c r="C1969" s="4" t="n"/>
      <c r="D1969" s="4" t="n"/>
      <c r="E1969" s="4" t="n"/>
      <c r="F1969">
        <f>IF(A1969="","",SUMIFS(المبيعات!$F$2:$F$2000,المبيعات!$D$2:$D$2000,A1969))</f>
        <v/>
      </c>
      <c r="G1969">
        <f>IF(A1969="","",E1969-F1969)</f>
        <v/>
      </c>
      <c r="H1969" s="4" t="n"/>
      <c r="I1969">
        <f>IF(OR(A1969="",H1969=""),"",IF(G1969&lt;=H1969,"اطلب الآن",""))</f>
        <v/>
      </c>
    </row>
    <row r="1970">
      <c r="A1970" s="4" t="n"/>
      <c r="B1970" s="4" t="n"/>
      <c r="C1970" s="4" t="n"/>
      <c r="D1970" s="4" t="n"/>
      <c r="E1970" s="4" t="n"/>
      <c r="F1970">
        <f>IF(A1970="","",SUMIFS(المبيعات!$F$2:$F$2000,المبيعات!$D$2:$D$2000,A1970))</f>
        <v/>
      </c>
      <c r="G1970">
        <f>IF(A1970="","",E1970-F1970)</f>
        <v/>
      </c>
      <c r="H1970" s="4" t="n"/>
      <c r="I1970">
        <f>IF(OR(A1970="",H1970=""),"",IF(G1970&lt;=H1970,"اطلب الآن",""))</f>
        <v/>
      </c>
    </row>
    <row r="1971">
      <c r="A1971" s="4" t="n"/>
      <c r="B1971" s="4" t="n"/>
      <c r="C1971" s="4" t="n"/>
      <c r="D1971" s="4" t="n"/>
      <c r="E1971" s="4" t="n"/>
      <c r="F1971">
        <f>IF(A1971="","",SUMIFS(المبيعات!$F$2:$F$2000,المبيعات!$D$2:$D$2000,A1971))</f>
        <v/>
      </c>
      <c r="G1971">
        <f>IF(A1971="","",E1971-F1971)</f>
        <v/>
      </c>
      <c r="H1971" s="4" t="n"/>
      <c r="I1971">
        <f>IF(OR(A1971="",H1971=""),"",IF(G1971&lt;=H1971,"اطلب الآن",""))</f>
        <v/>
      </c>
    </row>
    <row r="1972">
      <c r="A1972" s="4" t="n"/>
      <c r="B1972" s="4" t="n"/>
      <c r="C1972" s="4" t="n"/>
      <c r="D1972" s="4" t="n"/>
      <c r="E1972" s="4" t="n"/>
      <c r="F1972">
        <f>IF(A1972="","",SUMIFS(المبيعات!$F$2:$F$2000,المبيعات!$D$2:$D$2000,A1972))</f>
        <v/>
      </c>
      <c r="G1972">
        <f>IF(A1972="","",E1972-F1972)</f>
        <v/>
      </c>
      <c r="H1972" s="4" t="n"/>
      <c r="I1972">
        <f>IF(OR(A1972="",H1972=""),"",IF(G1972&lt;=H1972,"اطلب الآن",""))</f>
        <v/>
      </c>
    </row>
    <row r="1973">
      <c r="A1973" s="4" t="n"/>
      <c r="B1973" s="4" t="n"/>
      <c r="C1973" s="4" t="n"/>
      <c r="D1973" s="4" t="n"/>
      <c r="E1973" s="4" t="n"/>
      <c r="F1973">
        <f>IF(A1973="","",SUMIFS(المبيعات!$F$2:$F$2000,المبيعات!$D$2:$D$2000,A1973))</f>
        <v/>
      </c>
      <c r="G1973">
        <f>IF(A1973="","",E1973-F1973)</f>
        <v/>
      </c>
      <c r="H1973" s="4" t="n"/>
      <c r="I1973">
        <f>IF(OR(A1973="",H1973=""),"",IF(G1973&lt;=H1973,"اطلب الآن",""))</f>
        <v/>
      </c>
    </row>
    <row r="1974">
      <c r="A1974" s="4" t="n"/>
      <c r="B1974" s="4" t="n"/>
      <c r="C1974" s="4" t="n"/>
      <c r="D1974" s="4" t="n"/>
      <c r="E1974" s="4" t="n"/>
      <c r="F1974">
        <f>IF(A1974="","",SUMIFS(المبيعات!$F$2:$F$2000,المبيعات!$D$2:$D$2000,A1974))</f>
        <v/>
      </c>
      <c r="G1974">
        <f>IF(A1974="","",E1974-F1974)</f>
        <v/>
      </c>
      <c r="H1974" s="4" t="n"/>
      <c r="I1974">
        <f>IF(OR(A1974="",H1974=""),"",IF(G1974&lt;=H1974,"اطلب الآن",""))</f>
        <v/>
      </c>
    </row>
    <row r="1975">
      <c r="A1975" s="4" t="n"/>
      <c r="B1975" s="4" t="n"/>
      <c r="C1975" s="4" t="n"/>
      <c r="D1975" s="4" t="n"/>
      <c r="E1975" s="4" t="n"/>
      <c r="F1975">
        <f>IF(A1975="","",SUMIFS(المبيعات!$F$2:$F$2000,المبيعات!$D$2:$D$2000,A1975))</f>
        <v/>
      </c>
      <c r="G1975">
        <f>IF(A1975="","",E1975-F1975)</f>
        <v/>
      </c>
      <c r="H1975" s="4" t="n"/>
      <c r="I1975">
        <f>IF(OR(A1975="",H1975=""),"",IF(G1975&lt;=H1975,"اطلب الآن",""))</f>
        <v/>
      </c>
    </row>
    <row r="1976">
      <c r="A1976" s="4" t="n"/>
      <c r="B1976" s="4" t="n"/>
      <c r="C1976" s="4" t="n"/>
      <c r="D1976" s="4" t="n"/>
      <c r="E1976" s="4" t="n"/>
      <c r="F1976">
        <f>IF(A1976="","",SUMIFS(المبيعات!$F$2:$F$2000,المبيعات!$D$2:$D$2000,A1976))</f>
        <v/>
      </c>
      <c r="G1976">
        <f>IF(A1976="","",E1976-F1976)</f>
        <v/>
      </c>
      <c r="H1976" s="4" t="n"/>
      <c r="I1976">
        <f>IF(OR(A1976="",H1976=""),"",IF(G1976&lt;=H1976,"اطلب الآن",""))</f>
        <v/>
      </c>
    </row>
    <row r="1977">
      <c r="A1977" s="4" t="n"/>
      <c r="B1977" s="4" t="n"/>
      <c r="C1977" s="4" t="n"/>
      <c r="D1977" s="4" t="n"/>
      <c r="E1977" s="4" t="n"/>
      <c r="F1977">
        <f>IF(A1977="","",SUMIFS(المبيعات!$F$2:$F$2000,المبيعات!$D$2:$D$2000,A1977))</f>
        <v/>
      </c>
      <c r="G1977">
        <f>IF(A1977="","",E1977-F1977)</f>
        <v/>
      </c>
      <c r="H1977" s="4" t="n"/>
      <c r="I1977">
        <f>IF(OR(A1977="",H1977=""),"",IF(G1977&lt;=H1977,"اطلب الآن",""))</f>
        <v/>
      </c>
    </row>
    <row r="1978">
      <c r="A1978" s="4" t="n"/>
      <c r="B1978" s="4" t="n"/>
      <c r="C1978" s="4" t="n"/>
      <c r="D1978" s="4" t="n"/>
      <c r="E1978" s="4" t="n"/>
      <c r="F1978">
        <f>IF(A1978="","",SUMIFS(المبيعات!$F$2:$F$2000,المبيعات!$D$2:$D$2000,A1978))</f>
        <v/>
      </c>
      <c r="G1978">
        <f>IF(A1978="","",E1978-F1978)</f>
        <v/>
      </c>
      <c r="H1978" s="4" t="n"/>
      <c r="I1978">
        <f>IF(OR(A1978="",H1978=""),"",IF(G1978&lt;=H1978,"اطلب الآن",""))</f>
        <v/>
      </c>
    </row>
    <row r="1979">
      <c r="A1979" s="4" t="n"/>
      <c r="B1979" s="4" t="n"/>
      <c r="C1979" s="4" t="n"/>
      <c r="D1979" s="4" t="n"/>
      <c r="E1979" s="4" t="n"/>
      <c r="F1979">
        <f>IF(A1979="","",SUMIFS(المبيعات!$F$2:$F$2000,المبيعات!$D$2:$D$2000,A1979))</f>
        <v/>
      </c>
      <c r="G1979">
        <f>IF(A1979="","",E1979-F1979)</f>
        <v/>
      </c>
      <c r="H1979" s="4" t="n"/>
      <c r="I1979">
        <f>IF(OR(A1979="",H1979=""),"",IF(G1979&lt;=H1979,"اطلب الآن",""))</f>
        <v/>
      </c>
    </row>
    <row r="1980">
      <c r="A1980" s="4" t="n"/>
      <c r="B1980" s="4" t="n"/>
      <c r="C1980" s="4" t="n"/>
      <c r="D1980" s="4" t="n"/>
      <c r="E1980" s="4" t="n"/>
      <c r="F1980">
        <f>IF(A1980="","",SUMIFS(المبيعات!$F$2:$F$2000,المبيعات!$D$2:$D$2000,A1980))</f>
        <v/>
      </c>
      <c r="G1980">
        <f>IF(A1980="","",E1980-F1980)</f>
        <v/>
      </c>
      <c r="H1980" s="4" t="n"/>
      <c r="I1980">
        <f>IF(OR(A1980="",H1980=""),"",IF(G1980&lt;=H1980,"اطلب الآن",""))</f>
        <v/>
      </c>
    </row>
    <row r="1981">
      <c r="A1981" s="4" t="n"/>
      <c r="B1981" s="4" t="n"/>
      <c r="C1981" s="4" t="n"/>
      <c r="D1981" s="4" t="n"/>
      <c r="E1981" s="4" t="n"/>
      <c r="F1981">
        <f>IF(A1981="","",SUMIFS(المبيعات!$F$2:$F$2000,المبيعات!$D$2:$D$2000,A1981))</f>
        <v/>
      </c>
      <c r="G1981">
        <f>IF(A1981="","",E1981-F1981)</f>
        <v/>
      </c>
      <c r="H1981" s="4" t="n"/>
      <c r="I1981">
        <f>IF(OR(A1981="",H1981=""),"",IF(G1981&lt;=H1981,"اطلب الآن",""))</f>
        <v/>
      </c>
    </row>
    <row r="1982">
      <c r="A1982" s="4" t="n"/>
      <c r="B1982" s="4" t="n"/>
      <c r="C1982" s="4" t="n"/>
      <c r="D1982" s="4" t="n"/>
      <c r="E1982" s="4" t="n"/>
      <c r="F1982">
        <f>IF(A1982="","",SUMIFS(المبيعات!$F$2:$F$2000,المبيعات!$D$2:$D$2000,A1982))</f>
        <v/>
      </c>
      <c r="G1982">
        <f>IF(A1982="","",E1982-F1982)</f>
        <v/>
      </c>
      <c r="H1982" s="4" t="n"/>
      <c r="I1982">
        <f>IF(OR(A1982="",H1982=""),"",IF(G1982&lt;=H1982,"اطلب الآن",""))</f>
        <v/>
      </c>
    </row>
    <row r="1983">
      <c r="A1983" s="4" t="n"/>
      <c r="B1983" s="4" t="n"/>
      <c r="C1983" s="4" t="n"/>
      <c r="D1983" s="4" t="n"/>
      <c r="E1983" s="4" t="n"/>
      <c r="F1983">
        <f>IF(A1983="","",SUMIFS(المبيعات!$F$2:$F$2000,المبيعات!$D$2:$D$2000,A1983))</f>
        <v/>
      </c>
      <c r="G1983">
        <f>IF(A1983="","",E1983-F1983)</f>
        <v/>
      </c>
      <c r="H1983" s="4" t="n"/>
      <c r="I1983">
        <f>IF(OR(A1983="",H1983=""),"",IF(G1983&lt;=H1983,"اطلب الآن",""))</f>
        <v/>
      </c>
    </row>
    <row r="1984">
      <c r="A1984" s="4" t="n"/>
      <c r="B1984" s="4" t="n"/>
      <c r="C1984" s="4" t="n"/>
      <c r="D1984" s="4" t="n"/>
      <c r="E1984" s="4" t="n"/>
      <c r="F1984">
        <f>IF(A1984="","",SUMIFS(المبيعات!$F$2:$F$2000,المبيعات!$D$2:$D$2000,A1984))</f>
        <v/>
      </c>
      <c r="G1984">
        <f>IF(A1984="","",E1984-F1984)</f>
        <v/>
      </c>
      <c r="H1984" s="4" t="n"/>
      <c r="I1984">
        <f>IF(OR(A1984="",H1984=""),"",IF(G1984&lt;=H1984,"اطلب الآن",""))</f>
        <v/>
      </c>
    </row>
    <row r="1985">
      <c r="A1985" s="4" t="n"/>
      <c r="B1985" s="4" t="n"/>
      <c r="C1985" s="4" t="n"/>
      <c r="D1985" s="4" t="n"/>
      <c r="E1985" s="4" t="n"/>
      <c r="F1985">
        <f>IF(A1985="","",SUMIFS(المبيعات!$F$2:$F$2000,المبيعات!$D$2:$D$2000,A1985))</f>
        <v/>
      </c>
      <c r="G1985">
        <f>IF(A1985="","",E1985-F1985)</f>
        <v/>
      </c>
      <c r="H1985" s="4" t="n"/>
      <c r="I1985">
        <f>IF(OR(A1985="",H1985=""),"",IF(G1985&lt;=H1985,"اطلب الآن",""))</f>
        <v/>
      </c>
    </row>
    <row r="1986">
      <c r="A1986" s="4" t="n"/>
      <c r="B1986" s="4" t="n"/>
      <c r="C1986" s="4" t="n"/>
      <c r="D1986" s="4" t="n"/>
      <c r="E1986" s="4" t="n"/>
      <c r="F1986">
        <f>IF(A1986="","",SUMIFS(المبيعات!$F$2:$F$2000,المبيعات!$D$2:$D$2000,A1986))</f>
        <v/>
      </c>
      <c r="G1986">
        <f>IF(A1986="","",E1986-F1986)</f>
        <v/>
      </c>
      <c r="H1986" s="4" t="n"/>
      <c r="I1986">
        <f>IF(OR(A1986="",H1986=""),"",IF(G1986&lt;=H1986,"اطلب الآن",""))</f>
        <v/>
      </c>
    </row>
    <row r="1987">
      <c r="A1987" s="4" t="n"/>
      <c r="B1987" s="4" t="n"/>
      <c r="C1987" s="4" t="n"/>
      <c r="D1987" s="4" t="n"/>
      <c r="E1987" s="4" t="n"/>
      <c r="F1987">
        <f>IF(A1987="","",SUMIFS(المبيعات!$F$2:$F$2000,المبيعات!$D$2:$D$2000,A1987))</f>
        <v/>
      </c>
      <c r="G1987">
        <f>IF(A1987="","",E1987-F1987)</f>
        <v/>
      </c>
      <c r="H1987" s="4" t="n"/>
      <c r="I1987">
        <f>IF(OR(A1987="",H1987=""),"",IF(G1987&lt;=H1987,"اطلب الآن",""))</f>
        <v/>
      </c>
    </row>
    <row r="1988">
      <c r="A1988" s="4" t="n"/>
      <c r="B1988" s="4" t="n"/>
      <c r="C1988" s="4" t="n"/>
      <c r="D1988" s="4" t="n"/>
      <c r="E1988" s="4" t="n"/>
      <c r="F1988">
        <f>IF(A1988="","",SUMIFS(المبيعات!$F$2:$F$2000,المبيعات!$D$2:$D$2000,A1988))</f>
        <v/>
      </c>
      <c r="G1988">
        <f>IF(A1988="","",E1988-F1988)</f>
        <v/>
      </c>
      <c r="H1988" s="4" t="n"/>
      <c r="I1988">
        <f>IF(OR(A1988="",H1988=""),"",IF(G1988&lt;=H1988,"اطلب الآن",""))</f>
        <v/>
      </c>
    </row>
    <row r="1989">
      <c r="A1989" s="4" t="n"/>
      <c r="B1989" s="4" t="n"/>
      <c r="C1989" s="4" t="n"/>
      <c r="D1989" s="4" t="n"/>
      <c r="E1989" s="4" t="n"/>
      <c r="F1989">
        <f>IF(A1989="","",SUMIFS(المبيعات!$F$2:$F$2000,المبيعات!$D$2:$D$2000,A1989))</f>
        <v/>
      </c>
      <c r="G1989">
        <f>IF(A1989="","",E1989-F1989)</f>
        <v/>
      </c>
      <c r="H1989" s="4" t="n"/>
      <c r="I1989">
        <f>IF(OR(A1989="",H1989=""),"",IF(G1989&lt;=H1989,"اطلب الآن",""))</f>
        <v/>
      </c>
    </row>
    <row r="1990">
      <c r="A1990" s="4" t="n"/>
      <c r="B1990" s="4" t="n"/>
      <c r="C1990" s="4" t="n"/>
      <c r="D1990" s="4" t="n"/>
      <c r="E1990" s="4" t="n"/>
      <c r="F1990">
        <f>IF(A1990="","",SUMIFS(المبيعات!$F$2:$F$2000,المبيعات!$D$2:$D$2000,A1990))</f>
        <v/>
      </c>
      <c r="G1990">
        <f>IF(A1990="","",E1990-F1990)</f>
        <v/>
      </c>
      <c r="H1990" s="4" t="n"/>
      <c r="I1990">
        <f>IF(OR(A1990="",H1990=""),"",IF(G1990&lt;=H1990,"اطلب الآن",""))</f>
        <v/>
      </c>
    </row>
    <row r="1991">
      <c r="A1991" s="4" t="n"/>
      <c r="B1991" s="4" t="n"/>
      <c r="C1991" s="4" t="n"/>
      <c r="D1991" s="4" t="n"/>
      <c r="E1991" s="4" t="n"/>
      <c r="F1991">
        <f>IF(A1991="","",SUMIFS(المبيعات!$F$2:$F$2000,المبيعات!$D$2:$D$2000,A1991))</f>
        <v/>
      </c>
      <c r="G1991">
        <f>IF(A1991="","",E1991-F1991)</f>
        <v/>
      </c>
      <c r="H1991" s="4" t="n"/>
      <c r="I1991">
        <f>IF(OR(A1991="",H1991=""),"",IF(G1991&lt;=H1991,"اطلب الآن",""))</f>
        <v/>
      </c>
    </row>
    <row r="1992">
      <c r="A1992" s="4" t="n"/>
      <c r="B1992" s="4" t="n"/>
      <c r="C1992" s="4" t="n"/>
      <c r="D1992" s="4" t="n"/>
      <c r="E1992" s="4" t="n"/>
      <c r="F1992">
        <f>IF(A1992="","",SUMIFS(المبيعات!$F$2:$F$2000,المبيعات!$D$2:$D$2000,A1992))</f>
        <v/>
      </c>
      <c r="G1992">
        <f>IF(A1992="","",E1992-F1992)</f>
        <v/>
      </c>
      <c r="H1992" s="4" t="n"/>
      <c r="I1992">
        <f>IF(OR(A1992="",H1992=""),"",IF(G1992&lt;=H1992,"اطلب الآن",""))</f>
        <v/>
      </c>
    </row>
    <row r="1993">
      <c r="A1993" s="4" t="n"/>
      <c r="B1993" s="4" t="n"/>
      <c r="C1993" s="4" t="n"/>
      <c r="D1993" s="4" t="n"/>
      <c r="E1993" s="4" t="n"/>
      <c r="F1993">
        <f>IF(A1993="","",SUMIFS(المبيعات!$F$2:$F$2000,المبيعات!$D$2:$D$2000,A1993))</f>
        <v/>
      </c>
      <c r="G1993">
        <f>IF(A1993="","",E1993-F1993)</f>
        <v/>
      </c>
      <c r="H1993" s="4" t="n"/>
      <c r="I1993">
        <f>IF(OR(A1993="",H1993=""),"",IF(G1993&lt;=H1993,"اطلب الآن",""))</f>
        <v/>
      </c>
    </row>
    <row r="1994">
      <c r="A1994" s="4" t="n"/>
      <c r="B1994" s="4" t="n"/>
      <c r="C1994" s="4" t="n"/>
      <c r="D1994" s="4" t="n"/>
      <c r="E1994" s="4" t="n"/>
      <c r="F1994">
        <f>IF(A1994="","",SUMIFS(المبيعات!$F$2:$F$2000,المبيعات!$D$2:$D$2000,A1994))</f>
        <v/>
      </c>
      <c r="G1994">
        <f>IF(A1994="","",E1994-F1994)</f>
        <v/>
      </c>
      <c r="H1994" s="4" t="n"/>
      <c r="I1994">
        <f>IF(OR(A1994="",H1994=""),"",IF(G1994&lt;=H1994,"اطلب الآن",""))</f>
        <v/>
      </c>
    </row>
    <row r="1995">
      <c r="A1995" s="4" t="n"/>
      <c r="B1995" s="4" t="n"/>
      <c r="C1995" s="4" t="n"/>
      <c r="D1995" s="4" t="n"/>
      <c r="E1995" s="4" t="n"/>
      <c r="F1995">
        <f>IF(A1995="","",SUMIFS(المبيعات!$F$2:$F$2000,المبيعات!$D$2:$D$2000,A1995))</f>
        <v/>
      </c>
      <c r="G1995">
        <f>IF(A1995="","",E1995-F1995)</f>
        <v/>
      </c>
      <c r="H1995" s="4" t="n"/>
      <c r="I1995">
        <f>IF(OR(A1995="",H1995=""),"",IF(G1995&lt;=H1995,"اطلب الآن",""))</f>
        <v/>
      </c>
    </row>
    <row r="1996">
      <c r="A1996" s="4" t="n"/>
      <c r="B1996" s="4" t="n"/>
      <c r="C1996" s="4" t="n"/>
      <c r="D1996" s="4" t="n"/>
      <c r="E1996" s="4" t="n"/>
      <c r="F1996">
        <f>IF(A1996="","",SUMIFS(المبيعات!$F$2:$F$2000,المبيعات!$D$2:$D$2000,A1996))</f>
        <v/>
      </c>
      <c r="G1996">
        <f>IF(A1996="","",E1996-F1996)</f>
        <v/>
      </c>
      <c r="H1996" s="4" t="n"/>
      <c r="I1996">
        <f>IF(OR(A1996="",H1996=""),"",IF(G1996&lt;=H1996,"اطلب الآن",""))</f>
        <v/>
      </c>
    </row>
    <row r="1997">
      <c r="A1997" s="4" t="n"/>
      <c r="B1997" s="4" t="n"/>
      <c r="C1997" s="4" t="n"/>
      <c r="D1997" s="4" t="n"/>
      <c r="E1997" s="4" t="n"/>
      <c r="F1997">
        <f>IF(A1997="","",SUMIFS(المبيعات!$F$2:$F$2000,المبيعات!$D$2:$D$2000,A1997))</f>
        <v/>
      </c>
      <c r="G1997">
        <f>IF(A1997="","",E1997-F1997)</f>
        <v/>
      </c>
      <c r="H1997" s="4" t="n"/>
      <c r="I1997">
        <f>IF(OR(A1997="",H1997=""),"",IF(G1997&lt;=H1997,"اطلب الآن",""))</f>
        <v/>
      </c>
    </row>
    <row r="1998">
      <c r="A1998" s="4" t="n"/>
      <c r="B1998" s="4" t="n"/>
      <c r="C1998" s="4" t="n"/>
      <c r="D1998" s="4" t="n"/>
      <c r="E1998" s="4" t="n"/>
      <c r="F1998">
        <f>IF(A1998="","",SUMIFS(المبيعات!$F$2:$F$2000,المبيعات!$D$2:$D$2000,A1998))</f>
        <v/>
      </c>
      <c r="G1998">
        <f>IF(A1998="","",E1998-F1998)</f>
        <v/>
      </c>
      <c r="H1998" s="4" t="n"/>
      <c r="I1998">
        <f>IF(OR(A1998="",H1998=""),"",IF(G1998&lt;=H1998,"اطلب الآن",""))</f>
        <v/>
      </c>
    </row>
    <row r="1999">
      <c r="A1999" s="4" t="n"/>
      <c r="B1999" s="4" t="n"/>
      <c r="C1999" s="4" t="n"/>
      <c r="D1999" s="4" t="n"/>
      <c r="E1999" s="4" t="n"/>
      <c r="F1999">
        <f>IF(A1999="","",SUMIFS(المبيعات!$F$2:$F$2000,المبيعات!$D$2:$D$2000,A1999))</f>
        <v/>
      </c>
      <c r="G1999">
        <f>IF(A1999="","",E1999-F1999)</f>
        <v/>
      </c>
      <c r="H1999" s="4" t="n"/>
      <c r="I1999">
        <f>IF(OR(A1999="",H1999=""),"",IF(G1999&lt;=H1999,"اطلب الآن",""))</f>
        <v/>
      </c>
    </row>
    <row r="2000">
      <c r="A2000" s="4" t="n"/>
      <c r="B2000" s="4" t="n"/>
      <c r="C2000" s="4" t="n"/>
      <c r="D2000" s="4" t="n"/>
      <c r="E2000" s="4" t="n"/>
      <c r="F2000">
        <f>IF(A2000="","",SUMIFS(المبيعات!$F$2:$F$2000,المبيعات!$D$2:$D$2000,A2000))</f>
        <v/>
      </c>
      <c r="G2000">
        <f>IF(A2000="","",E2000-F2000)</f>
        <v/>
      </c>
      <c r="H2000" s="4" t="n"/>
      <c r="I2000">
        <f>IF(OR(A2000="",H2000=""),"",IF(G2000&lt;=H2000,"اطلب الآن",""))</f>
        <v/>
      </c>
    </row>
  </sheetData>
  <conditionalFormatting sqref="A2:I2000">
    <cfRule type="expression" priority="1" dxfId="0">
      <formula>$I2="اطلب الآن"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1" customWidth="1" min="4" max="4"/>
    <col width="24" customWidth="1" min="5" max="5"/>
    <col width="9" customWidth="1" min="6" max="6"/>
    <col width="11" customWidth="1" min="7" max="7"/>
    <col width="12" customWidth="1" min="8" max="8"/>
    <col width="11" customWidth="1" min="9" max="9"/>
    <col width="13" customWidth="1" min="10" max="10"/>
  </cols>
  <sheetData>
    <row r="1" ht="26" customHeight="1">
      <c r="A1" s="3" t="inlineStr">
        <is>
          <t>التاريخ</t>
        </is>
      </c>
      <c r="B1" s="3" t="inlineStr">
        <is>
          <t>رقم الإيصال</t>
        </is>
      </c>
      <c r="C1" s="3" t="inlineStr">
        <is>
          <t>العميل</t>
        </is>
      </c>
      <c r="D1" s="3" t="inlineStr">
        <is>
          <t>كود الصنف</t>
        </is>
      </c>
      <c r="E1" s="3" t="inlineStr">
        <is>
          <t>الصنف</t>
        </is>
      </c>
      <c r="F1" s="3" t="inlineStr">
        <is>
          <t>الكمية</t>
        </is>
      </c>
      <c r="G1" s="3" t="inlineStr">
        <is>
          <t>سعر الوحدة</t>
        </is>
      </c>
      <c r="H1" s="3" t="inlineStr">
        <is>
          <t>الإجمالي</t>
        </is>
      </c>
      <c r="I1" s="3" t="inlineStr">
        <is>
          <t>الربح</t>
        </is>
      </c>
      <c r="J1" s="3" t="inlineStr">
        <is>
          <t>طريقة الدفع</t>
        </is>
      </c>
      <c r="K1" s="5" t="inlineStr">
        <is>
          <t>سطر الإيصال (مساعد)</t>
        </is>
      </c>
    </row>
    <row r="2">
      <c r="A2" s="6" t="n">
        <v>46267</v>
      </c>
      <c r="B2" s="4" t="n">
        <v>1001</v>
      </c>
      <c r="C2" s="4" t="inlineStr">
        <is>
          <t>أبو خالد</t>
        </is>
      </c>
      <c r="D2" s="4" t="inlineStr">
        <is>
          <t>P001</t>
        </is>
      </c>
      <c r="E2">
        <f>IF(D2="","",IFERROR(INDEX(الأصناف!$B$2:$B$2000,MATCH(D2,الأصناف!$A$2:$A$2000,0)),"كود غير موجود"))</f>
        <v/>
      </c>
      <c r="F2" s="4" t="n">
        <v>2</v>
      </c>
      <c r="G2">
        <f>IF(D2="","",IFERROR(INDEX(الأصناف!$C$2:$C$2000,MATCH(D2,الأصناف!$A$2:$A$2000,0)),0))</f>
        <v/>
      </c>
      <c r="H2">
        <f>IF(D2="","",F2*G2)</f>
        <v/>
      </c>
      <c r="I2">
        <f>IF(D2="","",H2-F2*IFERROR(INDEX(الأصناف!$D$2:$D$2000,MATCH(D2,الأصناف!$A$2:$A$2000,0)),0))</f>
        <v/>
      </c>
      <c r="J2" s="4" t="inlineStr">
        <is>
          <t>نقدًا</t>
        </is>
      </c>
      <c r="K2" s="7">
        <f>IF(OR(B2="",B2&lt;&gt;الإيصال!$C$3),"",COUNTIF(B$2:B2,الإيصال!$C$3))</f>
        <v/>
      </c>
    </row>
    <row r="3">
      <c r="A3" s="6" t="n">
        <v>46267</v>
      </c>
      <c r="B3" s="4" t="n">
        <v>1001</v>
      </c>
      <c r="C3" s="4" t="inlineStr">
        <is>
          <t>أبو خالد</t>
        </is>
      </c>
      <c r="D3" s="4" t="inlineStr">
        <is>
          <t>P003</t>
        </is>
      </c>
      <c r="E3">
        <f>IF(D3="","",IFERROR(INDEX(الأصناف!$B$2:$B$2000,MATCH(D3,الأصناف!$A$2:$A$2000,0)),"كود غير موجود"))</f>
        <v/>
      </c>
      <c r="F3" s="4" t="n">
        <v>1</v>
      </c>
      <c r="G3">
        <f>IF(D3="","",IFERROR(INDEX(الأصناف!$C$2:$C$2000,MATCH(D3,الأصناف!$A$2:$A$2000,0)),0))</f>
        <v/>
      </c>
      <c r="H3">
        <f>IF(D3="","",F3*G3)</f>
        <v/>
      </c>
      <c r="I3">
        <f>IF(D3="","",H3-F3*IFERROR(INDEX(الأصناف!$D$2:$D$2000,MATCH(D3,الأصناف!$A$2:$A$2000,0)),0))</f>
        <v/>
      </c>
      <c r="J3" s="4" t="inlineStr">
        <is>
          <t>نقدًا</t>
        </is>
      </c>
      <c r="K3" s="7">
        <f>IF(OR(B3="",B3&lt;&gt;الإيصال!$C$3),"",COUNTIF(B$2:B3,الإيصال!$C$3))</f>
        <v/>
      </c>
    </row>
    <row r="4">
      <c r="A4" s="6" t="n">
        <v>46270</v>
      </c>
      <c r="B4" s="4" t="n">
        <v>1002</v>
      </c>
      <c r="C4" s="4" t="inlineStr">
        <is>
          <t>متجر الورود</t>
        </is>
      </c>
      <c r="D4" s="4" t="inlineStr">
        <is>
          <t>P002</t>
        </is>
      </c>
      <c r="E4">
        <f>IF(D4="","",IFERROR(INDEX(الأصناف!$B$2:$B$2000,MATCH(D4,الأصناف!$A$2:$A$2000,0)),"كود غير موجود"))</f>
        <v/>
      </c>
      <c r="F4" s="4" t="n">
        <v>4</v>
      </c>
      <c r="G4">
        <f>IF(D4="","",IFERROR(INDEX(الأصناف!$C$2:$C$2000,MATCH(D4,الأصناف!$A$2:$A$2000,0)),0))</f>
        <v/>
      </c>
      <c r="H4">
        <f>IF(D4="","",F4*G4)</f>
        <v/>
      </c>
      <c r="I4">
        <f>IF(D4="","",H4-F4*IFERROR(INDEX(الأصناف!$D$2:$D$2000,MATCH(D4,الأصناف!$A$2:$A$2000,0)),0))</f>
        <v/>
      </c>
      <c r="J4" s="4" t="inlineStr">
        <is>
          <t>تحويل</t>
        </is>
      </c>
      <c r="K4" s="7">
        <f>IF(OR(B4="",B4&lt;&gt;الإيصال!$C$3),"",COUNTIF(B$2:B4,الإيصال!$C$3))</f>
        <v/>
      </c>
    </row>
    <row r="5">
      <c r="A5" s="6" t="n">
        <v>46276</v>
      </c>
      <c r="B5" s="4" t="n">
        <v>1003</v>
      </c>
      <c r="C5" s="4" t="inlineStr">
        <is>
          <t>نورة</t>
        </is>
      </c>
      <c r="D5" s="4" t="inlineStr">
        <is>
          <t>P004</t>
        </is>
      </c>
      <c r="E5">
        <f>IF(D5="","",IFERROR(INDEX(الأصناف!$B$2:$B$2000,MATCH(D5,الأصناف!$A$2:$A$2000,0)),"كود غير موجود"))</f>
        <v/>
      </c>
      <c r="F5" s="4" t="n">
        <v>3</v>
      </c>
      <c r="G5">
        <f>IF(D5="","",IFERROR(INDEX(الأصناف!$C$2:$C$2000,MATCH(D5,الأصناف!$A$2:$A$2000,0)),0))</f>
        <v/>
      </c>
      <c r="H5">
        <f>IF(D5="","",F5*G5)</f>
        <v/>
      </c>
      <c r="I5">
        <f>IF(D5="","",H5-F5*IFERROR(INDEX(الأصناف!$D$2:$D$2000,MATCH(D5,الأصناف!$A$2:$A$2000,0)),0))</f>
        <v/>
      </c>
      <c r="J5" s="4" t="inlineStr">
        <is>
          <t>مدى</t>
        </is>
      </c>
      <c r="K5" s="7">
        <f>IF(OR(B5="",B5&lt;&gt;الإيصال!$C$3),"",COUNTIF(B$2:B5,الإيصال!$C$3))</f>
        <v/>
      </c>
    </row>
    <row r="6">
      <c r="A6" s="6" t="n">
        <v>46283</v>
      </c>
      <c r="B6" s="4" t="n">
        <v>1004</v>
      </c>
      <c r="C6" s="4" t="inlineStr"/>
      <c r="D6" s="4" t="inlineStr">
        <is>
          <t>P001</t>
        </is>
      </c>
      <c r="E6">
        <f>IF(D6="","",IFERROR(INDEX(الأصناف!$B$2:$B$2000,MATCH(D6,الأصناف!$A$2:$A$2000,0)),"كود غير موجود"))</f>
        <v/>
      </c>
      <c r="F6" s="4" t="n">
        <v>3</v>
      </c>
      <c r="G6">
        <f>IF(D6="","",IFERROR(INDEX(الأصناف!$C$2:$C$2000,MATCH(D6,الأصناف!$A$2:$A$2000,0)),0))</f>
        <v/>
      </c>
      <c r="H6">
        <f>IF(D6="","",F6*G6)</f>
        <v/>
      </c>
      <c r="I6">
        <f>IF(D6="","",H6-F6*IFERROR(INDEX(الأصناف!$D$2:$D$2000,MATCH(D6,الأصناف!$A$2:$A$2000,0)),0))</f>
        <v/>
      </c>
      <c r="J6" s="4" t="inlineStr">
        <is>
          <t>مدى</t>
        </is>
      </c>
      <c r="K6" s="7">
        <f>IF(OR(B6="",B6&lt;&gt;الإيصال!$C$3),"",COUNTIF(B$2:B6,الإيصال!$C$3))</f>
        <v/>
      </c>
    </row>
    <row r="7">
      <c r="A7" s="6" t="n">
        <v>46296</v>
      </c>
      <c r="B7" s="4" t="n">
        <v>1005</v>
      </c>
      <c r="C7" s="4" t="inlineStr">
        <is>
          <t>أبو خالد</t>
        </is>
      </c>
      <c r="D7" s="4" t="inlineStr">
        <is>
          <t>P005</t>
        </is>
      </c>
      <c r="E7">
        <f>IF(D7="","",IFERROR(INDEX(الأصناف!$B$2:$B$2000,MATCH(D7,الأصناف!$A$2:$A$2000,0)),"كود غير موجود"))</f>
        <v/>
      </c>
      <c r="F7" s="4" t="n">
        <v>1</v>
      </c>
      <c r="G7">
        <f>IF(D7="","",IFERROR(INDEX(الأصناف!$C$2:$C$2000,MATCH(D7,الأصناف!$A$2:$A$2000,0)),0))</f>
        <v/>
      </c>
      <c r="H7">
        <f>IF(D7="","",F7*G7)</f>
        <v/>
      </c>
      <c r="I7">
        <f>IF(D7="","",H7-F7*IFERROR(INDEX(الأصناف!$D$2:$D$2000,MATCH(D7,الأصناف!$A$2:$A$2000,0)),0))</f>
        <v/>
      </c>
      <c r="J7" s="4" t="inlineStr">
        <is>
          <t>تحويل</t>
        </is>
      </c>
      <c r="K7" s="7">
        <f>IF(OR(B7="",B7&lt;&gt;الإيصال!$C$3),"",COUNTIF(B$2:B7,الإيصال!$C$3))</f>
        <v/>
      </c>
    </row>
    <row r="8">
      <c r="A8" s="6" t="n">
        <v>46298</v>
      </c>
      <c r="B8" s="4" t="n">
        <v>1006</v>
      </c>
      <c r="C8" s="4" t="inlineStr">
        <is>
          <t>نورة</t>
        </is>
      </c>
      <c r="D8" s="4" t="inlineStr">
        <is>
          <t>P002</t>
        </is>
      </c>
      <c r="E8">
        <f>IF(D8="","",IFERROR(INDEX(الأصناف!$B$2:$B$2000,MATCH(D8,الأصناف!$A$2:$A$2000,0)),"كود غير موجود"))</f>
        <v/>
      </c>
      <c r="F8" s="4" t="n">
        <v>2</v>
      </c>
      <c r="G8">
        <f>IF(D8="","",IFERROR(INDEX(الأصناف!$C$2:$C$2000,MATCH(D8,الأصناف!$A$2:$A$2000,0)),0))</f>
        <v/>
      </c>
      <c r="H8">
        <f>IF(D8="","",F8*G8)</f>
        <v/>
      </c>
      <c r="I8">
        <f>IF(D8="","",H8-F8*IFERROR(INDEX(الأصناف!$D$2:$D$2000,MATCH(D8,الأصناف!$A$2:$A$2000,0)),0))</f>
        <v/>
      </c>
      <c r="J8" s="4" t="inlineStr">
        <is>
          <t>آجل</t>
        </is>
      </c>
      <c r="K8" s="7">
        <f>IF(OR(B8="",B8&lt;&gt;الإيصال!$C$3),"",COUNTIF(B$2:B8,الإيصال!$C$3))</f>
        <v/>
      </c>
    </row>
    <row r="9">
      <c r="A9" s="6" t="n">
        <v>46302</v>
      </c>
      <c r="B9" s="4" t="n">
        <v>1007</v>
      </c>
      <c r="C9" s="4" t="inlineStr"/>
      <c r="D9" s="4" t="inlineStr">
        <is>
          <t>P004</t>
        </is>
      </c>
      <c r="E9">
        <f>IF(D9="","",IFERROR(INDEX(الأصناف!$B$2:$B$2000,MATCH(D9,الأصناف!$A$2:$A$2000,0)),"كود غير موجود"))</f>
        <v/>
      </c>
      <c r="F9" s="4" t="n">
        <v>6</v>
      </c>
      <c r="G9">
        <f>IF(D9="","",IFERROR(INDEX(الأصناف!$C$2:$C$2000,MATCH(D9,الأصناف!$A$2:$A$2000,0)),0))</f>
        <v/>
      </c>
      <c r="H9">
        <f>IF(D9="","",F9*G9)</f>
        <v/>
      </c>
      <c r="I9">
        <f>IF(D9="","",H9-F9*IFERROR(INDEX(الأصناف!$D$2:$D$2000,MATCH(D9,الأصناف!$A$2:$A$2000,0)),0))</f>
        <v/>
      </c>
      <c r="J9" s="4" t="inlineStr">
        <is>
          <t>مدى</t>
        </is>
      </c>
      <c r="K9" s="7">
        <f>IF(OR(B9="",B9&lt;&gt;الإيصال!$C$3),"",COUNTIF(B$2:B9,الإيصال!$C$3))</f>
        <v/>
      </c>
    </row>
    <row r="10">
      <c r="A10" s="6" t="n"/>
      <c r="B10" s="4" t="n"/>
      <c r="C10" s="4" t="n"/>
      <c r="D10" s="4" t="n"/>
      <c r="E10">
        <f>IF(D10="","",IFERROR(INDEX(الأصناف!$B$2:$B$2000,MATCH(D10,الأصناف!$A$2:$A$2000,0)),"كود غير موجود"))</f>
        <v/>
      </c>
      <c r="F10" s="4" t="n"/>
      <c r="G10">
        <f>IF(D10="","",IFERROR(INDEX(الأصناف!$C$2:$C$2000,MATCH(D10,الأصناف!$A$2:$A$2000,0)),0))</f>
        <v/>
      </c>
      <c r="H10">
        <f>IF(D10="","",F10*G10)</f>
        <v/>
      </c>
      <c r="I10">
        <f>IF(D10="","",H10-F10*IFERROR(INDEX(الأصناف!$D$2:$D$2000,MATCH(D10,الأصناف!$A$2:$A$2000,0)),0))</f>
        <v/>
      </c>
      <c r="J10" s="4" t="n"/>
      <c r="K10" s="7">
        <f>IF(OR(B10="",B10&lt;&gt;الإيصال!$C$3),"",COUNTIF(B$2:B10,الإيصال!$C$3))</f>
        <v/>
      </c>
    </row>
    <row r="11">
      <c r="A11" s="6" t="n"/>
      <c r="B11" s="4" t="n"/>
      <c r="C11" s="4" t="n"/>
      <c r="D11" s="4" t="n"/>
      <c r="E11">
        <f>IF(D11="","",IFERROR(INDEX(الأصناف!$B$2:$B$2000,MATCH(D11,الأصناف!$A$2:$A$2000,0)),"كود غير موجود"))</f>
        <v/>
      </c>
      <c r="F11" s="4" t="n"/>
      <c r="G11">
        <f>IF(D11="","",IFERROR(INDEX(الأصناف!$C$2:$C$2000,MATCH(D11,الأصناف!$A$2:$A$2000,0)),0))</f>
        <v/>
      </c>
      <c r="H11">
        <f>IF(D11="","",F11*G11)</f>
        <v/>
      </c>
      <c r="I11">
        <f>IF(D11="","",H11-F11*IFERROR(INDEX(الأصناف!$D$2:$D$2000,MATCH(D11,الأصناف!$A$2:$A$2000,0)),0))</f>
        <v/>
      </c>
      <c r="J11" s="4" t="n"/>
      <c r="K11" s="7">
        <f>IF(OR(B11="",B11&lt;&gt;الإيصال!$C$3),"",COUNTIF(B$2:B11,الإيصال!$C$3))</f>
        <v/>
      </c>
    </row>
    <row r="12">
      <c r="A12" s="6" t="n"/>
      <c r="B12" s="4" t="n"/>
      <c r="C12" s="4" t="n"/>
      <c r="D12" s="4" t="n"/>
      <c r="E12">
        <f>IF(D12="","",IFERROR(INDEX(الأصناف!$B$2:$B$2000,MATCH(D12,الأصناف!$A$2:$A$2000,0)),"كود غير موجود"))</f>
        <v/>
      </c>
      <c r="F12" s="4" t="n"/>
      <c r="G12">
        <f>IF(D12="","",IFERROR(INDEX(الأصناف!$C$2:$C$2000,MATCH(D12,الأصناف!$A$2:$A$2000,0)),0))</f>
        <v/>
      </c>
      <c r="H12">
        <f>IF(D12="","",F12*G12)</f>
        <v/>
      </c>
      <c r="I12">
        <f>IF(D12="","",H12-F12*IFERROR(INDEX(الأصناف!$D$2:$D$2000,MATCH(D12,الأصناف!$A$2:$A$2000,0)),0))</f>
        <v/>
      </c>
      <c r="J12" s="4" t="n"/>
      <c r="K12" s="7">
        <f>IF(OR(B12="",B12&lt;&gt;الإيصال!$C$3),"",COUNTIF(B$2:B12,الإيصال!$C$3))</f>
        <v/>
      </c>
    </row>
    <row r="13">
      <c r="A13" s="6" t="n"/>
      <c r="B13" s="4" t="n"/>
      <c r="C13" s="4" t="n"/>
      <c r="D13" s="4" t="n"/>
      <c r="E13">
        <f>IF(D13="","",IFERROR(INDEX(الأصناف!$B$2:$B$2000,MATCH(D13,الأصناف!$A$2:$A$2000,0)),"كود غير موجود"))</f>
        <v/>
      </c>
      <c r="F13" s="4" t="n"/>
      <c r="G13">
        <f>IF(D13="","",IFERROR(INDEX(الأصناف!$C$2:$C$2000,MATCH(D13,الأصناف!$A$2:$A$2000,0)),0))</f>
        <v/>
      </c>
      <c r="H13">
        <f>IF(D13="","",F13*G13)</f>
        <v/>
      </c>
      <c r="I13">
        <f>IF(D13="","",H13-F13*IFERROR(INDEX(الأصناف!$D$2:$D$2000,MATCH(D13,الأصناف!$A$2:$A$2000,0)),0))</f>
        <v/>
      </c>
      <c r="J13" s="4" t="n"/>
      <c r="K13" s="7">
        <f>IF(OR(B13="",B13&lt;&gt;الإيصال!$C$3),"",COUNTIF(B$2:B13,الإيصال!$C$3))</f>
        <v/>
      </c>
    </row>
    <row r="14">
      <c r="A14" s="6" t="n"/>
      <c r="B14" s="4" t="n"/>
      <c r="C14" s="4" t="n"/>
      <c r="D14" s="4" t="n"/>
      <c r="E14">
        <f>IF(D14="","",IFERROR(INDEX(الأصناف!$B$2:$B$2000,MATCH(D14,الأصناف!$A$2:$A$2000,0)),"كود غير موجود"))</f>
        <v/>
      </c>
      <c r="F14" s="4" t="n"/>
      <c r="G14">
        <f>IF(D14="","",IFERROR(INDEX(الأصناف!$C$2:$C$2000,MATCH(D14,الأصناف!$A$2:$A$2000,0)),0))</f>
        <v/>
      </c>
      <c r="H14">
        <f>IF(D14="","",F14*G14)</f>
        <v/>
      </c>
      <c r="I14">
        <f>IF(D14="","",H14-F14*IFERROR(INDEX(الأصناف!$D$2:$D$2000,MATCH(D14,الأصناف!$A$2:$A$2000,0)),0))</f>
        <v/>
      </c>
      <c r="J14" s="4" t="n"/>
      <c r="K14" s="7">
        <f>IF(OR(B14="",B14&lt;&gt;الإيصال!$C$3),"",COUNTIF(B$2:B14,الإيصال!$C$3))</f>
        <v/>
      </c>
    </row>
    <row r="15">
      <c r="A15" s="6" t="n"/>
      <c r="B15" s="4" t="n"/>
      <c r="C15" s="4" t="n"/>
      <c r="D15" s="4" t="n"/>
      <c r="E15">
        <f>IF(D15="","",IFERROR(INDEX(الأصناف!$B$2:$B$2000,MATCH(D15,الأصناف!$A$2:$A$2000,0)),"كود غير موجود"))</f>
        <v/>
      </c>
      <c r="F15" s="4" t="n"/>
      <c r="G15">
        <f>IF(D15="","",IFERROR(INDEX(الأصناف!$C$2:$C$2000,MATCH(D15,الأصناف!$A$2:$A$2000,0)),0))</f>
        <v/>
      </c>
      <c r="H15">
        <f>IF(D15="","",F15*G15)</f>
        <v/>
      </c>
      <c r="I15">
        <f>IF(D15="","",H15-F15*IFERROR(INDEX(الأصناف!$D$2:$D$2000,MATCH(D15,الأصناف!$A$2:$A$2000,0)),0))</f>
        <v/>
      </c>
      <c r="J15" s="4" t="n"/>
      <c r="K15" s="7">
        <f>IF(OR(B15="",B15&lt;&gt;الإيصال!$C$3),"",COUNTIF(B$2:B15,الإيصال!$C$3))</f>
        <v/>
      </c>
    </row>
    <row r="16">
      <c r="A16" s="6" t="n"/>
      <c r="B16" s="4" t="n"/>
      <c r="C16" s="4" t="n"/>
      <c r="D16" s="4" t="n"/>
      <c r="E16">
        <f>IF(D16="","",IFERROR(INDEX(الأصناف!$B$2:$B$2000,MATCH(D16,الأصناف!$A$2:$A$2000,0)),"كود غير موجود"))</f>
        <v/>
      </c>
      <c r="F16" s="4" t="n"/>
      <c r="G16">
        <f>IF(D16="","",IFERROR(INDEX(الأصناف!$C$2:$C$2000,MATCH(D16,الأصناف!$A$2:$A$2000,0)),0))</f>
        <v/>
      </c>
      <c r="H16">
        <f>IF(D16="","",F16*G16)</f>
        <v/>
      </c>
      <c r="I16">
        <f>IF(D16="","",H16-F16*IFERROR(INDEX(الأصناف!$D$2:$D$2000,MATCH(D16,الأصناف!$A$2:$A$2000,0)),0))</f>
        <v/>
      </c>
      <c r="J16" s="4" t="n"/>
      <c r="K16" s="7">
        <f>IF(OR(B16="",B16&lt;&gt;الإيصال!$C$3),"",COUNTIF(B$2:B16,الإيصال!$C$3))</f>
        <v/>
      </c>
    </row>
    <row r="17">
      <c r="A17" s="6" t="n"/>
      <c r="B17" s="4" t="n"/>
      <c r="C17" s="4" t="n"/>
      <c r="D17" s="4" t="n"/>
      <c r="E17">
        <f>IF(D17="","",IFERROR(INDEX(الأصناف!$B$2:$B$2000,MATCH(D17,الأصناف!$A$2:$A$2000,0)),"كود غير موجود"))</f>
        <v/>
      </c>
      <c r="F17" s="4" t="n"/>
      <c r="G17">
        <f>IF(D17="","",IFERROR(INDEX(الأصناف!$C$2:$C$2000,MATCH(D17,الأصناف!$A$2:$A$2000,0)),0))</f>
        <v/>
      </c>
      <c r="H17">
        <f>IF(D17="","",F17*G17)</f>
        <v/>
      </c>
      <c r="I17">
        <f>IF(D17="","",H17-F17*IFERROR(INDEX(الأصناف!$D$2:$D$2000,MATCH(D17,الأصناف!$A$2:$A$2000,0)),0))</f>
        <v/>
      </c>
      <c r="J17" s="4" t="n"/>
      <c r="K17" s="7">
        <f>IF(OR(B17="",B17&lt;&gt;الإيصال!$C$3),"",COUNTIF(B$2:B17,الإيصال!$C$3))</f>
        <v/>
      </c>
    </row>
    <row r="18">
      <c r="A18" s="6" t="n"/>
      <c r="B18" s="4" t="n"/>
      <c r="C18" s="4" t="n"/>
      <c r="D18" s="4" t="n"/>
      <c r="E18">
        <f>IF(D18="","",IFERROR(INDEX(الأصناف!$B$2:$B$2000,MATCH(D18,الأصناف!$A$2:$A$2000,0)),"كود غير موجود"))</f>
        <v/>
      </c>
      <c r="F18" s="4" t="n"/>
      <c r="G18">
        <f>IF(D18="","",IFERROR(INDEX(الأصناف!$C$2:$C$2000,MATCH(D18,الأصناف!$A$2:$A$2000,0)),0))</f>
        <v/>
      </c>
      <c r="H18">
        <f>IF(D18="","",F18*G18)</f>
        <v/>
      </c>
      <c r="I18">
        <f>IF(D18="","",H18-F18*IFERROR(INDEX(الأصناف!$D$2:$D$2000,MATCH(D18,الأصناف!$A$2:$A$2000,0)),0))</f>
        <v/>
      </c>
      <c r="J18" s="4" t="n"/>
      <c r="K18" s="7">
        <f>IF(OR(B18="",B18&lt;&gt;الإيصال!$C$3),"",COUNTIF(B$2:B18,الإيصال!$C$3))</f>
        <v/>
      </c>
    </row>
    <row r="19">
      <c r="A19" s="6" t="n"/>
      <c r="B19" s="4" t="n"/>
      <c r="C19" s="4" t="n"/>
      <c r="D19" s="4" t="n"/>
      <c r="E19">
        <f>IF(D19="","",IFERROR(INDEX(الأصناف!$B$2:$B$2000,MATCH(D19,الأصناف!$A$2:$A$2000,0)),"كود غير موجود"))</f>
        <v/>
      </c>
      <c r="F19" s="4" t="n"/>
      <c r="G19">
        <f>IF(D19="","",IFERROR(INDEX(الأصناف!$C$2:$C$2000,MATCH(D19,الأصناف!$A$2:$A$2000,0)),0))</f>
        <v/>
      </c>
      <c r="H19">
        <f>IF(D19="","",F19*G19)</f>
        <v/>
      </c>
      <c r="I19">
        <f>IF(D19="","",H19-F19*IFERROR(INDEX(الأصناف!$D$2:$D$2000,MATCH(D19,الأصناف!$A$2:$A$2000,0)),0))</f>
        <v/>
      </c>
      <c r="J19" s="4" t="n"/>
      <c r="K19" s="7">
        <f>IF(OR(B19="",B19&lt;&gt;الإيصال!$C$3),"",COUNTIF(B$2:B19,الإيصال!$C$3))</f>
        <v/>
      </c>
    </row>
    <row r="20">
      <c r="A20" s="6" t="n"/>
      <c r="B20" s="4" t="n"/>
      <c r="C20" s="4" t="n"/>
      <c r="D20" s="4" t="n"/>
      <c r="E20">
        <f>IF(D20="","",IFERROR(INDEX(الأصناف!$B$2:$B$2000,MATCH(D20,الأصناف!$A$2:$A$2000,0)),"كود غير موجود"))</f>
        <v/>
      </c>
      <c r="F20" s="4" t="n"/>
      <c r="G20">
        <f>IF(D20="","",IFERROR(INDEX(الأصناف!$C$2:$C$2000,MATCH(D20,الأصناف!$A$2:$A$2000,0)),0))</f>
        <v/>
      </c>
      <c r="H20">
        <f>IF(D20="","",F20*G20)</f>
        <v/>
      </c>
      <c r="I20">
        <f>IF(D20="","",H20-F20*IFERROR(INDEX(الأصناف!$D$2:$D$2000,MATCH(D20,الأصناف!$A$2:$A$2000,0)),0))</f>
        <v/>
      </c>
      <c r="J20" s="4" t="n"/>
      <c r="K20" s="7">
        <f>IF(OR(B20="",B20&lt;&gt;الإيصال!$C$3),"",COUNTIF(B$2:B20,الإيصال!$C$3))</f>
        <v/>
      </c>
    </row>
    <row r="21">
      <c r="A21" s="6" t="n"/>
      <c r="B21" s="4" t="n"/>
      <c r="C21" s="4" t="n"/>
      <c r="D21" s="4" t="n"/>
      <c r="E21">
        <f>IF(D21="","",IFERROR(INDEX(الأصناف!$B$2:$B$2000,MATCH(D21,الأصناف!$A$2:$A$2000,0)),"كود غير موجود"))</f>
        <v/>
      </c>
      <c r="F21" s="4" t="n"/>
      <c r="G21">
        <f>IF(D21="","",IFERROR(INDEX(الأصناف!$C$2:$C$2000,MATCH(D21,الأصناف!$A$2:$A$2000,0)),0))</f>
        <v/>
      </c>
      <c r="H21">
        <f>IF(D21="","",F21*G21)</f>
        <v/>
      </c>
      <c r="I21">
        <f>IF(D21="","",H21-F21*IFERROR(INDEX(الأصناف!$D$2:$D$2000,MATCH(D21,الأصناف!$A$2:$A$2000,0)),0))</f>
        <v/>
      </c>
      <c r="J21" s="4" t="n"/>
      <c r="K21" s="7">
        <f>IF(OR(B21="",B21&lt;&gt;الإيصال!$C$3),"",COUNTIF(B$2:B21,الإيصال!$C$3))</f>
        <v/>
      </c>
    </row>
    <row r="22">
      <c r="A22" s="6" t="n"/>
      <c r="B22" s="4" t="n"/>
      <c r="C22" s="4" t="n"/>
      <c r="D22" s="4" t="n"/>
      <c r="E22">
        <f>IF(D22="","",IFERROR(INDEX(الأصناف!$B$2:$B$2000,MATCH(D22,الأصناف!$A$2:$A$2000,0)),"كود غير موجود"))</f>
        <v/>
      </c>
      <c r="F22" s="4" t="n"/>
      <c r="G22">
        <f>IF(D22="","",IFERROR(INDEX(الأصناف!$C$2:$C$2000,MATCH(D22,الأصناف!$A$2:$A$2000,0)),0))</f>
        <v/>
      </c>
      <c r="H22">
        <f>IF(D22="","",F22*G22)</f>
        <v/>
      </c>
      <c r="I22">
        <f>IF(D22="","",H22-F22*IFERROR(INDEX(الأصناف!$D$2:$D$2000,MATCH(D22,الأصناف!$A$2:$A$2000,0)),0))</f>
        <v/>
      </c>
      <c r="J22" s="4" t="n"/>
      <c r="K22" s="7">
        <f>IF(OR(B22="",B22&lt;&gt;الإيصال!$C$3),"",COUNTIF(B$2:B22,الإيصال!$C$3))</f>
        <v/>
      </c>
    </row>
    <row r="23">
      <c r="A23" s="6" t="n"/>
      <c r="B23" s="4" t="n"/>
      <c r="C23" s="4" t="n"/>
      <c r="D23" s="4" t="n"/>
      <c r="E23">
        <f>IF(D23="","",IFERROR(INDEX(الأصناف!$B$2:$B$2000,MATCH(D23,الأصناف!$A$2:$A$2000,0)),"كود غير موجود"))</f>
        <v/>
      </c>
      <c r="F23" s="4" t="n"/>
      <c r="G23">
        <f>IF(D23="","",IFERROR(INDEX(الأصناف!$C$2:$C$2000,MATCH(D23,الأصناف!$A$2:$A$2000,0)),0))</f>
        <v/>
      </c>
      <c r="H23">
        <f>IF(D23="","",F23*G23)</f>
        <v/>
      </c>
      <c r="I23">
        <f>IF(D23="","",H23-F23*IFERROR(INDEX(الأصناف!$D$2:$D$2000,MATCH(D23,الأصناف!$A$2:$A$2000,0)),0))</f>
        <v/>
      </c>
      <c r="J23" s="4" t="n"/>
      <c r="K23" s="7">
        <f>IF(OR(B23="",B23&lt;&gt;الإيصال!$C$3),"",COUNTIF(B$2:B23,الإيصال!$C$3))</f>
        <v/>
      </c>
    </row>
    <row r="24">
      <c r="A24" s="6" t="n"/>
      <c r="B24" s="4" t="n"/>
      <c r="C24" s="4" t="n"/>
      <c r="D24" s="4" t="n"/>
      <c r="E24">
        <f>IF(D24="","",IFERROR(INDEX(الأصناف!$B$2:$B$2000,MATCH(D24,الأصناف!$A$2:$A$2000,0)),"كود غير موجود"))</f>
        <v/>
      </c>
      <c r="F24" s="4" t="n"/>
      <c r="G24">
        <f>IF(D24="","",IFERROR(INDEX(الأصناف!$C$2:$C$2000,MATCH(D24,الأصناف!$A$2:$A$2000,0)),0))</f>
        <v/>
      </c>
      <c r="H24">
        <f>IF(D24="","",F24*G24)</f>
        <v/>
      </c>
      <c r="I24">
        <f>IF(D24="","",H24-F24*IFERROR(INDEX(الأصناف!$D$2:$D$2000,MATCH(D24,الأصناف!$A$2:$A$2000,0)),0))</f>
        <v/>
      </c>
      <c r="J24" s="4" t="n"/>
      <c r="K24" s="7">
        <f>IF(OR(B24="",B24&lt;&gt;الإيصال!$C$3),"",COUNTIF(B$2:B24,الإيصال!$C$3))</f>
        <v/>
      </c>
    </row>
    <row r="25">
      <c r="A25" s="6" t="n"/>
      <c r="B25" s="4" t="n"/>
      <c r="C25" s="4" t="n"/>
      <c r="D25" s="4" t="n"/>
      <c r="E25">
        <f>IF(D25="","",IFERROR(INDEX(الأصناف!$B$2:$B$2000,MATCH(D25,الأصناف!$A$2:$A$2000,0)),"كود غير موجود"))</f>
        <v/>
      </c>
      <c r="F25" s="4" t="n"/>
      <c r="G25">
        <f>IF(D25="","",IFERROR(INDEX(الأصناف!$C$2:$C$2000,MATCH(D25,الأصناف!$A$2:$A$2000,0)),0))</f>
        <v/>
      </c>
      <c r="H25">
        <f>IF(D25="","",F25*G25)</f>
        <v/>
      </c>
      <c r="I25">
        <f>IF(D25="","",H25-F25*IFERROR(INDEX(الأصناف!$D$2:$D$2000,MATCH(D25,الأصناف!$A$2:$A$2000,0)),0))</f>
        <v/>
      </c>
      <c r="J25" s="4" t="n"/>
      <c r="K25" s="7">
        <f>IF(OR(B25="",B25&lt;&gt;الإيصال!$C$3),"",COUNTIF(B$2:B25,الإيصال!$C$3))</f>
        <v/>
      </c>
    </row>
    <row r="26">
      <c r="A26" s="6" t="n"/>
      <c r="B26" s="4" t="n"/>
      <c r="C26" s="4" t="n"/>
      <c r="D26" s="4" t="n"/>
      <c r="E26">
        <f>IF(D26="","",IFERROR(INDEX(الأصناف!$B$2:$B$2000,MATCH(D26,الأصناف!$A$2:$A$2000,0)),"كود غير موجود"))</f>
        <v/>
      </c>
      <c r="F26" s="4" t="n"/>
      <c r="G26">
        <f>IF(D26="","",IFERROR(INDEX(الأصناف!$C$2:$C$2000,MATCH(D26,الأصناف!$A$2:$A$2000,0)),0))</f>
        <v/>
      </c>
      <c r="H26">
        <f>IF(D26="","",F26*G26)</f>
        <v/>
      </c>
      <c r="I26">
        <f>IF(D26="","",H26-F26*IFERROR(INDEX(الأصناف!$D$2:$D$2000,MATCH(D26,الأصناف!$A$2:$A$2000,0)),0))</f>
        <v/>
      </c>
      <c r="J26" s="4" t="n"/>
      <c r="K26" s="7">
        <f>IF(OR(B26="",B26&lt;&gt;الإيصال!$C$3),"",COUNTIF(B$2:B26,الإيصال!$C$3))</f>
        <v/>
      </c>
    </row>
    <row r="27">
      <c r="A27" s="6" t="n"/>
      <c r="B27" s="4" t="n"/>
      <c r="C27" s="4" t="n"/>
      <c r="D27" s="4" t="n"/>
      <c r="E27">
        <f>IF(D27="","",IFERROR(INDEX(الأصناف!$B$2:$B$2000,MATCH(D27,الأصناف!$A$2:$A$2000,0)),"كود غير موجود"))</f>
        <v/>
      </c>
      <c r="F27" s="4" t="n"/>
      <c r="G27">
        <f>IF(D27="","",IFERROR(INDEX(الأصناف!$C$2:$C$2000,MATCH(D27,الأصناف!$A$2:$A$2000,0)),0))</f>
        <v/>
      </c>
      <c r="H27">
        <f>IF(D27="","",F27*G27)</f>
        <v/>
      </c>
      <c r="I27">
        <f>IF(D27="","",H27-F27*IFERROR(INDEX(الأصناف!$D$2:$D$2000,MATCH(D27,الأصناف!$A$2:$A$2000,0)),0))</f>
        <v/>
      </c>
      <c r="J27" s="4" t="n"/>
      <c r="K27" s="7">
        <f>IF(OR(B27="",B27&lt;&gt;الإيصال!$C$3),"",COUNTIF(B$2:B27,الإيصال!$C$3))</f>
        <v/>
      </c>
    </row>
    <row r="28">
      <c r="A28" s="6" t="n"/>
      <c r="B28" s="4" t="n"/>
      <c r="C28" s="4" t="n"/>
      <c r="D28" s="4" t="n"/>
      <c r="E28">
        <f>IF(D28="","",IFERROR(INDEX(الأصناف!$B$2:$B$2000,MATCH(D28,الأصناف!$A$2:$A$2000,0)),"كود غير موجود"))</f>
        <v/>
      </c>
      <c r="F28" s="4" t="n"/>
      <c r="G28">
        <f>IF(D28="","",IFERROR(INDEX(الأصناف!$C$2:$C$2000,MATCH(D28,الأصناف!$A$2:$A$2000,0)),0))</f>
        <v/>
      </c>
      <c r="H28">
        <f>IF(D28="","",F28*G28)</f>
        <v/>
      </c>
      <c r="I28">
        <f>IF(D28="","",H28-F28*IFERROR(INDEX(الأصناف!$D$2:$D$2000,MATCH(D28,الأصناف!$A$2:$A$2000,0)),0))</f>
        <v/>
      </c>
      <c r="J28" s="4" t="n"/>
      <c r="K28" s="7">
        <f>IF(OR(B28="",B28&lt;&gt;الإيصال!$C$3),"",COUNTIF(B$2:B28,الإيصال!$C$3))</f>
        <v/>
      </c>
    </row>
    <row r="29">
      <c r="A29" s="6" t="n"/>
      <c r="B29" s="4" t="n"/>
      <c r="C29" s="4" t="n"/>
      <c r="D29" s="4" t="n"/>
      <c r="E29">
        <f>IF(D29="","",IFERROR(INDEX(الأصناف!$B$2:$B$2000,MATCH(D29,الأصناف!$A$2:$A$2000,0)),"كود غير موجود"))</f>
        <v/>
      </c>
      <c r="F29" s="4" t="n"/>
      <c r="G29">
        <f>IF(D29="","",IFERROR(INDEX(الأصناف!$C$2:$C$2000,MATCH(D29,الأصناف!$A$2:$A$2000,0)),0))</f>
        <v/>
      </c>
      <c r="H29">
        <f>IF(D29="","",F29*G29)</f>
        <v/>
      </c>
      <c r="I29">
        <f>IF(D29="","",H29-F29*IFERROR(INDEX(الأصناف!$D$2:$D$2000,MATCH(D29,الأصناف!$A$2:$A$2000,0)),0))</f>
        <v/>
      </c>
      <c r="J29" s="4" t="n"/>
      <c r="K29" s="7">
        <f>IF(OR(B29="",B29&lt;&gt;الإيصال!$C$3),"",COUNTIF(B$2:B29,الإيصال!$C$3))</f>
        <v/>
      </c>
    </row>
    <row r="30">
      <c r="A30" s="6" t="n"/>
      <c r="B30" s="4" t="n"/>
      <c r="C30" s="4" t="n"/>
      <c r="D30" s="4" t="n"/>
      <c r="E30">
        <f>IF(D30="","",IFERROR(INDEX(الأصناف!$B$2:$B$2000,MATCH(D30,الأصناف!$A$2:$A$2000,0)),"كود غير موجود"))</f>
        <v/>
      </c>
      <c r="F30" s="4" t="n"/>
      <c r="G30">
        <f>IF(D30="","",IFERROR(INDEX(الأصناف!$C$2:$C$2000,MATCH(D30,الأصناف!$A$2:$A$2000,0)),0))</f>
        <v/>
      </c>
      <c r="H30">
        <f>IF(D30="","",F30*G30)</f>
        <v/>
      </c>
      <c r="I30">
        <f>IF(D30="","",H30-F30*IFERROR(INDEX(الأصناف!$D$2:$D$2000,MATCH(D30,الأصناف!$A$2:$A$2000,0)),0))</f>
        <v/>
      </c>
      <c r="J30" s="4" t="n"/>
      <c r="K30" s="7">
        <f>IF(OR(B30="",B30&lt;&gt;الإيصال!$C$3),"",COUNTIF(B$2:B30,الإيصال!$C$3))</f>
        <v/>
      </c>
    </row>
    <row r="31">
      <c r="A31" s="6" t="n"/>
      <c r="B31" s="4" t="n"/>
      <c r="C31" s="4" t="n"/>
      <c r="D31" s="4" t="n"/>
      <c r="E31">
        <f>IF(D31="","",IFERROR(INDEX(الأصناف!$B$2:$B$2000,MATCH(D31,الأصناف!$A$2:$A$2000,0)),"كود غير موجود"))</f>
        <v/>
      </c>
      <c r="F31" s="4" t="n"/>
      <c r="G31">
        <f>IF(D31="","",IFERROR(INDEX(الأصناف!$C$2:$C$2000,MATCH(D31,الأصناف!$A$2:$A$2000,0)),0))</f>
        <v/>
      </c>
      <c r="H31">
        <f>IF(D31="","",F31*G31)</f>
        <v/>
      </c>
      <c r="I31">
        <f>IF(D31="","",H31-F31*IFERROR(INDEX(الأصناف!$D$2:$D$2000,MATCH(D31,الأصناف!$A$2:$A$2000,0)),0))</f>
        <v/>
      </c>
      <c r="J31" s="4" t="n"/>
      <c r="K31" s="7">
        <f>IF(OR(B31="",B31&lt;&gt;الإيصال!$C$3),"",COUNTIF(B$2:B31,الإيصال!$C$3))</f>
        <v/>
      </c>
    </row>
    <row r="32">
      <c r="A32" s="6" t="n"/>
      <c r="B32" s="4" t="n"/>
      <c r="C32" s="4" t="n"/>
      <c r="D32" s="4" t="n"/>
      <c r="E32">
        <f>IF(D32="","",IFERROR(INDEX(الأصناف!$B$2:$B$2000,MATCH(D32,الأصناف!$A$2:$A$2000,0)),"كود غير موجود"))</f>
        <v/>
      </c>
      <c r="F32" s="4" t="n"/>
      <c r="G32">
        <f>IF(D32="","",IFERROR(INDEX(الأصناف!$C$2:$C$2000,MATCH(D32,الأصناف!$A$2:$A$2000,0)),0))</f>
        <v/>
      </c>
      <c r="H32">
        <f>IF(D32="","",F32*G32)</f>
        <v/>
      </c>
      <c r="I32">
        <f>IF(D32="","",H32-F32*IFERROR(INDEX(الأصناف!$D$2:$D$2000,MATCH(D32,الأصناف!$A$2:$A$2000,0)),0))</f>
        <v/>
      </c>
      <c r="J32" s="4" t="n"/>
      <c r="K32" s="7">
        <f>IF(OR(B32="",B32&lt;&gt;الإيصال!$C$3),"",COUNTIF(B$2:B32,الإيصال!$C$3))</f>
        <v/>
      </c>
    </row>
    <row r="33">
      <c r="A33" s="6" t="n"/>
      <c r="B33" s="4" t="n"/>
      <c r="C33" s="4" t="n"/>
      <c r="D33" s="4" t="n"/>
      <c r="E33">
        <f>IF(D33="","",IFERROR(INDEX(الأصناف!$B$2:$B$2000,MATCH(D33,الأصناف!$A$2:$A$2000,0)),"كود غير موجود"))</f>
        <v/>
      </c>
      <c r="F33" s="4" t="n"/>
      <c r="G33">
        <f>IF(D33="","",IFERROR(INDEX(الأصناف!$C$2:$C$2000,MATCH(D33,الأصناف!$A$2:$A$2000,0)),0))</f>
        <v/>
      </c>
      <c r="H33">
        <f>IF(D33="","",F33*G33)</f>
        <v/>
      </c>
      <c r="I33">
        <f>IF(D33="","",H33-F33*IFERROR(INDEX(الأصناف!$D$2:$D$2000,MATCH(D33,الأصناف!$A$2:$A$2000,0)),0))</f>
        <v/>
      </c>
      <c r="J33" s="4" t="n"/>
      <c r="K33" s="7">
        <f>IF(OR(B33="",B33&lt;&gt;الإيصال!$C$3),"",COUNTIF(B$2:B33,الإيصال!$C$3))</f>
        <v/>
      </c>
    </row>
    <row r="34">
      <c r="A34" s="6" t="n"/>
      <c r="B34" s="4" t="n"/>
      <c r="C34" s="4" t="n"/>
      <c r="D34" s="4" t="n"/>
      <c r="E34">
        <f>IF(D34="","",IFERROR(INDEX(الأصناف!$B$2:$B$2000,MATCH(D34,الأصناف!$A$2:$A$2000,0)),"كود غير موجود"))</f>
        <v/>
      </c>
      <c r="F34" s="4" t="n"/>
      <c r="G34">
        <f>IF(D34="","",IFERROR(INDEX(الأصناف!$C$2:$C$2000,MATCH(D34,الأصناف!$A$2:$A$2000,0)),0))</f>
        <v/>
      </c>
      <c r="H34">
        <f>IF(D34="","",F34*G34)</f>
        <v/>
      </c>
      <c r="I34">
        <f>IF(D34="","",H34-F34*IFERROR(INDEX(الأصناف!$D$2:$D$2000,MATCH(D34,الأصناف!$A$2:$A$2000,0)),0))</f>
        <v/>
      </c>
      <c r="J34" s="4" t="n"/>
      <c r="K34" s="7">
        <f>IF(OR(B34="",B34&lt;&gt;الإيصال!$C$3),"",COUNTIF(B$2:B34,الإيصال!$C$3))</f>
        <v/>
      </c>
    </row>
    <row r="35">
      <c r="A35" s="6" t="n"/>
      <c r="B35" s="4" t="n"/>
      <c r="C35" s="4" t="n"/>
      <c r="D35" s="4" t="n"/>
      <c r="E35">
        <f>IF(D35="","",IFERROR(INDEX(الأصناف!$B$2:$B$2000,MATCH(D35,الأصناف!$A$2:$A$2000,0)),"كود غير موجود"))</f>
        <v/>
      </c>
      <c r="F35" s="4" t="n"/>
      <c r="G35">
        <f>IF(D35="","",IFERROR(INDEX(الأصناف!$C$2:$C$2000,MATCH(D35,الأصناف!$A$2:$A$2000,0)),0))</f>
        <v/>
      </c>
      <c r="H35">
        <f>IF(D35="","",F35*G35)</f>
        <v/>
      </c>
      <c r="I35">
        <f>IF(D35="","",H35-F35*IFERROR(INDEX(الأصناف!$D$2:$D$2000,MATCH(D35,الأصناف!$A$2:$A$2000,0)),0))</f>
        <v/>
      </c>
      <c r="J35" s="4" t="n"/>
      <c r="K35" s="7">
        <f>IF(OR(B35="",B35&lt;&gt;الإيصال!$C$3),"",COUNTIF(B$2:B35,الإيصال!$C$3))</f>
        <v/>
      </c>
    </row>
    <row r="36">
      <c r="A36" s="6" t="n"/>
      <c r="B36" s="4" t="n"/>
      <c r="C36" s="4" t="n"/>
      <c r="D36" s="4" t="n"/>
      <c r="E36">
        <f>IF(D36="","",IFERROR(INDEX(الأصناف!$B$2:$B$2000,MATCH(D36,الأصناف!$A$2:$A$2000,0)),"كود غير موجود"))</f>
        <v/>
      </c>
      <c r="F36" s="4" t="n"/>
      <c r="G36">
        <f>IF(D36="","",IFERROR(INDEX(الأصناف!$C$2:$C$2000,MATCH(D36,الأصناف!$A$2:$A$2000,0)),0))</f>
        <v/>
      </c>
      <c r="H36">
        <f>IF(D36="","",F36*G36)</f>
        <v/>
      </c>
      <c r="I36">
        <f>IF(D36="","",H36-F36*IFERROR(INDEX(الأصناف!$D$2:$D$2000,MATCH(D36,الأصناف!$A$2:$A$2000,0)),0))</f>
        <v/>
      </c>
      <c r="J36" s="4" t="n"/>
      <c r="K36" s="7">
        <f>IF(OR(B36="",B36&lt;&gt;الإيصال!$C$3),"",COUNTIF(B$2:B36,الإيصال!$C$3))</f>
        <v/>
      </c>
    </row>
    <row r="37">
      <c r="A37" s="6" t="n"/>
      <c r="B37" s="4" t="n"/>
      <c r="C37" s="4" t="n"/>
      <c r="D37" s="4" t="n"/>
      <c r="E37">
        <f>IF(D37="","",IFERROR(INDEX(الأصناف!$B$2:$B$2000,MATCH(D37,الأصناف!$A$2:$A$2000,0)),"كود غير موجود"))</f>
        <v/>
      </c>
      <c r="F37" s="4" t="n"/>
      <c r="G37">
        <f>IF(D37="","",IFERROR(INDEX(الأصناف!$C$2:$C$2000,MATCH(D37,الأصناف!$A$2:$A$2000,0)),0))</f>
        <v/>
      </c>
      <c r="H37">
        <f>IF(D37="","",F37*G37)</f>
        <v/>
      </c>
      <c r="I37">
        <f>IF(D37="","",H37-F37*IFERROR(INDEX(الأصناف!$D$2:$D$2000,MATCH(D37,الأصناف!$A$2:$A$2000,0)),0))</f>
        <v/>
      </c>
      <c r="J37" s="4" t="n"/>
      <c r="K37" s="7">
        <f>IF(OR(B37="",B37&lt;&gt;الإيصال!$C$3),"",COUNTIF(B$2:B37,الإيصال!$C$3))</f>
        <v/>
      </c>
    </row>
    <row r="38">
      <c r="A38" s="6" t="n"/>
      <c r="B38" s="4" t="n"/>
      <c r="C38" s="4" t="n"/>
      <c r="D38" s="4" t="n"/>
      <c r="E38">
        <f>IF(D38="","",IFERROR(INDEX(الأصناف!$B$2:$B$2000,MATCH(D38,الأصناف!$A$2:$A$2000,0)),"كود غير موجود"))</f>
        <v/>
      </c>
      <c r="F38" s="4" t="n"/>
      <c r="G38">
        <f>IF(D38="","",IFERROR(INDEX(الأصناف!$C$2:$C$2000,MATCH(D38,الأصناف!$A$2:$A$2000,0)),0))</f>
        <v/>
      </c>
      <c r="H38">
        <f>IF(D38="","",F38*G38)</f>
        <v/>
      </c>
      <c r="I38">
        <f>IF(D38="","",H38-F38*IFERROR(INDEX(الأصناف!$D$2:$D$2000,MATCH(D38,الأصناف!$A$2:$A$2000,0)),0))</f>
        <v/>
      </c>
      <c r="J38" s="4" t="n"/>
      <c r="K38" s="7">
        <f>IF(OR(B38="",B38&lt;&gt;الإيصال!$C$3),"",COUNTIF(B$2:B38,الإيصال!$C$3))</f>
        <v/>
      </c>
    </row>
    <row r="39">
      <c r="A39" s="6" t="n"/>
      <c r="B39" s="4" t="n"/>
      <c r="C39" s="4" t="n"/>
      <c r="D39" s="4" t="n"/>
      <c r="E39">
        <f>IF(D39="","",IFERROR(INDEX(الأصناف!$B$2:$B$2000,MATCH(D39,الأصناف!$A$2:$A$2000,0)),"كود غير موجود"))</f>
        <v/>
      </c>
      <c r="F39" s="4" t="n"/>
      <c r="G39">
        <f>IF(D39="","",IFERROR(INDEX(الأصناف!$C$2:$C$2000,MATCH(D39,الأصناف!$A$2:$A$2000,0)),0))</f>
        <v/>
      </c>
      <c r="H39">
        <f>IF(D39="","",F39*G39)</f>
        <v/>
      </c>
      <c r="I39">
        <f>IF(D39="","",H39-F39*IFERROR(INDEX(الأصناف!$D$2:$D$2000,MATCH(D39,الأصناف!$A$2:$A$2000,0)),0))</f>
        <v/>
      </c>
      <c r="J39" s="4" t="n"/>
      <c r="K39" s="7">
        <f>IF(OR(B39="",B39&lt;&gt;الإيصال!$C$3),"",COUNTIF(B$2:B39,الإيصال!$C$3))</f>
        <v/>
      </c>
    </row>
    <row r="40">
      <c r="A40" s="6" t="n"/>
      <c r="B40" s="4" t="n"/>
      <c r="C40" s="4" t="n"/>
      <c r="D40" s="4" t="n"/>
      <c r="E40">
        <f>IF(D40="","",IFERROR(INDEX(الأصناف!$B$2:$B$2000,MATCH(D40,الأصناف!$A$2:$A$2000,0)),"كود غير موجود"))</f>
        <v/>
      </c>
      <c r="F40" s="4" t="n"/>
      <c r="G40">
        <f>IF(D40="","",IFERROR(INDEX(الأصناف!$C$2:$C$2000,MATCH(D40,الأصناف!$A$2:$A$2000,0)),0))</f>
        <v/>
      </c>
      <c r="H40">
        <f>IF(D40="","",F40*G40)</f>
        <v/>
      </c>
      <c r="I40">
        <f>IF(D40="","",H40-F40*IFERROR(INDEX(الأصناف!$D$2:$D$2000,MATCH(D40,الأصناف!$A$2:$A$2000,0)),0))</f>
        <v/>
      </c>
      <c r="J40" s="4" t="n"/>
      <c r="K40" s="7">
        <f>IF(OR(B40="",B40&lt;&gt;الإيصال!$C$3),"",COUNTIF(B$2:B40,الإيصال!$C$3))</f>
        <v/>
      </c>
    </row>
    <row r="41">
      <c r="A41" s="6" t="n"/>
      <c r="B41" s="4" t="n"/>
      <c r="C41" s="4" t="n"/>
      <c r="D41" s="4" t="n"/>
      <c r="E41">
        <f>IF(D41="","",IFERROR(INDEX(الأصناف!$B$2:$B$2000,MATCH(D41,الأصناف!$A$2:$A$2000,0)),"كود غير موجود"))</f>
        <v/>
      </c>
      <c r="F41" s="4" t="n"/>
      <c r="G41">
        <f>IF(D41="","",IFERROR(INDEX(الأصناف!$C$2:$C$2000,MATCH(D41,الأصناف!$A$2:$A$2000,0)),0))</f>
        <v/>
      </c>
      <c r="H41">
        <f>IF(D41="","",F41*G41)</f>
        <v/>
      </c>
      <c r="I41">
        <f>IF(D41="","",H41-F41*IFERROR(INDEX(الأصناف!$D$2:$D$2000,MATCH(D41,الأصناف!$A$2:$A$2000,0)),0))</f>
        <v/>
      </c>
      <c r="J41" s="4" t="n"/>
      <c r="K41" s="7">
        <f>IF(OR(B41="",B41&lt;&gt;الإيصال!$C$3),"",COUNTIF(B$2:B41,الإيصال!$C$3))</f>
        <v/>
      </c>
    </row>
    <row r="42">
      <c r="A42" s="6" t="n"/>
      <c r="B42" s="4" t="n"/>
      <c r="C42" s="4" t="n"/>
      <c r="D42" s="4" t="n"/>
      <c r="E42">
        <f>IF(D42="","",IFERROR(INDEX(الأصناف!$B$2:$B$2000,MATCH(D42,الأصناف!$A$2:$A$2000,0)),"كود غير موجود"))</f>
        <v/>
      </c>
      <c r="F42" s="4" t="n"/>
      <c r="G42">
        <f>IF(D42="","",IFERROR(INDEX(الأصناف!$C$2:$C$2000,MATCH(D42,الأصناف!$A$2:$A$2000,0)),0))</f>
        <v/>
      </c>
      <c r="H42">
        <f>IF(D42="","",F42*G42)</f>
        <v/>
      </c>
      <c r="I42">
        <f>IF(D42="","",H42-F42*IFERROR(INDEX(الأصناف!$D$2:$D$2000,MATCH(D42,الأصناف!$A$2:$A$2000,0)),0))</f>
        <v/>
      </c>
      <c r="J42" s="4" t="n"/>
      <c r="K42" s="7">
        <f>IF(OR(B42="",B42&lt;&gt;الإيصال!$C$3),"",COUNTIF(B$2:B42,الإيصال!$C$3))</f>
        <v/>
      </c>
    </row>
    <row r="43">
      <c r="A43" s="6" t="n"/>
      <c r="B43" s="4" t="n"/>
      <c r="C43" s="4" t="n"/>
      <c r="D43" s="4" t="n"/>
      <c r="E43">
        <f>IF(D43="","",IFERROR(INDEX(الأصناف!$B$2:$B$2000,MATCH(D43,الأصناف!$A$2:$A$2000,0)),"كود غير موجود"))</f>
        <v/>
      </c>
      <c r="F43" s="4" t="n"/>
      <c r="G43">
        <f>IF(D43="","",IFERROR(INDEX(الأصناف!$C$2:$C$2000,MATCH(D43,الأصناف!$A$2:$A$2000,0)),0))</f>
        <v/>
      </c>
      <c r="H43">
        <f>IF(D43="","",F43*G43)</f>
        <v/>
      </c>
      <c r="I43">
        <f>IF(D43="","",H43-F43*IFERROR(INDEX(الأصناف!$D$2:$D$2000,MATCH(D43,الأصناف!$A$2:$A$2000,0)),0))</f>
        <v/>
      </c>
      <c r="J43" s="4" t="n"/>
      <c r="K43" s="7">
        <f>IF(OR(B43="",B43&lt;&gt;الإيصال!$C$3),"",COUNTIF(B$2:B43,الإيصال!$C$3))</f>
        <v/>
      </c>
    </row>
    <row r="44">
      <c r="A44" s="6" t="n"/>
      <c r="B44" s="4" t="n"/>
      <c r="C44" s="4" t="n"/>
      <c r="D44" s="4" t="n"/>
      <c r="E44">
        <f>IF(D44="","",IFERROR(INDEX(الأصناف!$B$2:$B$2000,MATCH(D44,الأصناف!$A$2:$A$2000,0)),"كود غير موجود"))</f>
        <v/>
      </c>
      <c r="F44" s="4" t="n"/>
      <c r="G44">
        <f>IF(D44="","",IFERROR(INDEX(الأصناف!$C$2:$C$2000,MATCH(D44,الأصناف!$A$2:$A$2000,0)),0))</f>
        <v/>
      </c>
      <c r="H44">
        <f>IF(D44="","",F44*G44)</f>
        <v/>
      </c>
      <c r="I44">
        <f>IF(D44="","",H44-F44*IFERROR(INDEX(الأصناف!$D$2:$D$2000,MATCH(D44,الأصناف!$A$2:$A$2000,0)),0))</f>
        <v/>
      </c>
      <c r="J44" s="4" t="n"/>
      <c r="K44" s="7">
        <f>IF(OR(B44="",B44&lt;&gt;الإيصال!$C$3),"",COUNTIF(B$2:B44,الإيصال!$C$3))</f>
        <v/>
      </c>
    </row>
    <row r="45">
      <c r="A45" s="6" t="n"/>
      <c r="B45" s="4" t="n"/>
      <c r="C45" s="4" t="n"/>
      <c r="D45" s="4" t="n"/>
      <c r="E45">
        <f>IF(D45="","",IFERROR(INDEX(الأصناف!$B$2:$B$2000,MATCH(D45,الأصناف!$A$2:$A$2000,0)),"كود غير موجود"))</f>
        <v/>
      </c>
      <c r="F45" s="4" t="n"/>
      <c r="G45">
        <f>IF(D45="","",IFERROR(INDEX(الأصناف!$C$2:$C$2000,MATCH(D45,الأصناف!$A$2:$A$2000,0)),0))</f>
        <v/>
      </c>
      <c r="H45">
        <f>IF(D45="","",F45*G45)</f>
        <v/>
      </c>
      <c r="I45">
        <f>IF(D45="","",H45-F45*IFERROR(INDEX(الأصناف!$D$2:$D$2000,MATCH(D45,الأصناف!$A$2:$A$2000,0)),0))</f>
        <v/>
      </c>
      <c r="J45" s="4" t="n"/>
      <c r="K45" s="7">
        <f>IF(OR(B45="",B45&lt;&gt;الإيصال!$C$3),"",COUNTIF(B$2:B45,الإيصال!$C$3))</f>
        <v/>
      </c>
    </row>
    <row r="46">
      <c r="A46" s="6" t="n"/>
      <c r="B46" s="4" t="n"/>
      <c r="C46" s="4" t="n"/>
      <c r="D46" s="4" t="n"/>
      <c r="E46">
        <f>IF(D46="","",IFERROR(INDEX(الأصناف!$B$2:$B$2000,MATCH(D46,الأصناف!$A$2:$A$2000,0)),"كود غير موجود"))</f>
        <v/>
      </c>
      <c r="F46" s="4" t="n"/>
      <c r="G46">
        <f>IF(D46="","",IFERROR(INDEX(الأصناف!$C$2:$C$2000,MATCH(D46,الأصناف!$A$2:$A$2000,0)),0))</f>
        <v/>
      </c>
      <c r="H46">
        <f>IF(D46="","",F46*G46)</f>
        <v/>
      </c>
      <c r="I46">
        <f>IF(D46="","",H46-F46*IFERROR(INDEX(الأصناف!$D$2:$D$2000,MATCH(D46,الأصناف!$A$2:$A$2000,0)),0))</f>
        <v/>
      </c>
      <c r="J46" s="4" t="n"/>
      <c r="K46" s="7">
        <f>IF(OR(B46="",B46&lt;&gt;الإيصال!$C$3),"",COUNTIF(B$2:B46,الإيصال!$C$3))</f>
        <v/>
      </c>
    </row>
    <row r="47">
      <c r="A47" s="6" t="n"/>
      <c r="B47" s="4" t="n"/>
      <c r="C47" s="4" t="n"/>
      <c r="D47" s="4" t="n"/>
      <c r="E47">
        <f>IF(D47="","",IFERROR(INDEX(الأصناف!$B$2:$B$2000,MATCH(D47,الأصناف!$A$2:$A$2000,0)),"كود غير موجود"))</f>
        <v/>
      </c>
      <c r="F47" s="4" t="n"/>
      <c r="G47">
        <f>IF(D47="","",IFERROR(INDEX(الأصناف!$C$2:$C$2000,MATCH(D47,الأصناف!$A$2:$A$2000,0)),0))</f>
        <v/>
      </c>
      <c r="H47">
        <f>IF(D47="","",F47*G47)</f>
        <v/>
      </c>
      <c r="I47">
        <f>IF(D47="","",H47-F47*IFERROR(INDEX(الأصناف!$D$2:$D$2000,MATCH(D47,الأصناف!$A$2:$A$2000,0)),0))</f>
        <v/>
      </c>
      <c r="J47" s="4" t="n"/>
      <c r="K47" s="7">
        <f>IF(OR(B47="",B47&lt;&gt;الإيصال!$C$3),"",COUNTIF(B$2:B47,الإيصال!$C$3))</f>
        <v/>
      </c>
    </row>
    <row r="48">
      <c r="A48" s="6" t="n"/>
      <c r="B48" s="4" t="n"/>
      <c r="C48" s="4" t="n"/>
      <c r="D48" s="4" t="n"/>
      <c r="E48">
        <f>IF(D48="","",IFERROR(INDEX(الأصناف!$B$2:$B$2000,MATCH(D48,الأصناف!$A$2:$A$2000,0)),"كود غير موجود"))</f>
        <v/>
      </c>
      <c r="F48" s="4" t="n"/>
      <c r="G48">
        <f>IF(D48="","",IFERROR(INDEX(الأصناف!$C$2:$C$2000,MATCH(D48,الأصناف!$A$2:$A$2000,0)),0))</f>
        <v/>
      </c>
      <c r="H48">
        <f>IF(D48="","",F48*G48)</f>
        <v/>
      </c>
      <c r="I48">
        <f>IF(D48="","",H48-F48*IFERROR(INDEX(الأصناف!$D$2:$D$2000,MATCH(D48,الأصناف!$A$2:$A$2000,0)),0))</f>
        <v/>
      </c>
      <c r="J48" s="4" t="n"/>
      <c r="K48" s="7">
        <f>IF(OR(B48="",B48&lt;&gt;الإيصال!$C$3),"",COUNTIF(B$2:B48,الإيصال!$C$3))</f>
        <v/>
      </c>
    </row>
    <row r="49">
      <c r="A49" s="6" t="n"/>
      <c r="B49" s="4" t="n"/>
      <c r="C49" s="4" t="n"/>
      <c r="D49" s="4" t="n"/>
      <c r="E49">
        <f>IF(D49="","",IFERROR(INDEX(الأصناف!$B$2:$B$2000,MATCH(D49,الأصناف!$A$2:$A$2000,0)),"كود غير موجود"))</f>
        <v/>
      </c>
      <c r="F49" s="4" t="n"/>
      <c r="G49">
        <f>IF(D49="","",IFERROR(INDEX(الأصناف!$C$2:$C$2000,MATCH(D49,الأصناف!$A$2:$A$2000,0)),0))</f>
        <v/>
      </c>
      <c r="H49">
        <f>IF(D49="","",F49*G49)</f>
        <v/>
      </c>
      <c r="I49">
        <f>IF(D49="","",H49-F49*IFERROR(INDEX(الأصناف!$D$2:$D$2000,MATCH(D49,الأصناف!$A$2:$A$2000,0)),0))</f>
        <v/>
      </c>
      <c r="J49" s="4" t="n"/>
      <c r="K49" s="7">
        <f>IF(OR(B49="",B49&lt;&gt;الإيصال!$C$3),"",COUNTIF(B$2:B49,الإيصال!$C$3))</f>
        <v/>
      </c>
    </row>
    <row r="50">
      <c r="A50" s="6" t="n"/>
      <c r="B50" s="4" t="n"/>
      <c r="C50" s="4" t="n"/>
      <c r="D50" s="4" t="n"/>
      <c r="E50">
        <f>IF(D50="","",IFERROR(INDEX(الأصناف!$B$2:$B$2000,MATCH(D50,الأصناف!$A$2:$A$2000,0)),"كود غير موجود"))</f>
        <v/>
      </c>
      <c r="F50" s="4" t="n"/>
      <c r="G50">
        <f>IF(D50="","",IFERROR(INDEX(الأصناف!$C$2:$C$2000,MATCH(D50,الأصناف!$A$2:$A$2000,0)),0))</f>
        <v/>
      </c>
      <c r="H50">
        <f>IF(D50="","",F50*G50)</f>
        <v/>
      </c>
      <c r="I50">
        <f>IF(D50="","",H50-F50*IFERROR(INDEX(الأصناف!$D$2:$D$2000,MATCH(D50,الأصناف!$A$2:$A$2000,0)),0))</f>
        <v/>
      </c>
      <c r="J50" s="4" t="n"/>
      <c r="K50" s="7">
        <f>IF(OR(B50="",B50&lt;&gt;الإيصال!$C$3),"",COUNTIF(B$2:B50,الإيصال!$C$3))</f>
        <v/>
      </c>
    </row>
    <row r="51">
      <c r="A51" s="6" t="n"/>
      <c r="B51" s="4" t="n"/>
      <c r="C51" s="4" t="n"/>
      <c r="D51" s="4" t="n"/>
      <c r="E51">
        <f>IF(D51="","",IFERROR(INDEX(الأصناف!$B$2:$B$2000,MATCH(D51,الأصناف!$A$2:$A$2000,0)),"كود غير موجود"))</f>
        <v/>
      </c>
      <c r="F51" s="4" t="n"/>
      <c r="G51">
        <f>IF(D51="","",IFERROR(INDEX(الأصناف!$C$2:$C$2000,MATCH(D51,الأصناف!$A$2:$A$2000,0)),0))</f>
        <v/>
      </c>
      <c r="H51">
        <f>IF(D51="","",F51*G51)</f>
        <v/>
      </c>
      <c r="I51">
        <f>IF(D51="","",H51-F51*IFERROR(INDEX(الأصناف!$D$2:$D$2000,MATCH(D51,الأصناف!$A$2:$A$2000,0)),0))</f>
        <v/>
      </c>
      <c r="J51" s="4" t="n"/>
      <c r="K51" s="7">
        <f>IF(OR(B51="",B51&lt;&gt;الإيصال!$C$3),"",COUNTIF(B$2:B51,الإيصال!$C$3))</f>
        <v/>
      </c>
    </row>
    <row r="52">
      <c r="A52" s="6" t="n"/>
      <c r="B52" s="4" t="n"/>
      <c r="C52" s="4" t="n"/>
      <c r="D52" s="4" t="n"/>
      <c r="E52">
        <f>IF(D52="","",IFERROR(INDEX(الأصناف!$B$2:$B$2000,MATCH(D52,الأصناف!$A$2:$A$2000,0)),"كود غير موجود"))</f>
        <v/>
      </c>
      <c r="F52" s="4" t="n"/>
      <c r="G52">
        <f>IF(D52="","",IFERROR(INDEX(الأصناف!$C$2:$C$2000,MATCH(D52,الأصناف!$A$2:$A$2000,0)),0))</f>
        <v/>
      </c>
      <c r="H52">
        <f>IF(D52="","",F52*G52)</f>
        <v/>
      </c>
      <c r="I52">
        <f>IF(D52="","",H52-F52*IFERROR(INDEX(الأصناف!$D$2:$D$2000,MATCH(D52,الأصناف!$A$2:$A$2000,0)),0))</f>
        <v/>
      </c>
      <c r="J52" s="4" t="n"/>
      <c r="K52" s="7">
        <f>IF(OR(B52="",B52&lt;&gt;الإيصال!$C$3),"",COUNTIF(B$2:B52,الإيصال!$C$3))</f>
        <v/>
      </c>
    </row>
    <row r="53">
      <c r="A53" s="6" t="n"/>
      <c r="B53" s="4" t="n"/>
      <c r="C53" s="4" t="n"/>
      <c r="D53" s="4" t="n"/>
      <c r="E53">
        <f>IF(D53="","",IFERROR(INDEX(الأصناف!$B$2:$B$2000,MATCH(D53,الأصناف!$A$2:$A$2000,0)),"كود غير موجود"))</f>
        <v/>
      </c>
      <c r="F53" s="4" t="n"/>
      <c r="G53">
        <f>IF(D53="","",IFERROR(INDEX(الأصناف!$C$2:$C$2000,MATCH(D53,الأصناف!$A$2:$A$2000,0)),0))</f>
        <v/>
      </c>
      <c r="H53">
        <f>IF(D53="","",F53*G53)</f>
        <v/>
      </c>
      <c r="I53">
        <f>IF(D53="","",H53-F53*IFERROR(INDEX(الأصناف!$D$2:$D$2000,MATCH(D53,الأصناف!$A$2:$A$2000,0)),0))</f>
        <v/>
      </c>
      <c r="J53" s="4" t="n"/>
      <c r="K53" s="7">
        <f>IF(OR(B53="",B53&lt;&gt;الإيصال!$C$3),"",COUNTIF(B$2:B53,الإيصال!$C$3))</f>
        <v/>
      </c>
    </row>
    <row r="54">
      <c r="A54" s="6" t="n"/>
      <c r="B54" s="4" t="n"/>
      <c r="C54" s="4" t="n"/>
      <c r="D54" s="4" t="n"/>
      <c r="E54">
        <f>IF(D54="","",IFERROR(INDEX(الأصناف!$B$2:$B$2000,MATCH(D54,الأصناف!$A$2:$A$2000,0)),"كود غير موجود"))</f>
        <v/>
      </c>
      <c r="F54" s="4" t="n"/>
      <c r="G54">
        <f>IF(D54="","",IFERROR(INDEX(الأصناف!$C$2:$C$2000,MATCH(D54,الأصناف!$A$2:$A$2000,0)),0))</f>
        <v/>
      </c>
      <c r="H54">
        <f>IF(D54="","",F54*G54)</f>
        <v/>
      </c>
      <c r="I54">
        <f>IF(D54="","",H54-F54*IFERROR(INDEX(الأصناف!$D$2:$D$2000,MATCH(D54,الأصناف!$A$2:$A$2000,0)),0))</f>
        <v/>
      </c>
      <c r="J54" s="4" t="n"/>
      <c r="K54" s="7">
        <f>IF(OR(B54="",B54&lt;&gt;الإيصال!$C$3),"",COUNTIF(B$2:B54,الإيصال!$C$3))</f>
        <v/>
      </c>
    </row>
    <row r="55">
      <c r="A55" s="6" t="n"/>
      <c r="B55" s="4" t="n"/>
      <c r="C55" s="4" t="n"/>
      <c r="D55" s="4" t="n"/>
      <c r="E55">
        <f>IF(D55="","",IFERROR(INDEX(الأصناف!$B$2:$B$2000,MATCH(D55,الأصناف!$A$2:$A$2000,0)),"كود غير موجود"))</f>
        <v/>
      </c>
      <c r="F55" s="4" t="n"/>
      <c r="G55">
        <f>IF(D55="","",IFERROR(INDEX(الأصناف!$C$2:$C$2000,MATCH(D55,الأصناف!$A$2:$A$2000,0)),0))</f>
        <v/>
      </c>
      <c r="H55">
        <f>IF(D55="","",F55*G55)</f>
        <v/>
      </c>
      <c r="I55">
        <f>IF(D55="","",H55-F55*IFERROR(INDEX(الأصناف!$D$2:$D$2000,MATCH(D55,الأصناف!$A$2:$A$2000,0)),0))</f>
        <v/>
      </c>
      <c r="J55" s="4" t="n"/>
      <c r="K55" s="7">
        <f>IF(OR(B55="",B55&lt;&gt;الإيصال!$C$3),"",COUNTIF(B$2:B55,الإيصال!$C$3))</f>
        <v/>
      </c>
    </row>
    <row r="56">
      <c r="A56" s="6" t="n"/>
      <c r="B56" s="4" t="n"/>
      <c r="C56" s="4" t="n"/>
      <c r="D56" s="4" t="n"/>
      <c r="E56">
        <f>IF(D56="","",IFERROR(INDEX(الأصناف!$B$2:$B$2000,MATCH(D56,الأصناف!$A$2:$A$2000,0)),"كود غير موجود"))</f>
        <v/>
      </c>
      <c r="F56" s="4" t="n"/>
      <c r="G56">
        <f>IF(D56="","",IFERROR(INDEX(الأصناف!$C$2:$C$2000,MATCH(D56,الأصناف!$A$2:$A$2000,0)),0))</f>
        <v/>
      </c>
      <c r="H56">
        <f>IF(D56="","",F56*G56)</f>
        <v/>
      </c>
      <c r="I56">
        <f>IF(D56="","",H56-F56*IFERROR(INDEX(الأصناف!$D$2:$D$2000,MATCH(D56,الأصناف!$A$2:$A$2000,0)),0))</f>
        <v/>
      </c>
      <c r="J56" s="4" t="n"/>
      <c r="K56" s="7">
        <f>IF(OR(B56="",B56&lt;&gt;الإيصال!$C$3),"",COUNTIF(B$2:B56,الإيصال!$C$3))</f>
        <v/>
      </c>
    </row>
    <row r="57">
      <c r="A57" s="6" t="n"/>
      <c r="B57" s="4" t="n"/>
      <c r="C57" s="4" t="n"/>
      <c r="D57" s="4" t="n"/>
      <c r="E57">
        <f>IF(D57="","",IFERROR(INDEX(الأصناف!$B$2:$B$2000,MATCH(D57,الأصناف!$A$2:$A$2000,0)),"كود غير موجود"))</f>
        <v/>
      </c>
      <c r="F57" s="4" t="n"/>
      <c r="G57">
        <f>IF(D57="","",IFERROR(INDEX(الأصناف!$C$2:$C$2000,MATCH(D57,الأصناف!$A$2:$A$2000,0)),0))</f>
        <v/>
      </c>
      <c r="H57">
        <f>IF(D57="","",F57*G57)</f>
        <v/>
      </c>
      <c r="I57">
        <f>IF(D57="","",H57-F57*IFERROR(INDEX(الأصناف!$D$2:$D$2000,MATCH(D57,الأصناف!$A$2:$A$2000,0)),0))</f>
        <v/>
      </c>
      <c r="J57" s="4" t="n"/>
      <c r="K57" s="7">
        <f>IF(OR(B57="",B57&lt;&gt;الإيصال!$C$3),"",COUNTIF(B$2:B57,الإيصال!$C$3))</f>
        <v/>
      </c>
    </row>
    <row r="58">
      <c r="A58" s="6" t="n"/>
      <c r="B58" s="4" t="n"/>
      <c r="C58" s="4" t="n"/>
      <c r="D58" s="4" t="n"/>
      <c r="E58">
        <f>IF(D58="","",IFERROR(INDEX(الأصناف!$B$2:$B$2000,MATCH(D58,الأصناف!$A$2:$A$2000,0)),"كود غير موجود"))</f>
        <v/>
      </c>
      <c r="F58" s="4" t="n"/>
      <c r="G58">
        <f>IF(D58="","",IFERROR(INDEX(الأصناف!$C$2:$C$2000,MATCH(D58,الأصناف!$A$2:$A$2000,0)),0))</f>
        <v/>
      </c>
      <c r="H58">
        <f>IF(D58="","",F58*G58)</f>
        <v/>
      </c>
      <c r="I58">
        <f>IF(D58="","",H58-F58*IFERROR(INDEX(الأصناف!$D$2:$D$2000,MATCH(D58,الأصناف!$A$2:$A$2000,0)),0))</f>
        <v/>
      </c>
      <c r="J58" s="4" t="n"/>
      <c r="K58" s="7">
        <f>IF(OR(B58="",B58&lt;&gt;الإيصال!$C$3),"",COUNTIF(B$2:B58,الإيصال!$C$3))</f>
        <v/>
      </c>
    </row>
    <row r="59">
      <c r="A59" s="6" t="n"/>
      <c r="B59" s="4" t="n"/>
      <c r="C59" s="4" t="n"/>
      <c r="D59" s="4" t="n"/>
      <c r="E59">
        <f>IF(D59="","",IFERROR(INDEX(الأصناف!$B$2:$B$2000,MATCH(D59,الأصناف!$A$2:$A$2000,0)),"كود غير موجود"))</f>
        <v/>
      </c>
      <c r="F59" s="4" t="n"/>
      <c r="G59">
        <f>IF(D59="","",IFERROR(INDEX(الأصناف!$C$2:$C$2000,MATCH(D59,الأصناف!$A$2:$A$2000,0)),0))</f>
        <v/>
      </c>
      <c r="H59">
        <f>IF(D59="","",F59*G59)</f>
        <v/>
      </c>
      <c r="I59">
        <f>IF(D59="","",H59-F59*IFERROR(INDEX(الأصناف!$D$2:$D$2000,MATCH(D59,الأصناف!$A$2:$A$2000,0)),0))</f>
        <v/>
      </c>
      <c r="J59" s="4" t="n"/>
      <c r="K59" s="7">
        <f>IF(OR(B59="",B59&lt;&gt;الإيصال!$C$3),"",COUNTIF(B$2:B59,الإيصال!$C$3))</f>
        <v/>
      </c>
    </row>
    <row r="60">
      <c r="A60" s="6" t="n"/>
      <c r="B60" s="4" t="n"/>
      <c r="C60" s="4" t="n"/>
      <c r="D60" s="4" t="n"/>
      <c r="E60">
        <f>IF(D60="","",IFERROR(INDEX(الأصناف!$B$2:$B$2000,MATCH(D60,الأصناف!$A$2:$A$2000,0)),"كود غير موجود"))</f>
        <v/>
      </c>
      <c r="F60" s="4" t="n"/>
      <c r="G60">
        <f>IF(D60="","",IFERROR(INDEX(الأصناف!$C$2:$C$2000,MATCH(D60,الأصناف!$A$2:$A$2000,0)),0))</f>
        <v/>
      </c>
      <c r="H60">
        <f>IF(D60="","",F60*G60)</f>
        <v/>
      </c>
      <c r="I60">
        <f>IF(D60="","",H60-F60*IFERROR(INDEX(الأصناف!$D$2:$D$2000,MATCH(D60,الأصناف!$A$2:$A$2000,0)),0))</f>
        <v/>
      </c>
      <c r="J60" s="4" t="n"/>
      <c r="K60" s="7">
        <f>IF(OR(B60="",B60&lt;&gt;الإيصال!$C$3),"",COUNTIF(B$2:B60,الإيصال!$C$3))</f>
        <v/>
      </c>
    </row>
    <row r="61">
      <c r="A61" s="6" t="n"/>
      <c r="B61" s="4" t="n"/>
      <c r="C61" s="4" t="n"/>
      <c r="D61" s="4" t="n"/>
      <c r="E61">
        <f>IF(D61="","",IFERROR(INDEX(الأصناف!$B$2:$B$2000,MATCH(D61,الأصناف!$A$2:$A$2000,0)),"كود غير موجود"))</f>
        <v/>
      </c>
      <c r="F61" s="4" t="n"/>
      <c r="G61">
        <f>IF(D61="","",IFERROR(INDEX(الأصناف!$C$2:$C$2000,MATCH(D61,الأصناف!$A$2:$A$2000,0)),0))</f>
        <v/>
      </c>
      <c r="H61">
        <f>IF(D61="","",F61*G61)</f>
        <v/>
      </c>
      <c r="I61">
        <f>IF(D61="","",H61-F61*IFERROR(INDEX(الأصناف!$D$2:$D$2000,MATCH(D61,الأصناف!$A$2:$A$2000,0)),0))</f>
        <v/>
      </c>
      <c r="J61" s="4" t="n"/>
      <c r="K61" s="7">
        <f>IF(OR(B61="",B61&lt;&gt;الإيصال!$C$3),"",COUNTIF(B$2:B61,الإيصال!$C$3))</f>
        <v/>
      </c>
    </row>
    <row r="62">
      <c r="A62" s="6" t="n"/>
      <c r="B62" s="4" t="n"/>
      <c r="C62" s="4" t="n"/>
      <c r="D62" s="4" t="n"/>
      <c r="E62">
        <f>IF(D62="","",IFERROR(INDEX(الأصناف!$B$2:$B$2000,MATCH(D62,الأصناف!$A$2:$A$2000,0)),"كود غير موجود"))</f>
        <v/>
      </c>
      <c r="F62" s="4" t="n"/>
      <c r="G62">
        <f>IF(D62="","",IFERROR(INDEX(الأصناف!$C$2:$C$2000,MATCH(D62,الأصناف!$A$2:$A$2000,0)),0))</f>
        <v/>
      </c>
      <c r="H62">
        <f>IF(D62="","",F62*G62)</f>
        <v/>
      </c>
      <c r="I62">
        <f>IF(D62="","",H62-F62*IFERROR(INDEX(الأصناف!$D$2:$D$2000,MATCH(D62,الأصناف!$A$2:$A$2000,0)),0))</f>
        <v/>
      </c>
      <c r="J62" s="4" t="n"/>
      <c r="K62" s="7">
        <f>IF(OR(B62="",B62&lt;&gt;الإيصال!$C$3),"",COUNTIF(B$2:B62,الإيصال!$C$3))</f>
        <v/>
      </c>
    </row>
    <row r="63">
      <c r="A63" s="6" t="n"/>
      <c r="B63" s="4" t="n"/>
      <c r="C63" s="4" t="n"/>
      <c r="D63" s="4" t="n"/>
      <c r="E63">
        <f>IF(D63="","",IFERROR(INDEX(الأصناف!$B$2:$B$2000,MATCH(D63,الأصناف!$A$2:$A$2000,0)),"كود غير موجود"))</f>
        <v/>
      </c>
      <c r="F63" s="4" t="n"/>
      <c r="G63">
        <f>IF(D63="","",IFERROR(INDEX(الأصناف!$C$2:$C$2000,MATCH(D63,الأصناف!$A$2:$A$2000,0)),0))</f>
        <v/>
      </c>
      <c r="H63">
        <f>IF(D63="","",F63*G63)</f>
        <v/>
      </c>
      <c r="I63">
        <f>IF(D63="","",H63-F63*IFERROR(INDEX(الأصناف!$D$2:$D$2000,MATCH(D63,الأصناف!$A$2:$A$2000,0)),0))</f>
        <v/>
      </c>
      <c r="J63" s="4" t="n"/>
      <c r="K63" s="7">
        <f>IF(OR(B63="",B63&lt;&gt;الإيصال!$C$3),"",COUNTIF(B$2:B63,الإيصال!$C$3))</f>
        <v/>
      </c>
    </row>
    <row r="64">
      <c r="A64" s="6" t="n"/>
      <c r="B64" s="4" t="n"/>
      <c r="C64" s="4" t="n"/>
      <c r="D64" s="4" t="n"/>
      <c r="E64">
        <f>IF(D64="","",IFERROR(INDEX(الأصناف!$B$2:$B$2000,MATCH(D64,الأصناف!$A$2:$A$2000,0)),"كود غير موجود"))</f>
        <v/>
      </c>
      <c r="F64" s="4" t="n"/>
      <c r="G64">
        <f>IF(D64="","",IFERROR(INDEX(الأصناف!$C$2:$C$2000,MATCH(D64,الأصناف!$A$2:$A$2000,0)),0))</f>
        <v/>
      </c>
      <c r="H64">
        <f>IF(D64="","",F64*G64)</f>
        <v/>
      </c>
      <c r="I64">
        <f>IF(D64="","",H64-F64*IFERROR(INDEX(الأصناف!$D$2:$D$2000,MATCH(D64,الأصناف!$A$2:$A$2000,0)),0))</f>
        <v/>
      </c>
      <c r="J64" s="4" t="n"/>
      <c r="K64" s="7">
        <f>IF(OR(B64="",B64&lt;&gt;الإيصال!$C$3),"",COUNTIF(B$2:B64,الإيصال!$C$3))</f>
        <v/>
      </c>
    </row>
    <row r="65">
      <c r="A65" s="6" t="n"/>
      <c r="B65" s="4" t="n"/>
      <c r="C65" s="4" t="n"/>
      <c r="D65" s="4" t="n"/>
      <c r="E65">
        <f>IF(D65="","",IFERROR(INDEX(الأصناف!$B$2:$B$2000,MATCH(D65,الأصناف!$A$2:$A$2000,0)),"كود غير موجود"))</f>
        <v/>
      </c>
      <c r="F65" s="4" t="n"/>
      <c r="G65">
        <f>IF(D65="","",IFERROR(INDEX(الأصناف!$C$2:$C$2000,MATCH(D65,الأصناف!$A$2:$A$2000,0)),0))</f>
        <v/>
      </c>
      <c r="H65">
        <f>IF(D65="","",F65*G65)</f>
        <v/>
      </c>
      <c r="I65">
        <f>IF(D65="","",H65-F65*IFERROR(INDEX(الأصناف!$D$2:$D$2000,MATCH(D65,الأصناف!$A$2:$A$2000,0)),0))</f>
        <v/>
      </c>
      <c r="J65" s="4" t="n"/>
      <c r="K65" s="7">
        <f>IF(OR(B65="",B65&lt;&gt;الإيصال!$C$3),"",COUNTIF(B$2:B65,الإيصال!$C$3))</f>
        <v/>
      </c>
    </row>
    <row r="66">
      <c r="A66" s="6" t="n"/>
      <c r="B66" s="4" t="n"/>
      <c r="C66" s="4" t="n"/>
      <c r="D66" s="4" t="n"/>
      <c r="E66">
        <f>IF(D66="","",IFERROR(INDEX(الأصناف!$B$2:$B$2000,MATCH(D66,الأصناف!$A$2:$A$2000,0)),"كود غير موجود"))</f>
        <v/>
      </c>
      <c r="F66" s="4" t="n"/>
      <c r="G66">
        <f>IF(D66="","",IFERROR(INDEX(الأصناف!$C$2:$C$2000,MATCH(D66,الأصناف!$A$2:$A$2000,0)),0))</f>
        <v/>
      </c>
      <c r="H66">
        <f>IF(D66="","",F66*G66)</f>
        <v/>
      </c>
      <c r="I66">
        <f>IF(D66="","",H66-F66*IFERROR(INDEX(الأصناف!$D$2:$D$2000,MATCH(D66,الأصناف!$A$2:$A$2000,0)),0))</f>
        <v/>
      </c>
      <c r="J66" s="4" t="n"/>
      <c r="K66" s="7">
        <f>IF(OR(B66="",B66&lt;&gt;الإيصال!$C$3),"",COUNTIF(B$2:B66,الإيصال!$C$3))</f>
        <v/>
      </c>
    </row>
    <row r="67">
      <c r="A67" s="6" t="n"/>
      <c r="B67" s="4" t="n"/>
      <c r="C67" s="4" t="n"/>
      <c r="D67" s="4" t="n"/>
      <c r="E67">
        <f>IF(D67="","",IFERROR(INDEX(الأصناف!$B$2:$B$2000,MATCH(D67,الأصناف!$A$2:$A$2000,0)),"كود غير موجود"))</f>
        <v/>
      </c>
      <c r="F67" s="4" t="n"/>
      <c r="G67">
        <f>IF(D67="","",IFERROR(INDEX(الأصناف!$C$2:$C$2000,MATCH(D67,الأصناف!$A$2:$A$2000,0)),0))</f>
        <v/>
      </c>
      <c r="H67">
        <f>IF(D67="","",F67*G67)</f>
        <v/>
      </c>
      <c r="I67">
        <f>IF(D67="","",H67-F67*IFERROR(INDEX(الأصناف!$D$2:$D$2000,MATCH(D67,الأصناف!$A$2:$A$2000,0)),0))</f>
        <v/>
      </c>
      <c r="J67" s="4" t="n"/>
      <c r="K67" s="7">
        <f>IF(OR(B67="",B67&lt;&gt;الإيصال!$C$3),"",COUNTIF(B$2:B67,الإيصال!$C$3))</f>
        <v/>
      </c>
    </row>
    <row r="68">
      <c r="A68" s="6" t="n"/>
      <c r="B68" s="4" t="n"/>
      <c r="C68" s="4" t="n"/>
      <c r="D68" s="4" t="n"/>
      <c r="E68">
        <f>IF(D68="","",IFERROR(INDEX(الأصناف!$B$2:$B$2000,MATCH(D68,الأصناف!$A$2:$A$2000,0)),"كود غير موجود"))</f>
        <v/>
      </c>
      <c r="F68" s="4" t="n"/>
      <c r="G68">
        <f>IF(D68="","",IFERROR(INDEX(الأصناف!$C$2:$C$2000,MATCH(D68,الأصناف!$A$2:$A$2000,0)),0))</f>
        <v/>
      </c>
      <c r="H68">
        <f>IF(D68="","",F68*G68)</f>
        <v/>
      </c>
      <c r="I68">
        <f>IF(D68="","",H68-F68*IFERROR(INDEX(الأصناف!$D$2:$D$2000,MATCH(D68,الأصناف!$A$2:$A$2000,0)),0))</f>
        <v/>
      </c>
      <c r="J68" s="4" t="n"/>
      <c r="K68" s="7">
        <f>IF(OR(B68="",B68&lt;&gt;الإيصال!$C$3),"",COUNTIF(B$2:B68,الإيصال!$C$3))</f>
        <v/>
      </c>
    </row>
    <row r="69">
      <c r="A69" s="6" t="n"/>
      <c r="B69" s="4" t="n"/>
      <c r="C69" s="4" t="n"/>
      <c r="D69" s="4" t="n"/>
      <c r="E69">
        <f>IF(D69="","",IFERROR(INDEX(الأصناف!$B$2:$B$2000,MATCH(D69,الأصناف!$A$2:$A$2000,0)),"كود غير موجود"))</f>
        <v/>
      </c>
      <c r="F69" s="4" t="n"/>
      <c r="G69">
        <f>IF(D69="","",IFERROR(INDEX(الأصناف!$C$2:$C$2000,MATCH(D69,الأصناف!$A$2:$A$2000,0)),0))</f>
        <v/>
      </c>
      <c r="H69">
        <f>IF(D69="","",F69*G69)</f>
        <v/>
      </c>
      <c r="I69">
        <f>IF(D69="","",H69-F69*IFERROR(INDEX(الأصناف!$D$2:$D$2000,MATCH(D69,الأصناف!$A$2:$A$2000,0)),0))</f>
        <v/>
      </c>
      <c r="J69" s="4" t="n"/>
      <c r="K69" s="7">
        <f>IF(OR(B69="",B69&lt;&gt;الإيصال!$C$3),"",COUNTIF(B$2:B69,الإيصال!$C$3))</f>
        <v/>
      </c>
    </row>
    <row r="70">
      <c r="A70" s="6" t="n"/>
      <c r="B70" s="4" t="n"/>
      <c r="C70" s="4" t="n"/>
      <c r="D70" s="4" t="n"/>
      <c r="E70">
        <f>IF(D70="","",IFERROR(INDEX(الأصناف!$B$2:$B$2000,MATCH(D70,الأصناف!$A$2:$A$2000,0)),"كود غير موجود"))</f>
        <v/>
      </c>
      <c r="F70" s="4" t="n"/>
      <c r="G70">
        <f>IF(D70="","",IFERROR(INDEX(الأصناف!$C$2:$C$2000,MATCH(D70,الأصناف!$A$2:$A$2000,0)),0))</f>
        <v/>
      </c>
      <c r="H70">
        <f>IF(D70="","",F70*G70)</f>
        <v/>
      </c>
      <c r="I70">
        <f>IF(D70="","",H70-F70*IFERROR(INDEX(الأصناف!$D$2:$D$2000,MATCH(D70,الأصناف!$A$2:$A$2000,0)),0))</f>
        <v/>
      </c>
      <c r="J70" s="4" t="n"/>
      <c r="K70" s="7">
        <f>IF(OR(B70="",B70&lt;&gt;الإيصال!$C$3),"",COUNTIF(B$2:B70,الإيصال!$C$3))</f>
        <v/>
      </c>
    </row>
    <row r="71">
      <c r="A71" s="6" t="n"/>
      <c r="B71" s="4" t="n"/>
      <c r="C71" s="4" t="n"/>
      <c r="D71" s="4" t="n"/>
      <c r="E71">
        <f>IF(D71="","",IFERROR(INDEX(الأصناف!$B$2:$B$2000,MATCH(D71,الأصناف!$A$2:$A$2000,0)),"كود غير موجود"))</f>
        <v/>
      </c>
      <c r="F71" s="4" t="n"/>
      <c r="G71">
        <f>IF(D71="","",IFERROR(INDEX(الأصناف!$C$2:$C$2000,MATCH(D71,الأصناف!$A$2:$A$2000,0)),0))</f>
        <v/>
      </c>
      <c r="H71">
        <f>IF(D71="","",F71*G71)</f>
        <v/>
      </c>
      <c r="I71">
        <f>IF(D71="","",H71-F71*IFERROR(INDEX(الأصناف!$D$2:$D$2000,MATCH(D71,الأصناف!$A$2:$A$2000,0)),0))</f>
        <v/>
      </c>
      <c r="J71" s="4" t="n"/>
      <c r="K71" s="7">
        <f>IF(OR(B71="",B71&lt;&gt;الإيصال!$C$3),"",COUNTIF(B$2:B71,الإيصال!$C$3))</f>
        <v/>
      </c>
    </row>
    <row r="72">
      <c r="A72" s="6" t="n"/>
      <c r="B72" s="4" t="n"/>
      <c r="C72" s="4" t="n"/>
      <c r="D72" s="4" t="n"/>
      <c r="E72">
        <f>IF(D72="","",IFERROR(INDEX(الأصناف!$B$2:$B$2000,MATCH(D72,الأصناف!$A$2:$A$2000,0)),"كود غير موجود"))</f>
        <v/>
      </c>
      <c r="F72" s="4" t="n"/>
      <c r="G72">
        <f>IF(D72="","",IFERROR(INDEX(الأصناف!$C$2:$C$2000,MATCH(D72,الأصناف!$A$2:$A$2000,0)),0))</f>
        <v/>
      </c>
      <c r="H72">
        <f>IF(D72="","",F72*G72)</f>
        <v/>
      </c>
      <c r="I72">
        <f>IF(D72="","",H72-F72*IFERROR(INDEX(الأصناف!$D$2:$D$2000,MATCH(D72,الأصناف!$A$2:$A$2000,0)),0))</f>
        <v/>
      </c>
      <c r="J72" s="4" t="n"/>
      <c r="K72" s="7">
        <f>IF(OR(B72="",B72&lt;&gt;الإيصال!$C$3),"",COUNTIF(B$2:B72,الإيصال!$C$3))</f>
        <v/>
      </c>
    </row>
    <row r="73">
      <c r="A73" s="6" t="n"/>
      <c r="B73" s="4" t="n"/>
      <c r="C73" s="4" t="n"/>
      <c r="D73" s="4" t="n"/>
      <c r="E73">
        <f>IF(D73="","",IFERROR(INDEX(الأصناف!$B$2:$B$2000,MATCH(D73,الأصناف!$A$2:$A$2000,0)),"كود غير موجود"))</f>
        <v/>
      </c>
      <c r="F73" s="4" t="n"/>
      <c r="G73">
        <f>IF(D73="","",IFERROR(INDEX(الأصناف!$C$2:$C$2000,MATCH(D73,الأصناف!$A$2:$A$2000,0)),0))</f>
        <v/>
      </c>
      <c r="H73">
        <f>IF(D73="","",F73*G73)</f>
        <v/>
      </c>
      <c r="I73">
        <f>IF(D73="","",H73-F73*IFERROR(INDEX(الأصناف!$D$2:$D$2000,MATCH(D73,الأصناف!$A$2:$A$2000,0)),0))</f>
        <v/>
      </c>
      <c r="J73" s="4" t="n"/>
      <c r="K73" s="7">
        <f>IF(OR(B73="",B73&lt;&gt;الإيصال!$C$3),"",COUNTIF(B$2:B73,الإيصال!$C$3))</f>
        <v/>
      </c>
    </row>
    <row r="74">
      <c r="A74" s="6" t="n"/>
      <c r="B74" s="4" t="n"/>
      <c r="C74" s="4" t="n"/>
      <c r="D74" s="4" t="n"/>
      <c r="E74">
        <f>IF(D74="","",IFERROR(INDEX(الأصناف!$B$2:$B$2000,MATCH(D74,الأصناف!$A$2:$A$2000,0)),"كود غير موجود"))</f>
        <v/>
      </c>
      <c r="F74" s="4" t="n"/>
      <c r="G74">
        <f>IF(D74="","",IFERROR(INDEX(الأصناف!$C$2:$C$2000,MATCH(D74,الأصناف!$A$2:$A$2000,0)),0))</f>
        <v/>
      </c>
      <c r="H74">
        <f>IF(D74="","",F74*G74)</f>
        <v/>
      </c>
      <c r="I74">
        <f>IF(D74="","",H74-F74*IFERROR(INDEX(الأصناف!$D$2:$D$2000,MATCH(D74,الأصناف!$A$2:$A$2000,0)),0))</f>
        <v/>
      </c>
      <c r="J74" s="4" t="n"/>
      <c r="K74" s="7">
        <f>IF(OR(B74="",B74&lt;&gt;الإيصال!$C$3),"",COUNTIF(B$2:B74,الإيصال!$C$3))</f>
        <v/>
      </c>
    </row>
    <row r="75">
      <c r="A75" s="6" t="n"/>
      <c r="B75" s="4" t="n"/>
      <c r="C75" s="4" t="n"/>
      <c r="D75" s="4" t="n"/>
      <c r="E75">
        <f>IF(D75="","",IFERROR(INDEX(الأصناف!$B$2:$B$2000,MATCH(D75,الأصناف!$A$2:$A$2000,0)),"كود غير موجود"))</f>
        <v/>
      </c>
      <c r="F75" s="4" t="n"/>
      <c r="G75">
        <f>IF(D75="","",IFERROR(INDEX(الأصناف!$C$2:$C$2000,MATCH(D75,الأصناف!$A$2:$A$2000,0)),0))</f>
        <v/>
      </c>
      <c r="H75">
        <f>IF(D75="","",F75*G75)</f>
        <v/>
      </c>
      <c r="I75">
        <f>IF(D75="","",H75-F75*IFERROR(INDEX(الأصناف!$D$2:$D$2000,MATCH(D75,الأصناف!$A$2:$A$2000,0)),0))</f>
        <v/>
      </c>
      <c r="J75" s="4" t="n"/>
      <c r="K75" s="7">
        <f>IF(OR(B75="",B75&lt;&gt;الإيصال!$C$3),"",COUNTIF(B$2:B75,الإيصال!$C$3))</f>
        <v/>
      </c>
    </row>
    <row r="76">
      <c r="A76" s="6" t="n"/>
      <c r="B76" s="4" t="n"/>
      <c r="C76" s="4" t="n"/>
      <c r="D76" s="4" t="n"/>
      <c r="E76">
        <f>IF(D76="","",IFERROR(INDEX(الأصناف!$B$2:$B$2000,MATCH(D76,الأصناف!$A$2:$A$2000,0)),"كود غير موجود"))</f>
        <v/>
      </c>
      <c r="F76" s="4" t="n"/>
      <c r="G76">
        <f>IF(D76="","",IFERROR(INDEX(الأصناف!$C$2:$C$2000,MATCH(D76,الأصناف!$A$2:$A$2000,0)),0))</f>
        <v/>
      </c>
      <c r="H76">
        <f>IF(D76="","",F76*G76)</f>
        <v/>
      </c>
      <c r="I76">
        <f>IF(D76="","",H76-F76*IFERROR(INDEX(الأصناف!$D$2:$D$2000,MATCH(D76,الأصناف!$A$2:$A$2000,0)),0))</f>
        <v/>
      </c>
      <c r="J76" s="4" t="n"/>
      <c r="K76" s="7">
        <f>IF(OR(B76="",B76&lt;&gt;الإيصال!$C$3),"",COUNTIF(B$2:B76,الإيصال!$C$3))</f>
        <v/>
      </c>
    </row>
    <row r="77">
      <c r="A77" s="6" t="n"/>
      <c r="B77" s="4" t="n"/>
      <c r="C77" s="4" t="n"/>
      <c r="D77" s="4" t="n"/>
      <c r="E77">
        <f>IF(D77="","",IFERROR(INDEX(الأصناف!$B$2:$B$2000,MATCH(D77,الأصناف!$A$2:$A$2000,0)),"كود غير موجود"))</f>
        <v/>
      </c>
      <c r="F77" s="4" t="n"/>
      <c r="G77">
        <f>IF(D77="","",IFERROR(INDEX(الأصناف!$C$2:$C$2000,MATCH(D77,الأصناف!$A$2:$A$2000,0)),0))</f>
        <v/>
      </c>
      <c r="H77">
        <f>IF(D77="","",F77*G77)</f>
        <v/>
      </c>
      <c r="I77">
        <f>IF(D77="","",H77-F77*IFERROR(INDEX(الأصناف!$D$2:$D$2000,MATCH(D77,الأصناف!$A$2:$A$2000,0)),0))</f>
        <v/>
      </c>
      <c r="J77" s="4" t="n"/>
      <c r="K77" s="7">
        <f>IF(OR(B77="",B77&lt;&gt;الإيصال!$C$3),"",COUNTIF(B$2:B77,الإيصال!$C$3))</f>
        <v/>
      </c>
    </row>
    <row r="78">
      <c r="A78" s="6" t="n"/>
      <c r="B78" s="4" t="n"/>
      <c r="C78" s="4" t="n"/>
      <c r="D78" s="4" t="n"/>
      <c r="E78">
        <f>IF(D78="","",IFERROR(INDEX(الأصناف!$B$2:$B$2000,MATCH(D78,الأصناف!$A$2:$A$2000,0)),"كود غير موجود"))</f>
        <v/>
      </c>
      <c r="F78" s="4" t="n"/>
      <c r="G78">
        <f>IF(D78="","",IFERROR(INDEX(الأصناف!$C$2:$C$2000,MATCH(D78,الأصناف!$A$2:$A$2000,0)),0))</f>
        <v/>
      </c>
      <c r="H78">
        <f>IF(D78="","",F78*G78)</f>
        <v/>
      </c>
      <c r="I78">
        <f>IF(D78="","",H78-F78*IFERROR(INDEX(الأصناف!$D$2:$D$2000,MATCH(D78,الأصناف!$A$2:$A$2000,0)),0))</f>
        <v/>
      </c>
      <c r="J78" s="4" t="n"/>
      <c r="K78" s="7">
        <f>IF(OR(B78="",B78&lt;&gt;الإيصال!$C$3),"",COUNTIF(B$2:B78,الإيصال!$C$3))</f>
        <v/>
      </c>
    </row>
    <row r="79">
      <c r="A79" s="6" t="n"/>
      <c r="B79" s="4" t="n"/>
      <c r="C79" s="4" t="n"/>
      <c r="D79" s="4" t="n"/>
      <c r="E79">
        <f>IF(D79="","",IFERROR(INDEX(الأصناف!$B$2:$B$2000,MATCH(D79,الأصناف!$A$2:$A$2000,0)),"كود غير موجود"))</f>
        <v/>
      </c>
      <c r="F79" s="4" t="n"/>
      <c r="G79">
        <f>IF(D79="","",IFERROR(INDEX(الأصناف!$C$2:$C$2000,MATCH(D79,الأصناف!$A$2:$A$2000,0)),0))</f>
        <v/>
      </c>
      <c r="H79">
        <f>IF(D79="","",F79*G79)</f>
        <v/>
      </c>
      <c r="I79">
        <f>IF(D79="","",H79-F79*IFERROR(INDEX(الأصناف!$D$2:$D$2000,MATCH(D79,الأصناف!$A$2:$A$2000,0)),0))</f>
        <v/>
      </c>
      <c r="J79" s="4" t="n"/>
      <c r="K79" s="7">
        <f>IF(OR(B79="",B79&lt;&gt;الإيصال!$C$3),"",COUNTIF(B$2:B79,الإيصال!$C$3))</f>
        <v/>
      </c>
    </row>
    <row r="80">
      <c r="A80" s="6" t="n"/>
      <c r="B80" s="4" t="n"/>
      <c r="C80" s="4" t="n"/>
      <c r="D80" s="4" t="n"/>
      <c r="E80">
        <f>IF(D80="","",IFERROR(INDEX(الأصناف!$B$2:$B$2000,MATCH(D80,الأصناف!$A$2:$A$2000,0)),"كود غير موجود"))</f>
        <v/>
      </c>
      <c r="F80" s="4" t="n"/>
      <c r="G80">
        <f>IF(D80="","",IFERROR(INDEX(الأصناف!$C$2:$C$2000,MATCH(D80,الأصناف!$A$2:$A$2000,0)),0))</f>
        <v/>
      </c>
      <c r="H80">
        <f>IF(D80="","",F80*G80)</f>
        <v/>
      </c>
      <c r="I80">
        <f>IF(D80="","",H80-F80*IFERROR(INDEX(الأصناف!$D$2:$D$2000,MATCH(D80,الأصناف!$A$2:$A$2000,0)),0))</f>
        <v/>
      </c>
      <c r="J80" s="4" t="n"/>
      <c r="K80" s="7">
        <f>IF(OR(B80="",B80&lt;&gt;الإيصال!$C$3),"",COUNTIF(B$2:B80,الإيصال!$C$3))</f>
        <v/>
      </c>
    </row>
    <row r="81">
      <c r="A81" s="6" t="n"/>
      <c r="B81" s="4" t="n"/>
      <c r="C81" s="4" t="n"/>
      <c r="D81" s="4" t="n"/>
      <c r="E81">
        <f>IF(D81="","",IFERROR(INDEX(الأصناف!$B$2:$B$2000,MATCH(D81,الأصناف!$A$2:$A$2000,0)),"كود غير موجود"))</f>
        <v/>
      </c>
      <c r="F81" s="4" t="n"/>
      <c r="G81">
        <f>IF(D81="","",IFERROR(INDEX(الأصناف!$C$2:$C$2000,MATCH(D81,الأصناف!$A$2:$A$2000,0)),0))</f>
        <v/>
      </c>
      <c r="H81">
        <f>IF(D81="","",F81*G81)</f>
        <v/>
      </c>
      <c r="I81">
        <f>IF(D81="","",H81-F81*IFERROR(INDEX(الأصناف!$D$2:$D$2000,MATCH(D81,الأصناف!$A$2:$A$2000,0)),0))</f>
        <v/>
      </c>
      <c r="J81" s="4" t="n"/>
      <c r="K81" s="7">
        <f>IF(OR(B81="",B81&lt;&gt;الإيصال!$C$3),"",COUNTIF(B$2:B81,الإيصال!$C$3))</f>
        <v/>
      </c>
    </row>
    <row r="82">
      <c r="A82" s="6" t="n"/>
      <c r="B82" s="4" t="n"/>
      <c r="C82" s="4" t="n"/>
      <c r="D82" s="4" t="n"/>
      <c r="E82">
        <f>IF(D82="","",IFERROR(INDEX(الأصناف!$B$2:$B$2000,MATCH(D82,الأصناف!$A$2:$A$2000,0)),"كود غير موجود"))</f>
        <v/>
      </c>
      <c r="F82" s="4" t="n"/>
      <c r="G82">
        <f>IF(D82="","",IFERROR(INDEX(الأصناف!$C$2:$C$2000,MATCH(D82,الأصناف!$A$2:$A$2000,0)),0))</f>
        <v/>
      </c>
      <c r="H82">
        <f>IF(D82="","",F82*G82)</f>
        <v/>
      </c>
      <c r="I82">
        <f>IF(D82="","",H82-F82*IFERROR(INDEX(الأصناف!$D$2:$D$2000,MATCH(D82,الأصناف!$A$2:$A$2000,0)),0))</f>
        <v/>
      </c>
      <c r="J82" s="4" t="n"/>
      <c r="K82" s="7">
        <f>IF(OR(B82="",B82&lt;&gt;الإيصال!$C$3),"",COUNTIF(B$2:B82,الإيصال!$C$3))</f>
        <v/>
      </c>
    </row>
    <row r="83">
      <c r="A83" s="6" t="n"/>
      <c r="B83" s="4" t="n"/>
      <c r="C83" s="4" t="n"/>
      <c r="D83" s="4" t="n"/>
      <c r="E83">
        <f>IF(D83="","",IFERROR(INDEX(الأصناف!$B$2:$B$2000,MATCH(D83,الأصناف!$A$2:$A$2000,0)),"كود غير موجود"))</f>
        <v/>
      </c>
      <c r="F83" s="4" t="n"/>
      <c r="G83">
        <f>IF(D83="","",IFERROR(INDEX(الأصناف!$C$2:$C$2000,MATCH(D83,الأصناف!$A$2:$A$2000,0)),0))</f>
        <v/>
      </c>
      <c r="H83">
        <f>IF(D83="","",F83*G83)</f>
        <v/>
      </c>
      <c r="I83">
        <f>IF(D83="","",H83-F83*IFERROR(INDEX(الأصناف!$D$2:$D$2000,MATCH(D83,الأصناف!$A$2:$A$2000,0)),0))</f>
        <v/>
      </c>
      <c r="J83" s="4" t="n"/>
      <c r="K83" s="7">
        <f>IF(OR(B83="",B83&lt;&gt;الإيصال!$C$3),"",COUNTIF(B$2:B83,الإيصال!$C$3))</f>
        <v/>
      </c>
    </row>
    <row r="84">
      <c r="A84" s="6" t="n"/>
      <c r="B84" s="4" t="n"/>
      <c r="C84" s="4" t="n"/>
      <c r="D84" s="4" t="n"/>
      <c r="E84">
        <f>IF(D84="","",IFERROR(INDEX(الأصناف!$B$2:$B$2000,MATCH(D84,الأصناف!$A$2:$A$2000,0)),"كود غير موجود"))</f>
        <v/>
      </c>
      <c r="F84" s="4" t="n"/>
      <c r="G84">
        <f>IF(D84="","",IFERROR(INDEX(الأصناف!$C$2:$C$2000,MATCH(D84,الأصناف!$A$2:$A$2000,0)),0))</f>
        <v/>
      </c>
      <c r="H84">
        <f>IF(D84="","",F84*G84)</f>
        <v/>
      </c>
      <c r="I84">
        <f>IF(D84="","",H84-F84*IFERROR(INDEX(الأصناف!$D$2:$D$2000,MATCH(D84,الأصناف!$A$2:$A$2000,0)),0))</f>
        <v/>
      </c>
      <c r="J84" s="4" t="n"/>
      <c r="K84" s="7">
        <f>IF(OR(B84="",B84&lt;&gt;الإيصال!$C$3),"",COUNTIF(B$2:B84,الإيصال!$C$3))</f>
        <v/>
      </c>
    </row>
    <row r="85">
      <c r="A85" s="6" t="n"/>
      <c r="B85" s="4" t="n"/>
      <c r="C85" s="4" t="n"/>
      <c r="D85" s="4" t="n"/>
      <c r="E85">
        <f>IF(D85="","",IFERROR(INDEX(الأصناف!$B$2:$B$2000,MATCH(D85,الأصناف!$A$2:$A$2000,0)),"كود غير موجود"))</f>
        <v/>
      </c>
      <c r="F85" s="4" t="n"/>
      <c r="G85">
        <f>IF(D85="","",IFERROR(INDEX(الأصناف!$C$2:$C$2000,MATCH(D85,الأصناف!$A$2:$A$2000,0)),0))</f>
        <v/>
      </c>
      <c r="H85">
        <f>IF(D85="","",F85*G85)</f>
        <v/>
      </c>
      <c r="I85">
        <f>IF(D85="","",H85-F85*IFERROR(INDEX(الأصناف!$D$2:$D$2000,MATCH(D85,الأصناف!$A$2:$A$2000,0)),0))</f>
        <v/>
      </c>
      <c r="J85" s="4" t="n"/>
      <c r="K85" s="7">
        <f>IF(OR(B85="",B85&lt;&gt;الإيصال!$C$3),"",COUNTIF(B$2:B85,الإيصال!$C$3))</f>
        <v/>
      </c>
    </row>
    <row r="86">
      <c r="A86" s="6" t="n"/>
      <c r="B86" s="4" t="n"/>
      <c r="C86" s="4" t="n"/>
      <c r="D86" s="4" t="n"/>
      <c r="E86">
        <f>IF(D86="","",IFERROR(INDEX(الأصناف!$B$2:$B$2000,MATCH(D86,الأصناف!$A$2:$A$2000,0)),"كود غير موجود"))</f>
        <v/>
      </c>
      <c r="F86" s="4" t="n"/>
      <c r="G86">
        <f>IF(D86="","",IFERROR(INDEX(الأصناف!$C$2:$C$2000,MATCH(D86,الأصناف!$A$2:$A$2000,0)),0))</f>
        <v/>
      </c>
      <c r="H86">
        <f>IF(D86="","",F86*G86)</f>
        <v/>
      </c>
      <c r="I86">
        <f>IF(D86="","",H86-F86*IFERROR(INDEX(الأصناف!$D$2:$D$2000,MATCH(D86,الأصناف!$A$2:$A$2000,0)),0))</f>
        <v/>
      </c>
      <c r="J86" s="4" t="n"/>
      <c r="K86" s="7">
        <f>IF(OR(B86="",B86&lt;&gt;الإيصال!$C$3),"",COUNTIF(B$2:B86,الإيصال!$C$3))</f>
        <v/>
      </c>
    </row>
    <row r="87">
      <c r="A87" s="6" t="n"/>
      <c r="B87" s="4" t="n"/>
      <c r="C87" s="4" t="n"/>
      <c r="D87" s="4" t="n"/>
      <c r="E87">
        <f>IF(D87="","",IFERROR(INDEX(الأصناف!$B$2:$B$2000,MATCH(D87,الأصناف!$A$2:$A$2000,0)),"كود غير موجود"))</f>
        <v/>
      </c>
      <c r="F87" s="4" t="n"/>
      <c r="G87">
        <f>IF(D87="","",IFERROR(INDEX(الأصناف!$C$2:$C$2000,MATCH(D87,الأصناف!$A$2:$A$2000,0)),0))</f>
        <v/>
      </c>
      <c r="H87">
        <f>IF(D87="","",F87*G87)</f>
        <v/>
      </c>
      <c r="I87">
        <f>IF(D87="","",H87-F87*IFERROR(INDEX(الأصناف!$D$2:$D$2000,MATCH(D87,الأصناف!$A$2:$A$2000,0)),0))</f>
        <v/>
      </c>
      <c r="J87" s="4" t="n"/>
      <c r="K87" s="7">
        <f>IF(OR(B87="",B87&lt;&gt;الإيصال!$C$3),"",COUNTIF(B$2:B87,الإيصال!$C$3))</f>
        <v/>
      </c>
    </row>
    <row r="88">
      <c r="A88" s="6" t="n"/>
      <c r="B88" s="4" t="n"/>
      <c r="C88" s="4" t="n"/>
      <c r="D88" s="4" t="n"/>
      <c r="E88">
        <f>IF(D88="","",IFERROR(INDEX(الأصناف!$B$2:$B$2000,MATCH(D88,الأصناف!$A$2:$A$2000,0)),"كود غير موجود"))</f>
        <v/>
      </c>
      <c r="F88" s="4" t="n"/>
      <c r="G88">
        <f>IF(D88="","",IFERROR(INDEX(الأصناف!$C$2:$C$2000,MATCH(D88,الأصناف!$A$2:$A$2000,0)),0))</f>
        <v/>
      </c>
      <c r="H88">
        <f>IF(D88="","",F88*G88)</f>
        <v/>
      </c>
      <c r="I88">
        <f>IF(D88="","",H88-F88*IFERROR(INDEX(الأصناف!$D$2:$D$2000,MATCH(D88,الأصناف!$A$2:$A$2000,0)),0))</f>
        <v/>
      </c>
      <c r="J88" s="4" t="n"/>
      <c r="K88" s="7">
        <f>IF(OR(B88="",B88&lt;&gt;الإيصال!$C$3),"",COUNTIF(B$2:B88,الإيصال!$C$3))</f>
        <v/>
      </c>
    </row>
    <row r="89">
      <c r="A89" s="6" t="n"/>
      <c r="B89" s="4" t="n"/>
      <c r="C89" s="4" t="n"/>
      <c r="D89" s="4" t="n"/>
      <c r="E89">
        <f>IF(D89="","",IFERROR(INDEX(الأصناف!$B$2:$B$2000,MATCH(D89,الأصناف!$A$2:$A$2000,0)),"كود غير موجود"))</f>
        <v/>
      </c>
      <c r="F89" s="4" t="n"/>
      <c r="G89">
        <f>IF(D89="","",IFERROR(INDEX(الأصناف!$C$2:$C$2000,MATCH(D89,الأصناف!$A$2:$A$2000,0)),0))</f>
        <v/>
      </c>
      <c r="H89">
        <f>IF(D89="","",F89*G89)</f>
        <v/>
      </c>
      <c r="I89">
        <f>IF(D89="","",H89-F89*IFERROR(INDEX(الأصناف!$D$2:$D$2000,MATCH(D89,الأصناف!$A$2:$A$2000,0)),0))</f>
        <v/>
      </c>
      <c r="J89" s="4" t="n"/>
      <c r="K89" s="7">
        <f>IF(OR(B89="",B89&lt;&gt;الإيصال!$C$3),"",COUNTIF(B$2:B89,الإيصال!$C$3))</f>
        <v/>
      </c>
    </row>
    <row r="90">
      <c r="A90" s="6" t="n"/>
      <c r="B90" s="4" t="n"/>
      <c r="C90" s="4" t="n"/>
      <c r="D90" s="4" t="n"/>
      <c r="E90">
        <f>IF(D90="","",IFERROR(INDEX(الأصناف!$B$2:$B$2000,MATCH(D90,الأصناف!$A$2:$A$2000,0)),"كود غير موجود"))</f>
        <v/>
      </c>
      <c r="F90" s="4" t="n"/>
      <c r="G90">
        <f>IF(D90="","",IFERROR(INDEX(الأصناف!$C$2:$C$2000,MATCH(D90,الأصناف!$A$2:$A$2000,0)),0))</f>
        <v/>
      </c>
      <c r="H90">
        <f>IF(D90="","",F90*G90)</f>
        <v/>
      </c>
      <c r="I90">
        <f>IF(D90="","",H90-F90*IFERROR(INDEX(الأصناف!$D$2:$D$2000,MATCH(D90,الأصناف!$A$2:$A$2000,0)),0))</f>
        <v/>
      </c>
      <c r="J90" s="4" t="n"/>
      <c r="K90" s="7">
        <f>IF(OR(B90="",B90&lt;&gt;الإيصال!$C$3),"",COUNTIF(B$2:B90,الإيصال!$C$3))</f>
        <v/>
      </c>
    </row>
    <row r="91">
      <c r="A91" s="6" t="n"/>
      <c r="B91" s="4" t="n"/>
      <c r="C91" s="4" t="n"/>
      <c r="D91" s="4" t="n"/>
      <c r="E91">
        <f>IF(D91="","",IFERROR(INDEX(الأصناف!$B$2:$B$2000,MATCH(D91,الأصناف!$A$2:$A$2000,0)),"كود غير موجود"))</f>
        <v/>
      </c>
      <c r="F91" s="4" t="n"/>
      <c r="G91">
        <f>IF(D91="","",IFERROR(INDEX(الأصناف!$C$2:$C$2000,MATCH(D91,الأصناف!$A$2:$A$2000,0)),0))</f>
        <v/>
      </c>
      <c r="H91">
        <f>IF(D91="","",F91*G91)</f>
        <v/>
      </c>
      <c r="I91">
        <f>IF(D91="","",H91-F91*IFERROR(INDEX(الأصناف!$D$2:$D$2000,MATCH(D91,الأصناف!$A$2:$A$2000,0)),0))</f>
        <v/>
      </c>
      <c r="J91" s="4" t="n"/>
      <c r="K91" s="7">
        <f>IF(OR(B91="",B91&lt;&gt;الإيصال!$C$3),"",COUNTIF(B$2:B91,الإيصال!$C$3))</f>
        <v/>
      </c>
    </row>
    <row r="92">
      <c r="A92" s="6" t="n"/>
      <c r="B92" s="4" t="n"/>
      <c r="C92" s="4" t="n"/>
      <c r="D92" s="4" t="n"/>
      <c r="E92">
        <f>IF(D92="","",IFERROR(INDEX(الأصناف!$B$2:$B$2000,MATCH(D92,الأصناف!$A$2:$A$2000,0)),"كود غير موجود"))</f>
        <v/>
      </c>
      <c r="F92" s="4" t="n"/>
      <c r="G92">
        <f>IF(D92="","",IFERROR(INDEX(الأصناف!$C$2:$C$2000,MATCH(D92,الأصناف!$A$2:$A$2000,0)),0))</f>
        <v/>
      </c>
      <c r="H92">
        <f>IF(D92="","",F92*G92)</f>
        <v/>
      </c>
      <c r="I92">
        <f>IF(D92="","",H92-F92*IFERROR(INDEX(الأصناف!$D$2:$D$2000,MATCH(D92,الأصناف!$A$2:$A$2000,0)),0))</f>
        <v/>
      </c>
      <c r="J92" s="4" t="n"/>
      <c r="K92" s="7">
        <f>IF(OR(B92="",B92&lt;&gt;الإيصال!$C$3),"",COUNTIF(B$2:B92,الإيصال!$C$3))</f>
        <v/>
      </c>
    </row>
    <row r="93">
      <c r="A93" s="6" t="n"/>
      <c r="B93" s="4" t="n"/>
      <c r="C93" s="4" t="n"/>
      <c r="D93" s="4" t="n"/>
      <c r="E93">
        <f>IF(D93="","",IFERROR(INDEX(الأصناف!$B$2:$B$2000,MATCH(D93,الأصناف!$A$2:$A$2000,0)),"كود غير موجود"))</f>
        <v/>
      </c>
      <c r="F93" s="4" t="n"/>
      <c r="G93">
        <f>IF(D93="","",IFERROR(INDEX(الأصناف!$C$2:$C$2000,MATCH(D93,الأصناف!$A$2:$A$2000,0)),0))</f>
        <v/>
      </c>
      <c r="H93">
        <f>IF(D93="","",F93*G93)</f>
        <v/>
      </c>
      <c r="I93">
        <f>IF(D93="","",H93-F93*IFERROR(INDEX(الأصناف!$D$2:$D$2000,MATCH(D93,الأصناف!$A$2:$A$2000,0)),0))</f>
        <v/>
      </c>
      <c r="J93" s="4" t="n"/>
      <c r="K93" s="7">
        <f>IF(OR(B93="",B93&lt;&gt;الإيصال!$C$3),"",COUNTIF(B$2:B93,الإيصال!$C$3))</f>
        <v/>
      </c>
    </row>
    <row r="94">
      <c r="A94" s="6" t="n"/>
      <c r="B94" s="4" t="n"/>
      <c r="C94" s="4" t="n"/>
      <c r="D94" s="4" t="n"/>
      <c r="E94">
        <f>IF(D94="","",IFERROR(INDEX(الأصناف!$B$2:$B$2000,MATCH(D94,الأصناف!$A$2:$A$2000,0)),"كود غير موجود"))</f>
        <v/>
      </c>
      <c r="F94" s="4" t="n"/>
      <c r="G94">
        <f>IF(D94="","",IFERROR(INDEX(الأصناف!$C$2:$C$2000,MATCH(D94,الأصناف!$A$2:$A$2000,0)),0))</f>
        <v/>
      </c>
      <c r="H94">
        <f>IF(D94="","",F94*G94)</f>
        <v/>
      </c>
      <c r="I94">
        <f>IF(D94="","",H94-F94*IFERROR(INDEX(الأصناف!$D$2:$D$2000,MATCH(D94,الأصناف!$A$2:$A$2000,0)),0))</f>
        <v/>
      </c>
      <c r="J94" s="4" t="n"/>
      <c r="K94" s="7">
        <f>IF(OR(B94="",B94&lt;&gt;الإيصال!$C$3),"",COUNTIF(B$2:B94,الإيصال!$C$3))</f>
        <v/>
      </c>
    </row>
    <row r="95">
      <c r="A95" s="6" t="n"/>
      <c r="B95" s="4" t="n"/>
      <c r="C95" s="4" t="n"/>
      <c r="D95" s="4" t="n"/>
      <c r="E95">
        <f>IF(D95="","",IFERROR(INDEX(الأصناف!$B$2:$B$2000,MATCH(D95,الأصناف!$A$2:$A$2000,0)),"كود غير موجود"))</f>
        <v/>
      </c>
      <c r="F95" s="4" t="n"/>
      <c r="G95">
        <f>IF(D95="","",IFERROR(INDEX(الأصناف!$C$2:$C$2000,MATCH(D95,الأصناف!$A$2:$A$2000,0)),0))</f>
        <v/>
      </c>
      <c r="H95">
        <f>IF(D95="","",F95*G95)</f>
        <v/>
      </c>
      <c r="I95">
        <f>IF(D95="","",H95-F95*IFERROR(INDEX(الأصناف!$D$2:$D$2000,MATCH(D95,الأصناف!$A$2:$A$2000,0)),0))</f>
        <v/>
      </c>
      <c r="J95" s="4" t="n"/>
      <c r="K95" s="7">
        <f>IF(OR(B95="",B95&lt;&gt;الإيصال!$C$3),"",COUNTIF(B$2:B95,الإيصال!$C$3))</f>
        <v/>
      </c>
    </row>
    <row r="96">
      <c r="A96" s="6" t="n"/>
      <c r="B96" s="4" t="n"/>
      <c r="C96" s="4" t="n"/>
      <c r="D96" s="4" t="n"/>
      <c r="E96">
        <f>IF(D96="","",IFERROR(INDEX(الأصناف!$B$2:$B$2000,MATCH(D96,الأصناف!$A$2:$A$2000,0)),"كود غير موجود"))</f>
        <v/>
      </c>
      <c r="F96" s="4" t="n"/>
      <c r="G96">
        <f>IF(D96="","",IFERROR(INDEX(الأصناف!$C$2:$C$2000,MATCH(D96,الأصناف!$A$2:$A$2000,0)),0))</f>
        <v/>
      </c>
      <c r="H96">
        <f>IF(D96="","",F96*G96)</f>
        <v/>
      </c>
      <c r="I96">
        <f>IF(D96="","",H96-F96*IFERROR(INDEX(الأصناف!$D$2:$D$2000,MATCH(D96,الأصناف!$A$2:$A$2000,0)),0))</f>
        <v/>
      </c>
      <c r="J96" s="4" t="n"/>
      <c r="K96" s="7">
        <f>IF(OR(B96="",B96&lt;&gt;الإيصال!$C$3),"",COUNTIF(B$2:B96,الإيصال!$C$3))</f>
        <v/>
      </c>
    </row>
    <row r="97">
      <c r="A97" s="6" t="n"/>
      <c r="B97" s="4" t="n"/>
      <c r="C97" s="4" t="n"/>
      <c r="D97" s="4" t="n"/>
      <c r="E97">
        <f>IF(D97="","",IFERROR(INDEX(الأصناف!$B$2:$B$2000,MATCH(D97,الأصناف!$A$2:$A$2000,0)),"كود غير موجود"))</f>
        <v/>
      </c>
      <c r="F97" s="4" t="n"/>
      <c r="G97">
        <f>IF(D97="","",IFERROR(INDEX(الأصناف!$C$2:$C$2000,MATCH(D97,الأصناف!$A$2:$A$2000,0)),0))</f>
        <v/>
      </c>
      <c r="H97">
        <f>IF(D97="","",F97*G97)</f>
        <v/>
      </c>
      <c r="I97">
        <f>IF(D97="","",H97-F97*IFERROR(INDEX(الأصناف!$D$2:$D$2000,MATCH(D97,الأصناف!$A$2:$A$2000,0)),0))</f>
        <v/>
      </c>
      <c r="J97" s="4" t="n"/>
      <c r="K97" s="7">
        <f>IF(OR(B97="",B97&lt;&gt;الإيصال!$C$3),"",COUNTIF(B$2:B97,الإيصال!$C$3))</f>
        <v/>
      </c>
    </row>
    <row r="98">
      <c r="A98" s="6" t="n"/>
      <c r="B98" s="4" t="n"/>
      <c r="C98" s="4" t="n"/>
      <c r="D98" s="4" t="n"/>
      <c r="E98">
        <f>IF(D98="","",IFERROR(INDEX(الأصناف!$B$2:$B$2000,MATCH(D98,الأصناف!$A$2:$A$2000,0)),"كود غير موجود"))</f>
        <v/>
      </c>
      <c r="F98" s="4" t="n"/>
      <c r="G98">
        <f>IF(D98="","",IFERROR(INDEX(الأصناف!$C$2:$C$2000,MATCH(D98,الأصناف!$A$2:$A$2000,0)),0))</f>
        <v/>
      </c>
      <c r="H98">
        <f>IF(D98="","",F98*G98)</f>
        <v/>
      </c>
      <c r="I98">
        <f>IF(D98="","",H98-F98*IFERROR(INDEX(الأصناف!$D$2:$D$2000,MATCH(D98,الأصناف!$A$2:$A$2000,0)),0))</f>
        <v/>
      </c>
      <c r="J98" s="4" t="n"/>
      <c r="K98" s="7">
        <f>IF(OR(B98="",B98&lt;&gt;الإيصال!$C$3),"",COUNTIF(B$2:B98,الإيصال!$C$3))</f>
        <v/>
      </c>
    </row>
    <row r="99">
      <c r="A99" s="6" t="n"/>
      <c r="B99" s="4" t="n"/>
      <c r="C99" s="4" t="n"/>
      <c r="D99" s="4" t="n"/>
      <c r="E99">
        <f>IF(D99="","",IFERROR(INDEX(الأصناف!$B$2:$B$2000,MATCH(D99,الأصناف!$A$2:$A$2000,0)),"كود غير موجود"))</f>
        <v/>
      </c>
      <c r="F99" s="4" t="n"/>
      <c r="G99">
        <f>IF(D99="","",IFERROR(INDEX(الأصناف!$C$2:$C$2000,MATCH(D99,الأصناف!$A$2:$A$2000,0)),0))</f>
        <v/>
      </c>
      <c r="H99">
        <f>IF(D99="","",F99*G99)</f>
        <v/>
      </c>
      <c r="I99">
        <f>IF(D99="","",H99-F99*IFERROR(INDEX(الأصناف!$D$2:$D$2000,MATCH(D99,الأصناف!$A$2:$A$2000,0)),0))</f>
        <v/>
      </c>
      <c r="J99" s="4" t="n"/>
      <c r="K99" s="7">
        <f>IF(OR(B99="",B99&lt;&gt;الإيصال!$C$3),"",COUNTIF(B$2:B99,الإيصال!$C$3))</f>
        <v/>
      </c>
    </row>
    <row r="100">
      <c r="A100" s="6" t="n"/>
      <c r="B100" s="4" t="n"/>
      <c r="C100" s="4" t="n"/>
      <c r="D100" s="4" t="n"/>
      <c r="E100">
        <f>IF(D100="","",IFERROR(INDEX(الأصناف!$B$2:$B$2000,MATCH(D100,الأصناف!$A$2:$A$2000,0)),"كود غير موجود"))</f>
        <v/>
      </c>
      <c r="F100" s="4" t="n"/>
      <c r="G100">
        <f>IF(D100="","",IFERROR(INDEX(الأصناف!$C$2:$C$2000,MATCH(D100,الأصناف!$A$2:$A$2000,0)),0))</f>
        <v/>
      </c>
      <c r="H100">
        <f>IF(D100="","",F100*G100)</f>
        <v/>
      </c>
      <c r="I100">
        <f>IF(D100="","",H100-F100*IFERROR(INDEX(الأصناف!$D$2:$D$2000,MATCH(D100,الأصناف!$A$2:$A$2000,0)),0))</f>
        <v/>
      </c>
      <c r="J100" s="4" t="n"/>
      <c r="K100" s="7">
        <f>IF(OR(B100="",B100&lt;&gt;الإيصال!$C$3),"",COUNTIF(B$2:B100,الإيصال!$C$3))</f>
        <v/>
      </c>
    </row>
    <row r="101">
      <c r="A101" s="6" t="n"/>
      <c r="B101" s="4" t="n"/>
      <c r="C101" s="4" t="n"/>
      <c r="D101" s="4" t="n"/>
      <c r="E101">
        <f>IF(D101="","",IFERROR(INDEX(الأصناف!$B$2:$B$2000,MATCH(D101,الأصناف!$A$2:$A$2000,0)),"كود غير موجود"))</f>
        <v/>
      </c>
      <c r="F101" s="4" t="n"/>
      <c r="G101">
        <f>IF(D101="","",IFERROR(INDEX(الأصناف!$C$2:$C$2000,MATCH(D101,الأصناف!$A$2:$A$2000,0)),0))</f>
        <v/>
      </c>
      <c r="H101">
        <f>IF(D101="","",F101*G101)</f>
        <v/>
      </c>
      <c r="I101">
        <f>IF(D101="","",H101-F101*IFERROR(INDEX(الأصناف!$D$2:$D$2000,MATCH(D101,الأصناف!$A$2:$A$2000,0)),0))</f>
        <v/>
      </c>
      <c r="J101" s="4" t="n"/>
      <c r="K101" s="7">
        <f>IF(OR(B101="",B101&lt;&gt;الإيصال!$C$3),"",COUNTIF(B$2:B101,الإيصال!$C$3))</f>
        <v/>
      </c>
    </row>
    <row r="102">
      <c r="A102" s="6" t="n"/>
      <c r="B102" s="4" t="n"/>
      <c r="C102" s="4" t="n"/>
      <c r="D102" s="4" t="n"/>
      <c r="E102">
        <f>IF(D102="","",IFERROR(INDEX(الأصناف!$B$2:$B$2000,MATCH(D102,الأصناف!$A$2:$A$2000,0)),"كود غير موجود"))</f>
        <v/>
      </c>
      <c r="F102" s="4" t="n"/>
      <c r="G102">
        <f>IF(D102="","",IFERROR(INDEX(الأصناف!$C$2:$C$2000,MATCH(D102,الأصناف!$A$2:$A$2000,0)),0))</f>
        <v/>
      </c>
      <c r="H102">
        <f>IF(D102="","",F102*G102)</f>
        <v/>
      </c>
      <c r="I102">
        <f>IF(D102="","",H102-F102*IFERROR(INDEX(الأصناف!$D$2:$D$2000,MATCH(D102,الأصناف!$A$2:$A$2000,0)),0))</f>
        <v/>
      </c>
      <c r="J102" s="4" t="n"/>
      <c r="K102" s="7">
        <f>IF(OR(B102="",B102&lt;&gt;الإيصال!$C$3),"",COUNTIF(B$2:B102,الإيصال!$C$3))</f>
        <v/>
      </c>
    </row>
    <row r="103">
      <c r="A103" s="6" t="n"/>
      <c r="B103" s="4" t="n"/>
      <c r="C103" s="4" t="n"/>
      <c r="D103" s="4" t="n"/>
      <c r="E103">
        <f>IF(D103="","",IFERROR(INDEX(الأصناف!$B$2:$B$2000,MATCH(D103,الأصناف!$A$2:$A$2000,0)),"كود غير موجود"))</f>
        <v/>
      </c>
      <c r="F103" s="4" t="n"/>
      <c r="G103">
        <f>IF(D103="","",IFERROR(INDEX(الأصناف!$C$2:$C$2000,MATCH(D103,الأصناف!$A$2:$A$2000,0)),0))</f>
        <v/>
      </c>
      <c r="H103">
        <f>IF(D103="","",F103*G103)</f>
        <v/>
      </c>
      <c r="I103">
        <f>IF(D103="","",H103-F103*IFERROR(INDEX(الأصناف!$D$2:$D$2000,MATCH(D103,الأصناف!$A$2:$A$2000,0)),0))</f>
        <v/>
      </c>
      <c r="J103" s="4" t="n"/>
      <c r="K103" s="7">
        <f>IF(OR(B103="",B103&lt;&gt;الإيصال!$C$3),"",COUNTIF(B$2:B103,الإيصال!$C$3))</f>
        <v/>
      </c>
    </row>
    <row r="104">
      <c r="A104" s="6" t="n"/>
      <c r="B104" s="4" t="n"/>
      <c r="C104" s="4" t="n"/>
      <c r="D104" s="4" t="n"/>
      <c r="E104">
        <f>IF(D104="","",IFERROR(INDEX(الأصناف!$B$2:$B$2000,MATCH(D104,الأصناف!$A$2:$A$2000,0)),"كود غير موجود"))</f>
        <v/>
      </c>
      <c r="F104" s="4" t="n"/>
      <c r="G104">
        <f>IF(D104="","",IFERROR(INDEX(الأصناف!$C$2:$C$2000,MATCH(D104,الأصناف!$A$2:$A$2000,0)),0))</f>
        <v/>
      </c>
      <c r="H104">
        <f>IF(D104="","",F104*G104)</f>
        <v/>
      </c>
      <c r="I104">
        <f>IF(D104="","",H104-F104*IFERROR(INDEX(الأصناف!$D$2:$D$2000,MATCH(D104,الأصناف!$A$2:$A$2000,0)),0))</f>
        <v/>
      </c>
      <c r="J104" s="4" t="n"/>
      <c r="K104" s="7">
        <f>IF(OR(B104="",B104&lt;&gt;الإيصال!$C$3),"",COUNTIF(B$2:B104,الإيصال!$C$3))</f>
        <v/>
      </c>
    </row>
    <row r="105">
      <c r="A105" s="6" t="n"/>
      <c r="B105" s="4" t="n"/>
      <c r="C105" s="4" t="n"/>
      <c r="D105" s="4" t="n"/>
      <c r="E105">
        <f>IF(D105="","",IFERROR(INDEX(الأصناف!$B$2:$B$2000,MATCH(D105,الأصناف!$A$2:$A$2000,0)),"كود غير موجود"))</f>
        <v/>
      </c>
      <c r="F105" s="4" t="n"/>
      <c r="G105">
        <f>IF(D105="","",IFERROR(INDEX(الأصناف!$C$2:$C$2000,MATCH(D105,الأصناف!$A$2:$A$2000,0)),0))</f>
        <v/>
      </c>
      <c r="H105">
        <f>IF(D105="","",F105*G105)</f>
        <v/>
      </c>
      <c r="I105">
        <f>IF(D105="","",H105-F105*IFERROR(INDEX(الأصناف!$D$2:$D$2000,MATCH(D105,الأصناف!$A$2:$A$2000,0)),0))</f>
        <v/>
      </c>
      <c r="J105" s="4" t="n"/>
      <c r="K105" s="7">
        <f>IF(OR(B105="",B105&lt;&gt;الإيصال!$C$3),"",COUNTIF(B$2:B105,الإيصال!$C$3))</f>
        <v/>
      </c>
    </row>
    <row r="106">
      <c r="A106" s="6" t="n"/>
      <c r="B106" s="4" t="n"/>
      <c r="C106" s="4" t="n"/>
      <c r="D106" s="4" t="n"/>
      <c r="E106">
        <f>IF(D106="","",IFERROR(INDEX(الأصناف!$B$2:$B$2000,MATCH(D106,الأصناف!$A$2:$A$2000,0)),"كود غير موجود"))</f>
        <v/>
      </c>
      <c r="F106" s="4" t="n"/>
      <c r="G106">
        <f>IF(D106="","",IFERROR(INDEX(الأصناف!$C$2:$C$2000,MATCH(D106,الأصناف!$A$2:$A$2000,0)),0))</f>
        <v/>
      </c>
      <c r="H106">
        <f>IF(D106="","",F106*G106)</f>
        <v/>
      </c>
      <c r="I106">
        <f>IF(D106="","",H106-F106*IFERROR(INDEX(الأصناف!$D$2:$D$2000,MATCH(D106,الأصناف!$A$2:$A$2000,0)),0))</f>
        <v/>
      </c>
      <c r="J106" s="4" t="n"/>
      <c r="K106" s="7">
        <f>IF(OR(B106="",B106&lt;&gt;الإيصال!$C$3),"",COUNTIF(B$2:B106,الإيصال!$C$3))</f>
        <v/>
      </c>
    </row>
    <row r="107">
      <c r="A107" s="6" t="n"/>
      <c r="B107" s="4" t="n"/>
      <c r="C107" s="4" t="n"/>
      <c r="D107" s="4" t="n"/>
      <c r="E107">
        <f>IF(D107="","",IFERROR(INDEX(الأصناف!$B$2:$B$2000,MATCH(D107,الأصناف!$A$2:$A$2000,0)),"كود غير موجود"))</f>
        <v/>
      </c>
      <c r="F107" s="4" t="n"/>
      <c r="G107">
        <f>IF(D107="","",IFERROR(INDEX(الأصناف!$C$2:$C$2000,MATCH(D107,الأصناف!$A$2:$A$2000,0)),0))</f>
        <v/>
      </c>
      <c r="H107">
        <f>IF(D107="","",F107*G107)</f>
        <v/>
      </c>
      <c r="I107">
        <f>IF(D107="","",H107-F107*IFERROR(INDEX(الأصناف!$D$2:$D$2000,MATCH(D107,الأصناف!$A$2:$A$2000,0)),0))</f>
        <v/>
      </c>
      <c r="J107" s="4" t="n"/>
      <c r="K107" s="7">
        <f>IF(OR(B107="",B107&lt;&gt;الإيصال!$C$3),"",COUNTIF(B$2:B107,الإيصال!$C$3))</f>
        <v/>
      </c>
    </row>
    <row r="108">
      <c r="A108" s="6" t="n"/>
      <c r="B108" s="4" t="n"/>
      <c r="C108" s="4" t="n"/>
      <c r="D108" s="4" t="n"/>
      <c r="E108">
        <f>IF(D108="","",IFERROR(INDEX(الأصناف!$B$2:$B$2000,MATCH(D108,الأصناف!$A$2:$A$2000,0)),"كود غير موجود"))</f>
        <v/>
      </c>
      <c r="F108" s="4" t="n"/>
      <c r="G108">
        <f>IF(D108="","",IFERROR(INDEX(الأصناف!$C$2:$C$2000,MATCH(D108,الأصناف!$A$2:$A$2000,0)),0))</f>
        <v/>
      </c>
      <c r="H108">
        <f>IF(D108="","",F108*G108)</f>
        <v/>
      </c>
      <c r="I108">
        <f>IF(D108="","",H108-F108*IFERROR(INDEX(الأصناف!$D$2:$D$2000,MATCH(D108,الأصناف!$A$2:$A$2000,0)),0))</f>
        <v/>
      </c>
      <c r="J108" s="4" t="n"/>
      <c r="K108" s="7">
        <f>IF(OR(B108="",B108&lt;&gt;الإيصال!$C$3),"",COUNTIF(B$2:B108,الإيصال!$C$3))</f>
        <v/>
      </c>
    </row>
    <row r="109">
      <c r="A109" s="6" t="n"/>
      <c r="B109" s="4" t="n"/>
      <c r="C109" s="4" t="n"/>
      <c r="D109" s="4" t="n"/>
      <c r="E109">
        <f>IF(D109="","",IFERROR(INDEX(الأصناف!$B$2:$B$2000,MATCH(D109,الأصناف!$A$2:$A$2000,0)),"كود غير موجود"))</f>
        <v/>
      </c>
      <c r="F109" s="4" t="n"/>
      <c r="G109">
        <f>IF(D109="","",IFERROR(INDEX(الأصناف!$C$2:$C$2000,MATCH(D109,الأصناف!$A$2:$A$2000,0)),0))</f>
        <v/>
      </c>
      <c r="H109">
        <f>IF(D109="","",F109*G109)</f>
        <v/>
      </c>
      <c r="I109">
        <f>IF(D109="","",H109-F109*IFERROR(INDEX(الأصناف!$D$2:$D$2000,MATCH(D109,الأصناف!$A$2:$A$2000,0)),0))</f>
        <v/>
      </c>
      <c r="J109" s="4" t="n"/>
      <c r="K109" s="7">
        <f>IF(OR(B109="",B109&lt;&gt;الإيصال!$C$3),"",COUNTIF(B$2:B109,الإيصال!$C$3))</f>
        <v/>
      </c>
    </row>
    <row r="110">
      <c r="A110" s="6" t="n"/>
      <c r="B110" s="4" t="n"/>
      <c r="C110" s="4" t="n"/>
      <c r="D110" s="4" t="n"/>
      <c r="E110">
        <f>IF(D110="","",IFERROR(INDEX(الأصناف!$B$2:$B$2000,MATCH(D110,الأصناف!$A$2:$A$2000,0)),"كود غير موجود"))</f>
        <v/>
      </c>
      <c r="F110" s="4" t="n"/>
      <c r="G110">
        <f>IF(D110="","",IFERROR(INDEX(الأصناف!$C$2:$C$2000,MATCH(D110,الأصناف!$A$2:$A$2000,0)),0))</f>
        <v/>
      </c>
      <c r="H110">
        <f>IF(D110="","",F110*G110)</f>
        <v/>
      </c>
      <c r="I110">
        <f>IF(D110="","",H110-F110*IFERROR(INDEX(الأصناف!$D$2:$D$2000,MATCH(D110,الأصناف!$A$2:$A$2000,0)),0))</f>
        <v/>
      </c>
      <c r="J110" s="4" t="n"/>
      <c r="K110" s="7">
        <f>IF(OR(B110="",B110&lt;&gt;الإيصال!$C$3),"",COUNTIF(B$2:B110,الإيصال!$C$3))</f>
        <v/>
      </c>
    </row>
    <row r="111">
      <c r="A111" s="6" t="n"/>
      <c r="B111" s="4" t="n"/>
      <c r="C111" s="4" t="n"/>
      <c r="D111" s="4" t="n"/>
      <c r="E111">
        <f>IF(D111="","",IFERROR(INDEX(الأصناف!$B$2:$B$2000,MATCH(D111,الأصناف!$A$2:$A$2000,0)),"كود غير موجود"))</f>
        <v/>
      </c>
      <c r="F111" s="4" t="n"/>
      <c r="G111">
        <f>IF(D111="","",IFERROR(INDEX(الأصناف!$C$2:$C$2000,MATCH(D111,الأصناف!$A$2:$A$2000,0)),0))</f>
        <v/>
      </c>
      <c r="H111">
        <f>IF(D111="","",F111*G111)</f>
        <v/>
      </c>
      <c r="I111">
        <f>IF(D111="","",H111-F111*IFERROR(INDEX(الأصناف!$D$2:$D$2000,MATCH(D111,الأصناف!$A$2:$A$2000,0)),0))</f>
        <v/>
      </c>
      <c r="J111" s="4" t="n"/>
      <c r="K111" s="7">
        <f>IF(OR(B111="",B111&lt;&gt;الإيصال!$C$3),"",COUNTIF(B$2:B111,الإيصال!$C$3))</f>
        <v/>
      </c>
    </row>
    <row r="112">
      <c r="A112" s="6" t="n"/>
      <c r="B112" s="4" t="n"/>
      <c r="C112" s="4" t="n"/>
      <c r="D112" s="4" t="n"/>
      <c r="E112">
        <f>IF(D112="","",IFERROR(INDEX(الأصناف!$B$2:$B$2000,MATCH(D112,الأصناف!$A$2:$A$2000,0)),"كود غير موجود"))</f>
        <v/>
      </c>
      <c r="F112" s="4" t="n"/>
      <c r="G112">
        <f>IF(D112="","",IFERROR(INDEX(الأصناف!$C$2:$C$2000,MATCH(D112,الأصناف!$A$2:$A$2000,0)),0))</f>
        <v/>
      </c>
      <c r="H112">
        <f>IF(D112="","",F112*G112)</f>
        <v/>
      </c>
      <c r="I112">
        <f>IF(D112="","",H112-F112*IFERROR(INDEX(الأصناف!$D$2:$D$2000,MATCH(D112,الأصناف!$A$2:$A$2000,0)),0))</f>
        <v/>
      </c>
      <c r="J112" s="4" t="n"/>
      <c r="K112" s="7">
        <f>IF(OR(B112="",B112&lt;&gt;الإيصال!$C$3),"",COUNTIF(B$2:B112,الإيصال!$C$3))</f>
        <v/>
      </c>
    </row>
    <row r="113">
      <c r="A113" s="6" t="n"/>
      <c r="B113" s="4" t="n"/>
      <c r="C113" s="4" t="n"/>
      <c r="D113" s="4" t="n"/>
      <c r="E113">
        <f>IF(D113="","",IFERROR(INDEX(الأصناف!$B$2:$B$2000,MATCH(D113,الأصناف!$A$2:$A$2000,0)),"كود غير موجود"))</f>
        <v/>
      </c>
      <c r="F113" s="4" t="n"/>
      <c r="G113">
        <f>IF(D113="","",IFERROR(INDEX(الأصناف!$C$2:$C$2000,MATCH(D113,الأصناف!$A$2:$A$2000,0)),0))</f>
        <v/>
      </c>
      <c r="H113">
        <f>IF(D113="","",F113*G113)</f>
        <v/>
      </c>
      <c r="I113">
        <f>IF(D113="","",H113-F113*IFERROR(INDEX(الأصناف!$D$2:$D$2000,MATCH(D113,الأصناف!$A$2:$A$2000,0)),0))</f>
        <v/>
      </c>
      <c r="J113" s="4" t="n"/>
      <c r="K113" s="7">
        <f>IF(OR(B113="",B113&lt;&gt;الإيصال!$C$3),"",COUNTIF(B$2:B113,الإيصال!$C$3))</f>
        <v/>
      </c>
    </row>
    <row r="114">
      <c r="A114" s="6" t="n"/>
      <c r="B114" s="4" t="n"/>
      <c r="C114" s="4" t="n"/>
      <c r="D114" s="4" t="n"/>
      <c r="E114">
        <f>IF(D114="","",IFERROR(INDEX(الأصناف!$B$2:$B$2000,MATCH(D114,الأصناف!$A$2:$A$2000,0)),"كود غير موجود"))</f>
        <v/>
      </c>
      <c r="F114" s="4" t="n"/>
      <c r="G114">
        <f>IF(D114="","",IFERROR(INDEX(الأصناف!$C$2:$C$2000,MATCH(D114,الأصناف!$A$2:$A$2000,0)),0))</f>
        <v/>
      </c>
      <c r="H114">
        <f>IF(D114="","",F114*G114)</f>
        <v/>
      </c>
      <c r="I114">
        <f>IF(D114="","",H114-F114*IFERROR(INDEX(الأصناف!$D$2:$D$2000,MATCH(D114,الأصناف!$A$2:$A$2000,0)),0))</f>
        <v/>
      </c>
      <c r="J114" s="4" t="n"/>
      <c r="K114" s="7">
        <f>IF(OR(B114="",B114&lt;&gt;الإيصال!$C$3),"",COUNTIF(B$2:B114,الإيصال!$C$3))</f>
        <v/>
      </c>
    </row>
    <row r="115">
      <c r="A115" s="6" t="n"/>
      <c r="B115" s="4" t="n"/>
      <c r="C115" s="4" t="n"/>
      <c r="D115" s="4" t="n"/>
      <c r="E115">
        <f>IF(D115="","",IFERROR(INDEX(الأصناف!$B$2:$B$2000,MATCH(D115,الأصناف!$A$2:$A$2000,0)),"كود غير موجود"))</f>
        <v/>
      </c>
      <c r="F115" s="4" t="n"/>
      <c r="G115">
        <f>IF(D115="","",IFERROR(INDEX(الأصناف!$C$2:$C$2000,MATCH(D115,الأصناف!$A$2:$A$2000,0)),0))</f>
        <v/>
      </c>
      <c r="H115">
        <f>IF(D115="","",F115*G115)</f>
        <v/>
      </c>
      <c r="I115">
        <f>IF(D115="","",H115-F115*IFERROR(INDEX(الأصناف!$D$2:$D$2000,MATCH(D115,الأصناف!$A$2:$A$2000,0)),0))</f>
        <v/>
      </c>
      <c r="J115" s="4" t="n"/>
      <c r="K115" s="7">
        <f>IF(OR(B115="",B115&lt;&gt;الإيصال!$C$3),"",COUNTIF(B$2:B115,الإيصال!$C$3))</f>
        <v/>
      </c>
    </row>
    <row r="116">
      <c r="A116" s="6" t="n"/>
      <c r="B116" s="4" t="n"/>
      <c r="C116" s="4" t="n"/>
      <c r="D116" s="4" t="n"/>
      <c r="E116">
        <f>IF(D116="","",IFERROR(INDEX(الأصناف!$B$2:$B$2000,MATCH(D116,الأصناف!$A$2:$A$2000,0)),"كود غير موجود"))</f>
        <v/>
      </c>
      <c r="F116" s="4" t="n"/>
      <c r="G116">
        <f>IF(D116="","",IFERROR(INDEX(الأصناف!$C$2:$C$2000,MATCH(D116,الأصناف!$A$2:$A$2000,0)),0))</f>
        <v/>
      </c>
      <c r="H116">
        <f>IF(D116="","",F116*G116)</f>
        <v/>
      </c>
      <c r="I116">
        <f>IF(D116="","",H116-F116*IFERROR(INDEX(الأصناف!$D$2:$D$2000,MATCH(D116,الأصناف!$A$2:$A$2000,0)),0))</f>
        <v/>
      </c>
      <c r="J116" s="4" t="n"/>
      <c r="K116" s="7">
        <f>IF(OR(B116="",B116&lt;&gt;الإيصال!$C$3),"",COUNTIF(B$2:B116,الإيصال!$C$3))</f>
        <v/>
      </c>
    </row>
    <row r="117">
      <c r="A117" s="6" t="n"/>
      <c r="B117" s="4" t="n"/>
      <c r="C117" s="4" t="n"/>
      <c r="D117" s="4" t="n"/>
      <c r="E117">
        <f>IF(D117="","",IFERROR(INDEX(الأصناف!$B$2:$B$2000,MATCH(D117,الأصناف!$A$2:$A$2000,0)),"كود غير موجود"))</f>
        <v/>
      </c>
      <c r="F117" s="4" t="n"/>
      <c r="G117">
        <f>IF(D117="","",IFERROR(INDEX(الأصناف!$C$2:$C$2000,MATCH(D117,الأصناف!$A$2:$A$2000,0)),0))</f>
        <v/>
      </c>
      <c r="H117">
        <f>IF(D117="","",F117*G117)</f>
        <v/>
      </c>
      <c r="I117">
        <f>IF(D117="","",H117-F117*IFERROR(INDEX(الأصناف!$D$2:$D$2000,MATCH(D117,الأصناف!$A$2:$A$2000,0)),0))</f>
        <v/>
      </c>
      <c r="J117" s="4" t="n"/>
      <c r="K117" s="7">
        <f>IF(OR(B117="",B117&lt;&gt;الإيصال!$C$3),"",COUNTIF(B$2:B117,الإيصال!$C$3))</f>
        <v/>
      </c>
    </row>
    <row r="118">
      <c r="A118" s="6" t="n"/>
      <c r="B118" s="4" t="n"/>
      <c r="C118" s="4" t="n"/>
      <c r="D118" s="4" t="n"/>
      <c r="E118">
        <f>IF(D118="","",IFERROR(INDEX(الأصناف!$B$2:$B$2000,MATCH(D118,الأصناف!$A$2:$A$2000,0)),"كود غير موجود"))</f>
        <v/>
      </c>
      <c r="F118" s="4" t="n"/>
      <c r="G118">
        <f>IF(D118="","",IFERROR(INDEX(الأصناف!$C$2:$C$2000,MATCH(D118,الأصناف!$A$2:$A$2000,0)),0))</f>
        <v/>
      </c>
      <c r="H118">
        <f>IF(D118="","",F118*G118)</f>
        <v/>
      </c>
      <c r="I118">
        <f>IF(D118="","",H118-F118*IFERROR(INDEX(الأصناف!$D$2:$D$2000,MATCH(D118,الأصناف!$A$2:$A$2000,0)),0))</f>
        <v/>
      </c>
      <c r="J118" s="4" t="n"/>
      <c r="K118" s="7">
        <f>IF(OR(B118="",B118&lt;&gt;الإيصال!$C$3),"",COUNTIF(B$2:B118,الإيصال!$C$3))</f>
        <v/>
      </c>
    </row>
    <row r="119">
      <c r="A119" s="6" t="n"/>
      <c r="B119" s="4" t="n"/>
      <c r="C119" s="4" t="n"/>
      <c r="D119" s="4" t="n"/>
      <c r="E119">
        <f>IF(D119="","",IFERROR(INDEX(الأصناف!$B$2:$B$2000,MATCH(D119,الأصناف!$A$2:$A$2000,0)),"كود غير موجود"))</f>
        <v/>
      </c>
      <c r="F119" s="4" t="n"/>
      <c r="G119">
        <f>IF(D119="","",IFERROR(INDEX(الأصناف!$C$2:$C$2000,MATCH(D119,الأصناف!$A$2:$A$2000,0)),0))</f>
        <v/>
      </c>
      <c r="H119">
        <f>IF(D119="","",F119*G119)</f>
        <v/>
      </c>
      <c r="I119">
        <f>IF(D119="","",H119-F119*IFERROR(INDEX(الأصناف!$D$2:$D$2000,MATCH(D119,الأصناف!$A$2:$A$2000,0)),0))</f>
        <v/>
      </c>
      <c r="J119" s="4" t="n"/>
      <c r="K119" s="7">
        <f>IF(OR(B119="",B119&lt;&gt;الإيصال!$C$3),"",COUNTIF(B$2:B119,الإيصال!$C$3))</f>
        <v/>
      </c>
    </row>
    <row r="120">
      <c r="A120" s="6" t="n"/>
      <c r="B120" s="4" t="n"/>
      <c r="C120" s="4" t="n"/>
      <c r="D120" s="4" t="n"/>
      <c r="E120">
        <f>IF(D120="","",IFERROR(INDEX(الأصناف!$B$2:$B$2000,MATCH(D120,الأصناف!$A$2:$A$2000,0)),"كود غير موجود"))</f>
        <v/>
      </c>
      <c r="F120" s="4" t="n"/>
      <c r="G120">
        <f>IF(D120="","",IFERROR(INDEX(الأصناف!$C$2:$C$2000,MATCH(D120,الأصناف!$A$2:$A$2000,0)),0))</f>
        <v/>
      </c>
      <c r="H120">
        <f>IF(D120="","",F120*G120)</f>
        <v/>
      </c>
      <c r="I120">
        <f>IF(D120="","",H120-F120*IFERROR(INDEX(الأصناف!$D$2:$D$2000,MATCH(D120,الأصناف!$A$2:$A$2000,0)),0))</f>
        <v/>
      </c>
      <c r="J120" s="4" t="n"/>
      <c r="K120" s="7">
        <f>IF(OR(B120="",B120&lt;&gt;الإيصال!$C$3),"",COUNTIF(B$2:B120,الإيصال!$C$3))</f>
        <v/>
      </c>
    </row>
    <row r="121">
      <c r="A121" s="6" t="n"/>
      <c r="B121" s="4" t="n"/>
      <c r="C121" s="4" t="n"/>
      <c r="D121" s="4" t="n"/>
      <c r="E121">
        <f>IF(D121="","",IFERROR(INDEX(الأصناف!$B$2:$B$2000,MATCH(D121,الأصناف!$A$2:$A$2000,0)),"كود غير موجود"))</f>
        <v/>
      </c>
      <c r="F121" s="4" t="n"/>
      <c r="G121">
        <f>IF(D121="","",IFERROR(INDEX(الأصناف!$C$2:$C$2000,MATCH(D121,الأصناف!$A$2:$A$2000,0)),0))</f>
        <v/>
      </c>
      <c r="H121">
        <f>IF(D121="","",F121*G121)</f>
        <v/>
      </c>
      <c r="I121">
        <f>IF(D121="","",H121-F121*IFERROR(INDEX(الأصناف!$D$2:$D$2000,MATCH(D121,الأصناف!$A$2:$A$2000,0)),0))</f>
        <v/>
      </c>
      <c r="J121" s="4" t="n"/>
      <c r="K121" s="7">
        <f>IF(OR(B121="",B121&lt;&gt;الإيصال!$C$3),"",COUNTIF(B$2:B121,الإيصال!$C$3))</f>
        <v/>
      </c>
    </row>
    <row r="122">
      <c r="A122" s="6" t="n"/>
      <c r="B122" s="4" t="n"/>
      <c r="C122" s="4" t="n"/>
      <c r="D122" s="4" t="n"/>
      <c r="E122">
        <f>IF(D122="","",IFERROR(INDEX(الأصناف!$B$2:$B$2000,MATCH(D122,الأصناف!$A$2:$A$2000,0)),"كود غير موجود"))</f>
        <v/>
      </c>
      <c r="F122" s="4" t="n"/>
      <c r="G122">
        <f>IF(D122="","",IFERROR(INDEX(الأصناف!$C$2:$C$2000,MATCH(D122,الأصناف!$A$2:$A$2000,0)),0))</f>
        <v/>
      </c>
      <c r="H122">
        <f>IF(D122="","",F122*G122)</f>
        <v/>
      </c>
      <c r="I122">
        <f>IF(D122="","",H122-F122*IFERROR(INDEX(الأصناف!$D$2:$D$2000,MATCH(D122,الأصناف!$A$2:$A$2000,0)),0))</f>
        <v/>
      </c>
      <c r="J122" s="4" t="n"/>
      <c r="K122" s="7">
        <f>IF(OR(B122="",B122&lt;&gt;الإيصال!$C$3),"",COUNTIF(B$2:B122,الإيصال!$C$3))</f>
        <v/>
      </c>
    </row>
    <row r="123">
      <c r="A123" s="6" t="n"/>
      <c r="B123" s="4" t="n"/>
      <c r="C123" s="4" t="n"/>
      <c r="D123" s="4" t="n"/>
      <c r="E123">
        <f>IF(D123="","",IFERROR(INDEX(الأصناف!$B$2:$B$2000,MATCH(D123,الأصناف!$A$2:$A$2000,0)),"كود غير موجود"))</f>
        <v/>
      </c>
      <c r="F123" s="4" t="n"/>
      <c r="G123">
        <f>IF(D123="","",IFERROR(INDEX(الأصناف!$C$2:$C$2000,MATCH(D123,الأصناف!$A$2:$A$2000,0)),0))</f>
        <v/>
      </c>
      <c r="H123">
        <f>IF(D123="","",F123*G123)</f>
        <v/>
      </c>
      <c r="I123">
        <f>IF(D123="","",H123-F123*IFERROR(INDEX(الأصناف!$D$2:$D$2000,MATCH(D123,الأصناف!$A$2:$A$2000,0)),0))</f>
        <v/>
      </c>
      <c r="J123" s="4" t="n"/>
      <c r="K123" s="7">
        <f>IF(OR(B123="",B123&lt;&gt;الإيصال!$C$3),"",COUNTIF(B$2:B123,الإيصال!$C$3))</f>
        <v/>
      </c>
    </row>
    <row r="124">
      <c r="A124" s="6" t="n"/>
      <c r="B124" s="4" t="n"/>
      <c r="C124" s="4" t="n"/>
      <c r="D124" s="4" t="n"/>
      <c r="E124">
        <f>IF(D124="","",IFERROR(INDEX(الأصناف!$B$2:$B$2000,MATCH(D124,الأصناف!$A$2:$A$2000,0)),"كود غير موجود"))</f>
        <v/>
      </c>
      <c r="F124" s="4" t="n"/>
      <c r="G124">
        <f>IF(D124="","",IFERROR(INDEX(الأصناف!$C$2:$C$2000,MATCH(D124,الأصناف!$A$2:$A$2000,0)),0))</f>
        <v/>
      </c>
      <c r="H124">
        <f>IF(D124="","",F124*G124)</f>
        <v/>
      </c>
      <c r="I124">
        <f>IF(D124="","",H124-F124*IFERROR(INDEX(الأصناف!$D$2:$D$2000,MATCH(D124,الأصناف!$A$2:$A$2000,0)),0))</f>
        <v/>
      </c>
      <c r="J124" s="4" t="n"/>
      <c r="K124" s="7">
        <f>IF(OR(B124="",B124&lt;&gt;الإيصال!$C$3),"",COUNTIF(B$2:B124,الإيصال!$C$3))</f>
        <v/>
      </c>
    </row>
    <row r="125">
      <c r="A125" s="6" t="n"/>
      <c r="B125" s="4" t="n"/>
      <c r="C125" s="4" t="n"/>
      <c r="D125" s="4" t="n"/>
      <c r="E125">
        <f>IF(D125="","",IFERROR(INDEX(الأصناف!$B$2:$B$2000,MATCH(D125,الأصناف!$A$2:$A$2000,0)),"كود غير موجود"))</f>
        <v/>
      </c>
      <c r="F125" s="4" t="n"/>
      <c r="G125">
        <f>IF(D125="","",IFERROR(INDEX(الأصناف!$C$2:$C$2000,MATCH(D125,الأصناف!$A$2:$A$2000,0)),0))</f>
        <v/>
      </c>
      <c r="H125">
        <f>IF(D125="","",F125*G125)</f>
        <v/>
      </c>
      <c r="I125">
        <f>IF(D125="","",H125-F125*IFERROR(INDEX(الأصناف!$D$2:$D$2000,MATCH(D125,الأصناف!$A$2:$A$2000,0)),0))</f>
        <v/>
      </c>
      <c r="J125" s="4" t="n"/>
      <c r="K125" s="7">
        <f>IF(OR(B125="",B125&lt;&gt;الإيصال!$C$3),"",COUNTIF(B$2:B125,الإيصال!$C$3))</f>
        <v/>
      </c>
    </row>
    <row r="126">
      <c r="A126" s="6" t="n"/>
      <c r="B126" s="4" t="n"/>
      <c r="C126" s="4" t="n"/>
      <c r="D126" s="4" t="n"/>
      <c r="E126">
        <f>IF(D126="","",IFERROR(INDEX(الأصناف!$B$2:$B$2000,MATCH(D126,الأصناف!$A$2:$A$2000,0)),"كود غير موجود"))</f>
        <v/>
      </c>
      <c r="F126" s="4" t="n"/>
      <c r="G126">
        <f>IF(D126="","",IFERROR(INDEX(الأصناف!$C$2:$C$2000,MATCH(D126,الأصناف!$A$2:$A$2000,0)),0))</f>
        <v/>
      </c>
      <c r="H126">
        <f>IF(D126="","",F126*G126)</f>
        <v/>
      </c>
      <c r="I126">
        <f>IF(D126="","",H126-F126*IFERROR(INDEX(الأصناف!$D$2:$D$2000,MATCH(D126,الأصناف!$A$2:$A$2000,0)),0))</f>
        <v/>
      </c>
      <c r="J126" s="4" t="n"/>
      <c r="K126" s="7">
        <f>IF(OR(B126="",B126&lt;&gt;الإيصال!$C$3),"",COUNTIF(B$2:B126,الإيصال!$C$3))</f>
        <v/>
      </c>
    </row>
    <row r="127">
      <c r="A127" s="6" t="n"/>
      <c r="B127" s="4" t="n"/>
      <c r="C127" s="4" t="n"/>
      <c r="D127" s="4" t="n"/>
      <c r="E127">
        <f>IF(D127="","",IFERROR(INDEX(الأصناف!$B$2:$B$2000,MATCH(D127,الأصناف!$A$2:$A$2000,0)),"كود غير موجود"))</f>
        <v/>
      </c>
      <c r="F127" s="4" t="n"/>
      <c r="G127">
        <f>IF(D127="","",IFERROR(INDEX(الأصناف!$C$2:$C$2000,MATCH(D127,الأصناف!$A$2:$A$2000,0)),0))</f>
        <v/>
      </c>
      <c r="H127">
        <f>IF(D127="","",F127*G127)</f>
        <v/>
      </c>
      <c r="I127">
        <f>IF(D127="","",H127-F127*IFERROR(INDEX(الأصناف!$D$2:$D$2000,MATCH(D127,الأصناف!$A$2:$A$2000,0)),0))</f>
        <v/>
      </c>
      <c r="J127" s="4" t="n"/>
      <c r="K127" s="7">
        <f>IF(OR(B127="",B127&lt;&gt;الإيصال!$C$3),"",COUNTIF(B$2:B127,الإيصال!$C$3))</f>
        <v/>
      </c>
    </row>
    <row r="128">
      <c r="A128" s="6" t="n"/>
      <c r="B128" s="4" t="n"/>
      <c r="C128" s="4" t="n"/>
      <c r="D128" s="4" t="n"/>
      <c r="E128">
        <f>IF(D128="","",IFERROR(INDEX(الأصناف!$B$2:$B$2000,MATCH(D128,الأصناف!$A$2:$A$2000,0)),"كود غير موجود"))</f>
        <v/>
      </c>
      <c r="F128" s="4" t="n"/>
      <c r="G128">
        <f>IF(D128="","",IFERROR(INDEX(الأصناف!$C$2:$C$2000,MATCH(D128,الأصناف!$A$2:$A$2000,0)),0))</f>
        <v/>
      </c>
      <c r="H128">
        <f>IF(D128="","",F128*G128)</f>
        <v/>
      </c>
      <c r="I128">
        <f>IF(D128="","",H128-F128*IFERROR(INDEX(الأصناف!$D$2:$D$2000,MATCH(D128,الأصناف!$A$2:$A$2000,0)),0))</f>
        <v/>
      </c>
      <c r="J128" s="4" t="n"/>
      <c r="K128" s="7">
        <f>IF(OR(B128="",B128&lt;&gt;الإيصال!$C$3),"",COUNTIF(B$2:B128,الإيصال!$C$3))</f>
        <v/>
      </c>
    </row>
    <row r="129">
      <c r="A129" s="6" t="n"/>
      <c r="B129" s="4" t="n"/>
      <c r="C129" s="4" t="n"/>
      <c r="D129" s="4" t="n"/>
      <c r="E129">
        <f>IF(D129="","",IFERROR(INDEX(الأصناف!$B$2:$B$2000,MATCH(D129,الأصناف!$A$2:$A$2000,0)),"كود غير موجود"))</f>
        <v/>
      </c>
      <c r="F129" s="4" t="n"/>
      <c r="G129">
        <f>IF(D129="","",IFERROR(INDEX(الأصناف!$C$2:$C$2000,MATCH(D129,الأصناف!$A$2:$A$2000,0)),0))</f>
        <v/>
      </c>
      <c r="H129">
        <f>IF(D129="","",F129*G129)</f>
        <v/>
      </c>
      <c r="I129">
        <f>IF(D129="","",H129-F129*IFERROR(INDEX(الأصناف!$D$2:$D$2000,MATCH(D129,الأصناف!$A$2:$A$2000,0)),0))</f>
        <v/>
      </c>
      <c r="J129" s="4" t="n"/>
      <c r="K129" s="7">
        <f>IF(OR(B129="",B129&lt;&gt;الإيصال!$C$3),"",COUNTIF(B$2:B129,الإيصال!$C$3))</f>
        <v/>
      </c>
    </row>
    <row r="130">
      <c r="A130" s="6" t="n"/>
      <c r="B130" s="4" t="n"/>
      <c r="C130" s="4" t="n"/>
      <c r="D130" s="4" t="n"/>
      <c r="E130">
        <f>IF(D130="","",IFERROR(INDEX(الأصناف!$B$2:$B$2000,MATCH(D130,الأصناف!$A$2:$A$2000,0)),"كود غير موجود"))</f>
        <v/>
      </c>
      <c r="F130" s="4" t="n"/>
      <c r="G130">
        <f>IF(D130="","",IFERROR(INDEX(الأصناف!$C$2:$C$2000,MATCH(D130,الأصناف!$A$2:$A$2000,0)),0))</f>
        <v/>
      </c>
      <c r="H130">
        <f>IF(D130="","",F130*G130)</f>
        <v/>
      </c>
      <c r="I130">
        <f>IF(D130="","",H130-F130*IFERROR(INDEX(الأصناف!$D$2:$D$2000,MATCH(D130,الأصناف!$A$2:$A$2000,0)),0))</f>
        <v/>
      </c>
      <c r="J130" s="4" t="n"/>
      <c r="K130" s="7">
        <f>IF(OR(B130="",B130&lt;&gt;الإيصال!$C$3),"",COUNTIF(B$2:B130,الإيصال!$C$3))</f>
        <v/>
      </c>
    </row>
    <row r="131">
      <c r="A131" s="6" t="n"/>
      <c r="B131" s="4" t="n"/>
      <c r="C131" s="4" t="n"/>
      <c r="D131" s="4" t="n"/>
      <c r="E131">
        <f>IF(D131="","",IFERROR(INDEX(الأصناف!$B$2:$B$2000,MATCH(D131,الأصناف!$A$2:$A$2000,0)),"كود غير موجود"))</f>
        <v/>
      </c>
      <c r="F131" s="4" t="n"/>
      <c r="G131">
        <f>IF(D131="","",IFERROR(INDEX(الأصناف!$C$2:$C$2000,MATCH(D131,الأصناف!$A$2:$A$2000,0)),0))</f>
        <v/>
      </c>
      <c r="H131">
        <f>IF(D131="","",F131*G131)</f>
        <v/>
      </c>
      <c r="I131">
        <f>IF(D131="","",H131-F131*IFERROR(INDEX(الأصناف!$D$2:$D$2000,MATCH(D131,الأصناف!$A$2:$A$2000,0)),0))</f>
        <v/>
      </c>
      <c r="J131" s="4" t="n"/>
      <c r="K131" s="7">
        <f>IF(OR(B131="",B131&lt;&gt;الإيصال!$C$3),"",COUNTIF(B$2:B131,الإيصال!$C$3))</f>
        <v/>
      </c>
    </row>
    <row r="132">
      <c r="A132" s="6" t="n"/>
      <c r="B132" s="4" t="n"/>
      <c r="C132" s="4" t="n"/>
      <c r="D132" s="4" t="n"/>
      <c r="E132">
        <f>IF(D132="","",IFERROR(INDEX(الأصناف!$B$2:$B$2000,MATCH(D132,الأصناف!$A$2:$A$2000,0)),"كود غير موجود"))</f>
        <v/>
      </c>
      <c r="F132" s="4" t="n"/>
      <c r="G132">
        <f>IF(D132="","",IFERROR(INDEX(الأصناف!$C$2:$C$2000,MATCH(D132,الأصناف!$A$2:$A$2000,0)),0))</f>
        <v/>
      </c>
      <c r="H132">
        <f>IF(D132="","",F132*G132)</f>
        <v/>
      </c>
      <c r="I132">
        <f>IF(D132="","",H132-F132*IFERROR(INDEX(الأصناف!$D$2:$D$2000,MATCH(D132,الأصناف!$A$2:$A$2000,0)),0))</f>
        <v/>
      </c>
      <c r="J132" s="4" t="n"/>
      <c r="K132" s="7">
        <f>IF(OR(B132="",B132&lt;&gt;الإيصال!$C$3),"",COUNTIF(B$2:B132,الإيصال!$C$3))</f>
        <v/>
      </c>
    </row>
    <row r="133">
      <c r="A133" s="6" t="n"/>
      <c r="B133" s="4" t="n"/>
      <c r="C133" s="4" t="n"/>
      <c r="D133" s="4" t="n"/>
      <c r="E133">
        <f>IF(D133="","",IFERROR(INDEX(الأصناف!$B$2:$B$2000,MATCH(D133,الأصناف!$A$2:$A$2000,0)),"كود غير موجود"))</f>
        <v/>
      </c>
      <c r="F133" s="4" t="n"/>
      <c r="G133">
        <f>IF(D133="","",IFERROR(INDEX(الأصناف!$C$2:$C$2000,MATCH(D133,الأصناف!$A$2:$A$2000,0)),0))</f>
        <v/>
      </c>
      <c r="H133">
        <f>IF(D133="","",F133*G133)</f>
        <v/>
      </c>
      <c r="I133">
        <f>IF(D133="","",H133-F133*IFERROR(INDEX(الأصناف!$D$2:$D$2000,MATCH(D133,الأصناف!$A$2:$A$2000,0)),0))</f>
        <v/>
      </c>
      <c r="J133" s="4" t="n"/>
      <c r="K133" s="7">
        <f>IF(OR(B133="",B133&lt;&gt;الإيصال!$C$3),"",COUNTIF(B$2:B133,الإيصال!$C$3))</f>
        <v/>
      </c>
    </row>
    <row r="134">
      <c r="A134" s="6" t="n"/>
      <c r="B134" s="4" t="n"/>
      <c r="C134" s="4" t="n"/>
      <c r="D134" s="4" t="n"/>
      <c r="E134">
        <f>IF(D134="","",IFERROR(INDEX(الأصناف!$B$2:$B$2000,MATCH(D134,الأصناف!$A$2:$A$2000,0)),"كود غير موجود"))</f>
        <v/>
      </c>
      <c r="F134" s="4" t="n"/>
      <c r="G134">
        <f>IF(D134="","",IFERROR(INDEX(الأصناف!$C$2:$C$2000,MATCH(D134,الأصناف!$A$2:$A$2000,0)),0))</f>
        <v/>
      </c>
      <c r="H134">
        <f>IF(D134="","",F134*G134)</f>
        <v/>
      </c>
      <c r="I134">
        <f>IF(D134="","",H134-F134*IFERROR(INDEX(الأصناف!$D$2:$D$2000,MATCH(D134,الأصناف!$A$2:$A$2000,0)),0))</f>
        <v/>
      </c>
      <c r="J134" s="4" t="n"/>
      <c r="K134" s="7">
        <f>IF(OR(B134="",B134&lt;&gt;الإيصال!$C$3),"",COUNTIF(B$2:B134,الإيصال!$C$3))</f>
        <v/>
      </c>
    </row>
    <row r="135">
      <c r="A135" s="6" t="n"/>
      <c r="B135" s="4" t="n"/>
      <c r="C135" s="4" t="n"/>
      <c r="D135" s="4" t="n"/>
      <c r="E135">
        <f>IF(D135="","",IFERROR(INDEX(الأصناف!$B$2:$B$2000,MATCH(D135,الأصناف!$A$2:$A$2000,0)),"كود غير موجود"))</f>
        <v/>
      </c>
      <c r="F135" s="4" t="n"/>
      <c r="G135">
        <f>IF(D135="","",IFERROR(INDEX(الأصناف!$C$2:$C$2000,MATCH(D135,الأصناف!$A$2:$A$2000,0)),0))</f>
        <v/>
      </c>
      <c r="H135">
        <f>IF(D135="","",F135*G135)</f>
        <v/>
      </c>
      <c r="I135">
        <f>IF(D135="","",H135-F135*IFERROR(INDEX(الأصناف!$D$2:$D$2000,MATCH(D135,الأصناف!$A$2:$A$2000,0)),0))</f>
        <v/>
      </c>
      <c r="J135" s="4" t="n"/>
      <c r="K135" s="7">
        <f>IF(OR(B135="",B135&lt;&gt;الإيصال!$C$3),"",COUNTIF(B$2:B135,الإيصال!$C$3))</f>
        <v/>
      </c>
    </row>
    <row r="136">
      <c r="A136" s="6" t="n"/>
      <c r="B136" s="4" t="n"/>
      <c r="C136" s="4" t="n"/>
      <c r="D136" s="4" t="n"/>
      <c r="E136">
        <f>IF(D136="","",IFERROR(INDEX(الأصناف!$B$2:$B$2000,MATCH(D136,الأصناف!$A$2:$A$2000,0)),"كود غير موجود"))</f>
        <v/>
      </c>
      <c r="F136" s="4" t="n"/>
      <c r="G136">
        <f>IF(D136="","",IFERROR(INDEX(الأصناف!$C$2:$C$2000,MATCH(D136,الأصناف!$A$2:$A$2000,0)),0))</f>
        <v/>
      </c>
      <c r="H136">
        <f>IF(D136="","",F136*G136)</f>
        <v/>
      </c>
      <c r="I136">
        <f>IF(D136="","",H136-F136*IFERROR(INDEX(الأصناف!$D$2:$D$2000,MATCH(D136,الأصناف!$A$2:$A$2000,0)),0))</f>
        <v/>
      </c>
      <c r="J136" s="4" t="n"/>
      <c r="K136" s="7">
        <f>IF(OR(B136="",B136&lt;&gt;الإيصال!$C$3),"",COUNTIF(B$2:B136,الإيصال!$C$3))</f>
        <v/>
      </c>
    </row>
    <row r="137">
      <c r="A137" s="6" t="n"/>
      <c r="B137" s="4" t="n"/>
      <c r="C137" s="4" t="n"/>
      <c r="D137" s="4" t="n"/>
      <c r="E137">
        <f>IF(D137="","",IFERROR(INDEX(الأصناف!$B$2:$B$2000,MATCH(D137,الأصناف!$A$2:$A$2000,0)),"كود غير موجود"))</f>
        <v/>
      </c>
      <c r="F137" s="4" t="n"/>
      <c r="G137">
        <f>IF(D137="","",IFERROR(INDEX(الأصناف!$C$2:$C$2000,MATCH(D137,الأصناف!$A$2:$A$2000,0)),0))</f>
        <v/>
      </c>
      <c r="H137">
        <f>IF(D137="","",F137*G137)</f>
        <v/>
      </c>
      <c r="I137">
        <f>IF(D137="","",H137-F137*IFERROR(INDEX(الأصناف!$D$2:$D$2000,MATCH(D137,الأصناف!$A$2:$A$2000,0)),0))</f>
        <v/>
      </c>
      <c r="J137" s="4" t="n"/>
      <c r="K137" s="7">
        <f>IF(OR(B137="",B137&lt;&gt;الإيصال!$C$3),"",COUNTIF(B$2:B137,الإيصال!$C$3))</f>
        <v/>
      </c>
    </row>
    <row r="138">
      <c r="A138" s="6" t="n"/>
      <c r="B138" s="4" t="n"/>
      <c r="C138" s="4" t="n"/>
      <c r="D138" s="4" t="n"/>
      <c r="E138">
        <f>IF(D138="","",IFERROR(INDEX(الأصناف!$B$2:$B$2000,MATCH(D138,الأصناف!$A$2:$A$2000,0)),"كود غير موجود"))</f>
        <v/>
      </c>
      <c r="F138" s="4" t="n"/>
      <c r="G138">
        <f>IF(D138="","",IFERROR(INDEX(الأصناف!$C$2:$C$2000,MATCH(D138,الأصناف!$A$2:$A$2000,0)),0))</f>
        <v/>
      </c>
      <c r="H138">
        <f>IF(D138="","",F138*G138)</f>
        <v/>
      </c>
      <c r="I138">
        <f>IF(D138="","",H138-F138*IFERROR(INDEX(الأصناف!$D$2:$D$2000,MATCH(D138,الأصناف!$A$2:$A$2000,0)),0))</f>
        <v/>
      </c>
      <c r="J138" s="4" t="n"/>
      <c r="K138" s="7">
        <f>IF(OR(B138="",B138&lt;&gt;الإيصال!$C$3),"",COUNTIF(B$2:B138,الإيصال!$C$3))</f>
        <v/>
      </c>
    </row>
    <row r="139">
      <c r="A139" s="6" t="n"/>
      <c r="B139" s="4" t="n"/>
      <c r="C139" s="4" t="n"/>
      <c r="D139" s="4" t="n"/>
      <c r="E139">
        <f>IF(D139="","",IFERROR(INDEX(الأصناف!$B$2:$B$2000,MATCH(D139,الأصناف!$A$2:$A$2000,0)),"كود غير موجود"))</f>
        <v/>
      </c>
      <c r="F139" s="4" t="n"/>
      <c r="G139">
        <f>IF(D139="","",IFERROR(INDEX(الأصناف!$C$2:$C$2000,MATCH(D139,الأصناف!$A$2:$A$2000,0)),0))</f>
        <v/>
      </c>
      <c r="H139">
        <f>IF(D139="","",F139*G139)</f>
        <v/>
      </c>
      <c r="I139">
        <f>IF(D139="","",H139-F139*IFERROR(INDEX(الأصناف!$D$2:$D$2000,MATCH(D139,الأصناف!$A$2:$A$2000,0)),0))</f>
        <v/>
      </c>
      <c r="J139" s="4" t="n"/>
      <c r="K139" s="7">
        <f>IF(OR(B139="",B139&lt;&gt;الإيصال!$C$3),"",COUNTIF(B$2:B139,الإيصال!$C$3))</f>
        <v/>
      </c>
    </row>
    <row r="140">
      <c r="A140" s="6" t="n"/>
      <c r="B140" s="4" t="n"/>
      <c r="C140" s="4" t="n"/>
      <c r="D140" s="4" t="n"/>
      <c r="E140">
        <f>IF(D140="","",IFERROR(INDEX(الأصناف!$B$2:$B$2000,MATCH(D140,الأصناف!$A$2:$A$2000,0)),"كود غير موجود"))</f>
        <v/>
      </c>
      <c r="F140" s="4" t="n"/>
      <c r="G140">
        <f>IF(D140="","",IFERROR(INDEX(الأصناف!$C$2:$C$2000,MATCH(D140,الأصناف!$A$2:$A$2000,0)),0))</f>
        <v/>
      </c>
      <c r="H140">
        <f>IF(D140="","",F140*G140)</f>
        <v/>
      </c>
      <c r="I140">
        <f>IF(D140="","",H140-F140*IFERROR(INDEX(الأصناف!$D$2:$D$2000,MATCH(D140,الأصناف!$A$2:$A$2000,0)),0))</f>
        <v/>
      </c>
      <c r="J140" s="4" t="n"/>
      <c r="K140" s="7">
        <f>IF(OR(B140="",B140&lt;&gt;الإيصال!$C$3),"",COUNTIF(B$2:B140,الإيصال!$C$3))</f>
        <v/>
      </c>
    </row>
    <row r="141">
      <c r="A141" s="6" t="n"/>
      <c r="B141" s="4" t="n"/>
      <c r="C141" s="4" t="n"/>
      <c r="D141" s="4" t="n"/>
      <c r="E141">
        <f>IF(D141="","",IFERROR(INDEX(الأصناف!$B$2:$B$2000,MATCH(D141,الأصناف!$A$2:$A$2000,0)),"كود غير موجود"))</f>
        <v/>
      </c>
      <c r="F141" s="4" t="n"/>
      <c r="G141">
        <f>IF(D141="","",IFERROR(INDEX(الأصناف!$C$2:$C$2000,MATCH(D141,الأصناف!$A$2:$A$2000,0)),0))</f>
        <v/>
      </c>
      <c r="H141">
        <f>IF(D141="","",F141*G141)</f>
        <v/>
      </c>
      <c r="I141">
        <f>IF(D141="","",H141-F141*IFERROR(INDEX(الأصناف!$D$2:$D$2000,MATCH(D141,الأصناف!$A$2:$A$2000,0)),0))</f>
        <v/>
      </c>
      <c r="J141" s="4" t="n"/>
      <c r="K141" s="7">
        <f>IF(OR(B141="",B141&lt;&gt;الإيصال!$C$3),"",COUNTIF(B$2:B141,الإيصال!$C$3))</f>
        <v/>
      </c>
    </row>
    <row r="142">
      <c r="A142" s="6" t="n"/>
      <c r="B142" s="4" t="n"/>
      <c r="C142" s="4" t="n"/>
      <c r="D142" s="4" t="n"/>
      <c r="E142">
        <f>IF(D142="","",IFERROR(INDEX(الأصناف!$B$2:$B$2000,MATCH(D142,الأصناف!$A$2:$A$2000,0)),"كود غير موجود"))</f>
        <v/>
      </c>
      <c r="F142" s="4" t="n"/>
      <c r="G142">
        <f>IF(D142="","",IFERROR(INDEX(الأصناف!$C$2:$C$2000,MATCH(D142,الأصناف!$A$2:$A$2000,0)),0))</f>
        <v/>
      </c>
      <c r="H142">
        <f>IF(D142="","",F142*G142)</f>
        <v/>
      </c>
      <c r="I142">
        <f>IF(D142="","",H142-F142*IFERROR(INDEX(الأصناف!$D$2:$D$2000,MATCH(D142,الأصناف!$A$2:$A$2000,0)),0))</f>
        <v/>
      </c>
      <c r="J142" s="4" t="n"/>
      <c r="K142" s="7">
        <f>IF(OR(B142="",B142&lt;&gt;الإيصال!$C$3),"",COUNTIF(B$2:B142,الإيصال!$C$3))</f>
        <v/>
      </c>
    </row>
    <row r="143">
      <c r="A143" s="6" t="n"/>
      <c r="B143" s="4" t="n"/>
      <c r="C143" s="4" t="n"/>
      <c r="D143" s="4" t="n"/>
      <c r="E143">
        <f>IF(D143="","",IFERROR(INDEX(الأصناف!$B$2:$B$2000,MATCH(D143,الأصناف!$A$2:$A$2000,0)),"كود غير موجود"))</f>
        <v/>
      </c>
      <c r="F143" s="4" t="n"/>
      <c r="G143">
        <f>IF(D143="","",IFERROR(INDEX(الأصناف!$C$2:$C$2000,MATCH(D143,الأصناف!$A$2:$A$2000,0)),0))</f>
        <v/>
      </c>
      <c r="H143">
        <f>IF(D143="","",F143*G143)</f>
        <v/>
      </c>
      <c r="I143">
        <f>IF(D143="","",H143-F143*IFERROR(INDEX(الأصناف!$D$2:$D$2000,MATCH(D143,الأصناف!$A$2:$A$2000,0)),0))</f>
        <v/>
      </c>
      <c r="J143" s="4" t="n"/>
      <c r="K143" s="7">
        <f>IF(OR(B143="",B143&lt;&gt;الإيصال!$C$3),"",COUNTIF(B$2:B143,الإيصال!$C$3))</f>
        <v/>
      </c>
    </row>
    <row r="144">
      <c r="A144" s="6" t="n"/>
      <c r="B144" s="4" t="n"/>
      <c r="C144" s="4" t="n"/>
      <c r="D144" s="4" t="n"/>
      <c r="E144">
        <f>IF(D144="","",IFERROR(INDEX(الأصناف!$B$2:$B$2000,MATCH(D144,الأصناف!$A$2:$A$2000,0)),"كود غير موجود"))</f>
        <v/>
      </c>
      <c r="F144" s="4" t="n"/>
      <c r="G144">
        <f>IF(D144="","",IFERROR(INDEX(الأصناف!$C$2:$C$2000,MATCH(D144,الأصناف!$A$2:$A$2000,0)),0))</f>
        <v/>
      </c>
      <c r="H144">
        <f>IF(D144="","",F144*G144)</f>
        <v/>
      </c>
      <c r="I144">
        <f>IF(D144="","",H144-F144*IFERROR(INDEX(الأصناف!$D$2:$D$2000,MATCH(D144,الأصناف!$A$2:$A$2000,0)),0))</f>
        <v/>
      </c>
      <c r="J144" s="4" t="n"/>
      <c r="K144" s="7">
        <f>IF(OR(B144="",B144&lt;&gt;الإيصال!$C$3),"",COUNTIF(B$2:B144,الإيصال!$C$3))</f>
        <v/>
      </c>
    </row>
    <row r="145">
      <c r="A145" s="6" t="n"/>
      <c r="B145" s="4" t="n"/>
      <c r="C145" s="4" t="n"/>
      <c r="D145" s="4" t="n"/>
      <c r="E145">
        <f>IF(D145="","",IFERROR(INDEX(الأصناف!$B$2:$B$2000,MATCH(D145,الأصناف!$A$2:$A$2000,0)),"كود غير موجود"))</f>
        <v/>
      </c>
      <c r="F145" s="4" t="n"/>
      <c r="G145">
        <f>IF(D145="","",IFERROR(INDEX(الأصناف!$C$2:$C$2000,MATCH(D145,الأصناف!$A$2:$A$2000,0)),0))</f>
        <v/>
      </c>
      <c r="H145">
        <f>IF(D145="","",F145*G145)</f>
        <v/>
      </c>
      <c r="I145">
        <f>IF(D145="","",H145-F145*IFERROR(INDEX(الأصناف!$D$2:$D$2000,MATCH(D145,الأصناف!$A$2:$A$2000,0)),0))</f>
        <v/>
      </c>
      <c r="J145" s="4" t="n"/>
      <c r="K145" s="7">
        <f>IF(OR(B145="",B145&lt;&gt;الإيصال!$C$3),"",COUNTIF(B$2:B145,الإيصال!$C$3))</f>
        <v/>
      </c>
    </row>
    <row r="146">
      <c r="A146" s="6" t="n"/>
      <c r="B146" s="4" t="n"/>
      <c r="C146" s="4" t="n"/>
      <c r="D146" s="4" t="n"/>
      <c r="E146">
        <f>IF(D146="","",IFERROR(INDEX(الأصناف!$B$2:$B$2000,MATCH(D146,الأصناف!$A$2:$A$2000,0)),"كود غير موجود"))</f>
        <v/>
      </c>
      <c r="F146" s="4" t="n"/>
      <c r="G146">
        <f>IF(D146="","",IFERROR(INDEX(الأصناف!$C$2:$C$2000,MATCH(D146,الأصناف!$A$2:$A$2000,0)),0))</f>
        <v/>
      </c>
      <c r="H146">
        <f>IF(D146="","",F146*G146)</f>
        <v/>
      </c>
      <c r="I146">
        <f>IF(D146="","",H146-F146*IFERROR(INDEX(الأصناف!$D$2:$D$2000,MATCH(D146,الأصناف!$A$2:$A$2000,0)),0))</f>
        <v/>
      </c>
      <c r="J146" s="4" t="n"/>
      <c r="K146" s="7">
        <f>IF(OR(B146="",B146&lt;&gt;الإيصال!$C$3),"",COUNTIF(B$2:B146,الإيصال!$C$3))</f>
        <v/>
      </c>
    </row>
    <row r="147">
      <c r="A147" s="6" t="n"/>
      <c r="B147" s="4" t="n"/>
      <c r="C147" s="4" t="n"/>
      <c r="D147" s="4" t="n"/>
      <c r="E147">
        <f>IF(D147="","",IFERROR(INDEX(الأصناف!$B$2:$B$2000,MATCH(D147,الأصناف!$A$2:$A$2000,0)),"كود غير موجود"))</f>
        <v/>
      </c>
      <c r="F147" s="4" t="n"/>
      <c r="G147">
        <f>IF(D147="","",IFERROR(INDEX(الأصناف!$C$2:$C$2000,MATCH(D147,الأصناف!$A$2:$A$2000,0)),0))</f>
        <v/>
      </c>
      <c r="H147">
        <f>IF(D147="","",F147*G147)</f>
        <v/>
      </c>
      <c r="I147">
        <f>IF(D147="","",H147-F147*IFERROR(INDEX(الأصناف!$D$2:$D$2000,MATCH(D147,الأصناف!$A$2:$A$2000,0)),0))</f>
        <v/>
      </c>
      <c r="J147" s="4" t="n"/>
      <c r="K147" s="7">
        <f>IF(OR(B147="",B147&lt;&gt;الإيصال!$C$3),"",COUNTIF(B$2:B147,الإيصال!$C$3))</f>
        <v/>
      </c>
    </row>
    <row r="148">
      <c r="A148" s="6" t="n"/>
      <c r="B148" s="4" t="n"/>
      <c r="C148" s="4" t="n"/>
      <c r="D148" s="4" t="n"/>
      <c r="E148">
        <f>IF(D148="","",IFERROR(INDEX(الأصناف!$B$2:$B$2000,MATCH(D148,الأصناف!$A$2:$A$2000,0)),"كود غير موجود"))</f>
        <v/>
      </c>
      <c r="F148" s="4" t="n"/>
      <c r="G148">
        <f>IF(D148="","",IFERROR(INDEX(الأصناف!$C$2:$C$2000,MATCH(D148,الأصناف!$A$2:$A$2000,0)),0))</f>
        <v/>
      </c>
      <c r="H148">
        <f>IF(D148="","",F148*G148)</f>
        <v/>
      </c>
      <c r="I148">
        <f>IF(D148="","",H148-F148*IFERROR(INDEX(الأصناف!$D$2:$D$2000,MATCH(D148,الأصناف!$A$2:$A$2000,0)),0))</f>
        <v/>
      </c>
      <c r="J148" s="4" t="n"/>
      <c r="K148" s="7">
        <f>IF(OR(B148="",B148&lt;&gt;الإيصال!$C$3),"",COUNTIF(B$2:B148,الإيصال!$C$3))</f>
        <v/>
      </c>
    </row>
    <row r="149">
      <c r="A149" s="6" t="n"/>
      <c r="B149" s="4" t="n"/>
      <c r="C149" s="4" t="n"/>
      <c r="D149" s="4" t="n"/>
      <c r="E149">
        <f>IF(D149="","",IFERROR(INDEX(الأصناف!$B$2:$B$2000,MATCH(D149,الأصناف!$A$2:$A$2000,0)),"كود غير موجود"))</f>
        <v/>
      </c>
      <c r="F149" s="4" t="n"/>
      <c r="G149">
        <f>IF(D149="","",IFERROR(INDEX(الأصناف!$C$2:$C$2000,MATCH(D149,الأصناف!$A$2:$A$2000,0)),0))</f>
        <v/>
      </c>
      <c r="H149">
        <f>IF(D149="","",F149*G149)</f>
        <v/>
      </c>
      <c r="I149">
        <f>IF(D149="","",H149-F149*IFERROR(INDEX(الأصناف!$D$2:$D$2000,MATCH(D149,الأصناف!$A$2:$A$2000,0)),0))</f>
        <v/>
      </c>
      <c r="J149" s="4" t="n"/>
      <c r="K149" s="7">
        <f>IF(OR(B149="",B149&lt;&gt;الإيصال!$C$3),"",COUNTIF(B$2:B149,الإيصال!$C$3))</f>
        <v/>
      </c>
    </row>
    <row r="150">
      <c r="A150" s="6" t="n"/>
      <c r="B150" s="4" t="n"/>
      <c r="C150" s="4" t="n"/>
      <c r="D150" s="4" t="n"/>
      <c r="E150">
        <f>IF(D150="","",IFERROR(INDEX(الأصناف!$B$2:$B$2000,MATCH(D150,الأصناف!$A$2:$A$2000,0)),"كود غير موجود"))</f>
        <v/>
      </c>
      <c r="F150" s="4" t="n"/>
      <c r="G150">
        <f>IF(D150="","",IFERROR(INDEX(الأصناف!$C$2:$C$2000,MATCH(D150,الأصناف!$A$2:$A$2000,0)),0))</f>
        <v/>
      </c>
      <c r="H150">
        <f>IF(D150="","",F150*G150)</f>
        <v/>
      </c>
      <c r="I150">
        <f>IF(D150="","",H150-F150*IFERROR(INDEX(الأصناف!$D$2:$D$2000,MATCH(D150,الأصناف!$A$2:$A$2000,0)),0))</f>
        <v/>
      </c>
      <c r="J150" s="4" t="n"/>
      <c r="K150" s="7">
        <f>IF(OR(B150="",B150&lt;&gt;الإيصال!$C$3),"",COUNTIF(B$2:B150,الإيصال!$C$3))</f>
        <v/>
      </c>
    </row>
    <row r="151">
      <c r="A151" s="6" t="n"/>
      <c r="B151" s="4" t="n"/>
      <c r="C151" s="4" t="n"/>
      <c r="D151" s="4" t="n"/>
      <c r="E151">
        <f>IF(D151="","",IFERROR(INDEX(الأصناف!$B$2:$B$2000,MATCH(D151,الأصناف!$A$2:$A$2000,0)),"كود غير موجود"))</f>
        <v/>
      </c>
      <c r="F151" s="4" t="n"/>
      <c r="G151">
        <f>IF(D151="","",IFERROR(INDEX(الأصناف!$C$2:$C$2000,MATCH(D151,الأصناف!$A$2:$A$2000,0)),0))</f>
        <v/>
      </c>
      <c r="H151">
        <f>IF(D151="","",F151*G151)</f>
        <v/>
      </c>
      <c r="I151">
        <f>IF(D151="","",H151-F151*IFERROR(INDEX(الأصناف!$D$2:$D$2000,MATCH(D151,الأصناف!$A$2:$A$2000,0)),0))</f>
        <v/>
      </c>
      <c r="J151" s="4" t="n"/>
      <c r="K151" s="7">
        <f>IF(OR(B151="",B151&lt;&gt;الإيصال!$C$3),"",COUNTIF(B$2:B151,الإيصال!$C$3))</f>
        <v/>
      </c>
    </row>
    <row r="152">
      <c r="A152" s="6" t="n"/>
      <c r="B152" s="4" t="n"/>
      <c r="C152" s="4" t="n"/>
      <c r="D152" s="4" t="n"/>
      <c r="E152">
        <f>IF(D152="","",IFERROR(INDEX(الأصناف!$B$2:$B$2000,MATCH(D152,الأصناف!$A$2:$A$2000,0)),"كود غير موجود"))</f>
        <v/>
      </c>
      <c r="F152" s="4" t="n"/>
      <c r="G152">
        <f>IF(D152="","",IFERROR(INDEX(الأصناف!$C$2:$C$2000,MATCH(D152,الأصناف!$A$2:$A$2000,0)),0))</f>
        <v/>
      </c>
      <c r="H152">
        <f>IF(D152="","",F152*G152)</f>
        <v/>
      </c>
      <c r="I152">
        <f>IF(D152="","",H152-F152*IFERROR(INDEX(الأصناف!$D$2:$D$2000,MATCH(D152,الأصناف!$A$2:$A$2000,0)),0))</f>
        <v/>
      </c>
      <c r="J152" s="4" t="n"/>
      <c r="K152" s="7">
        <f>IF(OR(B152="",B152&lt;&gt;الإيصال!$C$3),"",COUNTIF(B$2:B152,الإيصال!$C$3))</f>
        <v/>
      </c>
    </row>
    <row r="153">
      <c r="A153" s="6" t="n"/>
      <c r="B153" s="4" t="n"/>
      <c r="C153" s="4" t="n"/>
      <c r="D153" s="4" t="n"/>
      <c r="E153">
        <f>IF(D153="","",IFERROR(INDEX(الأصناف!$B$2:$B$2000,MATCH(D153,الأصناف!$A$2:$A$2000,0)),"كود غير موجود"))</f>
        <v/>
      </c>
      <c r="F153" s="4" t="n"/>
      <c r="G153">
        <f>IF(D153="","",IFERROR(INDEX(الأصناف!$C$2:$C$2000,MATCH(D153,الأصناف!$A$2:$A$2000,0)),0))</f>
        <v/>
      </c>
      <c r="H153">
        <f>IF(D153="","",F153*G153)</f>
        <v/>
      </c>
      <c r="I153">
        <f>IF(D153="","",H153-F153*IFERROR(INDEX(الأصناف!$D$2:$D$2000,MATCH(D153,الأصناف!$A$2:$A$2000,0)),0))</f>
        <v/>
      </c>
      <c r="J153" s="4" t="n"/>
      <c r="K153" s="7">
        <f>IF(OR(B153="",B153&lt;&gt;الإيصال!$C$3),"",COUNTIF(B$2:B153,الإيصال!$C$3))</f>
        <v/>
      </c>
    </row>
    <row r="154">
      <c r="A154" s="6" t="n"/>
      <c r="B154" s="4" t="n"/>
      <c r="C154" s="4" t="n"/>
      <c r="D154" s="4" t="n"/>
      <c r="E154">
        <f>IF(D154="","",IFERROR(INDEX(الأصناف!$B$2:$B$2000,MATCH(D154,الأصناف!$A$2:$A$2000,0)),"كود غير موجود"))</f>
        <v/>
      </c>
      <c r="F154" s="4" t="n"/>
      <c r="G154">
        <f>IF(D154="","",IFERROR(INDEX(الأصناف!$C$2:$C$2000,MATCH(D154,الأصناف!$A$2:$A$2000,0)),0))</f>
        <v/>
      </c>
      <c r="H154">
        <f>IF(D154="","",F154*G154)</f>
        <v/>
      </c>
      <c r="I154">
        <f>IF(D154="","",H154-F154*IFERROR(INDEX(الأصناف!$D$2:$D$2000,MATCH(D154,الأصناف!$A$2:$A$2000,0)),0))</f>
        <v/>
      </c>
      <c r="J154" s="4" t="n"/>
      <c r="K154" s="7">
        <f>IF(OR(B154="",B154&lt;&gt;الإيصال!$C$3),"",COUNTIF(B$2:B154,الإيصال!$C$3))</f>
        <v/>
      </c>
    </row>
    <row r="155">
      <c r="A155" s="6" t="n"/>
      <c r="B155" s="4" t="n"/>
      <c r="C155" s="4" t="n"/>
      <c r="D155" s="4" t="n"/>
      <c r="E155">
        <f>IF(D155="","",IFERROR(INDEX(الأصناف!$B$2:$B$2000,MATCH(D155,الأصناف!$A$2:$A$2000,0)),"كود غير موجود"))</f>
        <v/>
      </c>
      <c r="F155" s="4" t="n"/>
      <c r="G155">
        <f>IF(D155="","",IFERROR(INDEX(الأصناف!$C$2:$C$2000,MATCH(D155,الأصناف!$A$2:$A$2000,0)),0))</f>
        <v/>
      </c>
      <c r="H155">
        <f>IF(D155="","",F155*G155)</f>
        <v/>
      </c>
      <c r="I155">
        <f>IF(D155="","",H155-F155*IFERROR(INDEX(الأصناف!$D$2:$D$2000,MATCH(D155,الأصناف!$A$2:$A$2000,0)),0))</f>
        <v/>
      </c>
      <c r="J155" s="4" t="n"/>
      <c r="K155" s="7">
        <f>IF(OR(B155="",B155&lt;&gt;الإيصال!$C$3),"",COUNTIF(B$2:B155,الإيصال!$C$3))</f>
        <v/>
      </c>
    </row>
    <row r="156">
      <c r="A156" s="6" t="n"/>
      <c r="B156" s="4" t="n"/>
      <c r="C156" s="4" t="n"/>
      <c r="D156" s="4" t="n"/>
      <c r="E156">
        <f>IF(D156="","",IFERROR(INDEX(الأصناف!$B$2:$B$2000,MATCH(D156,الأصناف!$A$2:$A$2000,0)),"كود غير موجود"))</f>
        <v/>
      </c>
      <c r="F156" s="4" t="n"/>
      <c r="G156">
        <f>IF(D156="","",IFERROR(INDEX(الأصناف!$C$2:$C$2000,MATCH(D156,الأصناف!$A$2:$A$2000,0)),0))</f>
        <v/>
      </c>
      <c r="H156">
        <f>IF(D156="","",F156*G156)</f>
        <v/>
      </c>
      <c r="I156">
        <f>IF(D156="","",H156-F156*IFERROR(INDEX(الأصناف!$D$2:$D$2000,MATCH(D156,الأصناف!$A$2:$A$2000,0)),0))</f>
        <v/>
      </c>
      <c r="J156" s="4" t="n"/>
      <c r="K156" s="7">
        <f>IF(OR(B156="",B156&lt;&gt;الإيصال!$C$3),"",COUNTIF(B$2:B156,الإيصال!$C$3))</f>
        <v/>
      </c>
    </row>
    <row r="157">
      <c r="A157" s="6" t="n"/>
      <c r="B157" s="4" t="n"/>
      <c r="C157" s="4" t="n"/>
      <c r="D157" s="4" t="n"/>
      <c r="E157">
        <f>IF(D157="","",IFERROR(INDEX(الأصناف!$B$2:$B$2000,MATCH(D157,الأصناف!$A$2:$A$2000,0)),"كود غير موجود"))</f>
        <v/>
      </c>
      <c r="F157" s="4" t="n"/>
      <c r="G157">
        <f>IF(D157="","",IFERROR(INDEX(الأصناف!$C$2:$C$2000,MATCH(D157,الأصناف!$A$2:$A$2000,0)),0))</f>
        <v/>
      </c>
      <c r="H157">
        <f>IF(D157="","",F157*G157)</f>
        <v/>
      </c>
      <c r="I157">
        <f>IF(D157="","",H157-F157*IFERROR(INDEX(الأصناف!$D$2:$D$2000,MATCH(D157,الأصناف!$A$2:$A$2000,0)),0))</f>
        <v/>
      </c>
      <c r="J157" s="4" t="n"/>
      <c r="K157" s="7">
        <f>IF(OR(B157="",B157&lt;&gt;الإيصال!$C$3),"",COUNTIF(B$2:B157,الإيصال!$C$3))</f>
        <v/>
      </c>
    </row>
    <row r="158">
      <c r="A158" s="6" t="n"/>
      <c r="B158" s="4" t="n"/>
      <c r="C158" s="4" t="n"/>
      <c r="D158" s="4" t="n"/>
      <c r="E158">
        <f>IF(D158="","",IFERROR(INDEX(الأصناف!$B$2:$B$2000,MATCH(D158,الأصناف!$A$2:$A$2000,0)),"كود غير موجود"))</f>
        <v/>
      </c>
      <c r="F158" s="4" t="n"/>
      <c r="G158">
        <f>IF(D158="","",IFERROR(INDEX(الأصناف!$C$2:$C$2000,MATCH(D158,الأصناف!$A$2:$A$2000,0)),0))</f>
        <v/>
      </c>
      <c r="H158">
        <f>IF(D158="","",F158*G158)</f>
        <v/>
      </c>
      <c r="I158">
        <f>IF(D158="","",H158-F158*IFERROR(INDEX(الأصناف!$D$2:$D$2000,MATCH(D158,الأصناف!$A$2:$A$2000,0)),0))</f>
        <v/>
      </c>
      <c r="J158" s="4" t="n"/>
      <c r="K158" s="7">
        <f>IF(OR(B158="",B158&lt;&gt;الإيصال!$C$3),"",COUNTIF(B$2:B158,الإيصال!$C$3))</f>
        <v/>
      </c>
    </row>
    <row r="159">
      <c r="A159" s="6" t="n"/>
      <c r="B159" s="4" t="n"/>
      <c r="C159" s="4" t="n"/>
      <c r="D159" s="4" t="n"/>
      <c r="E159">
        <f>IF(D159="","",IFERROR(INDEX(الأصناف!$B$2:$B$2000,MATCH(D159,الأصناف!$A$2:$A$2000,0)),"كود غير موجود"))</f>
        <v/>
      </c>
      <c r="F159" s="4" t="n"/>
      <c r="G159">
        <f>IF(D159="","",IFERROR(INDEX(الأصناف!$C$2:$C$2000,MATCH(D159,الأصناف!$A$2:$A$2000,0)),0))</f>
        <v/>
      </c>
      <c r="H159">
        <f>IF(D159="","",F159*G159)</f>
        <v/>
      </c>
      <c r="I159">
        <f>IF(D159="","",H159-F159*IFERROR(INDEX(الأصناف!$D$2:$D$2000,MATCH(D159,الأصناف!$A$2:$A$2000,0)),0))</f>
        <v/>
      </c>
      <c r="J159" s="4" t="n"/>
      <c r="K159" s="7">
        <f>IF(OR(B159="",B159&lt;&gt;الإيصال!$C$3),"",COUNTIF(B$2:B159,الإيصال!$C$3))</f>
        <v/>
      </c>
    </row>
    <row r="160">
      <c r="A160" s="6" t="n"/>
      <c r="B160" s="4" t="n"/>
      <c r="C160" s="4" t="n"/>
      <c r="D160" s="4" t="n"/>
      <c r="E160">
        <f>IF(D160="","",IFERROR(INDEX(الأصناف!$B$2:$B$2000,MATCH(D160,الأصناف!$A$2:$A$2000,0)),"كود غير موجود"))</f>
        <v/>
      </c>
      <c r="F160" s="4" t="n"/>
      <c r="G160">
        <f>IF(D160="","",IFERROR(INDEX(الأصناف!$C$2:$C$2000,MATCH(D160,الأصناف!$A$2:$A$2000,0)),0))</f>
        <v/>
      </c>
      <c r="H160">
        <f>IF(D160="","",F160*G160)</f>
        <v/>
      </c>
      <c r="I160">
        <f>IF(D160="","",H160-F160*IFERROR(INDEX(الأصناف!$D$2:$D$2000,MATCH(D160,الأصناف!$A$2:$A$2000,0)),0))</f>
        <v/>
      </c>
      <c r="J160" s="4" t="n"/>
      <c r="K160" s="7">
        <f>IF(OR(B160="",B160&lt;&gt;الإيصال!$C$3),"",COUNTIF(B$2:B160,الإيصال!$C$3))</f>
        <v/>
      </c>
    </row>
    <row r="161">
      <c r="A161" s="6" t="n"/>
      <c r="B161" s="4" t="n"/>
      <c r="C161" s="4" t="n"/>
      <c r="D161" s="4" t="n"/>
      <c r="E161">
        <f>IF(D161="","",IFERROR(INDEX(الأصناف!$B$2:$B$2000,MATCH(D161,الأصناف!$A$2:$A$2000,0)),"كود غير موجود"))</f>
        <v/>
      </c>
      <c r="F161" s="4" t="n"/>
      <c r="G161">
        <f>IF(D161="","",IFERROR(INDEX(الأصناف!$C$2:$C$2000,MATCH(D161,الأصناف!$A$2:$A$2000,0)),0))</f>
        <v/>
      </c>
      <c r="H161">
        <f>IF(D161="","",F161*G161)</f>
        <v/>
      </c>
      <c r="I161">
        <f>IF(D161="","",H161-F161*IFERROR(INDEX(الأصناف!$D$2:$D$2000,MATCH(D161,الأصناف!$A$2:$A$2000,0)),0))</f>
        <v/>
      </c>
      <c r="J161" s="4" t="n"/>
      <c r="K161" s="7">
        <f>IF(OR(B161="",B161&lt;&gt;الإيصال!$C$3),"",COUNTIF(B$2:B161,الإيصال!$C$3))</f>
        <v/>
      </c>
    </row>
    <row r="162">
      <c r="A162" s="6" t="n"/>
      <c r="B162" s="4" t="n"/>
      <c r="C162" s="4" t="n"/>
      <c r="D162" s="4" t="n"/>
      <c r="E162">
        <f>IF(D162="","",IFERROR(INDEX(الأصناف!$B$2:$B$2000,MATCH(D162,الأصناف!$A$2:$A$2000,0)),"كود غير موجود"))</f>
        <v/>
      </c>
      <c r="F162" s="4" t="n"/>
      <c r="G162">
        <f>IF(D162="","",IFERROR(INDEX(الأصناف!$C$2:$C$2000,MATCH(D162,الأصناف!$A$2:$A$2000,0)),0))</f>
        <v/>
      </c>
      <c r="H162">
        <f>IF(D162="","",F162*G162)</f>
        <v/>
      </c>
      <c r="I162">
        <f>IF(D162="","",H162-F162*IFERROR(INDEX(الأصناف!$D$2:$D$2000,MATCH(D162,الأصناف!$A$2:$A$2000,0)),0))</f>
        <v/>
      </c>
      <c r="J162" s="4" t="n"/>
      <c r="K162" s="7">
        <f>IF(OR(B162="",B162&lt;&gt;الإيصال!$C$3),"",COUNTIF(B$2:B162,الإيصال!$C$3))</f>
        <v/>
      </c>
    </row>
    <row r="163">
      <c r="A163" s="6" t="n"/>
      <c r="B163" s="4" t="n"/>
      <c r="C163" s="4" t="n"/>
      <c r="D163" s="4" t="n"/>
      <c r="E163">
        <f>IF(D163="","",IFERROR(INDEX(الأصناف!$B$2:$B$2000,MATCH(D163,الأصناف!$A$2:$A$2000,0)),"كود غير موجود"))</f>
        <v/>
      </c>
      <c r="F163" s="4" t="n"/>
      <c r="G163">
        <f>IF(D163="","",IFERROR(INDEX(الأصناف!$C$2:$C$2000,MATCH(D163,الأصناف!$A$2:$A$2000,0)),0))</f>
        <v/>
      </c>
      <c r="H163">
        <f>IF(D163="","",F163*G163)</f>
        <v/>
      </c>
      <c r="I163">
        <f>IF(D163="","",H163-F163*IFERROR(INDEX(الأصناف!$D$2:$D$2000,MATCH(D163,الأصناف!$A$2:$A$2000,0)),0))</f>
        <v/>
      </c>
      <c r="J163" s="4" t="n"/>
      <c r="K163" s="7">
        <f>IF(OR(B163="",B163&lt;&gt;الإيصال!$C$3),"",COUNTIF(B$2:B163,الإيصال!$C$3))</f>
        <v/>
      </c>
    </row>
    <row r="164">
      <c r="A164" s="6" t="n"/>
      <c r="B164" s="4" t="n"/>
      <c r="C164" s="4" t="n"/>
      <c r="D164" s="4" t="n"/>
      <c r="E164">
        <f>IF(D164="","",IFERROR(INDEX(الأصناف!$B$2:$B$2000,MATCH(D164,الأصناف!$A$2:$A$2000,0)),"كود غير موجود"))</f>
        <v/>
      </c>
      <c r="F164" s="4" t="n"/>
      <c r="G164">
        <f>IF(D164="","",IFERROR(INDEX(الأصناف!$C$2:$C$2000,MATCH(D164,الأصناف!$A$2:$A$2000,0)),0))</f>
        <v/>
      </c>
      <c r="H164">
        <f>IF(D164="","",F164*G164)</f>
        <v/>
      </c>
      <c r="I164">
        <f>IF(D164="","",H164-F164*IFERROR(INDEX(الأصناف!$D$2:$D$2000,MATCH(D164,الأصناف!$A$2:$A$2000,0)),0))</f>
        <v/>
      </c>
      <c r="J164" s="4" t="n"/>
      <c r="K164" s="7">
        <f>IF(OR(B164="",B164&lt;&gt;الإيصال!$C$3),"",COUNTIF(B$2:B164,الإيصال!$C$3))</f>
        <v/>
      </c>
    </row>
    <row r="165">
      <c r="A165" s="6" t="n"/>
      <c r="B165" s="4" t="n"/>
      <c r="C165" s="4" t="n"/>
      <c r="D165" s="4" t="n"/>
      <c r="E165">
        <f>IF(D165="","",IFERROR(INDEX(الأصناف!$B$2:$B$2000,MATCH(D165,الأصناف!$A$2:$A$2000,0)),"كود غير موجود"))</f>
        <v/>
      </c>
      <c r="F165" s="4" t="n"/>
      <c r="G165">
        <f>IF(D165="","",IFERROR(INDEX(الأصناف!$C$2:$C$2000,MATCH(D165,الأصناف!$A$2:$A$2000,0)),0))</f>
        <v/>
      </c>
      <c r="H165">
        <f>IF(D165="","",F165*G165)</f>
        <v/>
      </c>
      <c r="I165">
        <f>IF(D165="","",H165-F165*IFERROR(INDEX(الأصناف!$D$2:$D$2000,MATCH(D165,الأصناف!$A$2:$A$2000,0)),0))</f>
        <v/>
      </c>
      <c r="J165" s="4" t="n"/>
      <c r="K165" s="7">
        <f>IF(OR(B165="",B165&lt;&gt;الإيصال!$C$3),"",COUNTIF(B$2:B165,الإيصال!$C$3))</f>
        <v/>
      </c>
    </row>
    <row r="166">
      <c r="A166" s="6" t="n"/>
      <c r="B166" s="4" t="n"/>
      <c r="C166" s="4" t="n"/>
      <c r="D166" s="4" t="n"/>
      <c r="E166">
        <f>IF(D166="","",IFERROR(INDEX(الأصناف!$B$2:$B$2000,MATCH(D166,الأصناف!$A$2:$A$2000,0)),"كود غير موجود"))</f>
        <v/>
      </c>
      <c r="F166" s="4" t="n"/>
      <c r="G166">
        <f>IF(D166="","",IFERROR(INDEX(الأصناف!$C$2:$C$2000,MATCH(D166,الأصناف!$A$2:$A$2000,0)),0))</f>
        <v/>
      </c>
      <c r="H166">
        <f>IF(D166="","",F166*G166)</f>
        <v/>
      </c>
      <c r="I166">
        <f>IF(D166="","",H166-F166*IFERROR(INDEX(الأصناف!$D$2:$D$2000,MATCH(D166,الأصناف!$A$2:$A$2000,0)),0))</f>
        <v/>
      </c>
      <c r="J166" s="4" t="n"/>
      <c r="K166" s="7">
        <f>IF(OR(B166="",B166&lt;&gt;الإيصال!$C$3),"",COUNTIF(B$2:B166,الإيصال!$C$3))</f>
        <v/>
      </c>
    </row>
    <row r="167">
      <c r="A167" s="6" t="n"/>
      <c r="B167" s="4" t="n"/>
      <c r="C167" s="4" t="n"/>
      <c r="D167" s="4" t="n"/>
      <c r="E167">
        <f>IF(D167="","",IFERROR(INDEX(الأصناف!$B$2:$B$2000,MATCH(D167,الأصناف!$A$2:$A$2000,0)),"كود غير موجود"))</f>
        <v/>
      </c>
      <c r="F167" s="4" t="n"/>
      <c r="G167">
        <f>IF(D167="","",IFERROR(INDEX(الأصناف!$C$2:$C$2000,MATCH(D167,الأصناف!$A$2:$A$2000,0)),0))</f>
        <v/>
      </c>
      <c r="H167">
        <f>IF(D167="","",F167*G167)</f>
        <v/>
      </c>
      <c r="I167">
        <f>IF(D167="","",H167-F167*IFERROR(INDEX(الأصناف!$D$2:$D$2000,MATCH(D167,الأصناف!$A$2:$A$2000,0)),0))</f>
        <v/>
      </c>
      <c r="J167" s="4" t="n"/>
      <c r="K167" s="7">
        <f>IF(OR(B167="",B167&lt;&gt;الإيصال!$C$3),"",COUNTIF(B$2:B167,الإيصال!$C$3))</f>
        <v/>
      </c>
    </row>
    <row r="168">
      <c r="A168" s="6" t="n"/>
      <c r="B168" s="4" t="n"/>
      <c r="C168" s="4" t="n"/>
      <c r="D168" s="4" t="n"/>
      <c r="E168">
        <f>IF(D168="","",IFERROR(INDEX(الأصناف!$B$2:$B$2000,MATCH(D168,الأصناف!$A$2:$A$2000,0)),"كود غير موجود"))</f>
        <v/>
      </c>
      <c r="F168" s="4" t="n"/>
      <c r="G168">
        <f>IF(D168="","",IFERROR(INDEX(الأصناف!$C$2:$C$2000,MATCH(D168,الأصناف!$A$2:$A$2000,0)),0))</f>
        <v/>
      </c>
      <c r="H168">
        <f>IF(D168="","",F168*G168)</f>
        <v/>
      </c>
      <c r="I168">
        <f>IF(D168="","",H168-F168*IFERROR(INDEX(الأصناف!$D$2:$D$2000,MATCH(D168,الأصناف!$A$2:$A$2000,0)),0))</f>
        <v/>
      </c>
      <c r="J168" s="4" t="n"/>
      <c r="K168" s="7">
        <f>IF(OR(B168="",B168&lt;&gt;الإيصال!$C$3),"",COUNTIF(B$2:B168,الإيصال!$C$3))</f>
        <v/>
      </c>
    </row>
    <row r="169">
      <c r="A169" s="6" t="n"/>
      <c r="B169" s="4" t="n"/>
      <c r="C169" s="4" t="n"/>
      <c r="D169" s="4" t="n"/>
      <c r="E169">
        <f>IF(D169="","",IFERROR(INDEX(الأصناف!$B$2:$B$2000,MATCH(D169,الأصناف!$A$2:$A$2000,0)),"كود غير موجود"))</f>
        <v/>
      </c>
      <c r="F169" s="4" t="n"/>
      <c r="G169">
        <f>IF(D169="","",IFERROR(INDEX(الأصناف!$C$2:$C$2000,MATCH(D169,الأصناف!$A$2:$A$2000,0)),0))</f>
        <v/>
      </c>
      <c r="H169">
        <f>IF(D169="","",F169*G169)</f>
        <v/>
      </c>
      <c r="I169">
        <f>IF(D169="","",H169-F169*IFERROR(INDEX(الأصناف!$D$2:$D$2000,MATCH(D169,الأصناف!$A$2:$A$2000,0)),0))</f>
        <v/>
      </c>
      <c r="J169" s="4" t="n"/>
      <c r="K169" s="7">
        <f>IF(OR(B169="",B169&lt;&gt;الإيصال!$C$3),"",COUNTIF(B$2:B169,الإيصال!$C$3))</f>
        <v/>
      </c>
    </row>
    <row r="170">
      <c r="A170" s="6" t="n"/>
      <c r="B170" s="4" t="n"/>
      <c r="C170" s="4" t="n"/>
      <c r="D170" s="4" t="n"/>
      <c r="E170">
        <f>IF(D170="","",IFERROR(INDEX(الأصناف!$B$2:$B$2000,MATCH(D170,الأصناف!$A$2:$A$2000,0)),"كود غير موجود"))</f>
        <v/>
      </c>
      <c r="F170" s="4" t="n"/>
      <c r="G170">
        <f>IF(D170="","",IFERROR(INDEX(الأصناف!$C$2:$C$2000,MATCH(D170,الأصناف!$A$2:$A$2000,0)),0))</f>
        <v/>
      </c>
      <c r="H170">
        <f>IF(D170="","",F170*G170)</f>
        <v/>
      </c>
      <c r="I170">
        <f>IF(D170="","",H170-F170*IFERROR(INDEX(الأصناف!$D$2:$D$2000,MATCH(D170,الأصناف!$A$2:$A$2000,0)),0))</f>
        <v/>
      </c>
      <c r="J170" s="4" t="n"/>
      <c r="K170" s="7">
        <f>IF(OR(B170="",B170&lt;&gt;الإيصال!$C$3),"",COUNTIF(B$2:B170,الإيصال!$C$3))</f>
        <v/>
      </c>
    </row>
    <row r="171">
      <c r="A171" s="6" t="n"/>
      <c r="B171" s="4" t="n"/>
      <c r="C171" s="4" t="n"/>
      <c r="D171" s="4" t="n"/>
      <c r="E171">
        <f>IF(D171="","",IFERROR(INDEX(الأصناف!$B$2:$B$2000,MATCH(D171,الأصناف!$A$2:$A$2000,0)),"كود غير موجود"))</f>
        <v/>
      </c>
      <c r="F171" s="4" t="n"/>
      <c r="G171">
        <f>IF(D171="","",IFERROR(INDEX(الأصناف!$C$2:$C$2000,MATCH(D171,الأصناف!$A$2:$A$2000,0)),0))</f>
        <v/>
      </c>
      <c r="H171">
        <f>IF(D171="","",F171*G171)</f>
        <v/>
      </c>
      <c r="I171">
        <f>IF(D171="","",H171-F171*IFERROR(INDEX(الأصناف!$D$2:$D$2000,MATCH(D171,الأصناف!$A$2:$A$2000,0)),0))</f>
        <v/>
      </c>
      <c r="J171" s="4" t="n"/>
      <c r="K171" s="7">
        <f>IF(OR(B171="",B171&lt;&gt;الإيصال!$C$3),"",COUNTIF(B$2:B171,الإيصال!$C$3))</f>
        <v/>
      </c>
    </row>
    <row r="172">
      <c r="A172" s="6" t="n"/>
      <c r="B172" s="4" t="n"/>
      <c r="C172" s="4" t="n"/>
      <c r="D172" s="4" t="n"/>
      <c r="E172">
        <f>IF(D172="","",IFERROR(INDEX(الأصناف!$B$2:$B$2000,MATCH(D172,الأصناف!$A$2:$A$2000,0)),"كود غير موجود"))</f>
        <v/>
      </c>
      <c r="F172" s="4" t="n"/>
      <c r="G172">
        <f>IF(D172="","",IFERROR(INDEX(الأصناف!$C$2:$C$2000,MATCH(D172,الأصناف!$A$2:$A$2000,0)),0))</f>
        <v/>
      </c>
      <c r="H172">
        <f>IF(D172="","",F172*G172)</f>
        <v/>
      </c>
      <c r="I172">
        <f>IF(D172="","",H172-F172*IFERROR(INDEX(الأصناف!$D$2:$D$2000,MATCH(D172,الأصناف!$A$2:$A$2000,0)),0))</f>
        <v/>
      </c>
      <c r="J172" s="4" t="n"/>
      <c r="K172" s="7">
        <f>IF(OR(B172="",B172&lt;&gt;الإيصال!$C$3),"",COUNTIF(B$2:B172,الإيصال!$C$3))</f>
        <v/>
      </c>
    </row>
    <row r="173">
      <c r="A173" s="6" t="n"/>
      <c r="B173" s="4" t="n"/>
      <c r="C173" s="4" t="n"/>
      <c r="D173" s="4" t="n"/>
      <c r="E173">
        <f>IF(D173="","",IFERROR(INDEX(الأصناف!$B$2:$B$2000,MATCH(D173,الأصناف!$A$2:$A$2000,0)),"كود غير موجود"))</f>
        <v/>
      </c>
      <c r="F173" s="4" t="n"/>
      <c r="G173">
        <f>IF(D173="","",IFERROR(INDEX(الأصناف!$C$2:$C$2000,MATCH(D173,الأصناف!$A$2:$A$2000,0)),0))</f>
        <v/>
      </c>
      <c r="H173">
        <f>IF(D173="","",F173*G173)</f>
        <v/>
      </c>
      <c r="I173">
        <f>IF(D173="","",H173-F173*IFERROR(INDEX(الأصناف!$D$2:$D$2000,MATCH(D173,الأصناف!$A$2:$A$2000,0)),0))</f>
        <v/>
      </c>
      <c r="J173" s="4" t="n"/>
      <c r="K173" s="7">
        <f>IF(OR(B173="",B173&lt;&gt;الإيصال!$C$3),"",COUNTIF(B$2:B173,الإيصال!$C$3))</f>
        <v/>
      </c>
    </row>
    <row r="174">
      <c r="A174" s="6" t="n"/>
      <c r="B174" s="4" t="n"/>
      <c r="C174" s="4" t="n"/>
      <c r="D174" s="4" t="n"/>
      <c r="E174">
        <f>IF(D174="","",IFERROR(INDEX(الأصناف!$B$2:$B$2000,MATCH(D174,الأصناف!$A$2:$A$2000,0)),"كود غير موجود"))</f>
        <v/>
      </c>
      <c r="F174" s="4" t="n"/>
      <c r="G174">
        <f>IF(D174="","",IFERROR(INDEX(الأصناف!$C$2:$C$2000,MATCH(D174,الأصناف!$A$2:$A$2000,0)),0))</f>
        <v/>
      </c>
      <c r="H174">
        <f>IF(D174="","",F174*G174)</f>
        <v/>
      </c>
      <c r="I174">
        <f>IF(D174="","",H174-F174*IFERROR(INDEX(الأصناف!$D$2:$D$2000,MATCH(D174,الأصناف!$A$2:$A$2000,0)),0))</f>
        <v/>
      </c>
      <c r="J174" s="4" t="n"/>
      <c r="K174" s="7">
        <f>IF(OR(B174="",B174&lt;&gt;الإيصال!$C$3),"",COUNTIF(B$2:B174,الإيصال!$C$3))</f>
        <v/>
      </c>
    </row>
    <row r="175">
      <c r="A175" s="6" t="n"/>
      <c r="B175" s="4" t="n"/>
      <c r="C175" s="4" t="n"/>
      <c r="D175" s="4" t="n"/>
      <c r="E175">
        <f>IF(D175="","",IFERROR(INDEX(الأصناف!$B$2:$B$2000,MATCH(D175,الأصناف!$A$2:$A$2000,0)),"كود غير موجود"))</f>
        <v/>
      </c>
      <c r="F175" s="4" t="n"/>
      <c r="G175">
        <f>IF(D175="","",IFERROR(INDEX(الأصناف!$C$2:$C$2000,MATCH(D175,الأصناف!$A$2:$A$2000,0)),0))</f>
        <v/>
      </c>
      <c r="H175">
        <f>IF(D175="","",F175*G175)</f>
        <v/>
      </c>
      <c r="I175">
        <f>IF(D175="","",H175-F175*IFERROR(INDEX(الأصناف!$D$2:$D$2000,MATCH(D175,الأصناف!$A$2:$A$2000,0)),0))</f>
        <v/>
      </c>
      <c r="J175" s="4" t="n"/>
      <c r="K175" s="7">
        <f>IF(OR(B175="",B175&lt;&gt;الإيصال!$C$3),"",COUNTIF(B$2:B175,الإيصال!$C$3))</f>
        <v/>
      </c>
    </row>
    <row r="176">
      <c r="A176" s="6" t="n"/>
      <c r="B176" s="4" t="n"/>
      <c r="C176" s="4" t="n"/>
      <c r="D176" s="4" t="n"/>
      <c r="E176">
        <f>IF(D176="","",IFERROR(INDEX(الأصناف!$B$2:$B$2000,MATCH(D176,الأصناف!$A$2:$A$2000,0)),"كود غير موجود"))</f>
        <v/>
      </c>
      <c r="F176" s="4" t="n"/>
      <c r="G176">
        <f>IF(D176="","",IFERROR(INDEX(الأصناف!$C$2:$C$2000,MATCH(D176,الأصناف!$A$2:$A$2000,0)),0))</f>
        <v/>
      </c>
      <c r="H176">
        <f>IF(D176="","",F176*G176)</f>
        <v/>
      </c>
      <c r="I176">
        <f>IF(D176="","",H176-F176*IFERROR(INDEX(الأصناف!$D$2:$D$2000,MATCH(D176,الأصناف!$A$2:$A$2000,0)),0))</f>
        <v/>
      </c>
      <c r="J176" s="4" t="n"/>
      <c r="K176" s="7">
        <f>IF(OR(B176="",B176&lt;&gt;الإيصال!$C$3),"",COUNTIF(B$2:B176,الإيصال!$C$3))</f>
        <v/>
      </c>
    </row>
    <row r="177">
      <c r="A177" s="6" t="n"/>
      <c r="B177" s="4" t="n"/>
      <c r="C177" s="4" t="n"/>
      <c r="D177" s="4" t="n"/>
      <c r="E177">
        <f>IF(D177="","",IFERROR(INDEX(الأصناف!$B$2:$B$2000,MATCH(D177,الأصناف!$A$2:$A$2000,0)),"كود غير موجود"))</f>
        <v/>
      </c>
      <c r="F177" s="4" t="n"/>
      <c r="G177">
        <f>IF(D177="","",IFERROR(INDEX(الأصناف!$C$2:$C$2000,MATCH(D177,الأصناف!$A$2:$A$2000,0)),0))</f>
        <v/>
      </c>
      <c r="H177">
        <f>IF(D177="","",F177*G177)</f>
        <v/>
      </c>
      <c r="I177">
        <f>IF(D177="","",H177-F177*IFERROR(INDEX(الأصناف!$D$2:$D$2000,MATCH(D177,الأصناف!$A$2:$A$2000,0)),0))</f>
        <v/>
      </c>
      <c r="J177" s="4" t="n"/>
      <c r="K177" s="7">
        <f>IF(OR(B177="",B177&lt;&gt;الإيصال!$C$3),"",COUNTIF(B$2:B177,الإيصال!$C$3))</f>
        <v/>
      </c>
    </row>
    <row r="178">
      <c r="A178" s="6" t="n"/>
      <c r="B178" s="4" t="n"/>
      <c r="C178" s="4" t="n"/>
      <c r="D178" s="4" t="n"/>
      <c r="E178">
        <f>IF(D178="","",IFERROR(INDEX(الأصناف!$B$2:$B$2000,MATCH(D178,الأصناف!$A$2:$A$2000,0)),"كود غير موجود"))</f>
        <v/>
      </c>
      <c r="F178" s="4" t="n"/>
      <c r="G178">
        <f>IF(D178="","",IFERROR(INDEX(الأصناف!$C$2:$C$2000,MATCH(D178,الأصناف!$A$2:$A$2000,0)),0))</f>
        <v/>
      </c>
      <c r="H178">
        <f>IF(D178="","",F178*G178)</f>
        <v/>
      </c>
      <c r="I178">
        <f>IF(D178="","",H178-F178*IFERROR(INDEX(الأصناف!$D$2:$D$2000,MATCH(D178,الأصناف!$A$2:$A$2000,0)),0))</f>
        <v/>
      </c>
      <c r="J178" s="4" t="n"/>
      <c r="K178" s="7">
        <f>IF(OR(B178="",B178&lt;&gt;الإيصال!$C$3),"",COUNTIF(B$2:B178,الإيصال!$C$3))</f>
        <v/>
      </c>
    </row>
    <row r="179">
      <c r="A179" s="6" t="n"/>
      <c r="B179" s="4" t="n"/>
      <c r="C179" s="4" t="n"/>
      <c r="D179" s="4" t="n"/>
      <c r="E179">
        <f>IF(D179="","",IFERROR(INDEX(الأصناف!$B$2:$B$2000,MATCH(D179,الأصناف!$A$2:$A$2000,0)),"كود غير موجود"))</f>
        <v/>
      </c>
      <c r="F179" s="4" t="n"/>
      <c r="G179">
        <f>IF(D179="","",IFERROR(INDEX(الأصناف!$C$2:$C$2000,MATCH(D179,الأصناف!$A$2:$A$2000,0)),0))</f>
        <v/>
      </c>
      <c r="H179">
        <f>IF(D179="","",F179*G179)</f>
        <v/>
      </c>
      <c r="I179">
        <f>IF(D179="","",H179-F179*IFERROR(INDEX(الأصناف!$D$2:$D$2000,MATCH(D179,الأصناف!$A$2:$A$2000,0)),0))</f>
        <v/>
      </c>
      <c r="J179" s="4" t="n"/>
      <c r="K179" s="7">
        <f>IF(OR(B179="",B179&lt;&gt;الإيصال!$C$3),"",COUNTIF(B$2:B179,الإيصال!$C$3))</f>
        <v/>
      </c>
    </row>
    <row r="180">
      <c r="A180" s="6" t="n"/>
      <c r="B180" s="4" t="n"/>
      <c r="C180" s="4" t="n"/>
      <c r="D180" s="4" t="n"/>
      <c r="E180">
        <f>IF(D180="","",IFERROR(INDEX(الأصناف!$B$2:$B$2000,MATCH(D180,الأصناف!$A$2:$A$2000,0)),"كود غير موجود"))</f>
        <v/>
      </c>
      <c r="F180" s="4" t="n"/>
      <c r="G180">
        <f>IF(D180="","",IFERROR(INDEX(الأصناف!$C$2:$C$2000,MATCH(D180,الأصناف!$A$2:$A$2000,0)),0))</f>
        <v/>
      </c>
      <c r="H180">
        <f>IF(D180="","",F180*G180)</f>
        <v/>
      </c>
      <c r="I180">
        <f>IF(D180="","",H180-F180*IFERROR(INDEX(الأصناف!$D$2:$D$2000,MATCH(D180,الأصناف!$A$2:$A$2000,0)),0))</f>
        <v/>
      </c>
      <c r="J180" s="4" t="n"/>
      <c r="K180" s="7">
        <f>IF(OR(B180="",B180&lt;&gt;الإيصال!$C$3),"",COUNTIF(B$2:B180,الإيصال!$C$3))</f>
        <v/>
      </c>
    </row>
    <row r="181">
      <c r="A181" s="6" t="n"/>
      <c r="B181" s="4" t="n"/>
      <c r="C181" s="4" t="n"/>
      <c r="D181" s="4" t="n"/>
      <c r="E181">
        <f>IF(D181="","",IFERROR(INDEX(الأصناف!$B$2:$B$2000,MATCH(D181,الأصناف!$A$2:$A$2000,0)),"كود غير موجود"))</f>
        <v/>
      </c>
      <c r="F181" s="4" t="n"/>
      <c r="G181">
        <f>IF(D181="","",IFERROR(INDEX(الأصناف!$C$2:$C$2000,MATCH(D181,الأصناف!$A$2:$A$2000,0)),0))</f>
        <v/>
      </c>
      <c r="H181">
        <f>IF(D181="","",F181*G181)</f>
        <v/>
      </c>
      <c r="I181">
        <f>IF(D181="","",H181-F181*IFERROR(INDEX(الأصناف!$D$2:$D$2000,MATCH(D181,الأصناف!$A$2:$A$2000,0)),0))</f>
        <v/>
      </c>
      <c r="J181" s="4" t="n"/>
      <c r="K181" s="7">
        <f>IF(OR(B181="",B181&lt;&gt;الإيصال!$C$3),"",COUNTIF(B$2:B181,الإيصال!$C$3))</f>
        <v/>
      </c>
    </row>
    <row r="182">
      <c r="A182" s="6" t="n"/>
      <c r="B182" s="4" t="n"/>
      <c r="C182" s="4" t="n"/>
      <c r="D182" s="4" t="n"/>
      <c r="E182">
        <f>IF(D182="","",IFERROR(INDEX(الأصناف!$B$2:$B$2000,MATCH(D182,الأصناف!$A$2:$A$2000,0)),"كود غير موجود"))</f>
        <v/>
      </c>
      <c r="F182" s="4" t="n"/>
      <c r="G182">
        <f>IF(D182="","",IFERROR(INDEX(الأصناف!$C$2:$C$2000,MATCH(D182,الأصناف!$A$2:$A$2000,0)),0))</f>
        <v/>
      </c>
      <c r="H182">
        <f>IF(D182="","",F182*G182)</f>
        <v/>
      </c>
      <c r="I182">
        <f>IF(D182="","",H182-F182*IFERROR(INDEX(الأصناف!$D$2:$D$2000,MATCH(D182,الأصناف!$A$2:$A$2000,0)),0))</f>
        <v/>
      </c>
      <c r="J182" s="4" t="n"/>
      <c r="K182" s="7">
        <f>IF(OR(B182="",B182&lt;&gt;الإيصال!$C$3),"",COUNTIF(B$2:B182,الإيصال!$C$3))</f>
        <v/>
      </c>
    </row>
    <row r="183">
      <c r="A183" s="6" t="n"/>
      <c r="B183" s="4" t="n"/>
      <c r="C183" s="4" t="n"/>
      <c r="D183" s="4" t="n"/>
      <c r="E183">
        <f>IF(D183="","",IFERROR(INDEX(الأصناف!$B$2:$B$2000,MATCH(D183,الأصناف!$A$2:$A$2000,0)),"كود غير موجود"))</f>
        <v/>
      </c>
      <c r="F183" s="4" t="n"/>
      <c r="G183">
        <f>IF(D183="","",IFERROR(INDEX(الأصناف!$C$2:$C$2000,MATCH(D183,الأصناف!$A$2:$A$2000,0)),0))</f>
        <v/>
      </c>
      <c r="H183">
        <f>IF(D183="","",F183*G183)</f>
        <v/>
      </c>
      <c r="I183">
        <f>IF(D183="","",H183-F183*IFERROR(INDEX(الأصناف!$D$2:$D$2000,MATCH(D183,الأصناف!$A$2:$A$2000,0)),0))</f>
        <v/>
      </c>
      <c r="J183" s="4" t="n"/>
      <c r="K183" s="7">
        <f>IF(OR(B183="",B183&lt;&gt;الإيصال!$C$3),"",COUNTIF(B$2:B183,الإيصال!$C$3))</f>
        <v/>
      </c>
    </row>
    <row r="184">
      <c r="A184" s="6" t="n"/>
      <c r="B184" s="4" t="n"/>
      <c r="C184" s="4" t="n"/>
      <c r="D184" s="4" t="n"/>
      <c r="E184">
        <f>IF(D184="","",IFERROR(INDEX(الأصناف!$B$2:$B$2000,MATCH(D184,الأصناف!$A$2:$A$2000,0)),"كود غير موجود"))</f>
        <v/>
      </c>
      <c r="F184" s="4" t="n"/>
      <c r="G184">
        <f>IF(D184="","",IFERROR(INDEX(الأصناف!$C$2:$C$2000,MATCH(D184,الأصناف!$A$2:$A$2000,0)),0))</f>
        <v/>
      </c>
      <c r="H184">
        <f>IF(D184="","",F184*G184)</f>
        <v/>
      </c>
      <c r="I184">
        <f>IF(D184="","",H184-F184*IFERROR(INDEX(الأصناف!$D$2:$D$2000,MATCH(D184,الأصناف!$A$2:$A$2000,0)),0))</f>
        <v/>
      </c>
      <c r="J184" s="4" t="n"/>
      <c r="K184" s="7">
        <f>IF(OR(B184="",B184&lt;&gt;الإيصال!$C$3),"",COUNTIF(B$2:B184,الإيصال!$C$3))</f>
        <v/>
      </c>
    </row>
    <row r="185">
      <c r="A185" s="6" t="n"/>
      <c r="B185" s="4" t="n"/>
      <c r="C185" s="4" t="n"/>
      <c r="D185" s="4" t="n"/>
      <c r="E185">
        <f>IF(D185="","",IFERROR(INDEX(الأصناف!$B$2:$B$2000,MATCH(D185,الأصناف!$A$2:$A$2000,0)),"كود غير موجود"))</f>
        <v/>
      </c>
      <c r="F185" s="4" t="n"/>
      <c r="G185">
        <f>IF(D185="","",IFERROR(INDEX(الأصناف!$C$2:$C$2000,MATCH(D185,الأصناف!$A$2:$A$2000,0)),0))</f>
        <v/>
      </c>
      <c r="H185">
        <f>IF(D185="","",F185*G185)</f>
        <v/>
      </c>
      <c r="I185">
        <f>IF(D185="","",H185-F185*IFERROR(INDEX(الأصناف!$D$2:$D$2000,MATCH(D185,الأصناف!$A$2:$A$2000,0)),0))</f>
        <v/>
      </c>
      <c r="J185" s="4" t="n"/>
      <c r="K185" s="7">
        <f>IF(OR(B185="",B185&lt;&gt;الإيصال!$C$3),"",COUNTIF(B$2:B185,الإيصال!$C$3))</f>
        <v/>
      </c>
    </row>
    <row r="186">
      <c r="A186" s="6" t="n"/>
      <c r="B186" s="4" t="n"/>
      <c r="C186" s="4" t="n"/>
      <c r="D186" s="4" t="n"/>
      <c r="E186">
        <f>IF(D186="","",IFERROR(INDEX(الأصناف!$B$2:$B$2000,MATCH(D186,الأصناف!$A$2:$A$2000,0)),"كود غير موجود"))</f>
        <v/>
      </c>
      <c r="F186" s="4" t="n"/>
      <c r="G186">
        <f>IF(D186="","",IFERROR(INDEX(الأصناف!$C$2:$C$2000,MATCH(D186,الأصناف!$A$2:$A$2000,0)),0))</f>
        <v/>
      </c>
      <c r="H186">
        <f>IF(D186="","",F186*G186)</f>
        <v/>
      </c>
      <c r="I186">
        <f>IF(D186="","",H186-F186*IFERROR(INDEX(الأصناف!$D$2:$D$2000,MATCH(D186,الأصناف!$A$2:$A$2000,0)),0))</f>
        <v/>
      </c>
      <c r="J186" s="4" t="n"/>
      <c r="K186" s="7">
        <f>IF(OR(B186="",B186&lt;&gt;الإيصال!$C$3),"",COUNTIF(B$2:B186,الإيصال!$C$3))</f>
        <v/>
      </c>
    </row>
    <row r="187">
      <c r="A187" s="6" t="n"/>
      <c r="B187" s="4" t="n"/>
      <c r="C187" s="4" t="n"/>
      <c r="D187" s="4" t="n"/>
      <c r="E187">
        <f>IF(D187="","",IFERROR(INDEX(الأصناف!$B$2:$B$2000,MATCH(D187,الأصناف!$A$2:$A$2000,0)),"كود غير موجود"))</f>
        <v/>
      </c>
      <c r="F187" s="4" t="n"/>
      <c r="G187">
        <f>IF(D187="","",IFERROR(INDEX(الأصناف!$C$2:$C$2000,MATCH(D187,الأصناف!$A$2:$A$2000,0)),0))</f>
        <v/>
      </c>
      <c r="H187">
        <f>IF(D187="","",F187*G187)</f>
        <v/>
      </c>
      <c r="I187">
        <f>IF(D187="","",H187-F187*IFERROR(INDEX(الأصناف!$D$2:$D$2000,MATCH(D187,الأصناف!$A$2:$A$2000,0)),0))</f>
        <v/>
      </c>
      <c r="J187" s="4" t="n"/>
      <c r="K187" s="7">
        <f>IF(OR(B187="",B187&lt;&gt;الإيصال!$C$3),"",COUNTIF(B$2:B187,الإيصال!$C$3))</f>
        <v/>
      </c>
    </row>
    <row r="188">
      <c r="A188" s="6" t="n"/>
      <c r="B188" s="4" t="n"/>
      <c r="C188" s="4" t="n"/>
      <c r="D188" s="4" t="n"/>
      <c r="E188">
        <f>IF(D188="","",IFERROR(INDEX(الأصناف!$B$2:$B$2000,MATCH(D188,الأصناف!$A$2:$A$2000,0)),"كود غير موجود"))</f>
        <v/>
      </c>
      <c r="F188" s="4" t="n"/>
      <c r="G188">
        <f>IF(D188="","",IFERROR(INDEX(الأصناف!$C$2:$C$2000,MATCH(D188,الأصناف!$A$2:$A$2000,0)),0))</f>
        <v/>
      </c>
      <c r="H188">
        <f>IF(D188="","",F188*G188)</f>
        <v/>
      </c>
      <c r="I188">
        <f>IF(D188="","",H188-F188*IFERROR(INDEX(الأصناف!$D$2:$D$2000,MATCH(D188,الأصناف!$A$2:$A$2000,0)),0))</f>
        <v/>
      </c>
      <c r="J188" s="4" t="n"/>
      <c r="K188" s="7">
        <f>IF(OR(B188="",B188&lt;&gt;الإيصال!$C$3),"",COUNTIF(B$2:B188,الإيصال!$C$3))</f>
        <v/>
      </c>
    </row>
    <row r="189">
      <c r="A189" s="6" t="n"/>
      <c r="B189" s="4" t="n"/>
      <c r="C189" s="4" t="n"/>
      <c r="D189" s="4" t="n"/>
      <c r="E189">
        <f>IF(D189="","",IFERROR(INDEX(الأصناف!$B$2:$B$2000,MATCH(D189,الأصناف!$A$2:$A$2000,0)),"كود غير موجود"))</f>
        <v/>
      </c>
      <c r="F189" s="4" t="n"/>
      <c r="G189">
        <f>IF(D189="","",IFERROR(INDEX(الأصناف!$C$2:$C$2000,MATCH(D189,الأصناف!$A$2:$A$2000,0)),0))</f>
        <v/>
      </c>
      <c r="H189">
        <f>IF(D189="","",F189*G189)</f>
        <v/>
      </c>
      <c r="I189">
        <f>IF(D189="","",H189-F189*IFERROR(INDEX(الأصناف!$D$2:$D$2000,MATCH(D189,الأصناف!$A$2:$A$2000,0)),0))</f>
        <v/>
      </c>
      <c r="J189" s="4" t="n"/>
      <c r="K189" s="7">
        <f>IF(OR(B189="",B189&lt;&gt;الإيصال!$C$3),"",COUNTIF(B$2:B189,الإيصال!$C$3))</f>
        <v/>
      </c>
    </row>
    <row r="190">
      <c r="A190" s="6" t="n"/>
      <c r="B190" s="4" t="n"/>
      <c r="C190" s="4" t="n"/>
      <c r="D190" s="4" t="n"/>
      <c r="E190">
        <f>IF(D190="","",IFERROR(INDEX(الأصناف!$B$2:$B$2000,MATCH(D190,الأصناف!$A$2:$A$2000,0)),"كود غير موجود"))</f>
        <v/>
      </c>
      <c r="F190" s="4" t="n"/>
      <c r="G190">
        <f>IF(D190="","",IFERROR(INDEX(الأصناف!$C$2:$C$2000,MATCH(D190,الأصناف!$A$2:$A$2000,0)),0))</f>
        <v/>
      </c>
      <c r="H190">
        <f>IF(D190="","",F190*G190)</f>
        <v/>
      </c>
      <c r="I190">
        <f>IF(D190="","",H190-F190*IFERROR(INDEX(الأصناف!$D$2:$D$2000,MATCH(D190,الأصناف!$A$2:$A$2000,0)),0))</f>
        <v/>
      </c>
      <c r="J190" s="4" t="n"/>
      <c r="K190" s="7">
        <f>IF(OR(B190="",B190&lt;&gt;الإيصال!$C$3),"",COUNTIF(B$2:B190,الإيصال!$C$3))</f>
        <v/>
      </c>
    </row>
    <row r="191">
      <c r="A191" s="6" t="n"/>
      <c r="B191" s="4" t="n"/>
      <c r="C191" s="4" t="n"/>
      <c r="D191" s="4" t="n"/>
      <c r="E191">
        <f>IF(D191="","",IFERROR(INDEX(الأصناف!$B$2:$B$2000,MATCH(D191,الأصناف!$A$2:$A$2000,0)),"كود غير موجود"))</f>
        <v/>
      </c>
      <c r="F191" s="4" t="n"/>
      <c r="G191">
        <f>IF(D191="","",IFERROR(INDEX(الأصناف!$C$2:$C$2000,MATCH(D191,الأصناف!$A$2:$A$2000,0)),0))</f>
        <v/>
      </c>
      <c r="H191">
        <f>IF(D191="","",F191*G191)</f>
        <v/>
      </c>
      <c r="I191">
        <f>IF(D191="","",H191-F191*IFERROR(INDEX(الأصناف!$D$2:$D$2000,MATCH(D191,الأصناف!$A$2:$A$2000,0)),0))</f>
        <v/>
      </c>
      <c r="J191" s="4" t="n"/>
      <c r="K191" s="7">
        <f>IF(OR(B191="",B191&lt;&gt;الإيصال!$C$3),"",COUNTIF(B$2:B191,الإيصال!$C$3))</f>
        <v/>
      </c>
    </row>
    <row r="192">
      <c r="A192" s="6" t="n"/>
      <c r="B192" s="4" t="n"/>
      <c r="C192" s="4" t="n"/>
      <c r="D192" s="4" t="n"/>
      <c r="E192">
        <f>IF(D192="","",IFERROR(INDEX(الأصناف!$B$2:$B$2000,MATCH(D192,الأصناف!$A$2:$A$2000,0)),"كود غير موجود"))</f>
        <v/>
      </c>
      <c r="F192" s="4" t="n"/>
      <c r="G192">
        <f>IF(D192="","",IFERROR(INDEX(الأصناف!$C$2:$C$2000,MATCH(D192,الأصناف!$A$2:$A$2000,0)),0))</f>
        <v/>
      </c>
      <c r="H192">
        <f>IF(D192="","",F192*G192)</f>
        <v/>
      </c>
      <c r="I192">
        <f>IF(D192="","",H192-F192*IFERROR(INDEX(الأصناف!$D$2:$D$2000,MATCH(D192,الأصناف!$A$2:$A$2000,0)),0))</f>
        <v/>
      </c>
      <c r="J192" s="4" t="n"/>
      <c r="K192" s="7">
        <f>IF(OR(B192="",B192&lt;&gt;الإيصال!$C$3),"",COUNTIF(B$2:B192,الإيصال!$C$3))</f>
        <v/>
      </c>
    </row>
    <row r="193">
      <c r="A193" s="6" t="n"/>
      <c r="B193" s="4" t="n"/>
      <c r="C193" s="4" t="n"/>
      <c r="D193" s="4" t="n"/>
      <c r="E193">
        <f>IF(D193="","",IFERROR(INDEX(الأصناف!$B$2:$B$2000,MATCH(D193,الأصناف!$A$2:$A$2000,0)),"كود غير موجود"))</f>
        <v/>
      </c>
      <c r="F193" s="4" t="n"/>
      <c r="G193">
        <f>IF(D193="","",IFERROR(INDEX(الأصناف!$C$2:$C$2000,MATCH(D193,الأصناف!$A$2:$A$2000,0)),0))</f>
        <v/>
      </c>
      <c r="H193">
        <f>IF(D193="","",F193*G193)</f>
        <v/>
      </c>
      <c r="I193">
        <f>IF(D193="","",H193-F193*IFERROR(INDEX(الأصناف!$D$2:$D$2000,MATCH(D193,الأصناف!$A$2:$A$2000,0)),0))</f>
        <v/>
      </c>
      <c r="J193" s="4" t="n"/>
      <c r="K193" s="7">
        <f>IF(OR(B193="",B193&lt;&gt;الإيصال!$C$3),"",COUNTIF(B$2:B193,الإيصال!$C$3))</f>
        <v/>
      </c>
    </row>
    <row r="194">
      <c r="A194" s="6" t="n"/>
      <c r="B194" s="4" t="n"/>
      <c r="C194" s="4" t="n"/>
      <c r="D194" s="4" t="n"/>
      <c r="E194">
        <f>IF(D194="","",IFERROR(INDEX(الأصناف!$B$2:$B$2000,MATCH(D194,الأصناف!$A$2:$A$2000,0)),"كود غير موجود"))</f>
        <v/>
      </c>
      <c r="F194" s="4" t="n"/>
      <c r="G194">
        <f>IF(D194="","",IFERROR(INDEX(الأصناف!$C$2:$C$2000,MATCH(D194,الأصناف!$A$2:$A$2000,0)),0))</f>
        <v/>
      </c>
      <c r="H194">
        <f>IF(D194="","",F194*G194)</f>
        <v/>
      </c>
      <c r="I194">
        <f>IF(D194="","",H194-F194*IFERROR(INDEX(الأصناف!$D$2:$D$2000,MATCH(D194,الأصناف!$A$2:$A$2000,0)),0))</f>
        <v/>
      </c>
      <c r="J194" s="4" t="n"/>
      <c r="K194" s="7">
        <f>IF(OR(B194="",B194&lt;&gt;الإيصال!$C$3),"",COUNTIF(B$2:B194,الإيصال!$C$3))</f>
        <v/>
      </c>
    </row>
    <row r="195">
      <c r="A195" s="6" t="n"/>
      <c r="B195" s="4" t="n"/>
      <c r="C195" s="4" t="n"/>
      <c r="D195" s="4" t="n"/>
      <c r="E195">
        <f>IF(D195="","",IFERROR(INDEX(الأصناف!$B$2:$B$2000,MATCH(D195,الأصناف!$A$2:$A$2000,0)),"كود غير موجود"))</f>
        <v/>
      </c>
      <c r="F195" s="4" t="n"/>
      <c r="G195">
        <f>IF(D195="","",IFERROR(INDEX(الأصناف!$C$2:$C$2000,MATCH(D195,الأصناف!$A$2:$A$2000,0)),0))</f>
        <v/>
      </c>
      <c r="H195">
        <f>IF(D195="","",F195*G195)</f>
        <v/>
      </c>
      <c r="I195">
        <f>IF(D195="","",H195-F195*IFERROR(INDEX(الأصناف!$D$2:$D$2000,MATCH(D195,الأصناف!$A$2:$A$2000,0)),0))</f>
        <v/>
      </c>
      <c r="J195" s="4" t="n"/>
      <c r="K195" s="7">
        <f>IF(OR(B195="",B195&lt;&gt;الإيصال!$C$3),"",COUNTIF(B$2:B195,الإيصال!$C$3))</f>
        <v/>
      </c>
    </row>
    <row r="196">
      <c r="A196" s="6" t="n"/>
      <c r="B196" s="4" t="n"/>
      <c r="C196" s="4" t="n"/>
      <c r="D196" s="4" t="n"/>
      <c r="E196">
        <f>IF(D196="","",IFERROR(INDEX(الأصناف!$B$2:$B$2000,MATCH(D196,الأصناف!$A$2:$A$2000,0)),"كود غير موجود"))</f>
        <v/>
      </c>
      <c r="F196" s="4" t="n"/>
      <c r="G196">
        <f>IF(D196="","",IFERROR(INDEX(الأصناف!$C$2:$C$2000,MATCH(D196,الأصناف!$A$2:$A$2000,0)),0))</f>
        <v/>
      </c>
      <c r="H196">
        <f>IF(D196="","",F196*G196)</f>
        <v/>
      </c>
      <c r="I196">
        <f>IF(D196="","",H196-F196*IFERROR(INDEX(الأصناف!$D$2:$D$2000,MATCH(D196,الأصناف!$A$2:$A$2000,0)),0))</f>
        <v/>
      </c>
      <c r="J196" s="4" t="n"/>
      <c r="K196" s="7">
        <f>IF(OR(B196="",B196&lt;&gt;الإيصال!$C$3),"",COUNTIF(B$2:B196,الإيصال!$C$3))</f>
        <v/>
      </c>
    </row>
    <row r="197">
      <c r="A197" s="6" t="n"/>
      <c r="B197" s="4" t="n"/>
      <c r="C197" s="4" t="n"/>
      <c r="D197" s="4" t="n"/>
      <c r="E197">
        <f>IF(D197="","",IFERROR(INDEX(الأصناف!$B$2:$B$2000,MATCH(D197,الأصناف!$A$2:$A$2000,0)),"كود غير موجود"))</f>
        <v/>
      </c>
      <c r="F197" s="4" t="n"/>
      <c r="G197">
        <f>IF(D197="","",IFERROR(INDEX(الأصناف!$C$2:$C$2000,MATCH(D197,الأصناف!$A$2:$A$2000,0)),0))</f>
        <v/>
      </c>
      <c r="H197">
        <f>IF(D197="","",F197*G197)</f>
        <v/>
      </c>
      <c r="I197">
        <f>IF(D197="","",H197-F197*IFERROR(INDEX(الأصناف!$D$2:$D$2000,MATCH(D197,الأصناف!$A$2:$A$2000,0)),0))</f>
        <v/>
      </c>
      <c r="J197" s="4" t="n"/>
      <c r="K197" s="7">
        <f>IF(OR(B197="",B197&lt;&gt;الإيصال!$C$3),"",COUNTIF(B$2:B197,الإيصال!$C$3))</f>
        <v/>
      </c>
    </row>
    <row r="198">
      <c r="A198" s="6" t="n"/>
      <c r="B198" s="4" t="n"/>
      <c r="C198" s="4" t="n"/>
      <c r="D198" s="4" t="n"/>
      <c r="E198">
        <f>IF(D198="","",IFERROR(INDEX(الأصناف!$B$2:$B$2000,MATCH(D198,الأصناف!$A$2:$A$2000,0)),"كود غير موجود"))</f>
        <v/>
      </c>
      <c r="F198" s="4" t="n"/>
      <c r="G198">
        <f>IF(D198="","",IFERROR(INDEX(الأصناف!$C$2:$C$2000,MATCH(D198,الأصناف!$A$2:$A$2000,0)),0))</f>
        <v/>
      </c>
      <c r="H198">
        <f>IF(D198="","",F198*G198)</f>
        <v/>
      </c>
      <c r="I198">
        <f>IF(D198="","",H198-F198*IFERROR(INDEX(الأصناف!$D$2:$D$2000,MATCH(D198,الأصناف!$A$2:$A$2000,0)),0))</f>
        <v/>
      </c>
      <c r="J198" s="4" t="n"/>
      <c r="K198" s="7">
        <f>IF(OR(B198="",B198&lt;&gt;الإيصال!$C$3),"",COUNTIF(B$2:B198,الإيصال!$C$3))</f>
        <v/>
      </c>
    </row>
    <row r="199">
      <c r="A199" s="6" t="n"/>
      <c r="B199" s="4" t="n"/>
      <c r="C199" s="4" t="n"/>
      <c r="D199" s="4" t="n"/>
      <c r="E199">
        <f>IF(D199="","",IFERROR(INDEX(الأصناف!$B$2:$B$2000,MATCH(D199,الأصناف!$A$2:$A$2000,0)),"كود غير موجود"))</f>
        <v/>
      </c>
      <c r="F199" s="4" t="n"/>
      <c r="G199">
        <f>IF(D199="","",IFERROR(INDEX(الأصناف!$C$2:$C$2000,MATCH(D199,الأصناف!$A$2:$A$2000,0)),0))</f>
        <v/>
      </c>
      <c r="H199">
        <f>IF(D199="","",F199*G199)</f>
        <v/>
      </c>
      <c r="I199">
        <f>IF(D199="","",H199-F199*IFERROR(INDEX(الأصناف!$D$2:$D$2000,MATCH(D199,الأصناف!$A$2:$A$2000,0)),0))</f>
        <v/>
      </c>
      <c r="J199" s="4" t="n"/>
      <c r="K199" s="7">
        <f>IF(OR(B199="",B199&lt;&gt;الإيصال!$C$3),"",COUNTIF(B$2:B199,الإيصال!$C$3))</f>
        <v/>
      </c>
    </row>
    <row r="200">
      <c r="A200" s="6" t="n"/>
      <c r="B200" s="4" t="n"/>
      <c r="C200" s="4" t="n"/>
      <c r="D200" s="4" t="n"/>
      <c r="E200">
        <f>IF(D200="","",IFERROR(INDEX(الأصناف!$B$2:$B$2000,MATCH(D200,الأصناف!$A$2:$A$2000,0)),"كود غير موجود"))</f>
        <v/>
      </c>
      <c r="F200" s="4" t="n"/>
      <c r="G200">
        <f>IF(D200="","",IFERROR(INDEX(الأصناف!$C$2:$C$2000,MATCH(D200,الأصناف!$A$2:$A$2000,0)),0))</f>
        <v/>
      </c>
      <c r="H200">
        <f>IF(D200="","",F200*G200)</f>
        <v/>
      </c>
      <c r="I200">
        <f>IF(D200="","",H200-F200*IFERROR(INDEX(الأصناف!$D$2:$D$2000,MATCH(D200,الأصناف!$A$2:$A$2000,0)),0))</f>
        <v/>
      </c>
      <c r="J200" s="4" t="n"/>
      <c r="K200" s="7">
        <f>IF(OR(B200="",B200&lt;&gt;الإيصال!$C$3),"",COUNTIF(B$2:B200,الإيصال!$C$3))</f>
        <v/>
      </c>
    </row>
    <row r="201">
      <c r="A201" s="6" t="n"/>
      <c r="B201" s="4" t="n"/>
      <c r="C201" s="4" t="n"/>
      <c r="D201" s="4" t="n"/>
      <c r="E201">
        <f>IF(D201="","",IFERROR(INDEX(الأصناف!$B$2:$B$2000,MATCH(D201,الأصناف!$A$2:$A$2000,0)),"كود غير موجود"))</f>
        <v/>
      </c>
      <c r="F201" s="4" t="n"/>
      <c r="G201">
        <f>IF(D201="","",IFERROR(INDEX(الأصناف!$C$2:$C$2000,MATCH(D201,الأصناف!$A$2:$A$2000,0)),0))</f>
        <v/>
      </c>
      <c r="H201">
        <f>IF(D201="","",F201*G201)</f>
        <v/>
      </c>
      <c r="I201">
        <f>IF(D201="","",H201-F201*IFERROR(INDEX(الأصناف!$D$2:$D$2000,MATCH(D201,الأصناف!$A$2:$A$2000,0)),0))</f>
        <v/>
      </c>
      <c r="J201" s="4" t="n"/>
      <c r="K201" s="7">
        <f>IF(OR(B201="",B201&lt;&gt;الإيصال!$C$3),"",COUNTIF(B$2:B201,الإيصال!$C$3))</f>
        <v/>
      </c>
    </row>
    <row r="202">
      <c r="A202" s="6" t="n"/>
      <c r="B202" s="4" t="n"/>
      <c r="C202" s="4" t="n"/>
      <c r="D202" s="4" t="n"/>
      <c r="E202">
        <f>IF(D202="","",IFERROR(INDEX(الأصناف!$B$2:$B$2000,MATCH(D202,الأصناف!$A$2:$A$2000,0)),"كود غير موجود"))</f>
        <v/>
      </c>
      <c r="F202" s="4" t="n"/>
      <c r="G202">
        <f>IF(D202="","",IFERROR(INDEX(الأصناف!$C$2:$C$2000,MATCH(D202,الأصناف!$A$2:$A$2000,0)),0))</f>
        <v/>
      </c>
      <c r="H202">
        <f>IF(D202="","",F202*G202)</f>
        <v/>
      </c>
      <c r="I202">
        <f>IF(D202="","",H202-F202*IFERROR(INDEX(الأصناف!$D$2:$D$2000,MATCH(D202,الأصناف!$A$2:$A$2000,0)),0))</f>
        <v/>
      </c>
      <c r="J202" s="4" t="n"/>
      <c r="K202" s="7">
        <f>IF(OR(B202="",B202&lt;&gt;الإيصال!$C$3),"",COUNTIF(B$2:B202,الإيصال!$C$3))</f>
        <v/>
      </c>
    </row>
    <row r="203">
      <c r="A203" s="6" t="n"/>
      <c r="B203" s="4" t="n"/>
      <c r="C203" s="4" t="n"/>
      <c r="D203" s="4" t="n"/>
      <c r="E203">
        <f>IF(D203="","",IFERROR(INDEX(الأصناف!$B$2:$B$2000,MATCH(D203,الأصناف!$A$2:$A$2000,0)),"كود غير موجود"))</f>
        <v/>
      </c>
      <c r="F203" s="4" t="n"/>
      <c r="G203">
        <f>IF(D203="","",IFERROR(INDEX(الأصناف!$C$2:$C$2000,MATCH(D203,الأصناف!$A$2:$A$2000,0)),0))</f>
        <v/>
      </c>
      <c r="H203">
        <f>IF(D203="","",F203*G203)</f>
        <v/>
      </c>
      <c r="I203">
        <f>IF(D203="","",H203-F203*IFERROR(INDEX(الأصناف!$D$2:$D$2000,MATCH(D203,الأصناف!$A$2:$A$2000,0)),0))</f>
        <v/>
      </c>
      <c r="J203" s="4" t="n"/>
      <c r="K203" s="7">
        <f>IF(OR(B203="",B203&lt;&gt;الإيصال!$C$3),"",COUNTIF(B$2:B203,الإيصال!$C$3))</f>
        <v/>
      </c>
    </row>
    <row r="204">
      <c r="A204" s="6" t="n"/>
      <c r="B204" s="4" t="n"/>
      <c r="C204" s="4" t="n"/>
      <c r="D204" s="4" t="n"/>
      <c r="E204">
        <f>IF(D204="","",IFERROR(INDEX(الأصناف!$B$2:$B$2000,MATCH(D204,الأصناف!$A$2:$A$2000,0)),"كود غير موجود"))</f>
        <v/>
      </c>
      <c r="F204" s="4" t="n"/>
      <c r="G204">
        <f>IF(D204="","",IFERROR(INDEX(الأصناف!$C$2:$C$2000,MATCH(D204,الأصناف!$A$2:$A$2000,0)),0))</f>
        <v/>
      </c>
      <c r="H204">
        <f>IF(D204="","",F204*G204)</f>
        <v/>
      </c>
      <c r="I204">
        <f>IF(D204="","",H204-F204*IFERROR(INDEX(الأصناف!$D$2:$D$2000,MATCH(D204,الأصناف!$A$2:$A$2000,0)),0))</f>
        <v/>
      </c>
      <c r="J204" s="4" t="n"/>
      <c r="K204" s="7">
        <f>IF(OR(B204="",B204&lt;&gt;الإيصال!$C$3),"",COUNTIF(B$2:B204,الإيصال!$C$3))</f>
        <v/>
      </c>
    </row>
    <row r="205">
      <c r="A205" s="6" t="n"/>
      <c r="B205" s="4" t="n"/>
      <c r="C205" s="4" t="n"/>
      <c r="D205" s="4" t="n"/>
      <c r="E205">
        <f>IF(D205="","",IFERROR(INDEX(الأصناف!$B$2:$B$2000,MATCH(D205,الأصناف!$A$2:$A$2000,0)),"كود غير موجود"))</f>
        <v/>
      </c>
      <c r="F205" s="4" t="n"/>
      <c r="G205">
        <f>IF(D205="","",IFERROR(INDEX(الأصناف!$C$2:$C$2000,MATCH(D205,الأصناف!$A$2:$A$2000,0)),0))</f>
        <v/>
      </c>
      <c r="H205">
        <f>IF(D205="","",F205*G205)</f>
        <v/>
      </c>
      <c r="I205">
        <f>IF(D205="","",H205-F205*IFERROR(INDEX(الأصناف!$D$2:$D$2000,MATCH(D205,الأصناف!$A$2:$A$2000,0)),0))</f>
        <v/>
      </c>
      <c r="J205" s="4" t="n"/>
      <c r="K205" s="7">
        <f>IF(OR(B205="",B205&lt;&gt;الإيصال!$C$3),"",COUNTIF(B$2:B205,الإيصال!$C$3))</f>
        <v/>
      </c>
    </row>
    <row r="206">
      <c r="A206" s="6" t="n"/>
      <c r="B206" s="4" t="n"/>
      <c r="C206" s="4" t="n"/>
      <c r="D206" s="4" t="n"/>
      <c r="E206">
        <f>IF(D206="","",IFERROR(INDEX(الأصناف!$B$2:$B$2000,MATCH(D206,الأصناف!$A$2:$A$2000,0)),"كود غير موجود"))</f>
        <v/>
      </c>
      <c r="F206" s="4" t="n"/>
      <c r="G206">
        <f>IF(D206="","",IFERROR(INDEX(الأصناف!$C$2:$C$2000,MATCH(D206,الأصناف!$A$2:$A$2000,0)),0))</f>
        <v/>
      </c>
      <c r="H206">
        <f>IF(D206="","",F206*G206)</f>
        <v/>
      </c>
      <c r="I206">
        <f>IF(D206="","",H206-F206*IFERROR(INDEX(الأصناف!$D$2:$D$2000,MATCH(D206,الأصناف!$A$2:$A$2000,0)),0))</f>
        <v/>
      </c>
      <c r="J206" s="4" t="n"/>
      <c r="K206" s="7">
        <f>IF(OR(B206="",B206&lt;&gt;الإيصال!$C$3),"",COUNTIF(B$2:B206,الإيصال!$C$3))</f>
        <v/>
      </c>
    </row>
    <row r="207">
      <c r="A207" s="6" t="n"/>
      <c r="B207" s="4" t="n"/>
      <c r="C207" s="4" t="n"/>
      <c r="D207" s="4" t="n"/>
      <c r="E207">
        <f>IF(D207="","",IFERROR(INDEX(الأصناف!$B$2:$B$2000,MATCH(D207,الأصناف!$A$2:$A$2000,0)),"كود غير موجود"))</f>
        <v/>
      </c>
      <c r="F207" s="4" t="n"/>
      <c r="G207">
        <f>IF(D207="","",IFERROR(INDEX(الأصناف!$C$2:$C$2000,MATCH(D207,الأصناف!$A$2:$A$2000,0)),0))</f>
        <v/>
      </c>
      <c r="H207">
        <f>IF(D207="","",F207*G207)</f>
        <v/>
      </c>
      <c r="I207">
        <f>IF(D207="","",H207-F207*IFERROR(INDEX(الأصناف!$D$2:$D$2000,MATCH(D207,الأصناف!$A$2:$A$2000,0)),0))</f>
        <v/>
      </c>
      <c r="J207" s="4" t="n"/>
      <c r="K207" s="7">
        <f>IF(OR(B207="",B207&lt;&gt;الإيصال!$C$3),"",COUNTIF(B$2:B207,الإيصال!$C$3))</f>
        <v/>
      </c>
    </row>
    <row r="208">
      <c r="A208" s="6" t="n"/>
      <c r="B208" s="4" t="n"/>
      <c r="C208" s="4" t="n"/>
      <c r="D208" s="4" t="n"/>
      <c r="E208">
        <f>IF(D208="","",IFERROR(INDEX(الأصناف!$B$2:$B$2000,MATCH(D208,الأصناف!$A$2:$A$2000,0)),"كود غير موجود"))</f>
        <v/>
      </c>
      <c r="F208" s="4" t="n"/>
      <c r="G208">
        <f>IF(D208="","",IFERROR(INDEX(الأصناف!$C$2:$C$2000,MATCH(D208,الأصناف!$A$2:$A$2000,0)),0))</f>
        <v/>
      </c>
      <c r="H208">
        <f>IF(D208="","",F208*G208)</f>
        <v/>
      </c>
      <c r="I208">
        <f>IF(D208="","",H208-F208*IFERROR(INDEX(الأصناف!$D$2:$D$2000,MATCH(D208,الأصناف!$A$2:$A$2000,0)),0))</f>
        <v/>
      </c>
      <c r="J208" s="4" t="n"/>
      <c r="K208" s="7">
        <f>IF(OR(B208="",B208&lt;&gt;الإيصال!$C$3),"",COUNTIF(B$2:B208,الإيصال!$C$3))</f>
        <v/>
      </c>
    </row>
    <row r="209">
      <c r="A209" s="6" t="n"/>
      <c r="B209" s="4" t="n"/>
      <c r="C209" s="4" t="n"/>
      <c r="D209" s="4" t="n"/>
      <c r="E209">
        <f>IF(D209="","",IFERROR(INDEX(الأصناف!$B$2:$B$2000,MATCH(D209,الأصناف!$A$2:$A$2000,0)),"كود غير موجود"))</f>
        <v/>
      </c>
      <c r="F209" s="4" t="n"/>
      <c r="G209">
        <f>IF(D209="","",IFERROR(INDEX(الأصناف!$C$2:$C$2000,MATCH(D209,الأصناف!$A$2:$A$2000,0)),0))</f>
        <v/>
      </c>
      <c r="H209">
        <f>IF(D209="","",F209*G209)</f>
        <v/>
      </c>
      <c r="I209">
        <f>IF(D209="","",H209-F209*IFERROR(INDEX(الأصناف!$D$2:$D$2000,MATCH(D209,الأصناف!$A$2:$A$2000,0)),0))</f>
        <v/>
      </c>
      <c r="J209" s="4" t="n"/>
      <c r="K209" s="7">
        <f>IF(OR(B209="",B209&lt;&gt;الإيصال!$C$3),"",COUNTIF(B$2:B209,الإيصال!$C$3))</f>
        <v/>
      </c>
    </row>
    <row r="210">
      <c r="A210" s="6" t="n"/>
      <c r="B210" s="4" t="n"/>
      <c r="C210" s="4" t="n"/>
      <c r="D210" s="4" t="n"/>
      <c r="E210">
        <f>IF(D210="","",IFERROR(INDEX(الأصناف!$B$2:$B$2000,MATCH(D210,الأصناف!$A$2:$A$2000,0)),"كود غير موجود"))</f>
        <v/>
      </c>
      <c r="F210" s="4" t="n"/>
      <c r="G210">
        <f>IF(D210="","",IFERROR(INDEX(الأصناف!$C$2:$C$2000,MATCH(D210,الأصناف!$A$2:$A$2000,0)),0))</f>
        <v/>
      </c>
      <c r="H210">
        <f>IF(D210="","",F210*G210)</f>
        <v/>
      </c>
      <c r="I210">
        <f>IF(D210="","",H210-F210*IFERROR(INDEX(الأصناف!$D$2:$D$2000,MATCH(D210,الأصناف!$A$2:$A$2000,0)),0))</f>
        <v/>
      </c>
      <c r="J210" s="4" t="n"/>
      <c r="K210" s="7">
        <f>IF(OR(B210="",B210&lt;&gt;الإيصال!$C$3),"",COUNTIF(B$2:B210,الإيصال!$C$3))</f>
        <v/>
      </c>
    </row>
    <row r="211">
      <c r="A211" s="6" t="n"/>
      <c r="B211" s="4" t="n"/>
      <c r="C211" s="4" t="n"/>
      <c r="D211" s="4" t="n"/>
      <c r="E211">
        <f>IF(D211="","",IFERROR(INDEX(الأصناف!$B$2:$B$2000,MATCH(D211,الأصناف!$A$2:$A$2000,0)),"كود غير موجود"))</f>
        <v/>
      </c>
      <c r="F211" s="4" t="n"/>
      <c r="G211">
        <f>IF(D211="","",IFERROR(INDEX(الأصناف!$C$2:$C$2000,MATCH(D211,الأصناف!$A$2:$A$2000,0)),0))</f>
        <v/>
      </c>
      <c r="H211">
        <f>IF(D211="","",F211*G211)</f>
        <v/>
      </c>
      <c r="I211">
        <f>IF(D211="","",H211-F211*IFERROR(INDEX(الأصناف!$D$2:$D$2000,MATCH(D211,الأصناف!$A$2:$A$2000,0)),0))</f>
        <v/>
      </c>
      <c r="J211" s="4" t="n"/>
      <c r="K211" s="7">
        <f>IF(OR(B211="",B211&lt;&gt;الإيصال!$C$3),"",COUNTIF(B$2:B211,الإيصال!$C$3))</f>
        <v/>
      </c>
    </row>
    <row r="212">
      <c r="A212" s="6" t="n"/>
      <c r="B212" s="4" t="n"/>
      <c r="C212" s="4" t="n"/>
      <c r="D212" s="4" t="n"/>
      <c r="E212">
        <f>IF(D212="","",IFERROR(INDEX(الأصناف!$B$2:$B$2000,MATCH(D212,الأصناف!$A$2:$A$2000,0)),"كود غير موجود"))</f>
        <v/>
      </c>
      <c r="F212" s="4" t="n"/>
      <c r="G212">
        <f>IF(D212="","",IFERROR(INDEX(الأصناف!$C$2:$C$2000,MATCH(D212,الأصناف!$A$2:$A$2000,0)),0))</f>
        <v/>
      </c>
      <c r="H212">
        <f>IF(D212="","",F212*G212)</f>
        <v/>
      </c>
      <c r="I212">
        <f>IF(D212="","",H212-F212*IFERROR(INDEX(الأصناف!$D$2:$D$2000,MATCH(D212,الأصناف!$A$2:$A$2000,0)),0))</f>
        <v/>
      </c>
      <c r="J212" s="4" t="n"/>
      <c r="K212" s="7">
        <f>IF(OR(B212="",B212&lt;&gt;الإيصال!$C$3),"",COUNTIF(B$2:B212,الإيصال!$C$3))</f>
        <v/>
      </c>
    </row>
    <row r="213">
      <c r="A213" s="6" t="n"/>
      <c r="B213" s="4" t="n"/>
      <c r="C213" s="4" t="n"/>
      <c r="D213" s="4" t="n"/>
      <c r="E213">
        <f>IF(D213="","",IFERROR(INDEX(الأصناف!$B$2:$B$2000,MATCH(D213,الأصناف!$A$2:$A$2000,0)),"كود غير موجود"))</f>
        <v/>
      </c>
      <c r="F213" s="4" t="n"/>
      <c r="G213">
        <f>IF(D213="","",IFERROR(INDEX(الأصناف!$C$2:$C$2000,MATCH(D213,الأصناف!$A$2:$A$2000,0)),0))</f>
        <v/>
      </c>
      <c r="H213">
        <f>IF(D213="","",F213*G213)</f>
        <v/>
      </c>
      <c r="I213">
        <f>IF(D213="","",H213-F213*IFERROR(INDEX(الأصناف!$D$2:$D$2000,MATCH(D213,الأصناف!$A$2:$A$2000,0)),0))</f>
        <v/>
      </c>
      <c r="J213" s="4" t="n"/>
      <c r="K213" s="7">
        <f>IF(OR(B213="",B213&lt;&gt;الإيصال!$C$3),"",COUNTIF(B$2:B213,الإيصال!$C$3))</f>
        <v/>
      </c>
    </row>
    <row r="214">
      <c r="A214" s="6" t="n"/>
      <c r="B214" s="4" t="n"/>
      <c r="C214" s="4" t="n"/>
      <c r="D214" s="4" t="n"/>
      <c r="E214">
        <f>IF(D214="","",IFERROR(INDEX(الأصناف!$B$2:$B$2000,MATCH(D214,الأصناف!$A$2:$A$2000,0)),"كود غير موجود"))</f>
        <v/>
      </c>
      <c r="F214" s="4" t="n"/>
      <c r="G214">
        <f>IF(D214="","",IFERROR(INDEX(الأصناف!$C$2:$C$2000,MATCH(D214,الأصناف!$A$2:$A$2000,0)),0))</f>
        <v/>
      </c>
      <c r="H214">
        <f>IF(D214="","",F214*G214)</f>
        <v/>
      </c>
      <c r="I214">
        <f>IF(D214="","",H214-F214*IFERROR(INDEX(الأصناف!$D$2:$D$2000,MATCH(D214,الأصناف!$A$2:$A$2000,0)),0))</f>
        <v/>
      </c>
      <c r="J214" s="4" t="n"/>
      <c r="K214" s="7">
        <f>IF(OR(B214="",B214&lt;&gt;الإيصال!$C$3),"",COUNTIF(B$2:B214,الإيصال!$C$3))</f>
        <v/>
      </c>
    </row>
    <row r="215">
      <c r="A215" s="6" t="n"/>
      <c r="B215" s="4" t="n"/>
      <c r="C215" s="4" t="n"/>
      <c r="D215" s="4" t="n"/>
      <c r="E215">
        <f>IF(D215="","",IFERROR(INDEX(الأصناف!$B$2:$B$2000,MATCH(D215,الأصناف!$A$2:$A$2000,0)),"كود غير موجود"))</f>
        <v/>
      </c>
      <c r="F215" s="4" t="n"/>
      <c r="G215">
        <f>IF(D215="","",IFERROR(INDEX(الأصناف!$C$2:$C$2000,MATCH(D215,الأصناف!$A$2:$A$2000,0)),0))</f>
        <v/>
      </c>
      <c r="H215">
        <f>IF(D215="","",F215*G215)</f>
        <v/>
      </c>
      <c r="I215">
        <f>IF(D215="","",H215-F215*IFERROR(INDEX(الأصناف!$D$2:$D$2000,MATCH(D215,الأصناف!$A$2:$A$2000,0)),0))</f>
        <v/>
      </c>
      <c r="J215" s="4" t="n"/>
      <c r="K215" s="7">
        <f>IF(OR(B215="",B215&lt;&gt;الإيصال!$C$3),"",COUNTIF(B$2:B215,الإيصال!$C$3))</f>
        <v/>
      </c>
    </row>
    <row r="216">
      <c r="A216" s="6" t="n"/>
      <c r="B216" s="4" t="n"/>
      <c r="C216" s="4" t="n"/>
      <c r="D216" s="4" t="n"/>
      <c r="E216">
        <f>IF(D216="","",IFERROR(INDEX(الأصناف!$B$2:$B$2000,MATCH(D216,الأصناف!$A$2:$A$2000,0)),"كود غير موجود"))</f>
        <v/>
      </c>
      <c r="F216" s="4" t="n"/>
      <c r="G216">
        <f>IF(D216="","",IFERROR(INDEX(الأصناف!$C$2:$C$2000,MATCH(D216,الأصناف!$A$2:$A$2000,0)),0))</f>
        <v/>
      </c>
      <c r="H216">
        <f>IF(D216="","",F216*G216)</f>
        <v/>
      </c>
      <c r="I216">
        <f>IF(D216="","",H216-F216*IFERROR(INDEX(الأصناف!$D$2:$D$2000,MATCH(D216,الأصناف!$A$2:$A$2000,0)),0))</f>
        <v/>
      </c>
      <c r="J216" s="4" t="n"/>
      <c r="K216" s="7">
        <f>IF(OR(B216="",B216&lt;&gt;الإيصال!$C$3),"",COUNTIF(B$2:B216,الإيصال!$C$3))</f>
        <v/>
      </c>
    </row>
    <row r="217">
      <c r="A217" s="6" t="n"/>
      <c r="B217" s="4" t="n"/>
      <c r="C217" s="4" t="n"/>
      <c r="D217" s="4" t="n"/>
      <c r="E217">
        <f>IF(D217="","",IFERROR(INDEX(الأصناف!$B$2:$B$2000,MATCH(D217,الأصناف!$A$2:$A$2000,0)),"كود غير موجود"))</f>
        <v/>
      </c>
      <c r="F217" s="4" t="n"/>
      <c r="G217">
        <f>IF(D217="","",IFERROR(INDEX(الأصناف!$C$2:$C$2000,MATCH(D217,الأصناف!$A$2:$A$2000,0)),0))</f>
        <v/>
      </c>
      <c r="H217">
        <f>IF(D217="","",F217*G217)</f>
        <v/>
      </c>
      <c r="I217">
        <f>IF(D217="","",H217-F217*IFERROR(INDEX(الأصناف!$D$2:$D$2000,MATCH(D217,الأصناف!$A$2:$A$2000,0)),0))</f>
        <v/>
      </c>
      <c r="J217" s="4" t="n"/>
      <c r="K217" s="7">
        <f>IF(OR(B217="",B217&lt;&gt;الإيصال!$C$3),"",COUNTIF(B$2:B217,الإيصال!$C$3))</f>
        <v/>
      </c>
    </row>
    <row r="218">
      <c r="A218" s="6" t="n"/>
      <c r="B218" s="4" t="n"/>
      <c r="C218" s="4" t="n"/>
      <c r="D218" s="4" t="n"/>
      <c r="E218">
        <f>IF(D218="","",IFERROR(INDEX(الأصناف!$B$2:$B$2000,MATCH(D218,الأصناف!$A$2:$A$2000,0)),"كود غير موجود"))</f>
        <v/>
      </c>
      <c r="F218" s="4" t="n"/>
      <c r="G218">
        <f>IF(D218="","",IFERROR(INDEX(الأصناف!$C$2:$C$2000,MATCH(D218,الأصناف!$A$2:$A$2000,0)),0))</f>
        <v/>
      </c>
      <c r="H218">
        <f>IF(D218="","",F218*G218)</f>
        <v/>
      </c>
      <c r="I218">
        <f>IF(D218="","",H218-F218*IFERROR(INDEX(الأصناف!$D$2:$D$2000,MATCH(D218,الأصناف!$A$2:$A$2000,0)),0))</f>
        <v/>
      </c>
      <c r="J218" s="4" t="n"/>
      <c r="K218" s="7">
        <f>IF(OR(B218="",B218&lt;&gt;الإيصال!$C$3),"",COUNTIF(B$2:B218,الإيصال!$C$3))</f>
        <v/>
      </c>
    </row>
    <row r="219">
      <c r="A219" s="6" t="n"/>
      <c r="B219" s="4" t="n"/>
      <c r="C219" s="4" t="n"/>
      <c r="D219" s="4" t="n"/>
      <c r="E219">
        <f>IF(D219="","",IFERROR(INDEX(الأصناف!$B$2:$B$2000,MATCH(D219,الأصناف!$A$2:$A$2000,0)),"كود غير موجود"))</f>
        <v/>
      </c>
      <c r="F219" s="4" t="n"/>
      <c r="G219">
        <f>IF(D219="","",IFERROR(INDEX(الأصناف!$C$2:$C$2000,MATCH(D219,الأصناف!$A$2:$A$2000,0)),0))</f>
        <v/>
      </c>
      <c r="H219">
        <f>IF(D219="","",F219*G219)</f>
        <v/>
      </c>
      <c r="I219">
        <f>IF(D219="","",H219-F219*IFERROR(INDEX(الأصناف!$D$2:$D$2000,MATCH(D219,الأصناف!$A$2:$A$2000,0)),0))</f>
        <v/>
      </c>
      <c r="J219" s="4" t="n"/>
      <c r="K219" s="7">
        <f>IF(OR(B219="",B219&lt;&gt;الإيصال!$C$3),"",COUNTIF(B$2:B219,الإيصال!$C$3))</f>
        <v/>
      </c>
    </row>
    <row r="220">
      <c r="A220" s="6" t="n"/>
      <c r="B220" s="4" t="n"/>
      <c r="C220" s="4" t="n"/>
      <c r="D220" s="4" t="n"/>
      <c r="E220">
        <f>IF(D220="","",IFERROR(INDEX(الأصناف!$B$2:$B$2000,MATCH(D220,الأصناف!$A$2:$A$2000,0)),"كود غير موجود"))</f>
        <v/>
      </c>
      <c r="F220" s="4" t="n"/>
      <c r="G220">
        <f>IF(D220="","",IFERROR(INDEX(الأصناف!$C$2:$C$2000,MATCH(D220,الأصناف!$A$2:$A$2000,0)),0))</f>
        <v/>
      </c>
      <c r="H220">
        <f>IF(D220="","",F220*G220)</f>
        <v/>
      </c>
      <c r="I220">
        <f>IF(D220="","",H220-F220*IFERROR(INDEX(الأصناف!$D$2:$D$2000,MATCH(D220,الأصناف!$A$2:$A$2000,0)),0))</f>
        <v/>
      </c>
      <c r="J220" s="4" t="n"/>
      <c r="K220" s="7">
        <f>IF(OR(B220="",B220&lt;&gt;الإيصال!$C$3),"",COUNTIF(B$2:B220,الإيصال!$C$3))</f>
        <v/>
      </c>
    </row>
    <row r="221">
      <c r="A221" s="6" t="n"/>
      <c r="B221" s="4" t="n"/>
      <c r="C221" s="4" t="n"/>
      <c r="D221" s="4" t="n"/>
      <c r="E221">
        <f>IF(D221="","",IFERROR(INDEX(الأصناف!$B$2:$B$2000,MATCH(D221,الأصناف!$A$2:$A$2000,0)),"كود غير موجود"))</f>
        <v/>
      </c>
      <c r="F221" s="4" t="n"/>
      <c r="G221">
        <f>IF(D221="","",IFERROR(INDEX(الأصناف!$C$2:$C$2000,MATCH(D221,الأصناف!$A$2:$A$2000,0)),0))</f>
        <v/>
      </c>
      <c r="H221">
        <f>IF(D221="","",F221*G221)</f>
        <v/>
      </c>
      <c r="I221">
        <f>IF(D221="","",H221-F221*IFERROR(INDEX(الأصناف!$D$2:$D$2000,MATCH(D221,الأصناف!$A$2:$A$2000,0)),0))</f>
        <v/>
      </c>
      <c r="J221" s="4" t="n"/>
      <c r="K221" s="7">
        <f>IF(OR(B221="",B221&lt;&gt;الإيصال!$C$3),"",COUNTIF(B$2:B221,الإيصال!$C$3))</f>
        <v/>
      </c>
    </row>
    <row r="222">
      <c r="A222" s="6" t="n"/>
      <c r="B222" s="4" t="n"/>
      <c r="C222" s="4" t="n"/>
      <c r="D222" s="4" t="n"/>
      <c r="E222">
        <f>IF(D222="","",IFERROR(INDEX(الأصناف!$B$2:$B$2000,MATCH(D222,الأصناف!$A$2:$A$2000,0)),"كود غير موجود"))</f>
        <v/>
      </c>
      <c r="F222" s="4" t="n"/>
      <c r="G222">
        <f>IF(D222="","",IFERROR(INDEX(الأصناف!$C$2:$C$2000,MATCH(D222,الأصناف!$A$2:$A$2000,0)),0))</f>
        <v/>
      </c>
      <c r="H222">
        <f>IF(D222="","",F222*G222)</f>
        <v/>
      </c>
      <c r="I222">
        <f>IF(D222="","",H222-F222*IFERROR(INDEX(الأصناف!$D$2:$D$2000,MATCH(D222,الأصناف!$A$2:$A$2000,0)),0))</f>
        <v/>
      </c>
      <c r="J222" s="4" t="n"/>
      <c r="K222" s="7">
        <f>IF(OR(B222="",B222&lt;&gt;الإيصال!$C$3),"",COUNTIF(B$2:B222,الإيصال!$C$3))</f>
        <v/>
      </c>
    </row>
    <row r="223">
      <c r="A223" s="6" t="n"/>
      <c r="B223" s="4" t="n"/>
      <c r="C223" s="4" t="n"/>
      <c r="D223" s="4" t="n"/>
      <c r="E223">
        <f>IF(D223="","",IFERROR(INDEX(الأصناف!$B$2:$B$2000,MATCH(D223,الأصناف!$A$2:$A$2000,0)),"كود غير موجود"))</f>
        <v/>
      </c>
      <c r="F223" s="4" t="n"/>
      <c r="G223">
        <f>IF(D223="","",IFERROR(INDEX(الأصناف!$C$2:$C$2000,MATCH(D223,الأصناف!$A$2:$A$2000,0)),0))</f>
        <v/>
      </c>
      <c r="H223">
        <f>IF(D223="","",F223*G223)</f>
        <v/>
      </c>
      <c r="I223">
        <f>IF(D223="","",H223-F223*IFERROR(INDEX(الأصناف!$D$2:$D$2000,MATCH(D223,الأصناف!$A$2:$A$2000,0)),0))</f>
        <v/>
      </c>
      <c r="J223" s="4" t="n"/>
      <c r="K223" s="7">
        <f>IF(OR(B223="",B223&lt;&gt;الإيصال!$C$3),"",COUNTIF(B$2:B223,الإيصال!$C$3))</f>
        <v/>
      </c>
    </row>
    <row r="224">
      <c r="A224" s="6" t="n"/>
      <c r="B224" s="4" t="n"/>
      <c r="C224" s="4" t="n"/>
      <c r="D224" s="4" t="n"/>
      <c r="E224">
        <f>IF(D224="","",IFERROR(INDEX(الأصناف!$B$2:$B$2000,MATCH(D224,الأصناف!$A$2:$A$2000,0)),"كود غير موجود"))</f>
        <v/>
      </c>
      <c r="F224" s="4" t="n"/>
      <c r="G224">
        <f>IF(D224="","",IFERROR(INDEX(الأصناف!$C$2:$C$2000,MATCH(D224,الأصناف!$A$2:$A$2000,0)),0))</f>
        <v/>
      </c>
      <c r="H224">
        <f>IF(D224="","",F224*G224)</f>
        <v/>
      </c>
      <c r="I224">
        <f>IF(D224="","",H224-F224*IFERROR(INDEX(الأصناف!$D$2:$D$2000,MATCH(D224,الأصناف!$A$2:$A$2000,0)),0))</f>
        <v/>
      </c>
      <c r="J224" s="4" t="n"/>
      <c r="K224" s="7">
        <f>IF(OR(B224="",B224&lt;&gt;الإيصال!$C$3),"",COUNTIF(B$2:B224,الإيصال!$C$3))</f>
        <v/>
      </c>
    </row>
    <row r="225">
      <c r="A225" s="6" t="n"/>
      <c r="B225" s="4" t="n"/>
      <c r="C225" s="4" t="n"/>
      <c r="D225" s="4" t="n"/>
      <c r="E225">
        <f>IF(D225="","",IFERROR(INDEX(الأصناف!$B$2:$B$2000,MATCH(D225,الأصناف!$A$2:$A$2000,0)),"كود غير موجود"))</f>
        <v/>
      </c>
      <c r="F225" s="4" t="n"/>
      <c r="G225">
        <f>IF(D225="","",IFERROR(INDEX(الأصناف!$C$2:$C$2000,MATCH(D225,الأصناف!$A$2:$A$2000,0)),0))</f>
        <v/>
      </c>
      <c r="H225">
        <f>IF(D225="","",F225*G225)</f>
        <v/>
      </c>
      <c r="I225">
        <f>IF(D225="","",H225-F225*IFERROR(INDEX(الأصناف!$D$2:$D$2000,MATCH(D225,الأصناف!$A$2:$A$2000,0)),0))</f>
        <v/>
      </c>
      <c r="J225" s="4" t="n"/>
      <c r="K225" s="7">
        <f>IF(OR(B225="",B225&lt;&gt;الإيصال!$C$3),"",COUNTIF(B$2:B225,الإيصال!$C$3))</f>
        <v/>
      </c>
    </row>
    <row r="226">
      <c r="A226" s="6" t="n"/>
      <c r="B226" s="4" t="n"/>
      <c r="C226" s="4" t="n"/>
      <c r="D226" s="4" t="n"/>
      <c r="E226">
        <f>IF(D226="","",IFERROR(INDEX(الأصناف!$B$2:$B$2000,MATCH(D226,الأصناف!$A$2:$A$2000,0)),"كود غير موجود"))</f>
        <v/>
      </c>
      <c r="F226" s="4" t="n"/>
      <c r="G226">
        <f>IF(D226="","",IFERROR(INDEX(الأصناف!$C$2:$C$2000,MATCH(D226,الأصناف!$A$2:$A$2000,0)),0))</f>
        <v/>
      </c>
      <c r="H226">
        <f>IF(D226="","",F226*G226)</f>
        <v/>
      </c>
      <c r="I226">
        <f>IF(D226="","",H226-F226*IFERROR(INDEX(الأصناف!$D$2:$D$2000,MATCH(D226,الأصناف!$A$2:$A$2000,0)),0))</f>
        <v/>
      </c>
      <c r="J226" s="4" t="n"/>
      <c r="K226" s="7">
        <f>IF(OR(B226="",B226&lt;&gt;الإيصال!$C$3),"",COUNTIF(B$2:B226,الإيصال!$C$3))</f>
        <v/>
      </c>
    </row>
    <row r="227">
      <c r="A227" s="6" t="n"/>
      <c r="B227" s="4" t="n"/>
      <c r="C227" s="4" t="n"/>
      <c r="D227" s="4" t="n"/>
      <c r="E227">
        <f>IF(D227="","",IFERROR(INDEX(الأصناف!$B$2:$B$2000,MATCH(D227,الأصناف!$A$2:$A$2000,0)),"كود غير موجود"))</f>
        <v/>
      </c>
      <c r="F227" s="4" t="n"/>
      <c r="G227">
        <f>IF(D227="","",IFERROR(INDEX(الأصناف!$C$2:$C$2000,MATCH(D227,الأصناف!$A$2:$A$2000,0)),0))</f>
        <v/>
      </c>
      <c r="H227">
        <f>IF(D227="","",F227*G227)</f>
        <v/>
      </c>
      <c r="I227">
        <f>IF(D227="","",H227-F227*IFERROR(INDEX(الأصناف!$D$2:$D$2000,MATCH(D227,الأصناف!$A$2:$A$2000,0)),0))</f>
        <v/>
      </c>
      <c r="J227" s="4" t="n"/>
      <c r="K227" s="7">
        <f>IF(OR(B227="",B227&lt;&gt;الإيصال!$C$3),"",COUNTIF(B$2:B227,الإيصال!$C$3))</f>
        <v/>
      </c>
    </row>
    <row r="228">
      <c r="A228" s="6" t="n"/>
      <c r="B228" s="4" t="n"/>
      <c r="C228" s="4" t="n"/>
      <c r="D228" s="4" t="n"/>
      <c r="E228">
        <f>IF(D228="","",IFERROR(INDEX(الأصناف!$B$2:$B$2000,MATCH(D228,الأصناف!$A$2:$A$2000,0)),"كود غير موجود"))</f>
        <v/>
      </c>
      <c r="F228" s="4" t="n"/>
      <c r="G228">
        <f>IF(D228="","",IFERROR(INDEX(الأصناف!$C$2:$C$2000,MATCH(D228,الأصناف!$A$2:$A$2000,0)),0))</f>
        <v/>
      </c>
      <c r="H228">
        <f>IF(D228="","",F228*G228)</f>
        <v/>
      </c>
      <c r="I228">
        <f>IF(D228="","",H228-F228*IFERROR(INDEX(الأصناف!$D$2:$D$2000,MATCH(D228,الأصناف!$A$2:$A$2000,0)),0))</f>
        <v/>
      </c>
      <c r="J228" s="4" t="n"/>
      <c r="K228" s="7">
        <f>IF(OR(B228="",B228&lt;&gt;الإيصال!$C$3),"",COUNTIF(B$2:B228,الإيصال!$C$3))</f>
        <v/>
      </c>
    </row>
    <row r="229">
      <c r="A229" s="6" t="n"/>
      <c r="B229" s="4" t="n"/>
      <c r="C229" s="4" t="n"/>
      <c r="D229" s="4" t="n"/>
      <c r="E229">
        <f>IF(D229="","",IFERROR(INDEX(الأصناف!$B$2:$B$2000,MATCH(D229,الأصناف!$A$2:$A$2000,0)),"كود غير موجود"))</f>
        <v/>
      </c>
      <c r="F229" s="4" t="n"/>
      <c r="G229">
        <f>IF(D229="","",IFERROR(INDEX(الأصناف!$C$2:$C$2000,MATCH(D229,الأصناف!$A$2:$A$2000,0)),0))</f>
        <v/>
      </c>
      <c r="H229">
        <f>IF(D229="","",F229*G229)</f>
        <v/>
      </c>
      <c r="I229">
        <f>IF(D229="","",H229-F229*IFERROR(INDEX(الأصناف!$D$2:$D$2000,MATCH(D229,الأصناف!$A$2:$A$2000,0)),0))</f>
        <v/>
      </c>
      <c r="J229" s="4" t="n"/>
      <c r="K229" s="7">
        <f>IF(OR(B229="",B229&lt;&gt;الإيصال!$C$3),"",COUNTIF(B$2:B229,الإيصال!$C$3))</f>
        <v/>
      </c>
    </row>
    <row r="230">
      <c r="A230" s="6" t="n"/>
      <c r="B230" s="4" t="n"/>
      <c r="C230" s="4" t="n"/>
      <c r="D230" s="4" t="n"/>
      <c r="E230">
        <f>IF(D230="","",IFERROR(INDEX(الأصناف!$B$2:$B$2000,MATCH(D230,الأصناف!$A$2:$A$2000,0)),"كود غير موجود"))</f>
        <v/>
      </c>
      <c r="F230" s="4" t="n"/>
      <c r="G230">
        <f>IF(D230="","",IFERROR(INDEX(الأصناف!$C$2:$C$2000,MATCH(D230,الأصناف!$A$2:$A$2000,0)),0))</f>
        <v/>
      </c>
      <c r="H230">
        <f>IF(D230="","",F230*G230)</f>
        <v/>
      </c>
      <c r="I230">
        <f>IF(D230="","",H230-F230*IFERROR(INDEX(الأصناف!$D$2:$D$2000,MATCH(D230,الأصناف!$A$2:$A$2000,0)),0))</f>
        <v/>
      </c>
      <c r="J230" s="4" t="n"/>
      <c r="K230" s="7">
        <f>IF(OR(B230="",B230&lt;&gt;الإيصال!$C$3),"",COUNTIF(B$2:B230,الإيصال!$C$3))</f>
        <v/>
      </c>
    </row>
    <row r="231">
      <c r="A231" s="6" t="n"/>
      <c r="B231" s="4" t="n"/>
      <c r="C231" s="4" t="n"/>
      <c r="D231" s="4" t="n"/>
      <c r="E231">
        <f>IF(D231="","",IFERROR(INDEX(الأصناف!$B$2:$B$2000,MATCH(D231,الأصناف!$A$2:$A$2000,0)),"كود غير موجود"))</f>
        <v/>
      </c>
      <c r="F231" s="4" t="n"/>
      <c r="G231">
        <f>IF(D231="","",IFERROR(INDEX(الأصناف!$C$2:$C$2000,MATCH(D231,الأصناف!$A$2:$A$2000,0)),0))</f>
        <v/>
      </c>
      <c r="H231">
        <f>IF(D231="","",F231*G231)</f>
        <v/>
      </c>
      <c r="I231">
        <f>IF(D231="","",H231-F231*IFERROR(INDEX(الأصناف!$D$2:$D$2000,MATCH(D231,الأصناف!$A$2:$A$2000,0)),0))</f>
        <v/>
      </c>
      <c r="J231" s="4" t="n"/>
      <c r="K231" s="7">
        <f>IF(OR(B231="",B231&lt;&gt;الإيصال!$C$3),"",COUNTIF(B$2:B231,الإيصال!$C$3))</f>
        <v/>
      </c>
    </row>
    <row r="232">
      <c r="A232" s="6" t="n"/>
      <c r="B232" s="4" t="n"/>
      <c r="C232" s="4" t="n"/>
      <c r="D232" s="4" t="n"/>
      <c r="E232">
        <f>IF(D232="","",IFERROR(INDEX(الأصناف!$B$2:$B$2000,MATCH(D232,الأصناف!$A$2:$A$2000,0)),"كود غير موجود"))</f>
        <v/>
      </c>
      <c r="F232" s="4" t="n"/>
      <c r="G232">
        <f>IF(D232="","",IFERROR(INDEX(الأصناف!$C$2:$C$2000,MATCH(D232,الأصناف!$A$2:$A$2000,0)),0))</f>
        <v/>
      </c>
      <c r="H232">
        <f>IF(D232="","",F232*G232)</f>
        <v/>
      </c>
      <c r="I232">
        <f>IF(D232="","",H232-F232*IFERROR(INDEX(الأصناف!$D$2:$D$2000,MATCH(D232,الأصناف!$A$2:$A$2000,0)),0))</f>
        <v/>
      </c>
      <c r="J232" s="4" t="n"/>
      <c r="K232" s="7">
        <f>IF(OR(B232="",B232&lt;&gt;الإيصال!$C$3),"",COUNTIF(B$2:B232,الإيصال!$C$3))</f>
        <v/>
      </c>
    </row>
    <row r="233">
      <c r="A233" s="6" t="n"/>
      <c r="B233" s="4" t="n"/>
      <c r="C233" s="4" t="n"/>
      <c r="D233" s="4" t="n"/>
      <c r="E233">
        <f>IF(D233="","",IFERROR(INDEX(الأصناف!$B$2:$B$2000,MATCH(D233,الأصناف!$A$2:$A$2000,0)),"كود غير موجود"))</f>
        <v/>
      </c>
      <c r="F233" s="4" t="n"/>
      <c r="G233">
        <f>IF(D233="","",IFERROR(INDEX(الأصناف!$C$2:$C$2000,MATCH(D233,الأصناف!$A$2:$A$2000,0)),0))</f>
        <v/>
      </c>
      <c r="H233">
        <f>IF(D233="","",F233*G233)</f>
        <v/>
      </c>
      <c r="I233">
        <f>IF(D233="","",H233-F233*IFERROR(INDEX(الأصناف!$D$2:$D$2000,MATCH(D233,الأصناف!$A$2:$A$2000,0)),0))</f>
        <v/>
      </c>
      <c r="J233" s="4" t="n"/>
      <c r="K233" s="7">
        <f>IF(OR(B233="",B233&lt;&gt;الإيصال!$C$3),"",COUNTIF(B$2:B233,الإيصال!$C$3))</f>
        <v/>
      </c>
    </row>
    <row r="234">
      <c r="A234" s="6" t="n"/>
      <c r="B234" s="4" t="n"/>
      <c r="C234" s="4" t="n"/>
      <c r="D234" s="4" t="n"/>
      <c r="E234">
        <f>IF(D234="","",IFERROR(INDEX(الأصناف!$B$2:$B$2000,MATCH(D234,الأصناف!$A$2:$A$2000,0)),"كود غير موجود"))</f>
        <v/>
      </c>
      <c r="F234" s="4" t="n"/>
      <c r="G234">
        <f>IF(D234="","",IFERROR(INDEX(الأصناف!$C$2:$C$2000,MATCH(D234,الأصناف!$A$2:$A$2000,0)),0))</f>
        <v/>
      </c>
      <c r="H234">
        <f>IF(D234="","",F234*G234)</f>
        <v/>
      </c>
      <c r="I234">
        <f>IF(D234="","",H234-F234*IFERROR(INDEX(الأصناف!$D$2:$D$2000,MATCH(D234,الأصناف!$A$2:$A$2000,0)),0))</f>
        <v/>
      </c>
      <c r="J234" s="4" t="n"/>
      <c r="K234" s="7">
        <f>IF(OR(B234="",B234&lt;&gt;الإيصال!$C$3),"",COUNTIF(B$2:B234,الإيصال!$C$3))</f>
        <v/>
      </c>
    </row>
    <row r="235">
      <c r="A235" s="6" t="n"/>
      <c r="B235" s="4" t="n"/>
      <c r="C235" s="4" t="n"/>
      <c r="D235" s="4" t="n"/>
      <c r="E235">
        <f>IF(D235="","",IFERROR(INDEX(الأصناف!$B$2:$B$2000,MATCH(D235,الأصناف!$A$2:$A$2000,0)),"كود غير موجود"))</f>
        <v/>
      </c>
      <c r="F235" s="4" t="n"/>
      <c r="G235">
        <f>IF(D235="","",IFERROR(INDEX(الأصناف!$C$2:$C$2000,MATCH(D235,الأصناف!$A$2:$A$2000,0)),0))</f>
        <v/>
      </c>
      <c r="H235">
        <f>IF(D235="","",F235*G235)</f>
        <v/>
      </c>
      <c r="I235">
        <f>IF(D235="","",H235-F235*IFERROR(INDEX(الأصناف!$D$2:$D$2000,MATCH(D235,الأصناف!$A$2:$A$2000,0)),0))</f>
        <v/>
      </c>
      <c r="J235" s="4" t="n"/>
      <c r="K235" s="7">
        <f>IF(OR(B235="",B235&lt;&gt;الإيصال!$C$3),"",COUNTIF(B$2:B235,الإيصال!$C$3))</f>
        <v/>
      </c>
    </row>
    <row r="236">
      <c r="A236" s="6" t="n"/>
      <c r="B236" s="4" t="n"/>
      <c r="C236" s="4" t="n"/>
      <c r="D236" s="4" t="n"/>
      <c r="E236">
        <f>IF(D236="","",IFERROR(INDEX(الأصناف!$B$2:$B$2000,MATCH(D236,الأصناف!$A$2:$A$2000,0)),"كود غير موجود"))</f>
        <v/>
      </c>
      <c r="F236" s="4" t="n"/>
      <c r="G236">
        <f>IF(D236="","",IFERROR(INDEX(الأصناف!$C$2:$C$2000,MATCH(D236,الأصناف!$A$2:$A$2000,0)),0))</f>
        <v/>
      </c>
      <c r="H236">
        <f>IF(D236="","",F236*G236)</f>
        <v/>
      </c>
      <c r="I236">
        <f>IF(D236="","",H236-F236*IFERROR(INDEX(الأصناف!$D$2:$D$2000,MATCH(D236,الأصناف!$A$2:$A$2000,0)),0))</f>
        <v/>
      </c>
      <c r="J236" s="4" t="n"/>
      <c r="K236" s="7">
        <f>IF(OR(B236="",B236&lt;&gt;الإيصال!$C$3),"",COUNTIF(B$2:B236,الإيصال!$C$3))</f>
        <v/>
      </c>
    </row>
    <row r="237">
      <c r="A237" s="6" t="n"/>
      <c r="B237" s="4" t="n"/>
      <c r="C237" s="4" t="n"/>
      <c r="D237" s="4" t="n"/>
      <c r="E237">
        <f>IF(D237="","",IFERROR(INDEX(الأصناف!$B$2:$B$2000,MATCH(D237,الأصناف!$A$2:$A$2000,0)),"كود غير موجود"))</f>
        <v/>
      </c>
      <c r="F237" s="4" t="n"/>
      <c r="G237">
        <f>IF(D237="","",IFERROR(INDEX(الأصناف!$C$2:$C$2000,MATCH(D237,الأصناف!$A$2:$A$2000,0)),0))</f>
        <v/>
      </c>
      <c r="H237">
        <f>IF(D237="","",F237*G237)</f>
        <v/>
      </c>
      <c r="I237">
        <f>IF(D237="","",H237-F237*IFERROR(INDEX(الأصناف!$D$2:$D$2000,MATCH(D237,الأصناف!$A$2:$A$2000,0)),0))</f>
        <v/>
      </c>
      <c r="J237" s="4" t="n"/>
      <c r="K237" s="7">
        <f>IF(OR(B237="",B237&lt;&gt;الإيصال!$C$3),"",COUNTIF(B$2:B237,الإيصال!$C$3))</f>
        <v/>
      </c>
    </row>
    <row r="238">
      <c r="A238" s="6" t="n"/>
      <c r="B238" s="4" t="n"/>
      <c r="C238" s="4" t="n"/>
      <c r="D238" s="4" t="n"/>
      <c r="E238">
        <f>IF(D238="","",IFERROR(INDEX(الأصناف!$B$2:$B$2000,MATCH(D238,الأصناف!$A$2:$A$2000,0)),"كود غير موجود"))</f>
        <v/>
      </c>
      <c r="F238" s="4" t="n"/>
      <c r="G238">
        <f>IF(D238="","",IFERROR(INDEX(الأصناف!$C$2:$C$2000,MATCH(D238,الأصناف!$A$2:$A$2000,0)),0))</f>
        <v/>
      </c>
      <c r="H238">
        <f>IF(D238="","",F238*G238)</f>
        <v/>
      </c>
      <c r="I238">
        <f>IF(D238="","",H238-F238*IFERROR(INDEX(الأصناف!$D$2:$D$2000,MATCH(D238,الأصناف!$A$2:$A$2000,0)),0))</f>
        <v/>
      </c>
      <c r="J238" s="4" t="n"/>
      <c r="K238" s="7">
        <f>IF(OR(B238="",B238&lt;&gt;الإيصال!$C$3),"",COUNTIF(B$2:B238,الإيصال!$C$3))</f>
        <v/>
      </c>
    </row>
    <row r="239">
      <c r="A239" s="6" t="n"/>
      <c r="B239" s="4" t="n"/>
      <c r="C239" s="4" t="n"/>
      <c r="D239" s="4" t="n"/>
      <c r="E239">
        <f>IF(D239="","",IFERROR(INDEX(الأصناف!$B$2:$B$2000,MATCH(D239,الأصناف!$A$2:$A$2000,0)),"كود غير موجود"))</f>
        <v/>
      </c>
      <c r="F239" s="4" t="n"/>
      <c r="G239">
        <f>IF(D239="","",IFERROR(INDEX(الأصناف!$C$2:$C$2000,MATCH(D239,الأصناف!$A$2:$A$2000,0)),0))</f>
        <v/>
      </c>
      <c r="H239">
        <f>IF(D239="","",F239*G239)</f>
        <v/>
      </c>
      <c r="I239">
        <f>IF(D239="","",H239-F239*IFERROR(INDEX(الأصناف!$D$2:$D$2000,MATCH(D239,الأصناف!$A$2:$A$2000,0)),0))</f>
        <v/>
      </c>
      <c r="J239" s="4" t="n"/>
      <c r="K239" s="7">
        <f>IF(OR(B239="",B239&lt;&gt;الإيصال!$C$3),"",COUNTIF(B$2:B239,الإيصال!$C$3))</f>
        <v/>
      </c>
    </row>
    <row r="240">
      <c r="A240" s="6" t="n"/>
      <c r="B240" s="4" t="n"/>
      <c r="C240" s="4" t="n"/>
      <c r="D240" s="4" t="n"/>
      <c r="E240">
        <f>IF(D240="","",IFERROR(INDEX(الأصناف!$B$2:$B$2000,MATCH(D240,الأصناف!$A$2:$A$2000,0)),"كود غير موجود"))</f>
        <v/>
      </c>
      <c r="F240" s="4" t="n"/>
      <c r="G240">
        <f>IF(D240="","",IFERROR(INDEX(الأصناف!$C$2:$C$2000,MATCH(D240,الأصناف!$A$2:$A$2000,0)),0))</f>
        <v/>
      </c>
      <c r="H240">
        <f>IF(D240="","",F240*G240)</f>
        <v/>
      </c>
      <c r="I240">
        <f>IF(D240="","",H240-F240*IFERROR(INDEX(الأصناف!$D$2:$D$2000,MATCH(D240,الأصناف!$A$2:$A$2000,0)),0))</f>
        <v/>
      </c>
      <c r="J240" s="4" t="n"/>
      <c r="K240" s="7">
        <f>IF(OR(B240="",B240&lt;&gt;الإيصال!$C$3),"",COUNTIF(B$2:B240,الإيصال!$C$3))</f>
        <v/>
      </c>
    </row>
    <row r="241">
      <c r="A241" s="6" t="n"/>
      <c r="B241" s="4" t="n"/>
      <c r="C241" s="4" t="n"/>
      <c r="D241" s="4" t="n"/>
      <c r="E241">
        <f>IF(D241="","",IFERROR(INDEX(الأصناف!$B$2:$B$2000,MATCH(D241,الأصناف!$A$2:$A$2000,0)),"كود غير موجود"))</f>
        <v/>
      </c>
      <c r="F241" s="4" t="n"/>
      <c r="G241">
        <f>IF(D241="","",IFERROR(INDEX(الأصناف!$C$2:$C$2000,MATCH(D241,الأصناف!$A$2:$A$2000,0)),0))</f>
        <v/>
      </c>
      <c r="H241">
        <f>IF(D241="","",F241*G241)</f>
        <v/>
      </c>
      <c r="I241">
        <f>IF(D241="","",H241-F241*IFERROR(INDEX(الأصناف!$D$2:$D$2000,MATCH(D241,الأصناف!$A$2:$A$2000,0)),0))</f>
        <v/>
      </c>
      <c r="J241" s="4" t="n"/>
      <c r="K241" s="7">
        <f>IF(OR(B241="",B241&lt;&gt;الإيصال!$C$3),"",COUNTIF(B$2:B241,الإيصال!$C$3))</f>
        <v/>
      </c>
    </row>
    <row r="242">
      <c r="A242" s="6" t="n"/>
      <c r="B242" s="4" t="n"/>
      <c r="C242" s="4" t="n"/>
      <c r="D242" s="4" t="n"/>
      <c r="E242">
        <f>IF(D242="","",IFERROR(INDEX(الأصناف!$B$2:$B$2000,MATCH(D242,الأصناف!$A$2:$A$2000,0)),"كود غير موجود"))</f>
        <v/>
      </c>
      <c r="F242" s="4" t="n"/>
      <c r="G242">
        <f>IF(D242="","",IFERROR(INDEX(الأصناف!$C$2:$C$2000,MATCH(D242,الأصناف!$A$2:$A$2000,0)),0))</f>
        <v/>
      </c>
      <c r="H242">
        <f>IF(D242="","",F242*G242)</f>
        <v/>
      </c>
      <c r="I242">
        <f>IF(D242="","",H242-F242*IFERROR(INDEX(الأصناف!$D$2:$D$2000,MATCH(D242,الأصناف!$A$2:$A$2000,0)),0))</f>
        <v/>
      </c>
      <c r="J242" s="4" t="n"/>
      <c r="K242" s="7">
        <f>IF(OR(B242="",B242&lt;&gt;الإيصال!$C$3),"",COUNTIF(B$2:B242,الإيصال!$C$3))</f>
        <v/>
      </c>
    </row>
    <row r="243">
      <c r="A243" s="6" t="n"/>
      <c r="B243" s="4" t="n"/>
      <c r="C243" s="4" t="n"/>
      <c r="D243" s="4" t="n"/>
      <c r="E243">
        <f>IF(D243="","",IFERROR(INDEX(الأصناف!$B$2:$B$2000,MATCH(D243,الأصناف!$A$2:$A$2000,0)),"كود غير موجود"))</f>
        <v/>
      </c>
      <c r="F243" s="4" t="n"/>
      <c r="G243">
        <f>IF(D243="","",IFERROR(INDEX(الأصناف!$C$2:$C$2000,MATCH(D243,الأصناف!$A$2:$A$2000,0)),0))</f>
        <v/>
      </c>
      <c r="H243">
        <f>IF(D243="","",F243*G243)</f>
        <v/>
      </c>
      <c r="I243">
        <f>IF(D243="","",H243-F243*IFERROR(INDEX(الأصناف!$D$2:$D$2000,MATCH(D243,الأصناف!$A$2:$A$2000,0)),0))</f>
        <v/>
      </c>
      <c r="J243" s="4" t="n"/>
      <c r="K243" s="7">
        <f>IF(OR(B243="",B243&lt;&gt;الإيصال!$C$3),"",COUNTIF(B$2:B243,الإيصال!$C$3))</f>
        <v/>
      </c>
    </row>
    <row r="244">
      <c r="A244" s="6" t="n"/>
      <c r="B244" s="4" t="n"/>
      <c r="C244" s="4" t="n"/>
      <c r="D244" s="4" t="n"/>
      <c r="E244">
        <f>IF(D244="","",IFERROR(INDEX(الأصناف!$B$2:$B$2000,MATCH(D244,الأصناف!$A$2:$A$2000,0)),"كود غير موجود"))</f>
        <v/>
      </c>
      <c r="F244" s="4" t="n"/>
      <c r="G244">
        <f>IF(D244="","",IFERROR(INDEX(الأصناف!$C$2:$C$2000,MATCH(D244,الأصناف!$A$2:$A$2000,0)),0))</f>
        <v/>
      </c>
      <c r="H244">
        <f>IF(D244="","",F244*G244)</f>
        <v/>
      </c>
      <c r="I244">
        <f>IF(D244="","",H244-F244*IFERROR(INDEX(الأصناف!$D$2:$D$2000,MATCH(D244,الأصناف!$A$2:$A$2000,0)),0))</f>
        <v/>
      </c>
      <c r="J244" s="4" t="n"/>
      <c r="K244" s="7">
        <f>IF(OR(B244="",B244&lt;&gt;الإيصال!$C$3),"",COUNTIF(B$2:B244,الإيصال!$C$3))</f>
        <v/>
      </c>
    </row>
    <row r="245">
      <c r="A245" s="6" t="n"/>
      <c r="B245" s="4" t="n"/>
      <c r="C245" s="4" t="n"/>
      <c r="D245" s="4" t="n"/>
      <c r="E245">
        <f>IF(D245="","",IFERROR(INDEX(الأصناف!$B$2:$B$2000,MATCH(D245,الأصناف!$A$2:$A$2000,0)),"كود غير موجود"))</f>
        <v/>
      </c>
      <c r="F245" s="4" t="n"/>
      <c r="G245">
        <f>IF(D245="","",IFERROR(INDEX(الأصناف!$C$2:$C$2000,MATCH(D245,الأصناف!$A$2:$A$2000,0)),0))</f>
        <v/>
      </c>
      <c r="H245">
        <f>IF(D245="","",F245*G245)</f>
        <v/>
      </c>
      <c r="I245">
        <f>IF(D245="","",H245-F245*IFERROR(INDEX(الأصناف!$D$2:$D$2000,MATCH(D245,الأصناف!$A$2:$A$2000,0)),0))</f>
        <v/>
      </c>
      <c r="J245" s="4" t="n"/>
      <c r="K245" s="7">
        <f>IF(OR(B245="",B245&lt;&gt;الإيصال!$C$3),"",COUNTIF(B$2:B245,الإيصال!$C$3))</f>
        <v/>
      </c>
    </row>
    <row r="246">
      <c r="A246" s="6" t="n"/>
      <c r="B246" s="4" t="n"/>
      <c r="C246" s="4" t="n"/>
      <c r="D246" s="4" t="n"/>
      <c r="E246">
        <f>IF(D246="","",IFERROR(INDEX(الأصناف!$B$2:$B$2000,MATCH(D246,الأصناف!$A$2:$A$2000,0)),"كود غير موجود"))</f>
        <v/>
      </c>
      <c r="F246" s="4" t="n"/>
      <c r="G246">
        <f>IF(D246="","",IFERROR(INDEX(الأصناف!$C$2:$C$2000,MATCH(D246,الأصناف!$A$2:$A$2000,0)),0))</f>
        <v/>
      </c>
      <c r="H246">
        <f>IF(D246="","",F246*G246)</f>
        <v/>
      </c>
      <c r="I246">
        <f>IF(D246="","",H246-F246*IFERROR(INDEX(الأصناف!$D$2:$D$2000,MATCH(D246,الأصناف!$A$2:$A$2000,0)),0))</f>
        <v/>
      </c>
      <c r="J246" s="4" t="n"/>
      <c r="K246" s="7">
        <f>IF(OR(B246="",B246&lt;&gt;الإيصال!$C$3),"",COUNTIF(B$2:B246,الإيصال!$C$3))</f>
        <v/>
      </c>
    </row>
    <row r="247">
      <c r="A247" s="6" t="n"/>
      <c r="B247" s="4" t="n"/>
      <c r="C247" s="4" t="n"/>
      <c r="D247" s="4" t="n"/>
      <c r="E247">
        <f>IF(D247="","",IFERROR(INDEX(الأصناف!$B$2:$B$2000,MATCH(D247,الأصناف!$A$2:$A$2000,0)),"كود غير موجود"))</f>
        <v/>
      </c>
      <c r="F247" s="4" t="n"/>
      <c r="G247">
        <f>IF(D247="","",IFERROR(INDEX(الأصناف!$C$2:$C$2000,MATCH(D247,الأصناف!$A$2:$A$2000,0)),0))</f>
        <v/>
      </c>
      <c r="H247">
        <f>IF(D247="","",F247*G247)</f>
        <v/>
      </c>
      <c r="I247">
        <f>IF(D247="","",H247-F247*IFERROR(INDEX(الأصناف!$D$2:$D$2000,MATCH(D247,الأصناف!$A$2:$A$2000,0)),0))</f>
        <v/>
      </c>
      <c r="J247" s="4" t="n"/>
      <c r="K247" s="7">
        <f>IF(OR(B247="",B247&lt;&gt;الإيصال!$C$3),"",COUNTIF(B$2:B247,الإيصال!$C$3))</f>
        <v/>
      </c>
    </row>
    <row r="248">
      <c r="A248" s="6" t="n"/>
      <c r="B248" s="4" t="n"/>
      <c r="C248" s="4" t="n"/>
      <c r="D248" s="4" t="n"/>
      <c r="E248">
        <f>IF(D248="","",IFERROR(INDEX(الأصناف!$B$2:$B$2000,MATCH(D248,الأصناف!$A$2:$A$2000,0)),"كود غير موجود"))</f>
        <v/>
      </c>
      <c r="F248" s="4" t="n"/>
      <c r="G248">
        <f>IF(D248="","",IFERROR(INDEX(الأصناف!$C$2:$C$2000,MATCH(D248,الأصناف!$A$2:$A$2000,0)),0))</f>
        <v/>
      </c>
      <c r="H248">
        <f>IF(D248="","",F248*G248)</f>
        <v/>
      </c>
      <c r="I248">
        <f>IF(D248="","",H248-F248*IFERROR(INDEX(الأصناف!$D$2:$D$2000,MATCH(D248,الأصناف!$A$2:$A$2000,0)),0))</f>
        <v/>
      </c>
      <c r="J248" s="4" t="n"/>
      <c r="K248" s="7">
        <f>IF(OR(B248="",B248&lt;&gt;الإيصال!$C$3),"",COUNTIF(B$2:B248,الإيصال!$C$3))</f>
        <v/>
      </c>
    </row>
    <row r="249">
      <c r="A249" s="6" t="n"/>
      <c r="B249" s="4" t="n"/>
      <c r="C249" s="4" t="n"/>
      <c r="D249" s="4" t="n"/>
      <c r="E249">
        <f>IF(D249="","",IFERROR(INDEX(الأصناف!$B$2:$B$2000,MATCH(D249,الأصناف!$A$2:$A$2000,0)),"كود غير موجود"))</f>
        <v/>
      </c>
      <c r="F249" s="4" t="n"/>
      <c r="G249">
        <f>IF(D249="","",IFERROR(INDEX(الأصناف!$C$2:$C$2000,MATCH(D249,الأصناف!$A$2:$A$2000,0)),0))</f>
        <v/>
      </c>
      <c r="H249">
        <f>IF(D249="","",F249*G249)</f>
        <v/>
      </c>
      <c r="I249">
        <f>IF(D249="","",H249-F249*IFERROR(INDEX(الأصناف!$D$2:$D$2000,MATCH(D249,الأصناف!$A$2:$A$2000,0)),0))</f>
        <v/>
      </c>
      <c r="J249" s="4" t="n"/>
      <c r="K249" s="7">
        <f>IF(OR(B249="",B249&lt;&gt;الإيصال!$C$3),"",COUNTIF(B$2:B249,الإيصال!$C$3))</f>
        <v/>
      </c>
    </row>
    <row r="250">
      <c r="A250" s="6" t="n"/>
      <c r="B250" s="4" t="n"/>
      <c r="C250" s="4" t="n"/>
      <c r="D250" s="4" t="n"/>
      <c r="E250">
        <f>IF(D250="","",IFERROR(INDEX(الأصناف!$B$2:$B$2000,MATCH(D250,الأصناف!$A$2:$A$2000,0)),"كود غير موجود"))</f>
        <v/>
      </c>
      <c r="F250" s="4" t="n"/>
      <c r="G250">
        <f>IF(D250="","",IFERROR(INDEX(الأصناف!$C$2:$C$2000,MATCH(D250,الأصناف!$A$2:$A$2000,0)),0))</f>
        <v/>
      </c>
      <c r="H250">
        <f>IF(D250="","",F250*G250)</f>
        <v/>
      </c>
      <c r="I250">
        <f>IF(D250="","",H250-F250*IFERROR(INDEX(الأصناف!$D$2:$D$2000,MATCH(D250,الأصناف!$A$2:$A$2000,0)),0))</f>
        <v/>
      </c>
      <c r="J250" s="4" t="n"/>
      <c r="K250" s="7">
        <f>IF(OR(B250="",B250&lt;&gt;الإيصال!$C$3),"",COUNTIF(B$2:B250,الإيصال!$C$3))</f>
        <v/>
      </c>
    </row>
    <row r="251">
      <c r="A251" s="6" t="n"/>
      <c r="B251" s="4" t="n"/>
      <c r="C251" s="4" t="n"/>
      <c r="D251" s="4" t="n"/>
      <c r="E251">
        <f>IF(D251="","",IFERROR(INDEX(الأصناف!$B$2:$B$2000,MATCH(D251,الأصناف!$A$2:$A$2000,0)),"كود غير موجود"))</f>
        <v/>
      </c>
      <c r="F251" s="4" t="n"/>
      <c r="G251">
        <f>IF(D251="","",IFERROR(INDEX(الأصناف!$C$2:$C$2000,MATCH(D251,الأصناف!$A$2:$A$2000,0)),0))</f>
        <v/>
      </c>
      <c r="H251">
        <f>IF(D251="","",F251*G251)</f>
        <v/>
      </c>
      <c r="I251">
        <f>IF(D251="","",H251-F251*IFERROR(INDEX(الأصناف!$D$2:$D$2000,MATCH(D251,الأصناف!$A$2:$A$2000,0)),0))</f>
        <v/>
      </c>
      <c r="J251" s="4" t="n"/>
      <c r="K251" s="7">
        <f>IF(OR(B251="",B251&lt;&gt;الإيصال!$C$3),"",COUNTIF(B$2:B251,الإيصال!$C$3))</f>
        <v/>
      </c>
    </row>
    <row r="252">
      <c r="A252" s="6" t="n"/>
      <c r="B252" s="4" t="n"/>
      <c r="C252" s="4" t="n"/>
      <c r="D252" s="4" t="n"/>
      <c r="E252">
        <f>IF(D252="","",IFERROR(INDEX(الأصناف!$B$2:$B$2000,MATCH(D252,الأصناف!$A$2:$A$2000,0)),"كود غير موجود"))</f>
        <v/>
      </c>
      <c r="F252" s="4" t="n"/>
      <c r="G252">
        <f>IF(D252="","",IFERROR(INDEX(الأصناف!$C$2:$C$2000,MATCH(D252,الأصناف!$A$2:$A$2000,0)),0))</f>
        <v/>
      </c>
      <c r="H252">
        <f>IF(D252="","",F252*G252)</f>
        <v/>
      </c>
      <c r="I252">
        <f>IF(D252="","",H252-F252*IFERROR(INDEX(الأصناف!$D$2:$D$2000,MATCH(D252,الأصناف!$A$2:$A$2000,0)),0))</f>
        <v/>
      </c>
      <c r="J252" s="4" t="n"/>
      <c r="K252" s="7">
        <f>IF(OR(B252="",B252&lt;&gt;الإيصال!$C$3),"",COUNTIF(B$2:B252,الإيصال!$C$3))</f>
        <v/>
      </c>
    </row>
    <row r="253">
      <c r="A253" s="6" t="n"/>
      <c r="B253" s="4" t="n"/>
      <c r="C253" s="4" t="n"/>
      <c r="D253" s="4" t="n"/>
      <c r="E253">
        <f>IF(D253="","",IFERROR(INDEX(الأصناف!$B$2:$B$2000,MATCH(D253,الأصناف!$A$2:$A$2000,0)),"كود غير موجود"))</f>
        <v/>
      </c>
      <c r="F253" s="4" t="n"/>
      <c r="G253">
        <f>IF(D253="","",IFERROR(INDEX(الأصناف!$C$2:$C$2000,MATCH(D253,الأصناف!$A$2:$A$2000,0)),0))</f>
        <v/>
      </c>
      <c r="H253">
        <f>IF(D253="","",F253*G253)</f>
        <v/>
      </c>
      <c r="I253">
        <f>IF(D253="","",H253-F253*IFERROR(INDEX(الأصناف!$D$2:$D$2000,MATCH(D253,الأصناف!$A$2:$A$2000,0)),0))</f>
        <v/>
      </c>
      <c r="J253" s="4" t="n"/>
      <c r="K253" s="7">
        <f>IF(OR(B253="",B253&lt;&gt;الإيصال!$C$3),"",COUNTIF(B$2:B253,الإيصال!$C$3))</f>
        <v/>
      </c>
    </row>
    <row r="254">
      <c r="A254" s="6" t="n"/>
      <c r="B254" s="4" t="n"/>
      <c r="C254" s="4" t="n"/>
      <c r="D254" s="4" t="n"/>
      <c r="E254">
        <f>IF(D254="","",IFERROR(INDEX(الأصناف!$B$2:$B$2000,MATCH(D254,الأصناف!$A$2:$A$2000,0)),"كود غير موجود"))</f>
        <v/>
      </c>
      <c r="F254" s="4" t="n"/>
      <c r="G254">
        <f>IF(D254="","",IFERROR(INDEX(الأصناف!$C$2:$C$2000,MATCH(D254,الأصناف!$A$2:$A$2000,0)),0))</f>
        <v/>
      </c>
      <c r="H254">
        <f>IF(D254="","",F254*G254)</f>
        <v/>
      </c>
      <c r="I254">
        <f>IF(D254="","",H254-F254*IFERROR(INDEX(الأصناف!$D$2:$D$2000,MATCH(D254,الأصناف!$A$2:$A$2000,0)),0))</f>
        <v/>
      </c>
      <c r="J254" s="4" t="n"/>
      <c r="K254" s="7">
        <f>IF(OR(B254="",B254&lt;&gt;الإيصال!$C$3),"",COUNTIF(B$2:B254,الإيصال!$C$3))</f>
        <v/>
      </c>
    </row>
    <row r="255">
      <c r="A255" s="6" t="n"/>
      <c r="B255" s="4" t="n"/>
      <c r="C255" s="4" t="n"/>
      <c r="D255" s="4" t="n"/>
      <c r="E255">
        <f>IF(D255="","",IFERROR(INDEX(الأصناف!$B$2:$B$2000,MATCH(D255,الأصناف!$A$2:$A$2000,0)),"كود غير موجود"))</f>
        <v/>
      </c>
      <c r="F255" s="4" t="n"/>
      <c r="G255">
        <f>IF(D255="","",IFERROR(INDEX(الأصناف!$C$2:$C$2000,MATCH(D255,الأصناف!$A$2:$A$2000,0)),0))</f>
        <v/>
      </c>
      <c r="H255">
        <f>IF(D255="","",F255*G255)</f>
        <v/>
      </c>
      <c r="I255">
        <f>IF(D255="","",H255-F255*IFERROR(INDEX(الأصناف!$D$2:$D$2000,MATCH(D255,الأصناف!$A$2:$A$2000,0)),0))</f>
        <v/>
      </c>
      <c r="J255" s="4" t="n"/>
      <c r="K255" s="7">
        <f>IF(OR(B255="",B255&lt;&gt;الإيصال!$C$3),"",COUNTIF(B$2:B255,الإيصال!$C$3))</f>
        <v/>
      </c>
    </row>
    <row r="256">
      <c r="A256" s="6" t="n"/>
      <c r="B256" s="4" t="n"/>
      <c r="C256" s="4" t="n"/>
      <c r="D256" s="4" t="n"/>
      <c r="E256">
        <f>IF(D256="","",IFERROR(INDEX(الأصناف!$B$2:$B$2000,MATCH(D256,الأصناف!$A$2:$A$2000,0)),"كود غير موجود"))</f>
        <v/>
      </c>
      <c r="F256" s="4" t="n"/>
      <c r="G256">
        <f>IF(D256="","",IFERROR(INDEX(الأصناف!$C$2:$C$2000,MATCH(D256,الأصناف!$A$2:$A$2000,0)),0))</f>
        <v/>
      </c>
      <c r="H256">
        <f>IF(D256="","",F256*G256)</f>
        <v/>
      </c>
      <c r="I256">
        <f>IF(D256="","",H256-F256*IFERROR(INDEX(الأصناف!$D$2:$D$2000,MATCH(D256,الأصناف!$A$2:$A$2000,0)),0))</f>
        <v/>
      </c>
      <c r="J256" s="4" t="n"/>
      <c r="K256" s="7">
        <f>IF(OR(B256="",B256&lt;&gt;الإيصال!$C$3),"",COUNTIF(B$2:B256,الإيصال!$C$3))</f>
        <v/>
      </c>
    </row>
    <row r="257">
      <c r="A257" s="6" t="n"/>
      <c r="B257" s="4" t="n"/>
      <c r="C257" s="4" t="n"/>
      <c r="D257" s="4" t="n"/>
      <c r="E257">
        <f>IF(D257="","",IFERROR(INDEX(الأصناف!$B$2:$B$2000,MATCH(D257,الأصناف!$A$2:$A$2000,0)),"كود غير موجود"))</f>
        <v/>
      </c>
      <c r="F257" s="4" t="n"/>
      <c r="G257">
        <f>IF(D257="","",IFERROR(INDEX(الأصناف!$C$2:$C$2000,MATCH(D257,الأصناف!$A$2:$A$2000,0)),0))</f>
        <v/>
      </c>
      <c r="H257">
        <f>IF(D257="","",F257*G257)</f>
        <v/>
      </c>
      <c r="I257">
        <f>IF(D257="","",H257-F257*IFERROR(INDEX(الأصناف!$D$2:$D$2000,MATCH(D257,الأصناف!$A$2:$A$2000,0)),0))</f>
        <v/>
      </c>
      <c r="J257" s="4" t="n"/>
      <c r="K257" s="7">
        <f>IF(OR(B257="",B257&lt;&gt;الإيصال!$C$3),"",COUNTIF(B$2:B257,الإيصال!$C$3))</f>
        <v/>
      </c>
    </row>
    <row r="258">
      <c r="A258" s="6" t="n"/>
      <c r="B258" s="4" t="n"/>
      <c r="C258" s="4" t="n"/>
      <c r="D258" s="4" t="n"/>
      <c r="E258">
        <f>IF(D258="","",IFERROR(INDEX(الأصناف!$B$2:$B$2000,MATCH(D258,الأصناف!$A$2:$A$2000,0)),"كود غير موجود"))</f>
        <v/>
      </c>
      <c r="F258" s="4" t="n"/>
      <c r="G258">
        <f>IF(D258="","",IFERROR(INDEX(الأصناف!$C$2:$C$2000,MATCH(D258,الأصناف!$A$2:$A$2000,0)),0))</f>
        <v/>
      </c>
      <c r="H258">
        <f>IF(D258="","",F258*G258)</f>
        <v/>
      </c>
      <c r="I258">
        <f>IF(D258="","",H258-F258*IFERROR(INDEX(الأصناف!$D$2:$D$2000,MATCH(D258,الأصناف!$A$2:$A$2000,0)),0))</f>
        <v/>
      </c>
      <c r="J258" s="4" t="n"/>
      <c r="K258" s="7">
        <f>IF(OR(B258="",B258&lt;&gt;الإيصال!$C$3),"",COUNTIF(B$2:B258,الإيصال!$C$3))</f>
        <v/>
      </c>
    </row>
    <row r="259">
      <c r="A259" s="6" t="n"/>
      <c r="B259" s="4" t="n"/>
      <c r="C259" s="4" t="n"/>
      <c r="D259" s="4" t="n"/>
      <c r="E259">
        <f>IF(D259="","",IFERROR(INDEX(الأصناف!$B$2:$B$2000,MATCH(D259,الأصناف!$A$2:$A$2000,0)),"كود غير موجود"))</f>
        <v/>
      </c>
      <c r="F259" s="4" t="n"/>
      <c r="G259">
        <f>IF(D259="","",IFERROR(INDEX(الأصناف!$C$2:$C$2000,MATCH(D259,الأصناف!$A$2:$A$2000,0)),0))</f>
        <v/>
      </c>
      <c r="H259">
        <f>IF(D259="","",F259*G259)</f>
        <v/>
      </c>
      <c r="I259">
        <f>IF(D259="","",H259-F259*IFERROR(INDEX(الأصناف!$D$2:$D$2000,MATCH(D259,الأصناف!$A$2:$A$2000,0)),0))</f>
        <v/>
      </c>
      <c r="J259" s="4" t="n"/>
      <c r="K259" s="7">
        <f>IF(OR(B259="",B259&lt;&gt;الإيصال!$C$3),"",COUNTIF(B$2:B259,الإيصال!$C$3))</f>
        <v/>
      </c>
    </row>
    <row r="260">
      <c r="A260" s="6" t="n"/>
      <c r="B260" s="4" t="n"/>
      <c r="C260" s="4" t="n"/>
      <c r="D260" s="4" t="n"/>
      <c r="E260">
        <f>IF(D260="","",IFERROR(INDEX(الأصناف!$B$2:$B$2000,MATCH(D260,الأصناف!$A$2:$A$2000,0)),"كود غير موجود"))</f>
        <v/>
      </c>
      <c r="F260" s="4" t="n"/>
      <c r="G260">
        <f>IF(D260="","",IFERROR(INDEX(الأصناف!$C$2:$C$2000,MATCH(D260,الأصناف!$A$2:$A$2000,0)),0))</f>
        <v/>
      </c>
      <c r="H260">
        <f>IF(D260="","",F260*G260)</f>
        <v/>
      </c>
      <c r="I260">
        <f>IF(D260="","",H260-F260*IFERROR(INDEX(الأصناف!$D$2:$D$2000,MATCH(D260,الأصناف!$A$2:$A$2000,0)),0))</f>
        <v/>
      </c>
      <c r="J260" s="4" t="n"/>
      <c r="K260" s="7">
        <f>IF(OR(B260="",B260&lt;&gt;الإيصال!$C$3),"",COUNTIF(B$2:B260,الإيصال!$C$3))</f>
        <v/>
      </c>
    </row>
    <row r="261">
      <c r="A261" s="6" t="n"/>
      <c r="B261" s="4" t="n"/>
      <c r="C261" s="4" t="n"/>
      <c r="D261" s="4" t="n"/>
      <c r="E261">
        <f>IF(D261="","",IFERROR(INDEX(الأصناف!$B$2:$B$2000,MATCH(D261,الأصناف!$A$2:$A$2000,0)),"كود غير موجود"))</f>
        <v/>
      </c>
      <c r="F261" s="4" t="n"/>
      <c r="G261">
        <f>IF(D261="","",IFERROR(INDEX(الأصناف!$C$2:$C$2000,MATCH(D261,الأصناف!$A$2:$A$2000,0)),0))</f>
        <v/>
      </c>
      <c r="H261">
        <f>IF(D261="","",F261*G261)</f>
        <v/>
      </c>
      <c r="I261">
        <f>IF(D261="","",H261-F261*IFERROR(INDEX(الأصناف!$D$2:$D$2000,MATCH(D261,الأصناف!$A$2:$A$2000,0)),0))</f>
        <v/>
      </c>
      <c r="J261" s="4" t="n"/>
      <c r="K261" s="7">
        <f>IF(OR(B261="",B261&lt;&gt;الإيصال!$C$3),"",COUNTIF(B$2:B261,الإيصال!$C$3))</f>
        <v/>
      </c>
    </row>
    <row r="262">
      <c r="A262" s="6" t="n"/>
      <c r="B262" s="4" t="n"/>
      <c r="C262" s="4" t="n"/>
      <c r="D262" s="4" t="n"/>
      <c r="E262">
        <f>IF(D262="","",IFERROR(INDEX(الأصناف!$B$2:$B$2000,MATCH(D262,الأصناف!$A$2:$A$2000,0)),"كود غير موجود"))</f>
        <v/>
      </c>
      <c r="F262" s="4" t="n"/>
      <c r="G262">
        <f>IF(D262="","",IFERROR(INDEX(الأصناف!$C$2:$C$2000,MATCH(D262,الأصناف!$A$2:$A$2000,0)),0))</f>
        <v/>
      </c>
      <c r="H262">
        <f>IF(D262="","",F262*G262)</f>
        <v/>
      </c>
      <c r="I262">
        <f>IF(D262="","",H262-F262*IFERROR(INDEX(الأصناف!$D$2:$D$2000,MATCH(D262,الأصناف!$A$2:$A$2000,0)),0))</f>
        <v/>
      </c>
      <c r="J262" s="4" t="n"/>
      <c r="K262" s="7">
        <f>IF(OR(B262="",B262&lt;&gt;الإيصال!$C$3),"",COUNTIF(B$2:B262,الإيصال!$C$3))</f>
        <v/>
      </c>
    </row>
    <row r="263">
      <c r="A263" s="6" t="n"/>
      <c r="B263" s="4" t="n"/>
      <c r="C263" s="4" t="n"/>
      <c r="D263" s="4" t="n"/>
      <c r="E263">
        <f>IF(D263="","",IFERROR(INDEX(الأصناف!$B$2:$B$2000,MATCH(D263,الأصناف!$A$2:$A$2000,0)),"كود غير موجود"))</f>
        <v/>
      </c>
      <c r="F263" s="4" t="n"/>
      <c r="G263">
        <f>IF(D263="","",IFERROR(INDEX(الأصناف!$C$2:$C$2000,MATCH(D263,الأصناف!$A$2:$A$2000,0)),0))</f>
        <v/>
      </c>
      <c r="H263">
        <f>IF(D263="","",F263*G263)</f>
        <v/>
      </c>
      <c r="I263">
        <f>IF(D263="","",H263-F263*IFERROR(INDEX(الأصناف!$D$2:$D$2000,MATCH(D263,الأصناف!$A$2:$A$2000,0)),0))</f>
        <v/>
      </c>
      <c r="J263" s="4" t="n"/>
      <c r="K263" s="7">
        <f>IF(OR(B263="",B263&lt;&gt;الإيصال!$C$3),"",COUNTIF(B$2:B263,الإيصال!$C$3))</f>
        <v/>
      </c>
    </row>
    <row r="264">
      <c r="A264" s="6" t="n"/>
      <c r="B264" s="4" t="n"/>
      <c r="C264" s="4" t="n"/>
      <c r="D264" s="4" t="n"/>
      <c r="E264">
        <f>IF(D264="","",IFERROR(INDEX(الأصناف!$B$2:$B$2000,MATCH(D264,الأصناف!$A$2:$A$2000,0)),"كود غير موجود"))</f>
        <v/>
      </c>
      <c r="F264" s="4" t="n"/>
      <c r="G264">
        <f>IF(D264="","",IFERROR(INDEX(الأصناف!$C$2:$C$2000,MATCH(D264,الأصناف!$A$2:$A$2000,0)),0))</f>
        <v/>
      </c>
      <c r="H264">
        <f>IF(D264="","",F264*G264)</f>
        <v/>
      </c>
      <c r="I264">
        <f>IF(D264="","",H264-F264*IFERROR(INDEX(الأصناف!$D$2:$D$2000,MATCH(D264,الأصناف!$A$2:$A$2000,0)),0))</f>
        <v/>
      </c>
      <c r="J264" s="4" t="n"/>
      <c r="K264" s="7">
        <f>IF(OR(B264="",B264&lt;&gt;الإيصال!$C$3),"",COUNTIF(B$2:B264,الإيصال!$C$3))</f>
        <v/>
      </c>
    </row>
    <row r="265">
      <c r="A265" s="6" t="n"/>
      <c r="B265" s="4" t="n"/>
      <c r="C265" s="4" t="n"/>
      <c r="D265" s="4" t="n"/>
      <c r="E265">
        <f>IF(D265="","",IFERROR(INDEX(الأصناف!$B$2:$B$2000,MATCH(D265,الأصناف!$A$2:$A$2000,0)),"كود غير موجود"))</f>
        <v/>
      </c>
      <c r="F265" s="4" t="n"/>
      <c r="G265">
        <f>IF(D265="","",IFERROR(INDEX(الأصناف!$C$2:$C$2000,MATCH(D265,الأصناف!$A$2:$A$2000,0)),0))</f>
        <v/>
      </c>
      <c r="H265">
        <f>IF(D265="","",F265*G265)</f>
        <v/>
      </c>
      <c r="I265">
        <f>IF(D265="","",H265-F265*IFERROR(INDEX(الأصناف!$D$2:$D$2000,MATCH(D265,الأصناف!$A$2:$A$2000,0)),0))</f>
        <v/>
      </c>
      <c r="J265" s="4" t="n"/>
      <c r="K265" s="7">
        <f>IF(OR(B265="",B265&lt;&gt;الإيصال!$C$3),"",COUNTIF(B$2:B265,الإيصال!$C$3))</f>
        <v/>
      </c>
    </row>
    <row r="266">
      <c r="A266" s="6" t="n"/>
      <c r="B266" s="4" t="n"/>
      <c r="C266" s="4" t="n"/>
      <c r="D266" s="4" t="n"/>
      <c r="E266">
        <f>IF(D266="","",IFERROR(INDEX(الأصناف!$B$2:$B$2000,MATCH(D266,الأصناف!$A$2:$A$2000,0)),"كود غير موجود"))</f>
        <v/>
      </c>
      <c r="F266" s="4" t="n"/>
      <c r="G266">
        <f>IF(D266="","",IFERROR(INDEX(الأصناف!$C$2:$C$2000,MATCH(D266,الأصناف!$A$2:$A$2000,0)),0))</f>
        <v/>
      </c>
      <c r="H266">
        <f>IF(D266="","",F266*G266)</f>
        <v/>
      </c>
      <c r="I266">
        <f>IF(D266="","",H266-F266*IFERROR(INDEX(الأصناف!$D$2:$D$2000,MATCH(D266,الأصناف!$A$2:$A$2000,0)),0))</f>
        <v/>
      </c>
      <c r="J266" s="4" t="n"/>
      <c r="K266" s="7">
        <f>IF(OR(B266="",B266&lt;&gt;الإيصال!$C$3),"",COUNTIF(B$2:B266,الإيصال!$C$3))</f>
        <v/>
      </c>
    </row>
    <row r="267">
      <c r="A267" s="6" t="n"/>
      <c r="B267" s="4" t="n"/>
      <c r="C267" s="4" t="n"/>
      <c r="D267" s="4" t="n"/>
      <c r="E267">
        <f>IF(D267="","",IFERROR(INDEX(الأصناف!$B$2:$B$2000,MATCH(D267,الأصناف!$A$2:$A$2000,0)),"كود غير موجود"))</f>
        <v/>
      </c>
      <c r="F267" s="4" t="n"/>
      <c r="G267">
        <f>IF(D267="","",IFERROR(INDEX(الأصناف!$C$2:$C$2000,MATCH(D267,الأصناف!$A$2:$A$2000,0)),0))</f>
        <v/>
      </c>
      <c r="H267">
        <f>IF(D267="","",F267*G267)</f>
        <v/>
      </c>
      <c r="I267">
        <f>IF(D267="","",H267-F267*IFERROR(INDEX(الأصناف!$D$2:$D$2000,MATCH(D267,الأصناف!$A$2:$A$2000,0)),0))</f>
        <v/>
      </c>
      <c r="J267" s="4" t="n"/>
      <c r="K267" s="7">
        <f>IF(OR(B267="",B267&lt;&gt;الإيصال!$C$3),"",COUNTIF(B$2:B267,الإيصال!$C$3))</f>
        <v/>
      </c>
    </row>
    <row r="268">
      <c r="A268" s="6" t="n"/>
      <c r="B268" s="4" t="n"/>
      <c r="C268" s="4" t="n"/>
      <c r="D268" s="4" t="n"/>
      <c r="E268">
        <f>IF(D268="","",IFERROR(INDEX(الأصناف!$B$2:$B$2000,MATCH(D268,الأصناف!$A$2:$A$2000,0)),"كود غير موجود"))</f>
        <v/>
      </c>
      <c r="F268" s="4" t="n"/>
      <c r="G268">
        <f>IF(D268="","",IFERROR(INDEX(الأصناف!$C$2:$C$2000,MATCH(D268,الأصناف!$A$2:$A$2000,0)),0))</f>
        <v/>
      </c>
      <c r="H268">
        <f>IF(D268="","",F268*G268)</f>
        <v/>
      </c>
      <c r="I268">
        <f>IF(D268="","",H268-F268*IFERROR(INDEX(الأصناف!$D$2:$D$2000,MATCH(D268,الأصناف!$A$2:$A$2000,0)),0))</f>
        <v/>
      </c>
      <c r="J268" s="4" t="n"/>
      <c r="K268" s="7">
        <f>IF(OR(B268="",B268&lt;&gt;الإيصال!$C$3),"",COUNTIF(B$2:B268,الإيصال!$C$3))</f>
        <v/>
      </c>
    </row>
    <row r="269">
      <c r="A269" s="6" t="n"/>
      <c r="B269" s="4" t="n"/>
      <c r="C269" s="4" t="n"/>
      <c r="D269" s="4" t="n"/>
      <c r="E269">
        <f>IF(D269="","",IFERROR(INDEX(الأصناف!$B$2:$B$2000,MATCH(D269,الأصناف!$A$2:$A$2000,0)),"كود غير موجود"))</f>
        <v/>
      </c>
      <c r="F269" s="4" t="n"/>
      <c r="G269">
        <f>IF(D269="","",IFERROR(INDEX(الأصناف!$C$2:$C$2000,MATCH(D269,الأصناف!$A$2:$A$2000,0)),0))</f>
        <v/>
      </c>
      <c r="H269">
        <f>IF(D269="","",F269*G269)</f>
        <v/>
      </c>
      <c r="I269">
        <f>IF(D269="","",H269-F269*IFERROR(INDEX(الأصناف!$D$2:$D$2000,MATCH(D269,الأصناف!$A$2:$A$2000,0)),0))</f>
        <v/>
      </c>
      <c r="J269" s="4" t="n"/>
      <c r="K269" s="7">
        <f>IF(OR(B269="",B269&lt;&gt;الإيصال!$C$3),"",COUNTIF(B$2:B269,الإيصال!$C$3))</f>
        <v/>
      </c>
    </row>
    <row r="270">
      <c r="A270" s="6" t="n"/>
      <c r="B270" s="4" t="n"/>
      <c r="C270" s="4" t="n"/>
      <c r="D270" s="4" t="n"/>
      <c r="E270">
        <f>IF(D270="","",IFERROR(INDEX(الأصناف!$B$2:$B$2000,MATCH(D270,الأصناف!$A$2:$A$2000,0)),"كود غير موجود"))</f>
        <v/>
      </c>
      <c r="F270" s="4" t="n"/>
      <c r="G270">
        <f>IF(D270="","",IFERROR(INDEX(الأصناف!$C$2:$C$2000,MATCH(D270,الأصناف!$A$2:$A$2000,0)),0))</f>
        <v/>
      </c>
      <c r="H270">
        <f>IF(D270="","",F270*G270)</f>
        <v/>
      </c>
      <c r="I270">
        <f>IF(D270="","",H270-F270*IFERROR(INDEX(الأصناف!$D$2:$D$2000,MATCH(D270,الأصناف!$A$2:$A$2000,0)),0))</f>
        <v/>
      </c>
      <c r="J270" s="4" t="n"/>
      <c r="K270" s="7">
        <f>IF(OR(B270="",B270&lt;&gt;الإيصال!$C$3),"",COUNTIF(B$2:B270,الإيصال!$C$3))</f>
        <v/>
      </c>
    </row>
    <row r="271">
      <c r="A271" s="6" t="n"/>
      <c r="B271" s="4" t="n"/>
      <c r="C271" s="4" t="n"/>
      <c r="D271" s="4" t="n"/>
      <c r="E271">
        <f>IF(D271="","",IFERROR(INDEX(الأصناف!$B$2:$B$2000,MATCH(D271,الأصناف!$A$2:$A$2000,0)),"كود غير موجود"))</f>
        <v/>
      </c>
      <c r="F271" s="4" t="n"/>
      <c r="G271">
        <f>IF(D271="","",IFERROR(INDEX(الأصناف!$C$2:$C$2000,MATCH(D271,الأصناف!$A$2:$A$2000,0)),0))</f>
        <v/>
      </c>
      <c r="H271">
        <f>IF(D271="","",F271*G271)</f>
        <v/>
      </c>
      <c r="I271">
        <f>IF(D271="","",H271-F271*IFERROR(INDEX(الأصناف!$D$2:$D$2000,MATCH(D271,الأصناف!$A$2:$A$2000,0)),0))</f>
        <v/>
      </c>
      <c r="J271" s="4" t="n"/>
      <c r="K271" s="7">
        <f>IF(OR(B271="",B271&lt;&gt;الإيصال!$C$3),"",COUNTIF(B$2:B271,الإيصال!$C$3))</f>
        <v/>
      </c>
    </row>
    <row r="272">
      <c r="A272" s="6" t="n"/>
      <c r="B272" s="4" t="n"/>
      <c r="C272" s="4" t="n"/>
      <c r="D272" s="4" t="n"/>
      <c r="E272">
        <f>IF(D272="","",IFERROR(INDEX(الأصناف!$B$2:$B$2000,MATCH(D272,الأصناف!$A$2:$A$2000,0)),"كود غير موجود"))</f>
        <v/>
      </c>
      <c r="F272" s="4" t="n"/>
      <c r="G272">
        <f>IF(D272="","",IFERROR(INDEX(الأصناف!$C$2:$C$2000,MATCH(D272,الأصناف!$A$2:$A$2000,0)),0))</f>
        <v/>
      </c>
      <c r="H272">
        <f>IF(D272="","",F272*G272)</f>
        <v/>
      </c>
      <c r="I272">
        <f>IF(D272="","",H272-F272*IFERROR(INDEX(الأصناف!$D$2:$D$2000,MATCH(D272,الأصناف!$A$2:$A$2000,0)),0))</f>
        <v/>
      </c>
      <c r="J272" s="4" t="n"/>
      <c r="K272" s="7">
        <f>IF(OR(B272="",B272&lt;&gt;الإيصال!$C$3),"",COUNTIF(B$2:B272,الإيصال!$C$3))</f>
        <v/>
      </c>
    </row>
    <row r="273">
      <c r="A273" s="6" t="n"/>
      <c r="B273" s="4" t="n"/>
      <c r="C273" s="4" t="n"/>
      <c r="D273" s="4" t="n"/>
      <c r="E273">
        <f>IF(D273="","",IFERROR(INDEX(الأصناف!$B$2:$B$2000,MATCH(D273,الأصناف!$A$2:$A$2000,0)),"كود غير موجود"))</f>
        <v/>
      </c>
      <c r="F273" s="4" t="n"/>
      <c r="G273">
        <f>IF(D273="","",IFERROR(INDEX(الأصناف!$C$2:$C$2000,MATCH(D273,الأصناف!$A$2:$A$2000,0)),0))</f>
        <v/>
      </c>
      <c r="H273">
        <f>IF(D273="","",F273*G273)</f>
        <v/>
      </c>
      <c r="I273">
        <f>IF(D273="","",H273-F273*IFERROR(INDEX(الأصناف!$D$2:$D$2000,MATCH(D273,الأصناف!$A$2:$A$2000,0)),0))</f>
        <v/>
      </c>
      <c r="J273" s="4" t="n"/>
      <c r="K273" s="7">
        <f>IF(OR(B273="",B273&lt;&gt;الإيصال!$C$3),"",COUNTIF(B$2:B273,الإيصال!$C$3))</f>
        <v/>
      </c>
    </row>
    <row r="274">
      <c r="A274" s="6" t="n"/>
      <c r="B274" s="4" t="n"/>
      <c r="C274" s="4" t="n"/>
      <c r="D274" s="4" t="n"/>
      <c r="E274">
        <f>IF(D274="","",IFERROR(INDEX(الأصناف!$B$2:$B$2000,MATCH(D274,الأصناف!$A$2:$A$2000,0)),"كود غير موجود"))</f>
        <v/>
      </c>
      <c r="F274" s="4" t="n"/>
      <c r="G274">
        <f>IF(D274="","",IFERROR(INDEX(الأصناف!$C$2:$C$2000,MATCH(D274,الأصناف!$A$2:$A$2000,0)),0))</f>
        <v/>
      </c>
      <c r="H274">
        <f>IF(D274="","",F274*G274)</f>
        <v/>
      </c>
      <c r="I274">
        <f>IF(D274="","",H274-F274*IFERROR(INDEX(الأصناف!$D$2:$D$2000,MATCH(D274,الأصناف!$A$2:$A$2000,0)),0))</f>
        <v/>
      </c>
      <c r="J274" s="4" t="n"/>
      <c r="K274" s="7">
        <f>IF(OR(B274="",B274&lt;&gt;الإيصال!$C$3),"",COUNTIF(B$2:B274,الإيصال!$C$3))</f>
        <v/>
      </c>
    </row>
    <row r="275">
      <c r="A275" s="6" t="n"/>
      <c r="B275" s="4" t="n"/>
      <c r="C275" s="4" t="n"/>
      <c r="D275" s="4" t="n"/>
      <c r="E275">
        <f>IF(D275="","",IFERROR(INDEX(الأصناف!$B$2:$B$2000,MATCH(D275,الأصناف!$A$2:$A$2000,0)),"كود غير موجود"))</f>
        <v/>
      </c>
      <c r="F275" s="4" t="n"/>
      <c r="G275">
        <f>IF(D275="","",IFERROR(INDEX(الأصناف!$C$2:$C$2000,MATCH(D275,الأصناف!$A$2:$A$2000,0)),0))</f>
        <v/>
      </c>
      <c r="H275">
        <f>IF(D275="","",F275*G275)</f>
        <v/>
      </c>
      <c r="I275">
        <f>IF(D275="","",H275-F275*IFERROR(INDEX(الأصناف!$D$2:$D$2000,MATCH(D275,الأصناف!$A$2:$A$2000,0)),0))</f>
        <v/>
      </c>
      <c r="J275" s="4" t="n"/>
      <c r="K275" s="7">
        <f>IF(OR(B275="",B275&lt;&gt;الإيصال!$C$3),"",COUNTIF(B$2:B275,الإيصال!$C$3))</f>
        <v/>
      </c>
    </row>
    <row r="276">
      <c r="A276" s="6" t="n"/>
      <c r="B276" s="4" t="n"/>
      <c r="C276" s="4" t="n"/>
      <c r="D276" s="4" t="n"/>
      <c r="E276">
        <f>IF(D276="","",IFERROR(INDEX(الأصناف!$B$2:$B$2000,MATCH(D276,الأصناف!$A$2:$A$2000,0)),"كود غير موجود"))</f>
        <v/>
      </c>
      <c r="F276" s="4" t="n"/>
      <c r="G276">
        <f>IF(D276="","",IFERROR(INDEX(الأصناف!$C$2:$C$2000,MATCH(D276,الأصناف!$A$2:$A$2000,0)),0))</f>
        <v/>
      </c>
      <c r="H276">
        <f>IF(D276="","",F276*G276)</f>
        <v/>
      </c>
      <c r="I276">
        <f>IF(D276="","",H276-F276*IFERROR(INDEX(الأصناف!$D$2:$D$2000,MATCH(D276,الأصناف!$A$2:$A$2000,0)),0))</f>
        <v/>
      </c>
      <c r="J276" s="4" t="n"/>
      <c r="K276" s="7">
        <f>IF(OR(B276="",B276&lt;&gt;الإيصال!$C$3),"",COUNTIF(B$2:B276,الإيصال!$C$3))</f>
        <v/>
      </c>
    </row>
    <row r="277">
      <c r="A277" s="6" t="n"/>
      <c r="B277" s="4" t="n"/>
      <c r="C277" s="4" t="n"/>
      <c r="D277" s="4" t="n"/>
      <c r="E277">
        <f>IF(D277="","",IFERROR(INDEX(الأصناف!$B$2:$B$2000,MATCH(D277,الأصناف!$A$2:$A$2000,0)),"كود غير موجود"))</f>
        <v/>
      </c>
      <c r="F277" s="4" t="n"/>
      <c r="G277">
        <f>IF(D277="","",IFERROR(INDEX(الأصناف!$C$2:$C$2000,MATCH(D277,الأصناف!$A$2:$A$2000,0)),0))</f>
        <v/>
      </c>
      <c r="H277">
        <f>IF(D277="","",F277*G277)</f>
        <v/>
      </c>
      <c r="I277">
        <f>IF(D277="","",H277-F277*IFERROR(INDEX(الأصناف!$D$2:$D$2000,MATCH(D277,الأصناف!$A$2:$A$2000,0)),0))</f>
        <v/>
      </c>
      <c r="J277" s="4" t="n"/>
      <c r="K277" s="7">
        <f>IF(OR(B277="",B277&lt;&gt;الإيصال!$C$3),"",COUNTIF(B$2:B277,الإيصال!$C$3))</f>
        <v/>
      </c>
    </row>
    <row r="278">
      <c r="A278" s="6" t="n"/>
      <c r="B278" s="4" t="n"/>
      <c r="C278" s="4" t="n"/>
      <c r="D278" s="4" t="n"/>
      <c r="E278">
        <f>IF(D278="","",IFERROR(INDEX(الأصناف!$B$2:$B$2000,MATCH(D278,الأصناف!$A$2:$A$2000,0)),"كود غير موجود"))</f>
        <v/>
      </c>
      <c r="F278" s="4" t="n"/>
      <c r="G278">
        <f>IF(D278="","",IFERROR(INDEX(الأصناف!$C$2:$C$2000,MATCH(D278,الأصناف!$A$2:$A$2000,0)),0))</f>
        <v/>
      </c>
      <c r="H278">
        <f>IF(D278="","",F278*G278)</f>
        <v/>
      </c>
      <c r="I278">
        <f>IF(D278="","",H278-F278*IFERROR(INDEX(الأصناف!$D$2:$D$2000,MATCH(D278,الأصناف!$A$2:$A$2000,0)),0))</f>
        <v/>
      </c>
      <c r="J278" s="4" t="n"/>
      <c r="K278" s="7">
        <f>IF(OR(B278="",B278&lt;&gt;الإيصال!$C$3),"",COUNTIF(B$2:B278,الإيصال!$C$3))</f>
        <v/>
      </c>
    </row>
    <row r="279">
      <c r="A279" s="6" t="n"/>
      <c r="B279" s="4" t="n"/>
      <c r="C279" s="4" t="n"/>
      <c r="D279" s="4" t="n"/>
      <c r="E279">
        <f>IF(D279="","",IFERROR(INDEX(الأصناف!$B$2:$B$2000,MATCH(D279,الأصناف!$A$2:$A$2000,0)),"كود غير موجود"))</f>
        <v/>
      </c>
      <c r="F279" s="4" t="n"/>
      <c r="G279">
        <f>IF(D279="","",IFERROR(INDEX(الأصناف!$C$2:$C$2000,MATCH(D279,الأصناف!$A$2:$A$2000,0)),0))</f>
        <v/>
      </c>
      <c r="H279">
        <f>IF(D279="","",F279*G279)</f>
        <v/>
      </c>
      <c r="I279">
        <f>IF(D279="","",H279-F279*IFERROR(INDEX(الأصناف!$D$2:$D$2000,MATCH(D279,الأصناف!$A$2:$A$2000,0)),0))</f>
        <v/>
      </c>
      <c r="J279" s="4" t="n"/>
      <c r="K279" s="7">
        <f>IF(OR(B279="",B279&lt;&gt;الإيصال!$C$3),"",COUNTIF(B$2:B279,الإيصال!$C$3))</f>
        <v/>
      </c>
    </row>
    <row r="280">
      <c r="A280" s="6" t="n"/>
      <c r="B280" s="4" t="n"/>
      <c r="C280" s="4" t="n"/>
      <c r="D280" s="4" t="n"/>
      <c r="E280">
        <f>IF(D280="","",IFERROR(INDEX(الأصناف!$B$2:$B$2000,MATCH(D280,الأصناف!$A$2:$A$2000,0)),"كود غير موجود"))</f>
        <v/>
      </c>
      <c r="F280" s="4" t="n"/>
      <c r="G280">
        <f>IF(D280="","",IFERROR(INDEX(الأصناف!$C$2:$C$2000,MATCH(D280,الأصناف!$A$2:$A$2000,0)),0))</f>
        <v/>
      </c>
      <c r="H280">
        <f>IF(D280="","",F280*G280)</f>
        <v/>
      </c>
      <c r="I280">
        <f>IF(D280="","",H280-F280*IFERROR(INDEX(الأصناف!$D$2:$D$2000,MATCH(D280,الأصناف!$A$2:$A$2000,0)),0))</f>
        <v/>
      </c>
      <c r="J280" s="4" t="n"/>
      <c r="K280" s="7">
        <f>IF(OR(B280="",B280&lt;&gt;الإيصال!$C$3),"",COUNTIF(B$2:B280,الإيصال!$C$3))</f>
        <v/>
      </c>
    </row>
    <row r="281">
      <c r="A281" s="6" t="n"/>
      <c r="B281" s="4" t="n"/>
      <c r="C281" s="4" t="n"/>
      <c r="D281" s="4" t="n"/>
      <c r="E281">
        <f>IF(D281="","",IFERROR(INDEX(الأصناف!$B$2:$B$2000,MATCH(D281,الأصناف!$A$2:$A$2000,0)),"كود غير موجود"))</f>
        <v/>
      </c>
      <c r="F281" s="4" t="n"/>
      <c r="G281">
        <f>IF(D281="","",IFERROR(INDEX(الأصناف!$C$2:$C$2000,MATCH(D281,الأصناف!$A$2:$A$2000,0)),0))</f>
        <v/>
      </c>
      <c r="H281">
        <f>IF(D281="","",F281*G281)</f>
        <v/>
      </c>
      <c r="I281">
        <f>IF(D281="","",H281-F281*IFERROR(INDEX(الأصناف!$D$2:$D$2000,MATCH(D281,الأصناف!$A$2:$A$2000,0)),0))</f>
        <v/>
      </c>
      <c r="J281" s="4" t="n"/>
      <c r="K281" s="7">
        <f>IF(OR(B281="",B281&lt;&gt;الإيصال!$C$3),"",COUNTIF(B$2:B281,الإيصال!$C$3))</f>
        <v/>
      </c>
    </row>
    <row r="282">
      <c r="A282" s="6" t="n"/>
      <c r="B282" s="4" t="n"/>
      <c r="C282" s="4" t="n"/>
      <c r="D282" s="4" t="n"/>
      <c r="E282">
        <f>IF(D282="","",IFERROR(INDEX(الأصناف!$B$2:$B$2000,MATCH(D282,الأصناف!$A$2:$A$2000,0)),"كود غير موجود"))</f>
        <v/>
      </c>
      <c r="F282" s="4" t="n"/>
      <c r="G282">
        <f>IF(D282="","",IFERROR(INDEX(الأصناف!$C$2:$C$2000,MATCH(D282,الأصناف!$A$2:$A$2000,0)),0))</f>
        <v/>
      </c>
      <c r="H282">
        <f>IF(D282="","",F282*G282)</f>
        <v/>
      </c>
      <c r="I282">
        <f>IF(D282="","",H282-F282*IFERROR(INDEX(الأصناف!$D$2:$D$2000,MATCH(D282,الأصناف!$A$2:$A$2000,0)),0))</f>
        <v/>
      </c>
      <c r="J282" s="4" t="n"/>
      <c r="K282" s="7">
        <f>IF(OR(B282="",B282&lt;&gt;الإيصال!$C$3),"",COUNTIF(B$2:B282,الإيصال!$C$3))</f>
        <v/>
      </c>
    </row>
    <row r="283">
      <c r="A283" s="6" t="n"/>
      <c r="B283" s="4" t="n"/>
      <c r="C283" s="4" t="n"/>
      <c r="D283" s="4" t="n"/>
      <c r="E283">
        <f>IF(D283="","",IFERROR(INDEX(الأصناف!$B$2:$B$2000,MATCH(D283,الأصناف!$A$2:$A$2000,0)),"كود غير موجود"))</f>
        <v/>
      </c>
      <c r="F283" s="4" t="n"/>
      <c r="G283">
        <f>IF(D283="","",IFERROR(INDEX(الأصناف!$C$2:$C$2000,MATCH(D283,الأصناف!$A$2:$A$2000,0)),0))</f>
        <v/>
      </c>
      <c r="H283">
        <f>IF(D283="","",F283*G283)</f>
        <v/>
      </c>
      <c r="I283">
        <f>IF(D283="","",H283-F283*IFERROR(INDEX(الأصناف!$D$2:$D$2000,MATCH(D283,الأصناف!$A$2:$A$2000,0)),0))</f>
        <v/>
      </c>
      <c r="J283" s="4" t="n"/>
      <c r="K283" s="7">
        <f>IF(OR(B283="",B283&lt;&gt;الإيصال!$C$3),"",COUNTIF(B$2:B283,الإيصال!$C$3))</f>
        <v/>
      </c>
    </row>
    <row r="284">
      <c r="A284" s="6" t="n"/>
      <c r="B284" s="4" t="n"/>
      <c r="C284" s="4" t="n"/>
      <c r="D284" s="4" t="n"/>
      <c r="E284">
        <f>IF(D284="","",IFERROR(INDEX(الأصناف!$B$2:$B$2000,MATCH(D284,الأصناف!$A$2:$A$2000,0)),"كود غير موجود"))</f>
        <v/>
      </c>
      <c r="F284" s="4" t="n"/>
      <c r="G284">
        <f>IF(D284="","",IFERROR(INDEX(الأصناف!$C$2:$C$2000,MATCH(D284,الأصناف!$A$2:$A$2000,0)),0))</f>
        <v/>
      </c>
      <c r="H284">
        <f>IF(D284="","",F284*G284)</f>
        <v/>
      </c>
      <c r="I284">
        <f>IF(D284="","",H284-F284*IFERROR(INDEX(الأصناف!$D$2:$D$2000,MATCH(D284,الأصناف!$A$2:$A$2000,0)),0))</f>
        <v/>
      </c>
      <c r="J284" s="4" t="n"/>
      <c r="K284" s="7">
        <f>IF(OR(B284="",B284&lt;&gt;الإيصال!$C$3),"",COUNTIF(B$2:B284,الإيصال!$C$3))</f>
        <v/>
      </c>
    </row>
    <row r="285">
      <c r="A285" s="6" t="n"/>
      <c r="B285" s="4" t="n"/>
      <c r="C285" s="4" t="n"/>
      <c r="D285" s="4" t="n"/>
      <c r="E285">
        <f>IF(D285="","",IFERROR(INDEX(الأصناف!$B$2:$B$2000,MATCH(D285,الأصناف!$A$2:$A$2000,0)),"كود غير موجود"))</f>
        <v/>
      </c>
      <c r="F285" s="4" t="n"/>
      <c r="G285">
        <f>IF(D285="","",IFERROR(INDEX(الأصناف!$C$2:$C$2000,MATCH(D285,الأصناف!$A$2:$A$2000,0)),0))</f>
        <v/>
      </c>
      <c r="H285">
        <f>IF(D285="","",F285*G285)</f>
        <v/>
      </c>
      <c r="I285">
        <f>IF(D285="","",H285-F285*IFERROR(INDEX(الأصناف!$D$2:$D$2000,MATCH(D285,الأصناف!$A$2:$A$2000,0)),0))</f>
        <v/>
      </c>
      <c r="J285" s="4" t="n"/>
      <c r="K285" s="7">
        <f>IF(OR(B285="",B285&lt;&gt;الإيصال!$C$3),"",COUNTIF(B$2:B285,الإيصال!$C$3))</f>
        <v/>
      </c>
    </row>
    <row r="286">
      <c r="A286" s="6" t="n"/>
      <c r="B286" s="4" t="n"/>
      <c r="C286" s="4" t="n"/>
      <c r="D286" s="4" t="n"/>
      <c r="E286">
        <f>IF(D286="","",IFERROR(INDEX(الأصناف!$B$2:$B$2000,MATCH(D286,الأصناف!$A$2:$A$2000,0)),"كود غير موجود"))</f>
        <v/>
      </c>
      <c r="F286" s="4" t="n"/>
      <c r="G286">
        <f>IF(D286="","",IFERROR(INDEX(الأصناف!$C$2:$C$2000,MATCH(D286,الأصناف!$A$2:$A$2000,0)),0))</f>
        <v/>
      </c>
      <c r="H286">
        <f>IF(D286="","",F286*G286)</f>
        <v/>
      </c>
      <c r="I286">
        <f>IF(D286="","",H286-F286*IFERROR(INDEX(الأصناف!$D$2:$D$2000,MATCH(D286,الأصناف!$A$2:$A$2000,0)),0))</f>
        <v/>
      </c>
      <c r="J286" s="4" t="n"/>
      <c r="K286" s="7">
        <f>IF(OR(B286="",B286&lt;&gt;الإيصال!$C$3),"",COUNTIF(B$2:B286,الإيصال!$C$3))</f>
        <v/>
      </c>
    </row>
    <row r="287">
      <c r="A287" s="6" t="n"/>
      <c r="B287" s="4" t="n"/>
      <c r="C287" s="4" t="n"/>
      <c r="D287" s="4" t="n"/>
      <c r="E287">
        <f>IF(D287="","",IFERROR(INDEX(الأصناف!$B$2:$B$2000,MATCH(D287,الأصناف!$A$2:$A$2000,0)),"كود غير موجود"))</f>
        <v/>
      </c>
      <c r="F287" s="4" t="n"/>
      <c r="G287">
        <f>IF(D287="","",IFERROR(INDEX(الأصناف!$C$2:$C$2000,MATCH(D287,الأصناف!$A$2:$A$2000,0)),0))</f>
        <v/>
      </c>
      <c r="H287">
        <f>IF(D287="","",F287*G287)</f>
        <v/>
      </c>
      <c r="I287">
        <f>IF(D287="","",H287-F287*IFERROR(INDEX(الأصناف!$D$2:$D$2000,MATCH(D287,الأصناف!$A$2:$A$2000,0)),0))</f>
        <v/>
      </c>
      <c r="J287" s="4" t="n"/>
      <c r="K287" s="7">
        <f>IF(OR(B287="",B287&lt;&gt;الإيصال!$C$3),"",COUNTIF(B$2:B287,الإيصال!$C$3))</f>
        <v/>
      </c>
    </row>
    <row r="288">
      <c r="A288" s="6" t="n"/>
      <c r="B288" s="4" t="n"/>
      <c r="C288" s="4" t="n"/>
      <c r="D288" s="4" t="n"/>
      <c r="E288">
        <f>IF(D288="","",IFERROR(INDEX(الأصناف!$B$2:$B$2000,MATCH(D288,الأصناف!$A$2:$A$2000,0)),"كود غير موجود"))</f>
        <v/>
      </c>
      <c r="F288" s="4" t="n"/>
      <c r="G288">
        <f>IF(D288="","",IFERROR(INDEX(الأصناف!$C$2:$C$2000,MATCH(D288,الأصناف!$A$2:$A$2000,0)),0))</f>
        <v/>
      </c>
      <c r="H288">
        <f>IF(D288="","",F288*G288)</f>
        <v/>
      </c>
      <c r="I288">
        <f>IF(D288="","",H288-F288*IFERROR(INDEX(الأصناف!$D$2:$D$2000,MATCH(D288,الأصناف!$A$2:$A$2000,0)),0))</f>
        <v/>
      </c>
      <c r="J288" s="4" t="n"/>
      <c r="K288" s="7">
        <f>IF(OR(B288="",B288&lt;&gt;الإيصال!$C$3),"",COUNTIF(B$2:B288,الإيصال!$C$3))</f>
        <v/>
      </c>
    </row>
    <row r="289">
      <c r="A289" s="6" t="n"/>
      <c r="B289" s="4" t="n"/>
      <c r="C289" s="4" t="n"/>
      <c r="D289" s="4" t="n"/>
      <c r="E289">
        <f>IF(D289="","",IFERROR(INDEX(الأصناف!$B$2:$B$2000,MATCH(D289,الأصناف!$A$2:$A$2000,0)),"كود غير موجود"))</f>
        <v/>
      </c>
      <c r="F289" s="4" t="n"/>
      <c r="G289">
        <f>IF(D289="","",IFERROR(INDEX(الأصناف!$C$2:$C$2000,MATCH(D289,الأصناف!$A$2:$A$2000,0)),0))</f>
        <v/>
      </c>
      <c r="H289">
        <f>IF(D289="","",F289*G289)</f>
        <v/>
      </c>
      <c r="I289">
        <f>IF(D289="","",H289-F289*IFERROR(INDEX(الأصناف!$D$2:$D$2000,MATCH(D289,الأصناف!$A$2:$A$2000,0)),0))</f>
        <v/>
      </c>
      <c r="J289" s="4" t="n"/>
      <c r="K289" s="7">
        <f>IF(OR(B289="",B289&lt;&gt;الإيصال!$C$3),"",COUNTIF(B$2:B289,الإيصال!$C$3))</f>
        <v/>
      </c>
    </row>
    <row r="290">
      <c r="A290" s="6" t="n"/>
      <c r="B290" s="4" t="n"/>
      <c r="C290" s="4" t="n"/>
      <c r="D290" s="4" t="n"/>
      <c r="E290">
        <f>IF(D290="","",IFERROR(INDEX(الأصناف!$B$2:$B$2000,MATCH(D290,الأصناف!$A$2:$A$2000,0)),"كود غير موجود"))</f>
        <v/>
      </c>
      <c r="F290" s="4" t="n"/>
      <c r="G290">
        <f>IF(D290="","",IFERROR(INDEX(الأصناف!$C$2:$C$2000,MATCH(D290,الأصناف!$A$2:$A$2000,0)),0))</f>
        <v/>
      </c>
      <c r="H290">
        <f>IF(D290="","",F290*G290)</f>
        <v/>
      </c>
      <c r="I290">
        <f>IF(D290="","",H290-F290*IFERROR(INDEX(الأصناف!$D$2:$D$2000,MATCH(D290,الأصناف!$A$2:$A$2000,0)),0))</f>
        <v/>
      </c>
      <c r="J290" s="4" t="n"/>
      <c r="K290" s="7">
        <f>IF(OR(B290="",B290&lt;&gt;الإيصال!$C$3),"",COUNTIF(B$2:B290,الإيصال!$C$3))</f>
        <v/>
      </c>
    </row>
    <row r="291">
      <c r="A291" s="6" t="n"/>
      <c r="B291" s="4" t="n"/>
      <c r="C291" s="4" t="n"/>
      <c r="D291" s="4" t="n"/>
      <c r="E291">
        <f>IF(D291="","",IFERROR(INDEX(الأصناف!$B$2:$B$2000,MATCH(D291,الأصناف!$A$2:$A$2000,0)),"كود غير موجود"))</f>
        <v/>
      </c>
      <c r="F291" s="4" t="n"/>
      <c r="G291">
        <f>IF(D291="","",IFERROR(INDEX(الأصناف!$C$2:$C$2000,MATCH(D291,الأصناف!$A$2:$A$2000,0)),0))</f>
        <v/>
      </c>
      <c r="H291">
        <f>IF(D291="","",F291*G291)</f>
        <v/>
      </c>
      <c r="I291">
        <f>IF(D291="","",H291-F291*IFERROR(INDEX(الأصناف!$D$2:$D$2000,MATCH(D291,الأصناف!$A$2:$A$2000,0)),0))</f>
        <v/>
      </c>
      <c r="J291" s="4" t="n"/>
      <c r="K291" s="7">
        <f>IF(OR(B291="",B291&lt;&gt;الإيصال!$C$3),"",COUNTIF(B$2:B291,الإيصال!$C$3))</f>
        <v/>
      </c>
    </row>
    <row r="292">
      <c r="A292" s="6" t="n"/>
      <c r="B292" s="4" t="n"/>
      <c r="C292" s="4" t="n"/>
      <c r="D292" s="4" t="n"/>
      <c r="E292">
        <f>IF(D292="","",IFERROR(INDEX(الأصناف!$B$2:$B$2000,MATCH(D292,الأصناف!$A$2:$A$2000,0)),"كود غير موجود"))</f>
        <v/>
      </c>
      <c r="F292" s="4" t="n"/>
      <c r="G292">
        <f>IF(D292="","",IFERROR(INDEX(الأصناف!$C$2:$C$2000,MATCH(D292,الأصناف!$A$2:$A$2000,0)),0))</f>
        <v/>
      </c>
      <c r="H292">
        <f>IF(D292="","",F292*G292)</f>
        <v/>
      </c>
      <c r="I292">
        <f>IF(D292="","",H292-F292*IFERROR(INDEX(الأصناف!$D$2:$D$2000,MATCH(D292,الأصناف!$A$2:$A$2000,0)),0))</f>
        <v/>
      </c>
      <c r="J292" s="4" t="n"/>
      <c r="K292" s="7">
        <f>IF(OR(B292="",B292&lt;&gt;الإيصال!$C$3),"",COUNTIF(B$2:B292,الإيصال!$C$3))</f>
        <v/>
      </c>
    </row>
    <row r="293">
      <c r="A293" s="6" t="n"/>
      <c r="B293" s="4" t="n"/>
      <c r="C293" s="4" t="n"/>
      <c r="D293" s="4" t="n"/>
      <c r="E293">
        <f>IF(D293="","",IFERROR(INDEX(الأصناف!$B$2:$B$2000,MATCH(D293,الأصناف!$A$2:$A$2000,0)),"كود غير موجود"))</f>
        <v/>
      </c>
      <c r="F293" s="4" t="n"/>
      <c r="G293">
        <f>IF(D293="","",IFERROR(INDEX(الأصناف!$C$2:$C$2000,MATCH(D293,الأصناف!$A$2:$A$2000,0)),0))</f>
        <v/>
      </c>
      <c r="H293">
        <f>IF(D293="","",F293*G293)</f>
        <v/>
      </c>
      <c r="I293">
        <f>IF(D293="","",H293-F293*IFERROR(INDEX(الأصناف!$D$2:$D$2000,MATCH(D293,الأصناف!$A$2:$A$2000,0)),0))</f>
        <v/>
      </c>
      <c r="J293" s="4" t="n"/>
      <c r="K293" s="7">
        <f>IF(OR(B293="",B293&lt;&gt;الإيصال!$C$3),"",COUNTIF(B$2:B293,الإيصال!$C$3))</f>
        <v/>
      </c>
    </row>
    <row r="294">
      <c r="A294" s="6" t="n"/>
      <c r="B294" s="4" t="n"/>
      <c r="C294" s="4" t="n"/>
      <c r="D294" s="4" t="n"/>
      <c r="E294">
        <f>IF(D294="","",IFERROR(INDEX(الأصناف!$B$2:$B$2000,MATCH(D294,الأصناف!$A$2:$A$2000,0)),"كود غير موجود"))</f>
        <v/>
      </c>
      <c r="F294" s="4" t="n"/>
      <c r="G294">
        <f>IF(D294="","",IFERROR(INDEX(الأصناف!$C$2:$C$2000,MATCH(D294,الأصناف!$A$2:$A$2000,0)),0))</f>
        <v/>
      </c>
      <c r="H294">
        <f>IF(D294="","",F294*G294)</f>
        <v/>
      </c>
      <c r="I294">
        <f>IF(D294="","",H294-F294*IFERROR(INDEX(الأصناف!$D$2:$D$2000,MATCH(D294,الأصناف!$A$2:$A$2000,0)),0))</f>
        <v/>
      </c>
      <c r="J294" s="4" t="n"/>
      <c r="K294" s="7">
        <f>IF(OR(B294="",B294&lt;&gt;الإيصال!$C$3),"",COUNTIF(B$2:B294,الإيصال!$C$3))</f>
        <v/>
      </c>
    </row>
    <row r="295">
      <c r="A295" s="6" t="n"/>
      <c r="B295" s="4" t="n"/>
      <c r="C295" s="4" t="n"/>
      <c r="D295" s="4" t="n"/>
      <c r="E295">
        <f>IF(D295="","",IFERROR(INDEX(الأصناف!$B$2:$B$2000,MATCH(D295,الأصناف!$A$2:$A$2000,0)),"كود غير موجود"))</f>
        <v/>
      </c>
      <c r="F295" s="4" t="n"/>
      <c r="G295">
        <f>IF(D295="","",IFERROR(INDEX(الأصناف!$C$2:$C$2000,MATCH(D295,الأصناف!$A$2:$A$2000,0)),0))</f>
        <v/>
      </c>
      <c r="H295">
        <f>IF(D295="","",F295*G295)</f>
        <v/>
      </c>
      <c r="I295">
        <f>IF(D295="","",H295-F295*IFERROR(INDEX(الأصناف!$D$2:$D$2000,MATCH(D295,الأصناف!$A$2:$A$2000,0)),0))</f>
        <v/>
      </c>
      <c r="J295" s="4" t="n"/>
      <c r="K295" s="7">
        <f>IF(OR(B295="",B295&lt;&gt;الإيصال!$C$3),"",COUNTIF(B$2:B295,الإيصال!$C$3))</f>
        <v/>
      </c>
    </row>
    <row r="296">
      <c r="A296" s="6" t="n"/>
      <c r="B296" s="4" t="n"/>
      <c r="C296" s="4" t="n"/>
      <c r="D296" s="4" t="n"/>
      <c r="E296">
        <f>IF(D296="","",IFERROR(INDEX(الأصناف!$B$2:$B$2000,MATCH(D296,الأصناف!$A$2:$A$2000,0)),"كود غير موجود"))</f>
        <v/>
      </c>
      <c r="F296" s="4" t="n"/>
      <c r="G296">
        <f>IF(D296="","",IFERROR(INDEX(الأصناف!$C$2:$C$2000,MATCH(D296,الأصناف!$A$2:$A$2000,0)),0))</f>
        <v/>
      </c>
      <c r="H296">
        <f>IF(D296="","",F296*G296)</f>
        <v/>
      </c>
      <c r="I296">
        <f>IF(D296="","",H296-F296*IFERROR(INDEX(الأصناف!$D$2:$D$2000,MATCH(D296,الأصناف!$A$2:$A$2000,0)),0))</f>
        <v/>
      </c>
      <c r="J296" s="4" t="n"/>
      <c r="K296" s="7">
        <f>IF(OR(B296="",B296&lt;&gt;الإيصال!$C$3),"",COUNTIF(B$2:B296,الإيصال!$C$3))</f>
        <v/>
      </c>
    </row>
    <row r="297">
      <c r="A297" s="6" t="n"/>
      <c r="B297" s="4" t="n"/>
      <c r="C297" s="4" t="n"/>
      <c r="D297" s="4" t="n"/>
      <c r="E297">
        <f>IF(D297="","",IFERROR(INDEX(الأصناف!$B$2:$B$2000,MATCH(D297,الأصناف!$A$2:$A$2000,0)),"كود غير موجود"))</f>
        <v/>
      </c>
      <c r="F297" s="4" t="n"/>
      <c r="G297">
        <f>IF(D297="","",IFERROR(INDEX(الأصناف!$C$2:$C$2000,MATCH(D297,الأصناف!$A$2:$A$2000,0)),0))</f>
        <v/>
      </c>
      <c r="H297">
        <f>IF(D297="","",F297*G297)</f>
        <v/>
      </c>
      <c r="I297">
        <f>IF(D297="","",H297-F297*IFERROR(INDEX(الأصناف!$D$2:$D$2000,MATCH(D297,الأصناف!$A$2:$A$2000,0)),0))</f>
        <v/>
      </c>
      <c r="J297" s="4" t="n"/>
      <c r="K297" s="7">
        <f>IF(OR(B297="",B297&lt;&gt;الإيصال!$C$3),"",COUNTIF(B$2:B297,الإيصال!$C$3))</f>
        <v/>
      </c>
    </row>
    <row r="298">
      <c r="A298" s="6" t="n"/>
      <c r="B298" s="4" t="n"/>
      <c r="C298" s="4" t="n"/>
      <c r="D298" s="4" t="n"/>
      <c r="E298">
        <f>IF(D298="","",IFERROR(INDEX(الأصناف!$B$2:$B$2000,MATCH(D298,الأصناف!$A$2:$A$2000,0)),"كود غير موجود"))</f>
        <v/>
      </c>
      <c r="F298" s="4" t="n"/>
      <c r="G298">
        <f>IF(D298="","",IFERROR(INDEX(الأصناف!$C$2:$C$2000,MATCH(D298,الأصناف!$A$2:$A$2000,0)),0))</f>
        <v/>
      </c>
      <c r="H298">
        <f>IF(D298="","",F298*G298)</f>
        <v/>
      </c>
      <c r="I298">
        <f>IF(D298="","",H298-F298*IFERROR(INDEX(الأصناف!$D$2:$D$2000,MATCH(D298,الأصناف!$A$2:$A$2000,0)),0))</f>
        <v/>
      </c>
      <c r="J298" s="4" t="n"/>
      <c r="K298" s="7">
        <f>IF(OR(B298="",B298&lt;&gt;الإيصال!$C$3),"",COUNTIF(B$2:B298,الإيصال!$C$3))</f>
        <v/>
      </c>
    </row>
    <row r="299">
      <c r="A299" s="6" t="n"/>
      <c r="B299" s="4" t="n"/>
      <c r="C299" s="4" t="n"/>
      <c r="D299" s="4" t="n"/>
      <c r="E299">
        <f>IF(D299="","",IFERROR(INDEX(الأصناف!$B$2:$B$2000,MATCH(D299,الأصناف!$A$2:$A$2000,0)),"كود غير موجود"))</f>
        <v/>
      </c>
      <c r="F299" s="4" t="n"/>
      <c r="G299">
        <f>IF(D299="","",IFERROR(INDEX(الأصناف!$C$2:$C$2000,MATCH(D299,الأصناف!$A$2:$A$2000,0)),0))</f>
        <v/>
      </c>
      <c r="H299">
        <f>IF(D299="","",F299*G299)</f>
        <v/>
      </c>
      <c r="I299">
        <f>IF(D299="","",H299-F299*IFERROR(INDEX(الأصناف!$D$2:$D$2000,MATCH(D299,الأصناف!$A$2:$A$2000,0)),0))</f>
        <v/>
      </c>
      <c r="J299" s="4" t="n"/>
      <c r="K299" s="7">
        <f>IF(OR(B299="",B299&lt;&gt;الإيصال!$C$3),"",COUNTIF(B$2:B299,الإيصال!$C$3))</f>
        <v/>
      </c>
    </row>
    <row r="300">
      <c r="A300" s="6" t="n"/>
      <c r="B300" s="4" t="n"/>
      <c r="C300" s="4" t="n"/>
      <c r="D300" s="4" t="n"/>
      <c r="E300">
        <f>IF(D300="","",IFERROR(INDEX(الأصناف!$B$2:$B$2000,MATCH(D300,الأصناف!$A$2:$A$2000,0)),"كود غير موجود"))</f>
        <v/>
      </c>
      <c r="F300" s="4" t="n"/>
      <c r="G300">
        <f>IF(D300="","",IFERROR(INDEX(الأصناف!$C$2:$C$2000,MATCH(D300,الأصناف!$A$2:$A$2000,0)),0))</f>
        <v/>
      </c>
      <c r="H300">
        <f>IF(D300="","",F300*G300)</f>
        <v/>
      </c>
      <c r="I300">
        <f>IF(D300="","",H300-F300*IFERROR(INDEX(الأصناف!$D$2:$D$2000,MATCH(D300,الأصناف!$A$2:$A$2000,0)),0))</f>
        <v/>
      </c>
      <c r="J300" s="4" t="n"/>
      <c r="K300" s="7">
        <f>IF(OR(B300="",B300&lt;&gt;الإيصال!$C$3),"",COUNTIF(B$2:B300,الإيصال!$C$3))</f>
        <v/>
      </c>
    </row>
    <row r="301">
      <c r="A301" s="6" t="n"/>
      <c r="B301" s="4" t="n"/>
      <c r="C301" s="4" t="n"/>
      <c r="D301" s="4" t="n"/>
      <c r="E301">
        <f>IF(D301="","",IFERROR(INDEX(الأصناف!$B$2:$B$2000,MATCH(D301,الأصناف!$A$2:$A$2000,0)),"كود غير موجود"))</f>
        <v/>
      </c>
      <c r="F301" s="4" t="n"/>
      <c r="G301">
        <f>IF(D301="","",IFERROR(INDEX(الأصناف!$C$2:$C$2000,MATCH(D301,الأصناف!$A$2:$A$2000,0)),0))</f>
        <v/>
      </c>
      <c r="H301">
        <f>IF(D301="","",F301*G301)</f>
        <v/>
      </c>
      <c r="I301">
        <f>IF(D301="","",H301-F301*IFERROR(INDEX(الأصناف!$D$2:$D$2000,MATCH(D301,الأصناف!$A$2:$A$2000,0)),0))</f>
        <v/>
      </c>
      <c r="J301" s="4" t="n"/>
      <c r="K301" s="7">
        <f>IF(OR(B301="",B301&lt;&gt;الإيصال!$C$3),"",COUNTIF(B$2:B301,الإيصال!$C$3))</f>
        <v/>
      </c>
    </row>
    <row r="302">
      <c r="A302" s="6" t="n"/>
      <c r="B302" s="4" t="n"/>
      <c r="C302" s="4" t="n"/>
      <c r="D302" s="4" t="n"/>
      <c r="E302">
        <f>IF(D302="","",IFERROR(INDEX(الأصناف!$B$2:$B$2000,MATCH(D302,الأصناف!$A$2:$A$2000,0)),"كود غير موجود"))</f>
        <v/>
      </c>
      <c r="F302" s="4" t="n"/>
      <c r="G302">
        <f>IF(D302="","",IFERROR(INDEX(الأصناف!$C$2:$C$2000,MATCH(D302,الأصناف!$A$2:$A$2000,0)),0))</f>
        <v/>
      </c>
      <c r="H302">
        <f>IF(D302="","",F302*G302)</f>
        <v/>
      </c>
      <c r="I302">
        <f>IF(D302="","",H302-F302*IFERROR(INDEX(الأصناف!$D$2:$D$2000,MATCH(D302,الأصناف!$A$2:$A$2000,0)),0))</f>
        <v/>
      </c>
      <c r="J302" s="4" t="n"/>
      <c r="K302" s="7">
        <f>IF(OR(B302="",B302&lt;&gt;الإيصال!$C$3),"",COUNTIF(B$2:B302,الإيصال!$C$3))</f>
        <v/>
      </c>
    </row>
    <row r="303">
      <c r="A303" s="6" t="n"/>
      <c r="B303" s="4" t="n"/>
      <c r="C303" s="4" t="n"/>
      <c r="D303" s="4" t="n"/>
      <c r="E303">
        <f>IF(D303="","",IFERROR(INDEX(الأصناف!$B$2:$B$2000,MATCH(D303,الأصناف!$A$2:$A$2000,0)),"كود غير موجود"))</f>
        <v/>
      </c>
      <c r="F303" s="4" t="n"/>
      <c r="G303">
        <f>IF(D303="","",IFERROR(INDEX(الأصناف!$C$2:$C$2000,MATCH(D303,الأصناف!$A$2:$A$2000,0)),0))</f>
        <v/>
      </c>
      <c r="H303">
        <f>IF(D303="","",F303*G303)</f>
        <v/>
      </c>
      <c r="I303">
        <f>IF(D303="","",H303-F303*IFERROR(INDEX(الأصناف!$D$2:$D$2000,MATCH(D303,الأصناف!$A$2:$A$2000,0)),0))</f>
        <v/>
      </c>
      <c r="J303" s="4" t="n"/>
      <c r="K303" s="7">
        <f>IF(OR(B303="",B303&lt;&gt;الإيصال!$C$3),"",COUNTIF(B$2:B303,الإيصال!$C$3))</f>
        <v/>
      </c>
    </row>
    <row r="304">
      <c r="A304" s="6" t="n"/>
      <c r="B304" s="4" t="n"/>
      <c r="C304" s="4" t="n"/>
      <c r="D304" s="4" t="n"/>
      <c r="E304">
        <f>IF(D304="","",IFERROR(INDEX(الأصناف!$B$2:$B$2000,MATCH(D304,الأصناف!$A$2:$A$2000,0)),"كود غير موجود"))</f>
        <v/>
      </c>
      <c r="F304" s="4" t="n"/>
      <c r="G304">
        <f>IF(D304="","",IFERROR(INDEX(الأصناف!$C$2:$C$2000,MATCH(D304,الأصناف!$A$2:$A$2000,0)),0))</f>
        <v/>
      </c>
      <c r="H304">
        <f>IF(D304="","",F304*G304)</f>
        <v/>
      </c>
      <c r="I304">
        <f>IF(D304="","",H304-F304*IFERROR(INDEX(الأصناف!$D$2:$D$2000,MATCH(D304,الأصناف!$A$2:$A$2000,0)),0))</f>
        <v/>
      </c>
      <c r="J304" s="4" t="n"/>
      <c r="K304" s="7">
        <f>IF(OR(B304="",B304&lt;&gt;الإيصال!$C$3),"",COUNTIF(B$2:B304,الإيصال!$C$3))</f>
        <v/>
      </c>
    </row>
    <row r="305">
      <c r="A305" s="6" t="n"/>
      <c r="B305" s="4" t="n"/>
      <c r="C305" s="4" t="n"/>
      <c r="D305" s="4" t="n"/>
      <c r="E305">
        <f>IF(D305="","",IFERROR(INDEX(الأصناف!$B$2:$B$2000,MATCH(D305,الأصناف!$A$2:$A$2000,0)),"كود غير موجود"))</f>
        <v/>
      </c>
      <c r="F305" s="4" t="n"/>
      <c r="G305">
        <f>IF(D305="","",IFERROR(INDEX(الأصناف!$C$2:$C$2000,MATCH(D305,الأصناف!$A$2:$A$2000,0)),0))</f>
        <v/>
      </c>
      <c r="H305">
        <f>IF(D305="","",F305*G305)</f>
        <v/>
      </c>
      <c r="I305">
        <f>IF(D305="","",H305-F305*IFERROR(INDEX(الأصناف!$D$2:$D$2000,MATCH(D305,الأصناف!$A$2:$A$2000,0)),0))</f>
        <v/>
      </c>
      <c r="J305" s="4" t="n"/>
      <c r="K305" s="7">
        <f>IF(OR(B305="",B305&lt;&gt;الإيصال!$C$3),"",COUNTIF(B$2:B305,الإيصال!$C$3))</f>
        <v/>
      </c>
    </row>
    <row r="306">
      <c r="A306" s="6" t="n"/>
      <c r="B306" s="4" t="n"/>
      <c r="C306" s="4" t="n"/>
      <c r="D306" s="4" t="n"/>
      <c r="E306">
        <f>IF(D306="","",IFERROR(INDEX(الأصناف!$B$2:$B$2000,MATCH(D306,الأصناف!$A$2:$A$2000,0)),"كود غير موجود"))</f>
        <v/>
      </c>
      <c r="F306" s="4" t="n"/>
      <c r="G306">
        <f>IF(D306="","",IFERROR(INDEX(الأصناف!$C$2:$C$2000,MATCH(D306,الأصناف!$A$2:$A$2000,0)),0))</f>
        <v/>
      </c>
      <c r="H306">
        <f>IF(D306="","",F306*G306)</f>
        <v/>
      </c>
      <c r="I306">
        <f>IF(D306="","",H306-F306*IFERROR(INDEX(الأصناف!$D$2:$D$2000,MATCH(D306,الأصناف!$A$2:$A$2000,0)),0))</f>
        <v/>
      </c>
      <c r="J306" s="4" t="n"/>
      <c r="K306" s="7">
        <f>IF(OR(B306="",B306&lt;&gt;الإيصال!$C$3),"",COUNTIF(B$2:B306,الإيصال!$C$3))</f>
        <v/>
      </c>
    </row>
    <row r="307">
      <c r="A307" s="6" t="n"/>
      <c r="B307" s="4" t="n"/>
      <c r="C307" s="4" t="n"/>
      <c r="D307" s="4" t="n"/>
      <c r="E307">
        <f>IF(D307="","",IFERROR(INDEX(الأصناف!$B$2:$B$2000,MATCH(D307,الأصناف!$A$2:$A$2000,0)),"كود غير موجود"))</f>
        <v/>
      </c>
      <c r="F307" s="4" t="n"/>
      <c r="G307">
        <f>IF(D307="","",IFERROR(INDEX(الأصناف!$C$2:$C$2000,MATCH(D307,الأصناف!$A$2:$A$2000,0)),0))</f>
        <v/>
      </c>
      <c r="H307">
        <f>IF(D307="","",F307*G307)</f>
        <v/>
      </c>
      <c r="I307">
        <f>IF(D307="","",H307-F307*IFERROR(INDEX(الأصناف!$D$2:$D$2000,MATCH(D307,الأصناف!$A$2:$A$2000,0)),0))</f>
        <v/>
      </c>
      <c r="J307" s="4" t="n"/>
      <c r="K307" s="7">
        <f>IF(OR(B307="",B307&lt;&gt;الإيصال!$C$3),"",COUNTIF(B$2:B307,الإيصال!$C$3))</f>
        <v/>
      </c>
    </row>
    <row r="308">
      <c r="A308" s="6" t="n"/>
      <c r="B308" s="4" t="n"/>
      <c r="C308" s="4" t="n"/>
      <c r="D308" s="4" t="n"/>
      <c r="E308">
        <f>IF(D308="","",IFERROR(INDEX(الأصناف!$B$2:$B$2000,MATCH(D308,الأصناف!$A$2:$A$2000,0)),"كود غير موجود"))</f>
        <v/>
      </c>
      <c r="F308" s="4" t="n"/>
      <c r="G308">
        <f>IF(D308="","",IFERROR(INDEX(الأصناف!$C$2:$C$2000,MATCH(D308,الأصناف!$A$2:$A$2000,0)),0))</f>
        <v/>
      </c>
      <c r="H308">
        <f>IF(D308="","",F308*G308)</f>
        <v/>
      </c>
      <c r="I308">
        <f>IF(D308="","",H308-F308*IFERROR(INDEX(الأصناف!$D$2:$D$2000,MATCH(D308,الأصناف!$A$2:$A$2000,0)),0))</f>
        <v/>
      </c>
      <c r="J308" s="4" t="n"/>
      <c r="K308" s="7">
        <f>IF(OR(B308="",B308&lt;&gt;الإيصال!$C$3),"",COUNTIF(B$2:B308,الإيصال!$C$3))</f>
        <v/>
      </c>
    </row>
    <row r="309">
      <c r="A309" s="6" t="n"/>
      <c r="B309" s="4" t="n"/>
      <c r="C309" s="4" t="n"/>
      <c r="D309" s="4" t="n"/>
      <c r="E309">
        <f>IF(D309="","",IFERROR(INDEX(الأصناف!$B$2:$B$2000,MATCH(D309,الأصناف!$A$2:$A$2000,0)),"كود غير موجود"))</f>
        <v/>
      </c>
      <c r="F309" s="4" t="n"/>
      <c r="G309">
        <f>IF(D309="","",IFERROR(INDEX(الأصناف!$C$2:$C$2000,MATCH(D309,الأصناف!$A$2:$A$2000,0)),0))</f>
        <v/>
      </c>
      <c r="H309">
        <f>IF(D309="","",F309*G309)</f>
        <v/>
      </c>
      <c r="I309">
        <f>IF(D309="","",H309-F309*IFERROR(INDEX(الأصناف!$D$2:$D$2000,MATCH(D309,الأصناف!$A$2:$A$2000,0)),0))</f>
        <v/>
      </c>
      <c r="J309" s="4" t="n"/>
      <c r="K309" s="7">
        <f>IF(OR(B309="",B309&lt;&gt;الإيصال!$C$3),"",COUNTIF(B$2:B309,الإيصال!$C$3))</f>
        <v/>
      </c>
    </row>
    <row r="310">
      <c r="A310" s="6" t="n"/>
      <c r="B310" s="4" t="n"/>
      <c r="C310" s="4" t="n"/>
      <c r="D310" s="4" t="n"/>
      <c r="E310">
        <f>IF(D310="","",IFERROR(INDEX(الأصناف!$B$2:$B$2000,MATCH(D310,الأصناف!$A$2:$A$2000,0)),"كود غير موجود"))</f>
        <v/>
      </c>
      <c r="F310" s="4" t="n"/>
      <c r="G310">
        <f>IF(D310="","",IFERROR(INDEX(الأصناف!$C$2:$C$2000,MATCH(D310,الأصناف!$A$2:$A$2000,0)),0))</f>
        <v/>
      </c>
      <c r="H310">
        <f>IF(D310="","",F310*G310)</f>
        <v/>
      </c>
      <c r="I310">
        <f>IF(D310="","",H310-F310*IFERROR(INDEX(الأصناف!$D$2:$D$2000,MATCH(D310,الأصناف!$A$2:$A$2000,0)),0))</f>
        <v/>
      </c>
      <c r="J310" s="4" t="n"/>
      <c r="K310" s="7">
        <f>IF(OR(B310="",B310&lt;&gt;الإيصال!$C$3),"",COUNTIF(B$2:B310,الإيصال!$C$3))</f>
        <v/>
      </c>
    </row>
    <row r="311">
      <c r="A311" s="6" t="n"/>
      <c r="B311" s="4" t="n"/>
      <c r="C311" s="4" t="n"/>
      <c r="D311" s="4" t="n"/>
      <c r="E311">
        <f>IF(D311="","",IFERROR(INDEX(الأصناف!$B$2:$B$2000,MATCH(D311,الأصناف!$A$2:$A$2000,0)),"كود غير موجود"))</f>
        <v/>
      </c>
      <c r="F311" s="4" t="n"/>
      <c r="G311">
        <f>IF(D311="","",IFERROR(INDEX(الأصناف!$C$2:$C$2000,MATCH(D311,الأصناف!$A$2:$A$2000,0)),0))</f>
        <v/>
      </c>
      <c r="H311">
        <f>IF(D311="","",F311*G311)</f>
        <v/>
      </c>
      <c r="I311">
        <f>IF(D311="","",H311-F311*IFERROR(INDEX(الأصناف!$D$2:$D$2000,MATCH(D311,الأصناف!$A$2:$A$2000,0)),0))</f>
        <v/>
      </c>
      <c r="J311" s="4" t="n"/>
      <c r="K311" s="7">
        <f>IF(OR(B311="",B311&lt;&gt;الإيصال!$C$3),"",COUNTIF(B$2:B311,الإيصال!$C$3))</f>
        <v/>
      </c>
    </row>
    <row r="312">
      <c r="A312" s="6" t="n"/>
      <c r="B312" s="4" t="n"/>
      <c r="C312" s="4" t="n"/>
      <c r="D312" s="4" t="n"/>
      <c r="E312">
        <f>IF(D312="","",IFERROR(INDEX(الأصناف!$B$2:$B$2000,MATCH(D312,الأصناف!$A$2:$A$2000,0)),"كود غير موجود"))</f>
        <v/>
      </c>
      <c r="F312" s="4" t="n"/>
      <c r="G312">
        <f>IF(D312="","",IFERROR(INDEX(الأصناف!$C$2:$C$2000,MATCH(D312,الأصناف!$A$2:$A$2000,0)),0))</f>
        <v/>
      </c>
      <c r="H312">
        <f>IF(D312="","",F312*G312)</f>
        <v/>
      </c>
      <c r="I312">
        <f>IF(D312="","",H312-F312*IFERROR(INDEX(الأصناف!$D$2:$D$2000,MATCH(D312,الأصناف!$A$2:$A$2000,0)),0))</f>
        <v/>
      </c>
      <c r="J312" s="4" t="n"/>
      <c r="K312" s="7">
        <f>IF(OR(B312="",B312&lt;&gt;الإيصال!$C$3),"",COUNTIF(B$2:B312,الإيصال!$C$3))</f>
        <v/>
      </c>
    </row>
    <row r="313">
      <c r="A313" s="6" t="n"/>
      <c r="B313" s="4" t="n"/>
      <c r="C313" s="4" t="n"/>
      <c r="D313" s="4" t="n"/>
      <c r="E313">
        <f>IF(D313="","",IFERROR(INDEX(الأصناف!$B$2:$B$2000,MATCH(D313,الأصناف!$A$2:$A$2000,0)),"كود غير موجود"))</f>
        <v/>
      </c>
      <c r="F313" s="4" t="n"/>
      <c r="G313">
        <f>IF(D313="","",IFERROR(INDEX(الأصناف!$C$2:$C$2000,MATCH(D313,الأصناف!$A$2:$A$2000,0)),0))</f>
        <v/>
      </c>
      <c r="H313">
        <f>IF(D313="","",F313*G313)</f>
        <v/>
      </c>
      <c r="I313">
        <f>IF(D313="","",H313-F313*IFERROR(INDEX(الأصناف!$D$2:$D$2000,MATCH(D313,الأصناف!$A$2:$A$2000,0)),0))</f>
        <v/>
      </c>
      <c r="J313" s="4" t="n"/>
      <c r="K313" s="7">
        <f>IF(OR(B313="",B313&lt;&gt;الإيصال!$C$3),"",COUNTIF(B$2:B313,الإيصال!$C$3))</f>
        <v/>
      </c>
    </row>
    <row r="314">
      <c r="A314" s="6" t="n"/>
      <c r="B314" s="4" t="n"/>
      <c r="C314" s="4" t="n"/>
      <c r="D314" s="4" t="n"/>
      <c r="E314">
        <f>IF(D314="","",IFERROR(INDEX(الأصناف!$B$2:$B$2000,MATCH(D314,الأصناف!$A$2:$A$2000,0)),"كود غير موجود"))</f>
        <v/>
      </c>
      <c r="F314" s="4" t="n"/>
      <c r="G314">
        <f>IF(D314="","",IFERROR(INDEX(الأصناف!$C$2:$C$2000,MATCH(D314,الأصناف!$A$2:$A$2000,0)),0))</f>
        <v/>
      </c>
      <c r="H314">
        <f>IF(D314="","",F314*G314)</f>
        <v/>
      </c>
      <c r="I314">
        <f>IF(D314="","",H314-F314*IFERROR(INDEX(الأصناف!$D$2:$D$2000,MATCH(D314,الأصناف!$A$2:$A$2000,0)),0))</f>
        <v/>
      </c>
      <c r="J314" s="4" t="n"/>
      <c r="K314" s="7">
        <f>IF(OR(B314="",B314&lt;&gt;الإيصال!$C$3),"",COUNTIF(B$2:B314,الإيصال!$C$3))</f>
        <v/>
      </c>
    </row>
    <row r="315">
      <c r="A315" s="6" t="n"/>
      <c r="B315" s="4" t="n"/>
      <c r="C315" s="4" t="n"/>
      <c r="D315" s="4" t="n"/>
      <c r="E315">
        <f>IF(D315="","",IFERROR(INDEX(الأصناف!$B$2:$B$2000,MATCH(D315,الأصناف!$A$2:$A$2000,0)),"كود غير موجود"))</f>
        <v/>
      </c>
      <c r="F315" s="4" t="n"/>
      <c r="G315">
        <f>IF(D315="","",IFERROR(INDEX(الأصناف!$C$2:$C$2000,MATCH(D315,الأصناف!$A$2:$A$2000,0)),0))</f>
        <v/>
      </c>
      <c r="H315">
        <f>IF(D315="","",F315*G315)</f>
        <v/>
      </c>
      <c r="I315">
        <f>IF(D315="","",H315-F315*IFERROR(INDEX(الأصناف!$D$2:$D$2000,MATCH(D315,الأصناف!$A$2:$A$2000,0)),0))</f>
        <v/>
      </c>
      <c r="J315" s="4" t="n"/>
      <c r="K315" s="7">
        <f>IF(OR(B315="",B315&lt;&gt;الإيصال!$C$3),"",COUNTIF(B$2:B315,الإيصال!$C$3))</f>
        <v/>
      </c>
    </row>
    <row r="316">
      <c r="A316" s="6" t="n"/>
      <c r="B316" s="4" t="n"/>
      <c r="C316" s="4" t="n"/>
      <c r="D316" s="4" t="n"/>
      <c r="E316">
        <f>IF(D316="","",IFERROR(INDEX(الأصناف!$B$2:$B$2000,MATCH(D316,الأصناف!$A$2:$A$2000,0)),"كود غير موجود"))</f>
        <v/>
      </c>
      <c r="F316" s="4" t="n"/>
      <c r="G316">
        <f>IF(D316="","",IFERROR(INDEX(الأصناف!$C$2:$C$2000,MATCH(D316,الأصناف!$A$2:$A$2000,0)),0))</f>
        <v/>
      </c>
      <c r="H316">
        <f>IF(D316="","",F316*G316)</f>
        <v/>
      </c>
      <c r="I316">
        <f>IF(D316="","",H316-F316*IFERROR(INDEX(الأصناف!$D$2:$D$2000,MATCH(D316,الأصناف!$A$2:$A$2000,0)),0))</f>
        <v/>
      </c>
      <c r="J316" s="4" t="n"/>
      <c r="K316" s="7">
        <f>IF(OR(B316="",B316&lt;&gt;الإيصال!$C$3),"",COUNTIF(B$2:B316,الإيصال!$C$3))</f>
        <v/>
      </c>
    </row>
    <row r="317">
      <c r="A317" s="6" t="n"/>
      <c r="B317" s="4" t="n"/>
      <c r="C317" s="4" t="n"/>
      <c r="D317" s="4" t="n"/>
      <c r="E317">
        <f>IF(D317="","",IFERROR(INDEX(الأصناف!$B$2:$B$2000,MATCH(D317,الأصناف!$A$2:$A$2000,0)),"كود غير موجود"))</f>
        <v/>
      </c>
      <c r="F317" s="4" t="n"/>
      <c r="G317">
        <f>IF(D317="","",IFERROR(INDEX(الأصناف!$C$2:$C$2000,MATCH(D317,الأصناف!$A$2:$A$2000,0)),0))</f>
        <v/>
      </c>
      <c r="H317">
        <f>IF(D317="","",F317*G317)</f>
        <v/>
      </c>
      <c r="I317">
        <f>IF(D317="","",H317-F317*IFERROR(INDEX(الأصناف!$D$2:$D$2000,MATCH(D317,الأصناف!$A$2:$A$2000,0)),0))</f>
        <v/>
      </c>
      <c r="J317" s="4" t="n"/>
      <c r="K317" s="7">
        <f>IF(OR(B317="",B317&lt;&gt;الإيصال!$C$3),"",COUNTIF(B$2:B317,الإيصال!$C$3))</f>
        <v/>
      </c>
    </row>
    <row r="318">
      <c r="A318" s="6" t="n"/>
      <c r="B318" s="4" t="n"/>
      <c r="C318" s="4" t="n"/>
      <c r="D318" s="4" t="n"/>
      <c r="E318">
        <f>IF(D318="","",IFERROR(INDEX(الأصناف!$B$2:$B$2000,MATCH(D318,الأصناف!$A$2:$A$2000,0)),"كود غير موجود"))</f>
        <v/>
      </c>
      <c r="F318" s="4" t="n"/>
      <c r="G318">
        <f>IF(D318="","",IFERROR(INDEX(الأصناف!$C$2:$C$2000,MATCH(D318,الأصناف!$A$2:$A$2000,0)),0))</f>
        <v/>
      </c>
      <c r="H318">
        <f>IF(D318="","",F318*G318)</f>
        <v/>
      </c>
      <c r="I318">
        <f>IF(D318="","",H318-F318*IFERROR(INDEX(الأصناف!$D$2:$D$2000,MATCH(D318,الأصناف!$A$2:$A$2000,0)),0))</f>
        <v/>
      </c>
      <c r="J318" s="4" t="n"/>
      <c r="K318" s="7">
        <f>IF(OR(B318="",B318&lt;&gt;الإيصال!$C$3),"",COUNTIF(B$2:B318,الإيصال!$C$3))</f>
        <v/>
      </c>
    </row>
    <row r="319">
      <c r="A319" s="6" t="n"/>
      <c r="B319" s="4" t="n"/>
      <c r="C319" s="4" t="n"/>
      <c r="D319" s="4" t="n"/>
      <c r="E319">
        <f>IF(D319="","",IFERROR(INDEX(الأصناف!$B$2:$B$2000,MATCH(D319,الأصناف!$A$2:$A$2000,0)),"كود غير موجود"))</f>
        <v/>
      </c>
      <c r="F319" s="4" t="n"/>
      <c r="G319">
        <f>IF(D319="","",IFERROR(INDEX(الأصناف!$C$2:$C$2000,MATCH(D319,الأصناف!$A$2:$A$2000,0)),0))</f>
        <v/>
      </c>
      <c r="H319">
        <f>IF(D319="","",F319*G319)</f>
        <v/>
      </c>
      <c r="I319">
        <f>IF(D319="","",H319-F319*IFERROR(INDEX(الأصناف!$D$2:$D$2000,MATCH(D319,الأصناف!$A$2:$A$2000,0)),0))</f>
        <v/>
      </c>
      <c r="J319" s="4" t="n"/>
      <c r="K319" s="7">
        <f>IF(OR(B319="",B319&lt;&gt;الإيصال!$C$3),"",COUNTIF(B$2:B319,الإيصال!$C$3))</f>
        <v/>
      </c>
    </row>
    <row r="320">
      <c r="A320" s="6" t="n"/>
      <c r="B320" s="4" t="n"/>
      <c r="C320" s="4" t="n"/>
      <c r="D320" s="4" t="n"/>
      <c r="E320">
        <f>IF(D320="","",IFERROR(INDEX(الأصناف!$B$2:$B$2000,MATCH(D320,الأصناف!$A$2:$A$2000,0)),"كود غير موجود"))</f>
        <v/>
      </c>
      <c r="F320" s="4" t="n"/>
      <c r="G320">
        <f>IF(D320="","",IFERROR(INDEX(الأصناف!$C$2:$C$2000,MATCH(D320,الأصناف!$A$2:$A$2000,0)),0))</f>
        <v/>
      </c>
      <c r="H320">
        <f>IF(D320="","",F320*G320)</f>
        <v/>
      </c>
      <c r="I320">
        <f>IF(D320="","",H320-F320*IFERROR(INDEX(الأصناف!$D$2:$D$2000,MATCH(D320,الأصناف!$A$2:$A$2000,0)),0))</f>
        <v/>
      </c>
      <c r="J320" s="4" t="n"/>
      <c r="K320" s="7">
        <f>IF(OR(B320="",B320&lt;&gt;الإيصال!$C$3),"",COUNTIF(B$2:B320,الإيصال!$C$3))</f>
        <v/>
      </c>
    </row>
    <row r="321">
      <c r="A321" s="6" t="n"/>
      <c r="B321" s="4" t="n"/>
      <c r="C321" s="4" t="n"/>
      <c r="D321" s="4" t="n"/>
      <c r="E321">
        <f>IF(D321="","",IFERROR(INDEX(الأصناف!$B$2:$B$2000,MATCH(D321,الأصناف!$A$2:$A$2000,0)),"كود غير موجود"))</f>
        <v/>
      </c>
      <c r="F321" s="4" t="n"/>
      <c r="G321">
        <f>IF(D321="","",IFERROR(INDEX(الأصناف!$C$2:$C$2000,MATCH(D321,الأصناف!$A$2:$A$2000,0)),0))</f>
        <v/>
      </c>
      <c r="H321">
        <f>IF(D321="","",F321*G321)</f>
        <v/>
      </c>
      <c r="I321">
        <f>IF(D321="","",H321-F321*IFERROR(INDEX(الأصناف!$D$2:$D$2000,MATCH(D321,الأصناف!$A$2:$A$2000,0)),0))</f>
        <v/>
      </c>
      <c r="J321" s="4" t="n"/>
      <c r="K321" s="7">
        <f>IF(OR(B321="",B321&lt;&gt;الإيصال!$C$3),"",COUNTIF(B$2:B321,الإيصال!$C$3))</f>
        <v/>
      </c>
    </row>
    <row r="322">
      <c r="A322" s="6" t="n"/>
      <c r="B322" s="4" t="n"/>
      <c r="C322" s="4" t="n"/>
      <c r="D322" s="4" t="n"/>
      <c r="E322">
        <f>IF(D322="","",IFERROR(INDEX(الأصناف!$B$2:$B$2000,MATCH(D322,الأصناف!$A$2:$A$2000,0)),"كود غير موجود"))</f>
        <v/>
      </c>
      <c r="F322" s="4" t="n"/>
      <c r="G322">
        <f>IF(D322="","",IFERROR(INDEX(الأصناف!$C$2:$C$2000,MATCH(D322,الأصناف!$A$2:$A$2000,0)),0))</f>
        <v/>
      </c>
      <c r="H322">
        <f>IF(D322="","",F322*G322)</f>
        <v/>
      </c>
      <c r="I322">
        <f>IF(D322="","",H322-F322*IFERROR(INDEX(الأصناف!$D$2:$D$2000,MATCH(D322,الأصناف!$A$2:$A$2000,0)),0))</f>
        <v/>
      </c>
      <c r="J322" s="4" t="n"/>
      <c r="K322" s="7">
        <f>IF(OR(B322="",B322&lt;&gt;الإيصال!$C$3),"",COUNTIF(B$2:B322,الإيصال!$C$3))</f>
        <v/>
      </c>
    </row>
    <row r="323">
      <c r="A323" s="6" t="n"/>
      <c r="B323" s="4" t="n"/>
      <c r="C323" s="4" t="n"/>
      <c r="D323" s="4" t="n"/>
      <c r="E323">
        <f>IF(D323="","",IFERROR(INDEX(الأصناف!$B$2:$B$2000,MATCH(D323,الأصناف!$A$2:$A$2000,0)),"كود غير موجود"))</f>
        <v/>
      </c>
      <c r="F323" s="4" t="n"/>
      <c r="G323">
        <f>IF(D323="","",IFERROR(INDEX(الأصناف!$C$2:$C$2000,MATCH(D323,الأصناف!$A$2:$A$2000,0)),0))</f>
        <v/>
      </c>
      <c r="H323">
        <f>IF(D323="","",F323*G323)</f>
        <v/>
      </c>
      <c r="I323">
        <f>IF(D323="","",H323-F323*IFERROR(INDEX(الأصناف!$D$2:$D$2000,MATCH(D323,الأصناف!$A$2:$A$2000,0)),0))</f>
        <v/>
      </c>
      <c r="J323" s="4" t="n"/>
      <c r="K323" s="7">
        <f>IF(OR(B323="",B323&lt;&gt;الإيصال!$C$3),"",COUNTIF(B$2:B323,الإيصال!$C$3))</f>
        <v/>
      </c>
    </row>
    <row r="324">
      <c r="A324" s="6" t="n"/>
      <c r="B324" s="4" t="n"/>
      <c r="C324" s="4" t="n"/>
      <c r="D324" s="4" t="n"/>
      <c r="E324">
        <f>IF(D324="","",IFERROR(INDEX(الأصناف!$B$2:$B$2000,MATCH(D324,الأصناف!$A$2:$A$2000,0)),"كود غير موجود"))</f>
        <v/>
      </c>
      <c r="F324" s="4" t="n"/>
      <c r="G324">
        <f>IF(D324="","",IFERROR(INDEX(الأصناف!$C$2:$C$2000,MATCH(D324,الأصناف!$A$2:$A$2000,0)),0))</f>
        <v/>
      </c>
      <c r="H324">
        <f>IF(D324="","",F324*G324)</f>
        <v/>
      </c>
      <c r="I324">
        <f>IF(D324="","",H324-F324*IFERROR(INDEX(الأصناف!$D$2:$D$2000,MATCH(D324,الأصناف!$A$2:$A$2000,0)),0))</f>
        <v/>
      </c>
      <c r="J324" s="4" t="n"/>
      <c r="K324" s="7">
        <f>IF(OR(B324="",B324&lt;&gt;الإيصال!$C$3),"",COUNTIF(B$2:B324,الإيصال!$C$3))</f>
        <v/>
      </c>
    </row>
    <row r="325">
      <c r="A325" s="6" t="n"/>
      <c r="B325" s="4" t="n"/>
      <c r="C325" s="4" t="n"/>
      <c r="D325" s="4" t="n"/>
      <c r="E325">
        <f>IF(D325="","",IFERROR(INDEX(الأصناف!$B$2:$B$2000,MATCH(D325,الأصناف!$A$2:$A$2000,0)),"كود غير موجود"))</f>
        <v/>
      </c>
      <c r="F325" s="4" t="n"/>
      <c r="G325">
        <f>IF(D325="","",IFERROR(INDEX(الأصناف!$C$2:$C$2000,MATCH(D325,الأصناف!$A$2:$A$2000,0)),0))</f>
        <v/>
      </c>
      <c r="H325">
        <f>IF(D325="","",F325*G325)</f>
        <v/>
      </c>
      <c r="I325">
        <f>IF(D325="","",H325-F325*IFERROR(INDEX(الأصناف!$D$2:$D$2000,MATCH(D325,الأصناف!$A$2:$A$2000,0)),0))</f>
        <v/>
      </c>
      <c r="J325" s="4" t="n"/>
      <c r="K325" s="7">
        <f>IF(OR(B325="",B325&lt;&gt;الإيصال!$C$3),"",COUNTIF(B$2:B325,الإيصال!$C$3))</f>
        <v/>
      </c>
    </row>
    <row r="326">
      <c r="A326" s="6" t="n"/>
      <c r="B326" s="4" t="n"/>
      <c r="C326" s="4" t="n"/>
      <c r="D326" s="4" t="n"/>
      <c r="E326">
        <f>IF(D326="","",IFERROR(INDEX(الأصناف!$B$2:$B$2000,MATCH(D326,الأصناف!$A$2:$A$2000,0)),"كود غير موجود"))</f>
        <v/>
      </c>
      <c r="F326" s="4" t="n"/>
      <c r="G326">
        <f>IF(D326="","",IFERROR(INDEX(الأصناف!$C$2:$C$2000,MATCH(D326,الأصناف!$A$2:$A$2000,0)),0))</f>
        <v/>
      </c>
      <c r="H326">
        <f>IF(D326="","",F326*G326)</f>
        <v/>
      </c>
      <c r="I326">
        <f>IF(D326="","",H326-F326*IFERROR(INDEX(الأصناف!$D$2:$D$2000,MATCH(D326,الأصناف!$A$2:$A$2000,0)),0))</f>
        <v/>
      </c>
      <c r="J326" s="4" t="n"/>
      <c r="K326" s="7">
        <f>IF(OR(B326="",B326&lt;&gt;الإيصال!$C$3),"",COUNTIF(B$2:B326,الإيصال!$C$3))</f>
        <v/>
      </c>
    </row>
    <row r="327">
      <c r="A327" s="6" t="n"/>
      <c r="B327" s="4" t="n"/>
      <c r="C327" s="4" t="n"/>
      <c r="D327" s="4" t="n"/>
      <c r="E327">
        <f>IF(D327="","",IFERROR(INDEX(الأصناف!$B$2:$B$2000,MATCH(D327,الأصناف!$A$2:$A$2000,0)),"كود غير موجود"))</f>
        <v/>
      </c>
      <c r="F327" s="4" t="n"/>
      <c r="G327">
        <f>IF(D327="","",IFERROR(INDEX(الأصناف!$C$2:$C$2000,MATCH(D327,الأصناف!$A$2:$A$2000,0)),0))</f>
        <v/>
      </c>
      <c r="H327">
        <f>IF(D327="","",F327*G327)</f>
        <v/>
      </c>
      <c r="I327">
        <f>IF(D327="","",H327-F327*IFERROR(INDEX(الأصناف!$D$2:$D$2000,MATCH(D327,الأصناف!$A$2:$A$2000,0)),0))</f>
        <v/>
      </c>
      <c r="J327" s="4" t="n"/>
      <c r="K327" s="7">
        <f>IF(OR(B327="",B327&lt;&gt;الإيصال!$C$3),"",COUNTIF(B$2:B327,الإيصال!$C$3))</f>
        <v/>
      </c>
    </row>
    <row r="328">
      <c r="A328" s="6" t="n"/>
      <c r="B328" s="4" t="n"/>
      <c r="C328" s="4" t="n"/>
      <c r="D328" s="4" t="n"/>
      <c r="E328">
        <f>IF(D328="","",IFERROR(INDEX(الأصناف!$B$2:$B$2000,MATCH(D328,الأصناف!$A$2:$A$2000,0)),"كود غير موجود"))</f>
        <v/>
      </c>
      <c r="F328" s="4" t="n"/>
      <c r="G328">
        <f>IF(D328="","",IFERROR(INDEX(الأصناف!$C$2:$C$2000,MATCH(D328,الأصناف!$A$2:$A$2000,0)),0))</f>
        <v/>
      </c>
      <c r="H328">
        <f>IF(D328="","",F328*G328)</f>
        <v/>
      </c>
      <c r="I328">
        <f>IF(D328="","",H328-F328*IFERROR(INDEX(الأصناف!$D$2:$D$2000,MATCH(D328,الأصناف!$A$2:$A$2000,0)),0))</f>
        <v/>
      </c>
      <c r="J328" s="4" t="n"/>
      <c r="K328" s="7">
        <f>IF(OR(B328="",B328&lt;&gt;الإيصال!$C$3),"",COUNTIF(B$2:B328,الإيصال!$C$3))</f>
        <v/>
      </c>
    </row>
    <row r="329">
      <c r="A329" s="6" t="n"/>
      <c r="B329" s="4" t="n"/>
      <c r="C329" s="4" t="n"/>
      <c r="D329" s="4" t="n"/>
      <c r="E329">
        <f>IF(D329="","",IFERROR(INDEX(الأصناف!$B$2:$B$2000,MATCH(D329,الأصناف!$A$2:$A$2000,0)),"كود غير موجود"))</f>
        <v/>
      </c>
      <c r="F329" s="4" t="n"/>
      <c r="G329">
        <f>IF(D329="","",IFERROR(INDEX(الأصناف!$C$2:$C$2000,MATCH(D329,الأصناف!$A$2:$A$2000,0)),0))</f>
        <v/>
      </c>
      <c r="H329">
        <f>IF(D329="","",F329*G329)</f>
        <v/>
      </c>
      <c r="I329">
        <f>IF(D329="","",H329-F329*IFERROR(INDEX(الأصناف!$D$2:$D$2000,MATCH(D329,الأصناف!$A$2:$A$2000,0)),0))</f>
        <v/>
      </c>
      <c r="J329" s="4" t="n"/>
      <c r="K329" s="7">
        <f>IF(OR(B329="",B329&lt;&gt;الإيصال!$C$3),"",COUNTIF(B$2:B329,الإيصال!$C$3))</f>
        <v/>
      </c>
    </row>
    <row r="330">
      <c r="A330" s="6" t="n"/>
      <c r="B330" s="4" t="n"/>
      <c r="C330" s="4" t="n"/>
      <c r="D330" s="4" t="n"/>
      <c r="E330">
        <f>IF(D330="","",IFERROR(INDEX(الأصناف!$B$2:$B$2000,MATCH(D330,الأصناف!$A$2:$A$2000,0)),"كود غير موجود"))</f>
        <v/>
      </c>
      <c r="F330" s="4" t="n"/>
      <c r="G330">
        <f>IF(D330="","",IFERROR(INDEX(الأصناف!$C$2:$C$2000,MATCH(D330,الأصناف!$A$2:$A$2000,0)),0))</f>
        <v/>
      </c>
      <c r="H330">
        <f>IF(D330="","",F330*G330)</f>
        <v/>
      </c>
      <c r="I330">
        <f>IF(D330="","",H330-F330*IFERROR(INDEX(الأصناف!$D$2:$D$2000,MATCH(D330,الأصناف!$A$2:$A$2000,0)),0))</f>
        <v/>
      </c>
      <c r="J330" s="4" t="n"/>
      <c r="K330" s="7">
        <f>IF(OR(B330="",B330&lt;&gt;الإيصال!$C$3),"",COUNTIF(B$2:B330,الإيصال!$C$3))</f>
        <v/>
      </c>
    </row>
    <row r="331">
      <c r="A331" s="6" t="n"/>
      <c r="B331" s="4" t="n"/>
      <c r="C331" s="4" t="n"/>
      <c r="D331" s="4" t="n"/>
      <c r="E331">
        <f>IF(D331="","",IFERROR(INDEX(الأصناف!$B$2:$B$2000,MATCH(D331,الأصناف!$A$2:$A$2000,0)),"كود غير موجود"))</f>
        <v/>
      </c>
      <c r="F331" s="4" t="n"/>
      <c r="G331">
        <f>IF(D331="","",IFERROR(INDEX(الأصناف!$C$2:$C$2000,MATCH(D331,الأصناف!$A$2:$A$2000,0)),0))</f>
        <v/>
      </c>
      <c r="H331">
        <f>IF(D331="","",F331*G331)</f>
        <v/>
      </c>
      <c r="I331">
        <f>IF(D331="","",H331-F331*IFERROR(INDEX(الأصناف!$D$2:$D$2000,MATCH(D331,الأصناف!$A$2:$A$2000,0)),0))</f>
        <v/>
      </c>
      <c r="J331" s="4" t="n"/>
      <c r="K331" s="7">
        <f>IF(OR(B331="",B331&lt;&gt;الإيصال!$C$3),"",COUNTIF(B$2:B331,الإيصال!$C$3))</f>
        <v/>
      </c>
    </row>
    <row r="332">
      <c r="A332" s="6" t="n"/>
      <c r="B332" s="4" t="n"/>
      <c r="C332" s="4" t="n"/>
      <c r="D332" s="4" t="n"/>
      <c r="E332">
        <f>IF(D332="","",IFERROR(INDEX(الأصناف!$B$2:$B$2000,MATCH(D332,الأصناف!$A$2:$A$2000,0)),"كود غير موجود"))</f>
        <v/>
      </c>
      <c r="F332" s="4" t="n"/>
      <c r="G332">
        <f>IF(D332="","",IFERROR(INDEX(الأصناف!$C$2:$C$2000,MATCH(D332,الأصناف!$A$2:$A$2000,0)),0))</f>
        <v/>
      </c>
      <c r="H332">
        <f>IF(D332="","",F332*G332)</f>
        <v/>
      </c>
      <c r="I332">
        <f>IF(D332="","",H332-F332*IFERROR(INDEX(الأصناف!$D$2:$D$2000,MATCH(D332,الأصناف!$A$2:$A$2000,0)),0))</f>
        <v/>
      </c>
      <c r="J332" s="4" t="n"/>
      <c r="K332" s="7">
        <f>IF(OR(B332="",B332&lt;&gt;الإيصال!$C$3),"",COUNTIF(B$2:B332,الإيصال!$C$3))</f>
        <v/>
      </c>
    </row>
    <row r="333">
      <c r="A333" s="6" t="n"/>
      <c r="B333" s="4" t="n"/>
      <c r="C333" s="4" t="n"/>
      <c r="D333" s="4" t="n"/>
      <c r="E333">
        <f>IF(D333="","",IFERROR(INDEX(الأصناف!$B$2:$B$2000,MATCH(D333,الأصناف!$A$2:$A$2000,0)),"كود غير موجود"))</f>
        <v/>
      </c>
      <c r="F333" s="4" t="n"/>
      <c r="G333">
        <f>IF(D333="","",IFERROR(INDEX(الأصناف!$C$2:$C$2000,MATCH(D333,الأصناف!$A$2:$A$2000,0)),0))</f>
        <v/>
      </c>
      <c r="H333">
        <f>IF(D333="","",F333*G333)</f>
        <v/>
      </c>
      <c r="I333">
        <f>IF(D333="","",H333-F333*IFERROR(INDEX(الأصناف!$D$2:$D$2000,MATCH(D333,الأصناف!$A$2:$A$2000,0)),0))</f>
        <v/>
      </c>
      <c r="J333" s="4" t="n"/>
      <c r="K333" s="7">
        <f>IF(OR(B333="",B333&lt;&gt;الإيصال!$C$3),"",COUNTIF(B$2:B333,الإيصال!$C$3))</f>
        <v/>
      </c>
    </row>
    <row r="334">
      <c r="A334" s="6" t="n"/>
      <c r="B334" s="4" t="n"/>
      <c r="C334" s="4" t="n"/>
      <c r="D334" s="4" t="n"/>
      <c r="E334">
        <f>IF(D334="","",IFERROR(INDEX(الأصناف!$B$2:$B$2000,MATCH(D334,الأصناف!$A$2:$A$2000,0)),"كود غير موجود"))</f>
        <v/>
      </c>
      <c r="F334" s="4" t="n"/>
      <c r="G334">
        <f>IF(D334="","",IFERROR(INDEX(الأصناف!$C$2:$C$2000,MATCH(D334,الأصناف!$A$2:$A$2000,0)),0))</f>
        <v/>
      </c>
      <c r="H334">
        <f>IF(D334="","",F334*G334)</f>
        <v/>
      </c>
      <c r="I334">
        <f>IF(D334="","",H334-F334*IFERROR(INDEX(الأصناف!$D$2:$D$2000,MATCH(D334,الأصناف!$A$2:$A$2000,0)),0))</f>
        <v/>
      </c>
      <c r="J334" s="4" t="n"/>
      <c r="K334" s="7">
        <f>IF(OR(B334="",B334&lt;&gt;الإيصال!$C$3),"",COUNTIF(B$2:B334,الإيصال!$C$3))</f>
        <v/>
      </c>
    </row>
    <row r="335">
      <c r="A335" s="6" t="n"/>
      <c r="B335" s="4" t="n"/>
      <c r="C335" s="4" t="n"/>
      <c r="D335" s="4" t="n"/>
      <c r="E335">
        <f>IF(D335="","",IFERROR(INDEX(الأصناف!$B$2:$B$2000,MATCH(D335,الأصناف!$A$2:$A$2000,0)),"كود غير موجود"))</f>
        <v/>
      </c>
      <c r="F335" s="4" t="n"/>
      <c r="G335">
        <f>IF(D335="","",IFERROR(INDEX(الأصناف!$C$2:$C$2000,MATCH(D335,الأصناف!$A$2:$A$2000,0)),0))</f>
        <v/>
      </c>
      <c r="H335">
        <f>IF(D335="","",F335*G335)</f>
        <v/>
      </c>
      <c r="I335">
        <f>IF(D335="","",H335-F335*IFERROR(INDEX(الأصناف!$D$2:$D$2000,MATCH(D335,الأصناف!$A$2:$A$2000,0)),0))</f>
        <v/>
      </c>
      <c r="J335" s="4" t="n"/>
      <c r="K335" s="7">
        <f>IF(OR(B335="",B335&lt;&gt;الإيصال!$C$3),"",COUNTIF(B$2:B335,الإيصال!$C$3))</f>
        <v/>
      </c>
    </row>
    <row r="336">
      <c r="A336" s="6" t="n"/>
      <c r="B336" s="4" t="n"/>
      <c r="C336" s="4" t="n"/>
      <c r="D336" s="4" t="n"/>
      <c r="E336">
        <f>IF(D336="","",IFERROR(INDEX(الأصناف!$B$2:$B$2000,MATCH(D336,الأصناف!$A$2:$A$2000,0)),"كود غير موجود"))</f>
        <v/>
      </c>
      <c r="F336" s="4" t="n"/>
      <c r="G336">
        <f>IF(D336="","",IFERROR(INDEX(الأصناف!$C$2:$C$2000,MATCH(D336,الأصناف!$A$2:$A$2000,0)),0))</f>
        <v/>
      </c>
      <c r="H336">
        <f>IF(D336="","",F336*G336)</f>
        <v/>
      </c>
      <c r="I336">
        <f>IF(D336="","",H336-F336*IFERROR(INDEX(الأصناف!$D$2:$D$2000,MATCH(D336,الأصناف!$A$2:$A$2000,0)),0))</f>
        <v/>
      </c>
      <c r="J336" s="4" t="n"/>
      <c r="K336" s="7">
        <f>IF(OR(B336="",B336&lt;&gt;الإيصال!$C$3),"",COUNTIF(B$2:B336,الإيصال!$C$3))</f>
        <v/>
      </c>
    </row>
    <row r="337">
      <c r="A337" s="6" t="n"/>
      <c r="B337" s="4" t="n"/>
      <c r="C337" s="4" t="n"/>
      <c r="D337" s="4" t="n"/>
      <c r="E337">
        <f>IF(D337="","",IFERROR(INDEX(الأصناف!$B$2:$B$2000,MATCH(D337,الأصناف!$A$2:$A$2000,0)),"كود غير موجود"))</f>
        <v/>
      </c>
      <c r="F337" s="4" t="n"/>
      <c r="G337">
        <f>IF(D337="","",IFERROR(INDEX(الأصناف!$C$2:$C$2000,MATCH(D337,الأصناف!$A$2:$A$2000,0)),0))</f>
        <v/>
      </c>
      <c r="H337">
        <f>IF(D337="","",F337*G337)</f>
        <v/>
      </c>
      <c r="I337">
        <f>IF(D337="","",H337-F337*IFERROR(INDEX(الأصناف!$D$2:$D$2000,MATCH(D337,الأصناف!$A$2:$A$2000,0)),0))</f>
        <v/>
      </c>
      <c r="J337" s="4" t="n"/>
      <c r="K337" s="7">
        <f>IF(OR(B337="",B337&lt;&gt;الإيصال!$C$3),"",COUNTIF(B$2:B337,الإيصال!$C$3))</f>
        <v/>
      </c>
    </row>
    <row r="338">
      <c r="A338" s="6" t="n"/>
      <c r="B338" s="4" t="n"/>
      <c r="C338" s="4" t="n"/>
      <c r="D338" s="4" t="n"/>
      <c r="E338">
        <f>IF(D338="","",IFERROR(INDEX(الأصناف!$B$2:$B$2000,MATCH(D338,الأصناف!$A$2:$A$2000,0)),"كود غير موجود"))</f>
        <v/>
      </c>
      <c r="F338" s="4" t="n"/>
      <c r="G338">
        <f>IF(D338="","",IFERROR(INDEX(الأصناف!$C$2:$C$2000,MATCH(D338,الأصناف!$A$2:$A$2000,0)),0))</f>
        <v/>
      </c>
      <c r="H338">
        <f>IF(D338="","",F338*G338)</f>
        <v/>
      </c>
      <c r="I338">
        <f>IF(D338="","",H338-F338*IFERROR(INDEX(الأصناف!$D$2:$D$2000,MATCH(D338,الأصناف!$A$2:$A$2000,0)),0))</f>
        <v/>
      </c>
      <c r="J338" s="4" t="n"/>
      <c r="K338" s="7">
        <f>IF(OR(B338="",B338&lt;&gt;الإيصال!$C$3),"",COUNTIF(B$2:B338,الإيصال!$C$3))</f>
        <v/>
      </c>
    </row>
    <row r="339">
      <c r="A339" s="6" t="n"/>
      <c r="B339" s="4" t="n"/>
      <c r="C339" s="4" t="n"/>
      <c r="D339" s="4" t="n"/>
      <c r="E339">
        <f>IF(D339="","",IFERROR(INDEX(الأصناف!$B$2:$B$2000,MATCH(D339,الأصناف!$A$2:$A$2000,0)),"كود غير موجود"))</f>
        <v/>
      </c>
      <c r="F339" s="4" t="n"/>
      <c r="G339">
        <f>IF(D339="","",IFERROR(INDEX(الأصناف!$C$2:$C$2000,MATCH(D339,الأصناف!$A$2:$A$2000,0)),0))</f>
        <v/>
      </c>
      <c r="H339">
        <f>IF(D339="","",F339*G339)</f>
        <v/>
      </c>
      <c r="I339">
        <f>IF(D339="","",H339-F339*IFERROR(INDEX(الأصناف!$D$2:$D$2000,MATCH(D339,الأصناف!$A$2:$A$2000,0)),0))</f>
        <v/>
      </c>
      <c r="J339" s="4" t="n"/>
      <c r="K339" s="7">
        <f>IF(OR(B339="",B339&lt;&gt;الإيصال!$C$3),"",COUNTIF(B$2:B339,الإيصال!$C$3))</f>
        <v/>
      </c>
    </row>
    <row r="340">
      <c r="A340" s="6" t="n"/>
      <c r="B340" s="4" t="n"/>
      <c r="C340" s="4" t="n"/>
      <c r="D340" s="4" t="n"/>
      <c r="E340">
        <f>IF(D340="","",IFERROR(INDEX(الأصناف!$B$2:$B$2000,MATCH(D340,الأصناف!$A$2:$A$2000,0)),"كود غير موجود"))</f>
        <v/>
      </c>
      <c r="F340" s="4" t="n"/>
      <c r="G340">
        <f>IF(D340="","",IFERROR(INDEX(الأصناف!$C$2:$C$2000,MATCH(D340,الأصناف!$A$2:$A$2000,0)),0))</f>
        <v/>
      </c>
      <c r="H340">
        <f>IF(D340="","",F340*G340)</f>
        <v/>
      </c>
      <c r="I340">
        <f>IF(D340="","",H340-F340*IFERROR(INDEX(الأصناف!$D$2:$D$2000,MATCH(D340,الأصناف!$A$2:$A$2000,0)),0))</f>
        <v/>
      </c>
      <c r="J340" s="4" t="n"/>
      <c r="K340" s="7">
        <f>IF(OR(B340="",B340&lt;&gt;الإيصال!$C$3),"",COUNTIF(B$2:B340,الإيصال!$C$3))</f>
        <v/>
      </c>
    </row>
    <row r="341">
      <c r="A341" s="6" t="n"/>
      <c r="B341" s="4" t="n"/>
      <c r="C341" s="4" t="n"/>
      <c r="D341" s="4" t="n"/>
      <c r="E341">
        <f>IF(D341="","",IFERROR(INDEX(الأصناف!$B$2:$B$2000,MATCH(D341,الأصناف!$A$2:$A$2000,0)),"كود غير موجود"))</f>
        <v/>
      </c>
      <c r="F341" s="4" t="n"/>
      <c r="G341">
        <f>IF(D341="","",IFERROR(INDEX(الأصناف!$C$2:$C$2000,MATCH(D341,الأصناف!$A$2:$A$2000,0)),0))</f>
        <v/>
      </c>
      <c r="H341">
        <f>IF(D341="","",F341*G341)</f>
        <v/>
      </c>
      <c r="I341">
        <f>IF(D341="","",H341-F341*IFERROR(INDEX(الأصناف!$D$2:$D$2000,MATCH(D341,الأصناف!$A$2:$A$2000,0)),0))</f>
        <v/>
      </c>
      <c r="J341" s="4" t="n"/>
      <c r="K341" s="7">
        <f>IF(OR(B341="",B341&lt;&gt;الإيصال!$C$3),"",COUNTIF(B$2:B341,الإيصال!$C$3))</f>
        <v/>
      </c>
    </row>
    <row r="342">
      <c r="A342" s="6" t="n"/>
      <c r="B342" s="4" t="n"/>
      <c r="C342" s="4" t="n"/>
      <c r="D342" s="4" t="n"/>
      <c r="E342">
        <f>IF(D342="","",IFERROR(INDEX(الأصناف!$B$2:$B$2000,MATCH(D342,الأصناف!$A$2:$A$2000,0)),"كود غير موجود"))</f>
        <v/>
      </c>
      <c r="F342" s="4" t="n"/>
      <c r="G342">
        <f>IF(D342="","",IFERROR(INDEX(الأصناف!$C$2:$C$2000,MATCH(D342,الأصناف!$A$2:$A$2000,0)),0))</f>
        <v/>
      </c>
      <c r="H342">
        <f>IF(D342="","",F342*G342)</f>
        <v/>
      </c>
      <c r="I342">
        <f>IF(D342="","",H342-F342*IFERROR(INDEX(الأصناف!$D$2:$D$2000,MATCH(D342,الأصناف!$A$2:$A$2000,0)),0))</f>
        <v/>
      </c>
      <c r="J342" s="4" t="n"/>
      <c r="K342" s="7">
        <f>IF(OR(B342="",B342&lt;&gt;الإيصال!$C$3),"",COUNTIF(B$2:B342,الإيصال!$C$3))</f>
        <v/>
      </c>
    </row>
    <row r="343">
      <c r="A343" s="6" t="n"/>
      <c r="B343" s="4" t="n"/>
      <c r="C343" s="4" t="n"/>
      <c r="D343" s="4" t="n"/>
      <c r="E343">
        <f>IF(D343="","",IFERROR(INDEX(الأصناف!$B$2:$B$2000,MATCH(D343,الأصناف!$A$2:$A$2000,0)),"كود غير موجود"))</f>
        <v/>
      </c>
      <c r="F343" s="4" t="n"/>
      <c r="G343">
        <f>IF(D343="","",IFERROR(INDEX(الأصناف!$C$2:$C$2000,MATCH(D343,الأصناف!$A$2:$A$2000,0)),0))</f>
        <v/>
      </c>
      <c r="H343">
        <f>IF(D343="","",F343*G343)</f>
        <v/>
      </c>
      <c r="I343">
        <f>IF(D343="","",H343-F343*IFERROR(INDEX(الأصناف!$D$2:$D$2000,MATCH(D343,الأصناف!$A$2:$A$2000,0)),0))</f>
        <v/>
      </c>
      <c r="J343" s="4" t="n"/>
      <c r="K343" s="7">
        <f>IF(OR(B343="",B343&lt;&gt;الإيصال!$C$3),"",COUNTIF(B$2:B343,الإيصال!$C$3))</f>
        <v/>
      </c>
    </row>
    <row r="344">
      <c r="A344" s="6" t="n"/>
      <c r="B344" s="4" t="n"/>
      <c r="C344" s="4" t="n"/>
      <c r="D344" s="4" t="n"/>
      <c r="E344">
        <f>IF(D344="","",IFERROR(INDEX(الأصناف!$B$2:$B$2000,MATCH(D344,الأصناف!$A$2:$A$2000,0)),"كود غير موجود"))</f>
        <v/>
      </c>
      <c r="F344" s="4" t="n"/>
      <c r="G344">
        <f>IF(D344="","",IFERROR(INDEX(الأصناف!$C$2:$C$2000,MATCH(D344,الأصناف!$A$2:$A$2000,0)),0))</f>
        <v/>
      </c>
      <c r="H344">
        <f>IF(D344="","",F344*G344)</f>
        <v/>
      </c>
      <c r="I344">
        <f>IF(D344="","",H344-F344*IFERROR(INDEX(الأصناف!$D$2:$D$2000,MATCH(D344,الأصناف!$A$2:$A$2000,0)),0))</f>
        <v/>
      </c>
      <c r="J344" s="4" t="n"/>
      <c r="K344" s="7">
        <f>IF(OR(B344="",B344&lt;&gt;الإيصال!$C$3),"",COUNTIF(B$2:B344,الإيصال!$C$3))</f>
        <v/>
      </c>
    </row>
    <row r="345">
      <c r="A345" s="6" t="n"/>
      <c r="B345" s="4" t="n"/>
      <c r="C345" s="4" t="n"/>
      <c r="D345" s="4" t="n"/>
      <c r="E345">
        <f>IF(D345="","",IFERROR(INDEX(الأصناف!$B$2:$B$2000,MATCH(D345,الأصناف!$A$2:$A$2000,0)),"كود غير موجود"))</f>
        <v/>
      </c>
      <c r="F345" s="4" t="n"/>
      <c r="G345">
        <f>IF(D345="","",IFERROR(INDEX(الأصناف!$C$2:$C$2000,MATCH(D345,الأصناف!$A$2:$A$2000,0)),0))</f>
        <v/>
      </c>
      <c r="H345">
        <f>IF(D345="","",F345*G345)</f>
        <v/>
      </c>
      <c r="I345">
        <f>IF(D345="","",H345-F345*IFERROR(INDEX(الأصناف!$D$2:$D$2000,MATCH(D345,الأصناف!$A$2:$A$2000,0)),0))</f>
        <v/>
      </c>
      <c r="J345" s="4" t="n"/>
      <c r="K345" s="7">
        <f>IF(OR(B345="",B345&lt;&gt;الإيصال!$C$3),"",COUNTIF(B$2:B345,الإيصال!$C$3))</f>
        <v/>
      </c>
    </row>
    <row r="346">
      <c r="A346" s="6" t="n"/>
      <c r="B346" s="4" t="n"/>
      <c r="C346" s="4" t="n"/>
      <c r="D346" s="4" t="n"/>
      <c r="E346">
        <f>IF(D346="","",IFERROR(INDEX(الأصناف!$B$2:$B$2000,MATCH(D346,الأصناف!$A$2:$A$2000,0)),"كود غير موجود"))</f>
        <v/>
      </c>
      <c r="F346" s="4" t="n"/>
      <c r="G346">
        <f>IF(D346="","",IFERROR(INDEX(الأصناف!$C$2:$C$2000,MATCH(D346,الأصناف!$A$2:$A$2000,0)),0))</f>
        <v/>
      </c>
      <c r="H346">
        <f>IF(D346="","",F346*G346)</f>
        <v/>
      </c>
      <c r="I346">
        <f>IF(D346="","",H346-F346*IFERROR(INDEX(الأصناف!$D$2:$D$2000,MATCH(D346,الأصناف!$A$2:$A$2000,0)),0))</f>
        <v/>
      </c>
      <c r="J346" s="4" t="n"/>
      <c r="K346" s="7">
        <f>IF(OR(B346="",B346&lt;&gt;الإيصال!$C$3),"",COUNTIF(B$2:B346,الإيصال!$C$3))</f>
        <v/>
      </c>
    </row>
    <row r="347">
      <c r="A347" s="6" t="n"/>
      <c r="B347" s="4" t="n"/>
      <c r="C347" s="4" t="n"/>
      <c r="D347" s="4" t="n"/>
      <c r="E347">
        <f>IF(D347="","",IFERROR(INDEX(الأصناف!$B$2:$B$2000,MATCH(D347,الأصناف!$A$2:$A$2000,0)),"كود غير موجود"))</f>
        <v/>
      </c>
      <c r="F347" s="4" t="n"/>
      <c r="G347">
        <f>IF(D347="","",IFERROR(INDEX(الأصناف!$C$2:$C$2000,MATCH(D347,الأصناف!$A$2:$A$2000,0)),0))</f>
        <v/>
      </c>
      <c r="H347">
        <f>IF(D347="","",F347*G347)</f>
        <v/>
      </c>
      <c r="I347">
        <f>IF(D347="","",H347-F347*IFERROR(INDEX(الأصناف!$D$2:$D$2000,MATCH(D347,الأصناف!$A$2:$A$2000,0)),0))</f>
        <v/>
      </c>
      <c r="J347" s="4" t="n"/>
      <c r="K347" s="7">
        <f>IF(OR(B347="",B347&lt;&gt;الإيصال!$C$3),"",COUNTIF(B$2:B347,الإيصال!$C$3))</f>
        <v/>
      </c>
    </row>
    <row r="348">
      <c r="A348" s="6" t="n"/>
      <c r="B348" s="4" t="n"/>
      <c r="C348" s="4" t="n"/>
      <c r="D348" s="4" t="n"/>
      <c r="E348">
        <f>IF(D348="","",IFERROR(INDEX(الأصناف!$B$2:$B$2000,MATCH(D348,الأصناف!$A$2:$A$2000,0)),"كود غير موجود"))</f>
        <v/>
      </c>
      <c r="F348" s="4" t="n"/>
      <c r="G348">
        <f>IF(D348="","",IFERROR(INDEX(الأصناف!$C$2:$C$2000,MATCH(D348,الأصناف!$A$2:$A$2000,0)),0))</f>
        <v/>
      </c>
      <c r="H348">
        <f>IF(D348="","",F348*G348)</f>
        <v/>
      </c>
      <c r="I348">
        <f>IF(D348="","",H348-F348*IFERROR(INDEX(الأصناف!$D$2:$D$2000,MATCH(D348,الأصناف!$A$2:$A$2000,0)),0))</f>
        <v/>
      </c>
      <c r="J348" s="4" t="n"/>
      <c r="K348" s="7">
        <f>IF(OR(B348="",B348&lt;&gt;الإيصال!$C$3),"",COUNTIF(B$2:B348,الإيصال!$C$3))</f>
        <v/>
      </c>
    </row>
    <row r="349">
      <c r="A349" s="6" t="n"/>
      <c r="B349" s="4" t="n"/>
      <c r="C349" s="4" t="n"/>
      <c r="D349" s="4" t="n"/>
      <c r="E349">
        <f>IF(D349="","",IFERROR(INDEX(الأصناف!$B$2:$B$2000,MATCH(D349,الأصناف!$A$2:$A$2000,0)),"كود غير موجود"))</f>
        <v/>
      </c>
      <c r="F349" s="4" t="n"/>
      <c r="G349">
        <f>IF(D349="","",IFERROR(INDEX(الأصناف!$C$2:$C$2000,MATCH(D349,الأصناف!$A$2:$A$2000,0)),0))</f>
        <v/>
      </c>
      <c r="H349">
        <f>IF(D349="","",F349*G349)</f>
        <v/>
      </c>
      <c r="I349">
        <f>IF(D349="","",H349-F349*IFERROR(INDEX(الأصناف!$D$2:$D$2000,MATCH(D349,الأصناف!$A$2:$A$2000,0)),0))</f>
        <v/>
      </c>
      <c r="J349" s="4" t="n"/>
      <c r="K349" s="7">
        <f>IF(OR(B349="",B349&lt;&gt;الإيصال!$C$3),"",COUNTIF(B$2:B349,الإيصال!$C$3))</f>
        <v/>
      </c>
    </row>
    <row r="350">
      <c r="A350" s="6" t="n"/>
      <c r="B350" s="4" t="n"/>
      <c r="C350" s="4" t="n"/>
      <c r="D350" s="4" t="n"/>
      <c r="E350">
        <f>IF(D350="","",IFERROR(INDEX(الأصناف!$B$2:$B$2000,MATCH(D350,الأصناف!$A$2:$A$2000,0)),"كود غير موجود"))</f>
        <v/>
      </c>
      <c r="F350" s="4" t="n"/>
      <c r="G350">
        <f>IF(D350="","",IFERROR(INDEX(الأصناف!$C$2:$C$2000,MATCH(D350,الأصناف!$A$2:$A$2000,0)),0))</f>
        <v/>
      </c>
      <c r="H350">
        <f>IF(D350="","",F350*G350)</f>
        <v/>
      </c>
      <c r="I350">
        <f>IF(D350="","",H350-F350*IFERROR(INDEX(الأصناف!$D$2:$D$2000,MATCH(D350,الأصناف!$A$2:$A$2000,0)),0))</f>
        <v/>
      </c>
      <c r="J350" s="4" t="n"/>
      <c r="K350" s="7">
        <f>IF(OR(B350="",B350&lt;&gt;الإيصال!$C$3),"",COUNTIF(B$2:B350,الإيصال!$C$3))</f>
        <v/>
      </c>
    </row>
    <row r="351">
      <c r="A351" s="6" t="n"/>
      <c r="B351" s="4" t="n"/>
      <c r="C351" s="4" t="n"/>
      <c r="D351" s="4" t="n"/>
      <c r="E351">
        <f>IF(D351="","",IFERROR(INDEX(الأصناف!$B$2:$B$2000,MATCH(D351,الأصناف!$A$2:$A$2000,0)),"كود غير موجود"))</f>
        <v/>
      </c>
      <c r="F351" s="4" t="n"/>
      <c r="G351">
        <f>IF(D351="","",IFERROR(INDEX(الأصناف!$C$2:$C$2000,MATCH(D351,الأصناف!$A$2:$A$2000,0)),0))</f>
        <v/>
      </c>
      <c r="H351">
        <f>IF(D351="","",F351*G351)</f>
        <v/>
      </c>
      <c r="I351">
        <f>IF(D351="","",H351-F351*IFERROR(INDEX(الأصناف!$D$2:$D$2000,MATCH(D351,الأصناف!$A$2:$A$2000,0)),0))</f>
        <v/>
      </c>
      <c r="J351" s="4" t="n"/>
      <c r="K351" s="7">
        <f>IF(OR(B351="",B351&lt;&gt;الإيصال!$C$3),"",COUNTIF(B$2:B351,الإيصال!$C$3))</f>
        <v/>
      </c>
    </row>
    <row r="352">
      <c r="A352" s="6" t="n"/>
      <c r="B352" s="4" t="n"/>
      <c r="C352" s="4" t="n"/>
      <c r="D352" s="4" t="n"/>
      <c r="E352">
        <f>IF(D352="","",IFERROR(INDEX(الأصناف!$B$2:$B$2000,MATCH(D352,الأصناف!$A$2:$A$2000,0)),"كود غير موجود"))</f>
        <v/>
      </c>
      <c r="F352" s="4" t="n"/>
      <c r="G352">
        <f>IF(D352="","",IFERROR(INDEX(الأصناف!$C$2:$C$2000,MATCH(D352,الأصناف!$A$2:$A$2000,0)),0))</f>
        <v/>
      </c>
      <c r="H352">
        <f>IF(D352="","",F352*G352)</f>
        <v/>
      </c>
      <c r="I352">
        <f>IF(D352="","",H352-F352*IFERROR(INDEX(الأصناف!$D$2:$D$2000,MATCH(D352,الأصناف!$A$2:$A$2000,0)),0))</f>
        <v/>
      </c>
      <c r="J352" s="4" t="n"/>
      <c r="K352" s="7">
        <f>IF(OR(B352="",B352&lt;&gt;الإيصال!$C$3),"",COUNTIF(B$2:B352,الإيصال!$C$3))</f>
        <v/>
      </c>
    </row>
    <row r="353">
      <c r="A353" s="6" t="n"/>
      <c r="B353" s="4" t="n"/>
      <c r="C353" s="4" t="n"/>
      <c r="D353" s="4" t="n"/>
      <c r="E353">
        <f>IF(D353="","",IFERROR(INDEX(الأصناف!$B$2:$B$2000,MATCH(D353,الأصناف!$A$2:$A$2000,0)),"كود غير موجود"))</f>
        <v/>
      </c>
      <c r="F353" s="4" t="n"/>
      <c r="G353">
        <f>IF(D353="","",IFERROR(INDEX(الأصناف!$C$2:$C$2000,MATCH(D353,الأصناف!$A$2:$A$2000,0)),0))</f>
        <v/>
      </c>
      <c r="H353">
        <f>IF(D353="","",F353*G353)</f>
        <v/>
      </c>
      <c r="I353">
        <f>IF(D353="","",H353-F353*IFERROR(INDEX(الأصناف!$D$2:$D$2000,MATCH(D353,الأصناف!$A$2:$A$2000,0)),0))</f>
        <v/>
      </c>
      <c r="J353" s="4" t="n"/>
      <c r="K353" s="7">
        <f>IF(OR(B353="",B353&lt;&gt;الإيصال!$C$3),"",COUNTIF(B$2:B353,الإيصال!$C$3))</f>
        <v/>
      </c>
    </row>
    <row r="354">
      <c r="A354" s="6" t="n"/>
      <c r="B354" s="4" t="n"/>
      <c r="C354" s="4" t="n"/>
      <c r="D354" s="4" t="n"/>
      <c r="E354">
        <f>IF(D354="","",IFERROR(INDEX(الأصناف!$B$2:$B$2000,MATCH(D354,الأصناف!$A$2:$A$2000,0)),"كود غير موجود"))</f>
        <v/>
      </c>
      <c r="F354" s="4" t="n"/>
      <c r="G354">
        <f>IF(D354="","",IFERROR(INDEX(الأصناف!$C$2:$C$2000,MATCH(D354,الأصناف!$A$2:$A$2000,0)),0))</f>
        <v/>
      </c>
      <c r="H354">
        <f>IF(D354="","",F354*G354)</f>
        <v/>
      </c>
      <c r="I354">
        <f>IF(D354="","",H354-F354*IFERROR(INDEX(الأصناف!$D$2:$D$2000,MATCH(D354,الأصناف!$A$2:$A$2000,0)),0))</f>
        <v/>
      </c>
      <c r="J354" s="4" t="n"/>
      <c r="K354" s="7">
        <f>IF(OR(B354="",B354&lt;&gt;الإيصال!$C$3),"",COUNTIF(B$2:B354,الإيصال!$C$3))</f>
        <v/>
      </c>
    </row>
    <row r="355">
      <c r="A355" s="6" t="n"/>
      <c r="B355" s="4" t="n"/>
      <c r="C355" s="4" t="n"/>
      <c r="D355" s="4" t="n"/>
      <c r="E355">
        <f>IF(D355="","",IFERROR(INDEX(الأصناف!$B$2:$B$2000,MATCH(D355,الأصناف!$A$2:$A$2000,0)),"كود غير موجود"))</f>
        <v/>
      </c>
      <c r="F355" s="4" t="n"/>
      <c r="G355">
        <f>IF(D355="","",IFERROR(INDEX(الأصناف!$C$2:$C$2000,MATCH(D355,الأصناف!$A$2:$A$2000,0)),0))</f>
        <v/>
      </c>
      <c r="H355">
        <f>IF(D355="","",F355*G355)</f>
        <v/>
      </c>
      <c r="I355">
        <f>IF(D355="","",H355-F355*IFERROR(INDEX(الأصناف!$D$2:$D$2000,MATCH(D355,الأصناف!$A$2:$A$2000,0)),0))</f>
        <v/>
      </c>
      <c r="J355" s="4" t="n"/>
      <c r="K355" s="7">
        <f>IF(OR(B355="",B355&lt;&gt;الإيصال!$C$3),"",COUNTIF(B$2:B355,الإيصال!$C$3))</f>
        <v/>
      </c>
    </row>
    <row r="356">
      <c r="A356" s="6" t="n"/>
      <c r="B356" s="4" t="n"/>
      <c r="C356" s="4" t="n"/>
      <c r="D356" s="4" t="n"/>
      <c r="E356">
        <f>IF(D356="","",IFERROR(INDEX(الأصناف!$B$2:$B$2000,MATCH(D356,الأصناف!$A$2:$A$2000,0)),"كود غير موجود"))</f>
        <v/>
      </c>
      <c r="F356" s="4" t="n"/>
      <c r="G356">
        <f>IF(D356="","",IFERROR(INDEX(الأصناف!$C$2:$C$2000,MATCH(D356,الأصناف!$A$2:$A$2000,0)),0))</f>
        <v/>
      </c>
      <c r="H356">
        <f>IF(D356="","",F356*G356)</f>
        <v/>
      </c>
      <c r="I356">
        <f>IF(D356="","",H356-F356*IFERROR(INDEX(الأصناف!$D$2:$D$2000,MATCH(D356,الأصناف!$A$2:$A$2000,0)),0))</f>
        <v/>
      </c>
      <c r="J356" s="4" t="n"/>
      <c r="K356" s="7">
        <f>IF(OR(B356="",B356&lt;&gt;الإيصال!$C$3),"",COUNTIF(B$2:B356,الإيصال!$C$3))</f>
        <v/>
      </c>
    </row>
    <row r="357">
      <c r="A357" s="6" t="n"/>
      <c r="B357" s="4" t="n"/>
      <c r="C357" s="4" t="n"/>
      <c r="D357" s="4" t="n"/>
      <c r="E357">
        <f>IF(D357="","",IFERROR(INDEX(الأصناف!$B$2:$B$2000,MATCH(D357,الأصناف!$A$2:$A$2000,0)),"كود غير موجود"))</f>
        <v/>
      </c>
      <c r="F357" s="4" t="n"/>
      <c r="G357">
        <f>IF(D357="","",IFERROR(INDEX(الأصناف!$C$2:$C$2000,MATCH(D357,الأصناف!$A$2:$A$2000,0)),0))</f>
        <v/>
      </c>
      <c r="H357">
        <f>IF(D357="","",F357*G357)</f>
        <v/>
      </c>
      <c r="I357">
        <f>IF(D357="","",H357-F357*IFERROR(INDEX(الأصناف!$D$2:$D$2000,MATCH(D357,الأصناف!$A$2:$A$2000,0)),0))</f>
        <v/>
      </c>
      <c r="J357" s="4" t="n"/>
      <c r="K357" s="7">
        <f>IF(OR(B357="",B357&lt;&gt;الإيصال!$C$3),"",COUNTIF(B$2:B357,الإيصال!$C$3))</f>
        <v/>
      </c>
    </row>
    <row r="358">
      <c r="A358" s="6" t="n"/>
      <c r="B358" s="4" t="n"/>
      <c r="C358" s="4" t="n"/>
      <c r="D358" s="4" t="n"/>
      <c r="E358">
        <f>IF(D358="","",IFERROR(INDEX(الأصناف!$B$2:$B$2000,MATCH(D358,الأصناف!$A$2:$A$2000,0)),"كود غير موجود"))</f>
        <v/>
      </c>
      <c r="F358" s="4" t="n"/>
      <c r="G358">
        <f>IF(D358="","",IFERROR(INDEX(الأصناف!$C$2:$C$2000,MATCH(D358,الأصناف!$A$2:$A$2000,0)),0))</f>
        <v/>
      </c>
      <c r="H358">
        <f>IF(D358="","",F358*G358)</f>
        <v/>
      </c>
      <c r="I358">
        <f>IF(D358="","",H358-F358*IFERROR(INDEX(الأصناف!$D$2:$D$2000,MATCH(D358,الأصناف!$A$2:$A$2000,0)),0))</f>
        <v/>
      </c>
      <c r="J358" s="4" t="n"/>
      <c r="K358" s="7">
        <f>IF(OR(B358="",B358&lt;&gt;الإيصال!$C$3),"",COUNTIF(B$2:B358,الإيصال!$C$3))</f>
        <v/>
      </c>
    </row>
    <row r="359">
      <c r="A359" s="6" t="n"/>
      <c r="B359" s="4" t="n"/>
      <c r="C359" s="4" t="n"/>
      <c r="D359" s="4" t="n"/>
      <c r="E359">
        <f>IF(D359="","",IFERROR(INDEX(الأصناف!$B$2:$B$2000,MATCH(D359,الأصناف!$A$2:$A$2000,0)),"كود غير موجود"))</f>
        <v/>
      </c>
      <c r="F359" s="4" t="n"/>
      <c r="G359">
        <f>IF(D359="","",IFERROR(INDEX(الأصناف!$C$2:$C$2000,MATCH(D359,الأصناف!$A$2:$A$2000,0)),0))</f>
        <v/>
      </c>
      <c r="H359">
        <f>IF(D359="","",F359*G359)</f>
        <v/>
      </c>
      <c r="I359">
        <f>IF(D359="","",H359-F359*IFERROR(INDEX(الأصناف!$D$2:$D$2000,MATCH(D359,الأصناف!$A$2:$A$2000,0)),0))</f>
        <v/>
      </c>
      <c r="J359" s="4" t="n"/>
      <c r="K359" s="7">
        <f>IF(OR(B359="",B359&lt;&gt;الإيصال!$C$3),"",COUNTIF(B$2:B359,الإيصال!$C$3))</f>
        <v/>
      </c>
    </row>
    <row r="360">
      <c r="A360" s="6" t="n"/>
      <c r="B360" s="4" t="n"/>
      <c r="C360" s="4" t="n"/>
      <c r="D360" s="4" t="n"/>
      <c r="E360">
        <f>IF(D360="","",IFERROR(INDEX(الأصناف!$B$2:$B$2000,MATCH(D360,الأصناف!$A$2:$A$2000,0)),"كود غير موجود"))</f>
        <v/>
      </c>
      <c r="F360" s="4" t="n"/>
      <c r="G360">
        <f>IF(D360="","",IFERROR(INDEX(الأصناف!$C$2:$C$2000,MATCH(D360,الأصناف!$A$2:$A$2000,0)),0))</f>
        <v/>
      </c>
      <c r="H360">
        <f>IF(D360="","",F360*G360)</f>
        <v/>
      </c>
      <c r="I360">
        <f>IF(D360="","",H360-F360*IFERROR(INDEX(الأصناف!$D$2:$D$2000,MATCH(D360,الأصناف!$A$2:$A$2000,0)),0))</f>
        <v/>
      </c>
      <c r="J360" s="4" t="n"/>
      <c r="K360" s="7">
        <f>IF(OR(B360="",B360&lt;&gt;الإيصال!$C$3),"",COUNTIF(B$2:B360,الإيصال!$C$3))</f>
        <v/>
      </c>
    </row>
    <row r="361">
      <c r="A361" s="6" t="n"/>
      <c r="B361" s="4" t="n"/>
      <c r="C361" s="4" t="n"/>
      <c r="D361" s="4" t="n"/>
      <c r="E361">
        <f>IF(D361="","",IFERROR(INDEX(الأصناف!$B$2:$B$2000,MATCH(D361,الأصناف!$A$2:$A$2000,0)),"كود غير موجود"))</f>
        <v/>
      </c>
      <c r="F361" s="4" t="n"/>
      <c r="G361">
        <f>IF(D361="","",IFERROR(INDEX(الأصناف!$C$2:$C$2000,MATCH(D361,الأصناف!$A$2:$A$2000,0)),0))</f>
        <v/>
      </c>
      <c r="H361">
        <f>IF(D361="","",F361*G361)</f>
        <v/>
      </c>
      <c r="I361">
        <f>IF(D361="","",H361-F361*IFERROR(INDEX(الأصناف!$D$2:$D$2000,MATCH(D361,الأصناف!$A$2:$A$2000,0)),0))</f>
        <v/>
      </c>
      <c r="J361" s="4" t="n"/>
      <c r="K361" s="7">
        <f>IF(OR(B361="",B361&lt;&gt;الإيصال!$C$3),"",COUNTIF(B$2:B361,الإيصال!$C$3))</f>
        <v/>
      </c>
    </row>
    <row r="362">
      <c r="A362" s="6" t="n"/>
      <c r="B362" s="4" t="n"/>
      <c r="C362" s="4" t="n"/>
      <c r="D362" s="4" t="n"/>
      <c r="E362">
        <f>IF(D362="","",IFERROR(INDEX(الأصناف!$B$2:$B$2000,MATCH(D362,الأصناف!$A$2:$A$2000,0)),"كود غير موجود"))</f>
        <v/>
      </c>
      <c r="F362" s="4" t="n"/>
      <c r="G362">
        <f>IF(D362="","",IFERROR(INDEX(الأصناف!$C$2:$C$2000,MATCH(D362,الأصناف!$A$2:$A$2000,0)),0))</f>
        <v/>
      </c>
      <c r="H362">
        <f>IF(D362="","",F362*G362)</f>
        <v/>
      </c>
      <c r="I362">
        <f>IF(D362="","",H362-F362*IFERROR(INDEX(الأصناف!$D$2:$D$2000,MATCH(D362,الأصناف!$A$2:$A$2000,0)),0))</f>
        <v/>
      </c>
      <c r="J362" s="4" t="n"/>
      <c r="K362" s="7">
        <f>IF(OR(B362="",B362&lt;&gt;الإيصال!$C$3),"",COUNTIF(B$2:B362,الإيصال!$C$3))</f>
        <v/>
      </c>
    </row>
    <row r="363">
      <c r="A363" s="6" t="n"/>
      <c r="B363" s="4" t="n"/>
      <c r="C363" s="4" t="n"/>
      <c r="D363" s="4" t="n"/>
      <c r="E363">
        <f>IF(D363="","",IFERROR(INDEX(الأصناف!$B$2:$B$2000,MATCH(D363,الأصناف!$A$2:$A$2000,0)),"كود غير موجود"))</f>
        <v/>
      </c>
      <c r="F363" s="4" t="n"/>
      <c r="G363">
        <f>IF(D363="","",IFERROR(INDEX(الأصناف!$C$2:$C$2000,MATCH(D363,الأصناف!$A$2:$A$2000,0)),0))</f>
        <v/>
      </c>
      <c r="H363">
        <f>IF(D363="","",F363*G363)</f>
        <v/>
      </c>
      <c r="I363">
        <f>IF(D363="","",H363-F363*IFERROR(INDEX(الأصناف!$D$2:$D$2000,MATCH(D363,الأصناف!$A$2:$A$2000,0)),0))</f>
        <v/>
      </c>
      <c r="J363" s="4" t="n"/>
      <c r="K363" s="7">
        <f>IF(OR(B363="",B363&lt;&gt;الإيصال!$C$3),"",COUNTIF(B$2:B363,الإيصال!$C$3))</f>
        <v/>
      </c>
    </row>
    <row r="364">
      <c r="A364" s="6" t="n"/>
      <c r="B364" s="4" t="n"/>
      <c r="C364" s="4" t="n"/>
      <c r="D364" s="4" t="n"/>
      <c r="E364">
        <f>IF(D364="","",IFERROR(INDEX(الأصناف!$B$2:$B$2000,MATCH(D364,الأصناف!$A$2:$A$2000,0)),"كود غير موجود"))</f>
        <v/>
      </c>
      <c r="F364" s="4" t="n"/>
      <c r="G364">
        <f>IF(D364="","",IFERROR(INDEX(الأصناف!$C$2:$C$2000,MATCH(D364,الأصناف!$A$2:$A$2000,0)),0))</f>
        <v/>
      </c>
      <c r="H364">
        <f>IF(D364="","",F364*G364)</f>
        <v/>
      </c>
      <c r="I364">
        <f>IF(D364="","",H364-F364*IFERROR(INDEX(الأصناف!$D$2:$D$2000,MATCH(D364,الأصناف!$A$2:$A$2000,0)),0))</f>
        <v/>
      </c>
      <c r="J364" s="4" t="n"/>
      <c r="K364" s="7">
        <f>IF(OR(B364="",B364&lt;&gt;الإيصال!$C$3),"",COUNTIF(B$2:B364,الإيصال!$C$3))</f>
        <v/>
      </c>
    </row>
    <row r="365">
      <c r="A365" s="6" t="n"/>
      <c r="B365" s="4" t="n"/>
      <c r="C365" s="4" t="n"/>
      <c r="D365" s="4" t="n"/>
      <c r="E365">
        <f>IF(D365="","",IFERROR(INDEX(الأصناف!$B$2:$B$2000,MATCH(D365,الأصناف!$A$2:$A$2000,0)),"كود غير موجود"))</f>
        <v/>
      </c>
      <c r="F365" s="4" t="n"/>
      <c r="G365">
        <f>IF(D365="","",IFERROR(INDEX(الأصناف!$C$2:$C$2000,MATCH(D365,الأصناف!$A$2:$A$2000,0)),0))</f>
        <v/>
      </c>
      <c r="H365">
        <f>IF(D365="","",F365*G365)</f>
        <v/>
      </c>
      <c r="I365">
        <f>IF(D365="","",H365-F365*IFERROR(INDEX(الأصناف!$D$2:$D$2000,MATCH(D365,الأصناف!$A$2:$A$2000,0)),0))</f>
        <v/>
      </c>
      <c r="J365" s="4" t="n"/>
      <c r="K365" s="7">
        <f>IF(OR(B365="",B365&lt;&gt;الإيصال!$C$3),"",COUNTIF(B$2:B365,الإيصال!$C$3))</f>
        <v/>
      </c>
    </row>
    <row r="366">
      <c r="A366" s="6" t="n"/>
      <c r="B366" s="4" t="n"/>
      <c r="C366" s="4" t="n"/>
      <c r="D366" s="4" t="n"/>
      <c r="E366">
        <f>IF(D366="","",IFERROR(INDEX(الأصناف!$B$2:$B$2000,MATCH(D366,الأصناف!$A$2:$A$2000,0)),"كود غير موجود"))</f>
        <v/>
      </c>
      <c r="F366" s="4" t="n"/>
      <c r="G366">
        <f>IF(D366="","",IFERROR(INDEX(الأصناف!$C$2:$C$2000,MATCH(D366,الأصناف!$A$2:$A$2000,0)),0))</f>
        <v/>
      </c>
      <c r="H366">
        <f>IF(D366="","",F366*G366)</f>
        <v/>
      </c>
      <c r="I366">
        <f>IF(D366="","",H366-F366*IFERROR(INDEX(الأصناف!$D$2:$D$2000,MATCH(D366,الأصناف!$A$2:$A$2000,0)),0))</f>
        <v/>
      </c>
      <c r="J366" s="4" t="n"/>
      <c r="K366" s="7">
        <f>IF(OR(B366="",B366&lt;&gt;الإيصال!$C$3),"",COUNTIF(B$2:B366,الإيصال!$C$3))</f>
        <v/>
      </c>
    </row>
    <row r="367">
      <c r="A367" s="6" t="n"/>
      <c r="B367" s="4" t="n"/>
      <c r="C367" s="4" t="n"/>
      <c r="D367" s="4" t="n"/>
      <c r="E367">
        <f>IF(D367="","",IFERROR(INDEX(الأصناف!$B$2:$B$2000,MATCH(D367,الأصناف!$A$2:$A$2000,0)),"كود غير موجود"))</f>
        <v/>
      </c>
      <c r="F367" s="4" t="n"/>
      <c r="G367">
        <f>IF(D367="","",IFERROR(INDEX(الأصناف!$C$2:$C$2000,MATCH(D367,الأصناف!$A$2:$A$2000,0)),0))</f>
        <v/>
      </c>
      <c r="H367">
        <f>IF(D367="","",F367*G367)</f>
        <v/>
      </c>
      <c r="I367">
        <f>IF(D367="","",H367-F367*IFERROR(INDEX(الأصناف!$D$2:$D$2000,MATCH(D367,الأصناف!$A$2:$A$2000,0)),0))</f>
        <v/>
      </c>
      <c r="J367" s="4" t="n"/>
      <c r="K367" s="7">
        <f>IF(OR(B367="",B367&lt;&gt;الإيصال!$C$3),"",COUNTIF(B$2:B367,الإيصال!$C$3))</f>
        <v/>
      </c>
    </row>
    <row r="368">
      <c r="A368" s="6" t="n"/>
      <c r="B368" s="4" t="n"/>
      <c r="C368" s="4" t="n"/>
      <c r="D368" s="4" t="n"/>
      <c r="E368">
        <f>IF(D368="","",IFERROR(INDEX(الأصناف!$B$2:$B$2000,MATCH(D368,الأصناف!$A$2:$A$2000,0)),"كود غير موجود"))</f>
        <v/>
      </c>
      <c r="F368" s="4" t="n"/>
      <c r="G368">
        <f>IF(D368="","",IFERROR(INDEX(الأصناف!$C$2:$C$2000,MATCH(D368,الأصناف!$A$2:$A$2000,0)),0))</f>
        <v/>
      </c>
      <c r="H368">
        <f>IF(D368="","",F368*G368)</f>
        <v/>
      </c>
      <c r="I368">
        <f>IF(D368="","",H368-F368*IFERROR(INDEX(الأصناف!$D$2:$D$2000,MATCH(D368,الأصناف!$A$2:$A$2000,0)),0))</f>
        <v/>
      </c>
      <c r="J368" s="4" t="n"/>
      <c r="K368" s="7">
        <f>IF(OR(B368="",B368&lt;&gt;الإيصال!$C$3),"",COUNTIF(B$2:B368,الإيصال!$C$3))</f>
        <v/>
      </c>
    </row>
    <row r="369">
      <c r="A369" s="6" t="n"/>
      <c r="B369" s="4" t="n"/>
      <c r="C369" s="4" t="n"/>
      <c r="D369" s="4" t="n"/>
      <c r="E369">
        <f>IF(D369="","",IFERROR(INDEX(الأصناف!$B$2:$B$2000,MATCH(D369,الأصناف!$A$2:$A$2000,0)),"كود غير موجود"))</f>
        <v/>
      </c>
      <c r="F369" s="4" t="n"/>
      <c r="G369">
        <f>IF(D369="","",IFERROR(INDEX(الأصناف!$C$2:$C$2000,MATCH(D369,الأصناف!$A$2:$A$2000,0)),0))</f>
        <v/>
      </c>
      <c r="H369">
        <f>IF(D369="","",F369*G369)</f>
        <v/>
      </c>
      <c r="I369">
        <f>IF(D369="","",H369-F369*IFERROR(INDEX(الأصناف!$D$2:$D$2000,MATCH(D369,الأصناف!$A$2:$A$2000,0)),0))</f>
        <v/>
      </c>
      <c r="J369" s="4" t="n"/>
      <c r="K369" s="7">
        <f>IF(OR(B369="",B369&lt;&gt;الإيصال!$C$3),"",COUNTIF(B$2:B369,الإيصال!$C$3))</f>
        <v/>
      </c>
    </row>
    <row r="370">
      <c r="A370" s="6" t="n"/>
      <c r="B370" s="4" t="n"/>
      <c r="C370" s="4" t="n"/>
      <c r="D370" s="4" t="n"/>
      <c r="E370">
        <f>IF(D370="","",IFERROR(INDEX(الأصناف!$B$2:$B$2000,MATCH(D370,الأصناف!$A$2:$A$2000,0)),"كود غير موجود"))</f>
        <v/>
      </c>
      <c r="F370" s="4" t="n"/>
      <c r="G370">
        <f>IF(D370="","",IFERROR(INDEX(الأصناف!$C$2:$C$2000,MATCH(D370,الأصناف!$A$2:$A$2000,0)),0))</f>
        <v/>
      </c>
      <c r="H370">
        <f>IF(D370="","",F370*G370)</f>
        <v/>
      </c>
      <c r="I370">
        <f>IF(D370="","",H370-F370*IFERROR(INDEX(الأصناف!$D$2:$D$2000,MATCH(D370,الأصناف!$A$2:$A$2000,0)),0))</f>
        <v/>
      </c>
      <c r="J370" s="4" t="n"/>
      <c r="K370" s="7">
        <f>IF(OR(B370="",B370&lt;&gt;الإيصال!$C$3),"",COUNTIF(B$2:B370,الإيصال!$C$3))</f>
        <v/>
      </c>
    </row>
    <row r="371">
      <c r="A371" s="6" t="n"/>
      <c r="B371" s="4" t="n"/>
      <c r="C371" s="4" t="n"/>
      <c r="D371" s="4" t="n"/>
      <c r="E371">
        <f>IF(D371="","",IFERROR(INDEX(الأصناف!$B$2:$B$2000,MATCH(D371,الأصناف!$A$2:$A$2000,0)),"كود غير موجود"))</f>
        <v/>
      </c>
      <c r="F371" s="4" t="n"/>
      <c r="G371">
        <f>IF(D371="","",IFERROR(INDEX(الأصناف!$C$2:$C$2000,MATCH(D371,الأصناف!$A$2:$A$2000,0)),0))</f>
        <v/>
      </c>
      <c r="H371">
        <f>IF(D371="","",F371*G371)</f>
        <v/>
      </c>
      <c r="I371">
        <f>IF(D371="","",H371-F371*IFERROR(INDEX(الأصناف!$D$2:$D$2000,MATCH(D371,الأصناف!$A$2:$A$2000,0)),0))</f>
        <v/>
      </c>
      <c r="J371" s="4" t="n"/>
      <c r="K371" s="7">
        <f>IF(OR(B371="",B371&lt;&gt;الإيصال!$C$3),"",COUNTIF(B$2:B371,الإيصال!$C$3))</f>
        <v/>
      </c>
    </row>
    <row r="372">
      <c r="A372" s="6" t="n"/>
      <c r="B372" s="4" t="n"/>
      <c r="C372" s="4" t="n"/>
      <c r="D372" s="4" t="n"/>
      <c r="E372">
        <f>IF(D372="","",IFERROR(INDEX(الأصناف!$B$2:$B$2000,MATCH(D372,الأصناف!$A$2:$A$2000,0)),"كود غير موجود"))</f>
        <v/>
      </c>
      <c r="F372" s="4" t="n"/>
      <c r="G372">
        <f>IF(D372="","",IFERROR(INDEX(الأصناف!$C$2:$C$2000,MATCH(D372,الأصناف!$A$2:$A$2000,0)),0))</f>
        <v/>
      </c>
      <c r="H372">
        <f>IF(D372="","",F372*G372)</f>
        <v/>
      </c>
      <c r="I372">
        <f>IF(D372="","",H372-F372*IFERROR(INDEX(الأصناف!$D$2:$D$2000,MATCH(D372,الأصناف!$A$2:$A$2000,0)),0))</f>
        <v/>
      </c>
      <c r="J372" s="4" t="n"/>
      <c r="K372" s="7">
        <f>IF(OR(B372="",B372&lt;&gt;الإيصال!$C$3),"",COUNTIF(B$2:B372,الإيصال!$C$3))</f>
        <v/>
      </c>
    </row>
    <row r="373">
      <c r="A373" s="6" t="n"/>
      <c r="B373" s="4" t="n"/>
      <c r="C373" s="4" t="n"/>
      <c r="D373" s="4" t="n"/>
      <c r="E373">
        <f>IF(D373="","",IFERROR(INDEX(الأصناف!$B$2:$B$2000,MATCH(D373,الأصناف!$A$2:$A$2000,0)),"كود غير موجود"))</f>
        <v/>
      </c>
      <c r="F373" s="4" t="n"/>
      <c r="G373">
        <f>IF(D373="","",IFERROR(INDEX(الأصناف!$C$2:$C$2000,MATCH(D373,الأصناف!$A$2:$A$2000,0)),0))</f>
        <v/>
      </c>
      <c r="H373">
        <f>IF(D373="","",F373*G373)</f>
        <v/>
      </c>
      <c r="I373">
        <f>IF(D373="","",H373-F373*IFERROR(INDEX(الأصناف!$D$2:$D$2000,MATCH(D373,الأصناف!$A$2:$A$2000,0)),0))</f>
        <v/>
      </c>
      <c r="J373" s="4" t="n"/>
      <c r="K373" s="7">
        <f>IF(OR(B373="",B373&lt;&gt;الإيصال!$C$3),"",COUNTIF(B$2:B373,الإيصال!$C$3))</f>
        <v/>
      </c>
    </row>
    <row r="374">
      <c r="A374" s="6" t="n"/>
      <c r="B374" s="4" t="n"/>
      <c r="C374" s="4" t="n"/>
      <c r="D374" s="4" t="n"/>
      <c r="E374">
        <f>IF(D374="","",IFERROR(INDEX(الأصناف!$B$2:$B$2000,MATCH(D374,الأصناف!$A$2:$A$2000,0)),"كود غير موجود"))</f>
        <v/>
      </c>
      <c r="F374" s="4" t="n"/>
      <c r="G374">
        <f>IF(D374="","",IFERROR(INDEX(الأصناف!$C$2:$C$2000,MATCH(D374,الأصناف!$A$2:$A$2000,0)),0))</f>
        <v/>
      </c>
      <c r="H374">
        <f>IF(D374="","",F374*G374)</f>
        <v/>
      </c>
      <c r="I374">
        <f>IF(D374="","",H374-F374*IFERROR(INDEX(الأصناف!$D$2:$D$2000,MATCH(D374,الأصناف!$A$2:$A$2000,0)),0))</f>
        <v/>
      </c>
      <c r="J374" s="4" t="n"/>
      <c r="K374" s="7">
        <f>IF(OR(B374="",B374&lt;&gt;الإيصال!$C$3),"",COUNTIF(B$2:B374,الإيصال!$C$3))</f>
        <v/>
      </c>
    </row>
    <row r="375">
      <c r="A375" s="6" t="n"/>
      <c r="B375" s="4" t="n"/>
      <c r="C375" s="4" t="n"/>
      <c r="D375" s="4" t="n"/>
      <c r="E375">
        <f>IF(D375="","",IFERROR(INDEX(الأصناف!$B$2:$B$2000,MATCH(D375,الأصناف!$A$2:$A$2000,0)),"كود غير موجود"))</f>
        <v/>
      </c>
      <c r="F375" s="4" t="n"/>
      <c r="G375">
        <f>IF(D375="","",IFERROR(INDEX(الأصناف!$C$2:$C$2000,MATCH(D375,الأصناف!$A$2:$A$2000,0)),0))</f>
        <v/>
      </c>
      <c r="H375">
        <f>IF(D375="","",F375*G375)</f>
        <v/>
      </c>
      <c r="I375">
        <f>IF(D375="","",H375-F375*IFERROR(INDEX(الأصناف!$D$2:$D$2000,MATCH(D375,الأصناف!$A$2:$A$2000,0)),0))</f>
        <v/>
      </c>
      <c r="J375" s="4" t="n"/>
      <c r="K375" s="7">
        <f>IF(OR(B375="",B375&lt;&gt;الإيصال!$C$3),"",COUNTIF(B$2:B375,الإيصال!$C$3))</f>
        <v/>
      </c>
    </row>
    <row r="376">
      <c r="A376" s="6" t="n"/>
      <c r="B376" s="4" t="n"/>
      <c r="C376" s="4" t="n"/>
      <c r="D376" s="4" t="n"/>
      <c r="E376">
        <f>IF(D376="","",IFERROR(INDEX(الأصناف!$B$2:$B$2000,MATCH(D376,الأصناف!$A$2:$A$2000,0)),"كود غير موجود"))</f>
        <v/>
      </c>
      <c r="F376" s="4" t="n"/>
      <c r="G376">
        <f>IF(D376="","",IFERROR(INDEX(الأصناف!$C$2:$C$2000,MATCH(D376,الأصناف!$A$2:$A$2000,0)),0))</f>
        <v/>
      </c>
      <c r="H376">
        <f>IF(D376="","",F376*G376)</f>
        <v/>
      </c>
      <c r="I376">
        <f>IF(D376="","",H376-F376*IFERROR(INDEX(الأصناف!$D$2:$D$2000,MATCH(D376,الأصناف!$A$2:$A$2000,0)),0))</f>
        <v/>
      </c>
      <c r="J376" s="4" t="n"/>
      <c r="K376" s="7">
        <f>IF(OR(B376="",B376&lt;&gt;الإيصال!$C$3),"",COUNTIF(B$2:B376,الإيصال!$C$3))</f>
        <v/>
      </c>
    </row>
    <row r="377">
      <c r="A377" s="6" t="n"/>
      <c r="B377" s="4" t="n"/>
      <c r="C377" s="4" t="n"/>
      <c r="D377" s="4" t="n"/>
      <c r="E377">
        <f>IF(D377="","",IFERROR(INDEX(الأصناف!$B$2:$B$2000,MATCH(D377,الأصناف!$A$2:$A$2000,0)),"كود غير موجود"))</f>
        <v/>
      </c>
      <c r="F377" s="4" t="n"/>
      <c r="G377">
        <f>IF(D377="","",IFERROR(INDEX(الأصناف!$C$2:$C$2000,MATCH(D377,الأصناف!$A$2:$A$2000,0)),0))</f>
        <v/>
      </c>
      <c r="H377">
        <f>IF(D377="","",F377*G377)</f>
        <v/>
      </c>
      <c r="I377">
        <f>IF(D377="","",H377-F377*IFERROR(INDEX(الأصناف!$D$2:$D$2000,MATCH(D377,الأصناف!$A$2:$A$2000,0)),0))</f>
        <v/>
      </c>
      <c r="J377" s="4" t="n"/>
      <c r="K377" s="7">
        <f>IF(OR(B377="",B377&lt;&gt;الإيصال!$C$3),"",COUNTIF(B$2:B377,الإيصال!$C$3))</f>
        <v/>
      </c>
    </row>
    <row r="378">
      <c r="A378" s="6" t="n"/>
      <c r="B378" s="4" t="n"/>
      <c r="C378" s="4" t="n"/>
      <c r="D378" s="4" t="n"/>
      <c r="E378">
        <f>IF(D378="","",IFERROR(INDEX(الأصناف!$B$2:$B$2000,MATCH(D378,الأصناف!$A$2:$A$2000,0)),"كود غير موجود"))</f>
        <v/>
      </c>
      <c r="F378" s="4" t="n"/>
      <c r="G378">
        <f>IF(D378="","",IFERROR(INDEX(الأصناف!$C$2:$C$2000,MATCH(D378,الأصناف!$A$2:$A$2000,0)),0))</f>
        <v/>
      </c>
      <c r="H378">
        <f>IF(D378="","",F378*G378)</f>
        <v/>
      </c>
      <c r="I378">
        <f>IF(D378="","",H378-F378*IFERROR(INDEX(الأصناف!$D$2:$D$2000,MATCH(D378,الأصناف!$A$2:$A$2000,0)),0))</f>
        <v/>
      </c>
      <c r="J378" s="4" t="n"/>
      <c r="K378" s="7">
        <f>IF(OR(B378="",B378&lt;&gt;الإيصال!$C$3),"",COUNTIF(B$2:B378,الإيصال!$C$3))</f>
        <v/>
      </c>
    </row>
    <row r="379">
      <c r="A379" s="6" t="n"/>
      <c r="B379" s="4" t="n"/>
      <c r="C379" s="4" t="n"/>
      <c r="D379" s="4" t="n"/>
      <c r="E379">
        <f>IF(D379="","",IFERROR(INDEX(الأصناف!$B$2:$B$2000,MATCH(D379,الأصناف!$A$2:$A$2000,0)),"كود غير موجود"))</f>
        <v/>
      </c>
      <c r="F379" s="4" t="n"/>
      <c r="G379">
        <f>IF(D379="","",IFERROR(INDEX(الأصناف!$C$2:$C$2000,MATCH(D379,الأصناف!$A$2:$A$2000,0)),0))</f>
        <v/>
      </c>
      <c r="H379">
        <f>IF(D379="","",F379*G379)</f>
        <v/>
      </c>
      <c r="I379">
        <f>IF(D379="","",H379-F379*IFERROR(INDEX(الأصناف!$D$2:$D$2000,MATCH(D379,الأصناف!$A$2:$A$2000,0)),0))</f>
        <v/>
      </c>
      <c r="J379" s="4" t="n"/>
      <c r="K379" s="7">
        <f>IF(OR(B379="",B379&lt;&gt;الإيصال!$C$3),"",COUNTIF(B$2:B379,الإيصال!$C$3))</f>
        <v/>
      </c>
    </row>
    <row r="380">
      <c r="A380" s="6" t="n"/>
      <c r="B380" s="4" t="n"/>
      <c r="C380" s="4" t="n"/>
      <c r="D380" s="4" t="n"/>
      <c r="E380">
        <f>IF(D380="","",IFERROR(INDEX(الأصناف!$B$2:$B$2000,MATCH(D380,الأصناف!$A$2:$A$2000,0)),"كود غير موجود"))</f>
        <v/>
      </c>
      <c r="F380" s="4" t="n"/>
      <c r="G380">
        <f>IF(D380="","",IFERROR(INDEX(الأصناف!$C$2:$C$2000,MATCH(D380,الأصناف!$A$2:$A$2000,0)),0))</f>
        <v/>
      </c>
      <c r="H380">
        <f>IF(D380="","",F380*G380)</f>
        <v/>
      </c>
      <c r="I380">
        <f>IF(D380="","",H380-F380*IFERROR(INDEX(الأصناف!$D$2:$D$2000,MATCH(D380,الأصناف!$A$2:$A$2000,0)),0))</f>
        <v/>
      </c>
      <c r="J380" s="4" t="n"/>
      <c r="K380" s="7">
        <f>IF(OR(B380="",B380&lt;&gt;الإيصال!$C$3),"",COUNTIF(B$2:B380,الإيصال!$C$3))</f>
        <v/>
      </c>
    </row>
    <row r="381">
      <c r="A381" s="6" t="n"/>
      <c r="B381" s="4" t="n"/>
      <c r="C381" s="4" t="n"/>
      <c r="D381" s="4" t="n"/>
      <c r="E381">
        <f>IF(D381="","",IFERROR(INDEX(الأصناف!$B$2:$B$2000,MATCH(D381,الأصناف!$A$2:$A$2000,0)),"كود غير موجود"))</f>
        <v/>
      </c>
      <c r="F381" s="4" t="n"/>
      <c r="G381">
        <f>IF(D381="","",IFERROR(INDEX(الأصناف!$C$2:$C$2000,MATCH(D381,الأصناف!$A$2:$A$2000,0)),0))</f>
        <v/>
      </c>
      <c r="H381">
        <f>IF(D381="","",F381*G381)</f>
        <v/>
      </c>
      <c r="I381">
        <f>IF(D381="","",H381-F381*IFERROR(INDEX(الأصناف!$D$2:$D$2000,MATCH(D381,الأصناف!$A$2:$A$2000,0)),0))</f>
        <v/>
      </c>
      <c r="J381" s="4" t="n"/>
      <c r="K381" s="7">
        <f>IF(OR(B381="",B381&lt;&gt;الإيصال!$C$3),"",COUNTIF(B$2:B381,الإيصال!$C$3))</f>
        <v/>
      </c>
    </row>
    <row r="382">
      <c r="A382" s="6" t="n"/>
      <c r="B382" s="4" t="n"/>
      <c r="C382" s="4" t="n"/>
      <c r="D382" s="4" t="n"/>
      <c r="E382">
        <f>IF(D382="","",IFERROR(INDEX(الأصناف!$B$2:$B$2000,MATCH(D382,الأصناف!$A$2:$A$2000,0)),"كود غير موجود"))</f>
        <v/>
      </c>
      <c r="F382" s="4" t="n"/>
      <c r="G382">
        <f>IF(D382="","",IFERROR(INDEX(الأصناف!$C$2:$C$2000,MATCH(D382,الأصناف!$A$2:$A$2000,0)),0))</f>
        <v/>
      </c>
      <c r="H382">
        <f>IF(D382="","",F382*G382)</f>
        <v/>
      </c>
      <c r="I382">
        <f>IF(D382="","",H382-F382*IFERROR(INDEX(الأصناف!$D$2:$D$2000,MATCH(D382,الأصناف!$A$2:$A$2000,0)),0))</f>
        <v/>
      </c>
      <c r="J382" s="4" t="n"/>
      <c r="K382" s="7">
        <f>IF(OR(B382="",B382&lt;&gt;الإيصال!$C$3),"",COUNTIF(B$2:B382,الإيصال!$C$3))</f>
        <v/>
      </c>
    </row>
    <row r="383">
      <c r="A383" s="6" t="n"/>
      <c r="B383" s="4" t="n"/>
      <c r="C383" s="4" t="n"/>
      <c r="D383" s="4" t="n"/>
      <c r="E383">
        <f>IF(D383="","",IFERROR(INDEX(الأصناف!$B$2:$B$2000,MATCH(D383,الأصناف!$A$2:$A$2000,0)),"كود غير موجود"))</f>
        <v/>
      </c>
      <c r="F383" s="4" t="n"/>
      <c r="G383">
        <f>IF(D383="","",IFERROR(INDEX(الأصناف!$C$2:$C$2000,MATCH(D383,الأصناف!$A$2:$A$2000,0)),0))</f>
        <v/>
      </c>
      <c r="H383">
        <f>IF(D383="","",F383*G383)</f>
        <v/>
      </c>
      <c r="I383">
        <f>IF(D383="","",H383-F383*IFERROR(INDEX(الأصناف!$D$2:$D$2000,MATCH(D383,الأصناف!$A$2:$A$2000,0)),0))</f>
        <v/>
      </c>
      <c r="J383" s="4" t="n"/>
      <c r="K383" s="7">
        <f>IF(OR(B383="",B383&lt;&gt;الإيصال!$C$3),"",COUNTIF(B$2:B383,الإيصال!$C$3))</f>
        <v/>
      </c>
    </row>
    <row r="384">
      <c r="A384" s="6" t="n"/>
      <c r="B384" s="4" t="n"/>
      <c r="C384" s="4" t="n"/>
      <c r="D384" s="4" t="n"/>
      <c r="E384">
        <f>IF(D384="","",IFERROR(INDEX(الأصناف!$B$2:$B$2000,MATCH(D384,الأصناف!$A$2:$A$2000,0)),"كود غير موجود"))</f>
        <v/>
      </c>
      <c r="F384" s="4" t="n"/>
      <c r="G384">
        <f>IF(D384="","",IFERROR(INDEX(الأصناف!$C$2:$C$2000,MATCH(D384,الأصناف!$A$2:$A$2000,0)),0))</f>
        <v/>
      </c>
      <c r="H384">
        <f>IF(D384="","",F384*G384)</f>
        <v/>
      </c>
      <c r="I384">
        <f>IF(D384="","",H384-F384*IFERROR(INDEX(الأصناف!$D$2:$D$2000,MATCH(D384,الأصناف!$A$2:$A$2000,0)),0))</f>
        <v/>
      </c>
      <c r="J384" s="4" t="n"/>
      <c r="K384" s="7">
        <f>IF(OR(B384="",B384&lt;&gt;الإيصال!$C$3),"",COUNTIF(B$2:B384,الإيصال!$C$3))</f>
        <v/>
      </c>
    </row>
    <row r="385">
      <c r="A385" s="6" t="n"/>
      <c r="B385" s="4" t="n"/>
      <c r="C385" s="4" t="n"/>
      <c r="D385" s="4" t="n"/>
      <c r="E385">
        <f>IF(D385="","",IFERROR(INDEX(الأصناف!$B$2:$B$2000,MATCH(D385,الأصناف!$A$2:$A$2000,0)),"كود غير موجود"))</f>
        <v/>
      </c>
      <c r="F385" s="4" t="n"/>
      <c r="G385">
        <f>IF(D385="","",IFERROR(INDEX(الأصناف!$C$2:$C$2000,MATCH(D385,الأصناف!$A$2:$A$2000,0)),0))</f>
        <v/>
      </c>
      <c r="H385">
        <f>IF(D385="","",F385*G385)</f>
        <v/>
      </c>
      <c r="I385">
        <f>IF(D385="","",H385-F385*IFERROR(INDEX(الأصناف!$D$2:$D$2000,MATCH(D385,الأصناف!$A$2:$A$2000,0)),0))</f>
        <v/>
      </c>
      <c r="J385" s="4" t="n"/>
      <c r="K385" s="7">
        <f>IF(OR(B385="",B385&lt;&gt;الإيصال!$C$3),"",COUNTIF(B$2:B385,الإيصال!$C$3))</f>
        <v/>
      </c>
    </row>
    <row r="386">
      <c r="A386" s="6" t="n"/>
      <c r="B386" s="4" t="n"/>
      <c r="C386" s="4" t="n"/>
      <c r="D386" s="4" t="n"/>
      <c r="E386">
        <f>IF(D386="","",IFERROR(INDEX(الأصناف!$B$2:$B$2000,MATCH(D386,الأصناف!$A$2:$A$2000,0)),"كود غير موجود"))</f>
        <v/>
      </c>
      <c r="F386" s="4" t="n"/>
      <c r="G386">
        <f>IF(D386="","",IFERROR(INDEX(الأصناف!$C$2:$C$2000,MATCH(D386,الأصناف!$A$2:$A$2000,0)),0))</f>
        <v/>
      </c>
      <c r="H386">
        <f>IF(D386="","",F386*G386)</f>
        <v/>
      </c>
      <c r="I386">
        <f>IF(D386="","",H386-F386*IFERROR(INDEX(الأصناف!$D$2:$D$2000,MATCH(D386,الأصناف!$A$2:$A$2000,0)),0))</f>
        <v/>
      </c>
      <c r="J386" s="4" t="n"/>
      <c r="K386" s="7">
        <f>IF(OR(B386="",B386&lt;&gt;الإيصال!$C$3),"",COUNTIF(B$2:B386,الإيصال!$C$3))</f>
        <v/>
      </c>
    </row>
    <row r="387">
      <c r="A387" s="6" t="n"/>
      <c r="B387" s="4" t="n"/>
      <c r="C387" s="4" t="n"/>
      <c r="D387" s="4" t="n"/>
      <c r="E387">
        <f>IF(D387="","",IFERROR(INDEX(الأصناف!$B$2:$B$2000,MATCH(D387,الأصناف!$A$2:$A$2000,0)),"كود غير موجود"))</f>
        <v/>
      </c>
      <c r="F387" s="4" t="n"/>
      <c r="G387">
        <f>IF(D387="","",IFERROR(INDEX(الأصناف!$C$2:$C$2000,MATCH(D387,الأصناف!$A$2:$A$2000,0)),0))</f>
        <v/>
      </c>
      <c r="H387">
        <f>IF(D387="","",F387*G387)</f>
        <v/>
      </c>
      <c r="I387">
        <f>IF(D387="","",H387-F387*IFERROR(INDEX(الأصناف!$D$2:$D$2000,MATCH(D387,الأصناف!$A$2:$A$2000,0)),0))</f>
        <v/>
      </c>
      <c r="J387" s="4" t="n"/>
      <c r="K387" s="7">
        <f>IF(OR(B387="",B387&lt;&gt;الإيصال!$C$3),"",COUNTIF(B$2:B387,الإيصال!$C$3))</f>
        <v/>
      </c>
    </row>
    <row r="388">
      <c r="A388" s="6" t="n"/>
      <c r="B388" s="4" t="n"/>
      <c r="C388" s="4" t="n"/>
      <c r="D388" s="4" t="n"/>
      <c r="E388">
        <f>IF(D388="","",IFERROR(INDEX(الأصناف!$B$2:$B$2000,MATCH(D388,الأصناف!$A$2:$A$2000,0)),"كود غير موجود"))</f>
        <v/>
      </c>
      <c r="F388" s="4" t="n"/>
      <c r="G388">
        <f>IF(D388="","",IFERROR(INDEX(الأصناف!$C$2:$C$2000,MATCH(D388,الأصناف!$A$2:$A$2000,0)),0))</f>
        <v/>
      </c>
      <c r="H388">
        <f>IF(D388="","",F388*G388)</f>
        <v/>
      </c>
      <c r="I388">
        <f>IF(D388="","",H388-F388*IFERROR(INDEX(الأصناف!$D$2:$D$2000,MATCH(D388,الأصناف!$A$2:$A$2000,0)),0))</f>
        <v/>
      </c>
      <c r="J388" s="4" t="n"/>
      <c r="K388" s="7">
        <f>IF(OR(B388="",B388&lt;&gt;الإيصال!$C$3),"",COUNTIF(B$2:B388,الإيصال!$C$3))</f>
        <v/>
      </c>
    </row>
    <row r="389">
      <c r="A389" s="6" t="n"/>
      <c r="B389" s="4" t="n"/>
      <c r="C389" s="4" t="n"/>
      <c r="D389" s="4" t="n"/>
      <c r="E389">
        <f>IF(D389="","",IFERROR(INDEX(الأصناف!$B$2:$B$2000,MATCH(D389,الأصناف!$A$2:$A$2000,0)),"كود غير موجود"))</f>
        <v/>
      </c>
      <c r="F389" s="4" t="n"/>
      <c r="G389">
        <f>IF(D389="","",IFERROR(INDEX(الأصناف!$C$2:$C$2000,MATCH(D389,الأصناف!$A$2:$A$2000,0)),0))</f>
        <v/>
      </c>
      <c r="H389">
        <f>IF(D389="","",F389*G389)</f>
        <v/>
      </c>
      <c r="I389">
        <f>IF(D389="","",H389-F389*IFERROR(INDEX(الأصناف!$D$2:$D$2000,MATCH(D389,الأصناف!$A$2:$A$2000,0)),0))</f>
        <v/>
      </c>
      <c r="J389" s="4" t="n"/>
      <c r="K389" s="7">
        <f>IF(OR(B389="",B389&lt;&gt;الإيصال!$C$3),"",COUNTIF(B$2:B389,الإيصال!$C$3))</f>
        <v/>
      </c>
    </row>
    <row r="390">
      <c r="A390" s="6" t="n"/>
      <c r="B390" s="4" t="n"/>
      <c r="C390" s="4" t="n"/>
      <c r="D390" s="4" t="n"/>
      <c r="E390">
        <f>IF(D390="","",IFERROR(INDEX(الأصناف!$B$2:$B$2000,MATCH(D390,الأصناف!$A$2:$A$2000,0)),"كود غير موجود"))</f>
        <v/>
      </c>
      <c r="F390" s="4" t="n"/>
      <c r="G390">
        <f>IF(D390="","",IFERROR(INDEX(الأصناف!$C$2:$C$2000,MATCH(D390,الأصناف!$A$2:$A$2000,0)),0))</f>
        <v/>
      </c>
      <c r="H390">
        <f>IF(D390="","",F390*G390)</f>
        <v/>
      </c>
      <c r="I390">
        <f>IF(D390="","",H390-F390*IFERROR(INDEX(الأصناف!$D$2:$D$2000,MATCH(D390,الأصناف!$A$2:$A$2000,0)),0))</f>
        <v/>
      </c>
      <c r="J390" s="4" t="n"/>
      <c r="K390" s="7">
        <f>IF(OR(B390="",B390&lt;&gt;الإيصال!$C$3),"",COUNTIF(B$2:B390,الإيصال!$C$3))</f>
        <v/>
      </c>
    </row>
    <row r="391">
      <c r="A391" s="6" t="n"/>
      <c r="B391" s="4" t="n"/>
      <c r="C391" s="4" t="n"/>
      <c r="D391" s="4" t="n"/>
      <c r="E391">
        <f>IF(D391="","",IFERROR(INDEX(الأصناف!$B$2:$B$2000,MATCH(D391,الأصناف!$A$2:$A$2000,0)),"كود غير موجود"))</f>
        <v/>
      </c>
      <c r="F391" s="4" t="n"/>
      <c r="G391">
        <f>IF(D391="","",IFERROR(INDEX(الأصناف!$C$2:$C$2000,MATCH(D391,الأصناف!$A$2:$A$2000,0)),0))</f>
        <v/>
      </c>
      <c r="H391">
        <f>IF(D391="","",F391*G391)</f>
        <v/>
      </c>
      <c r="I391">
        <f>IF(D391="","",H391-F391*IFERROR(INDEX(الأصناف!$D$2:$D$2000,MATCH(D391,الأصناف!$A$2:$A$2000,0)),0))</f>
        <v/>
      </c>
      <c r="J391" s="4" t="n"/>
      <c r="K391" s="7">
        <f>IF(OR(B391="",B391&lt;&gt;الإيصال!$C$3),"",COUNTIF(B$2:B391,الإيصال!$C$3))</f>
        <v/>
      </c>
    </row>
    <row r="392">
      <c r="A392" s="6" t="n"/>
      <c r="B392" s="4" t="n"/>
      <c r="C392" s="4" t="n"/>
      <c r="D392" s="4" t="n"/>
      <c r="E392">
        <f>IF(D392="","",IFERROR(INDEX(الأصناف!$B$2:$B$2000,MATCH(D392,الأصناف!$A$2:$A$2000,0)),"كود غير موجود"))</f>
        <v/>
      </c>
      <c r="F392" s="4" t="n"/>
      <c r="G392">
        <f>IF(D392="","",IFERROR(INDEX(الأصناف!$C$2:$C$2000,MATCH(D392,الأصناف!$A$2:$A$2000,0)),0))</f>
        <v/>
      </c>
      <c r="H392">
        <f>IF(D392="","",F392*G392)</f>
        <v/>
      </c>
      <c r="I392">
        <f>IF(D392="","",H392-F392*IFERROR(INDEX(الأصناف!$D$2:$D$2000,MATCH(D392,الأصناف!$A$2:$A$2000,0)),0))</f>
        <v/>
      </c>
      <c r="J392" s="4" t="n"/>
      <c r="K392" s="7">
        <f>IF(OR(B392="",B392&lt;&gt;الإيصال!$C$3),"",COUNTIF(B$2:B392,الإيصال!$C$3))</f>
        <v/>
      </c>
    </row>
    <row r="393">
      <c r="A393" s="6" t="n"/>
      <c r="B393" s="4" t="n"/>
      <c r="C393" s="4" t="n"/>
      <c r="D393" s="4" t="n"/>
      <c r="E393">
        <f>IF(D393="","",IFERROR(INDEX(الأصناف!$B$2:$B$2000,MATCH(D393,الأصناف!$A$2:$A$2000,0)),"كود غير موجود"))</f>
        <v/>
      </c>
      <c r="F393" s="4" t="n"/>
      <c r="G393">
        <f>IF(D393="","",IFERROR(INDEX(الأصناف!$C$2:$C$2000,MATCH(D393,الأصناف!$A$2:$A$2000,0)),0))</f>
        <v/>
      </c>
      <c r="H393">
        <f>IF(D393="","",F393*G393)</f>
        <v/>
      </c>
      <c r="I393">
        <f>IF(D393="","",H393-F393*IFERROR(INDEX(الأصناف!$D$2:$D$2000,MATCH(D393,الأصناف!$A$2:$A$2000,0)),0))</f>
        <v/>
      </c>
      <c r="J393" s="4" t="n"/>
      <c r="K393" s="7">
        <f>IF(OR(B393="",B393&lt;&gt;الإيصال!$C$3),"",COUNTIF(B$2:B393,الإيصال!$C$3))</f>
        <v/>
      </c>
    </row>
    <row r="394">
      <c r="A394" s="6" t="n"/>
      <c r="B394" s="4" t="n"/>
      <c r="C394" s="4" t="n"/>
      <c r="D394" s="4" t="n"/>
      <c r="E394">
        <f>IF(D394="","",IFERROR(INDEX(الأصناف!$B$2:$B$2000,MATCH(D394,الأصناف!$A$2:$A$2000,0)),"كود غير موجود"))</f>
        <v/>
      </c>
      <c r="F394" s="4" t="n"/>
      <c r="G394">
        <f>IF(D394="","",IFERROR(INDEX(الأصناف!$C$2:$C$2000,MATCH(D394,الأصناف!$A$2:$A$2000,0)),0))</f>
        <v/>
      </c>
      <c r="H394">
        <f>IF(D394="","",F394*G394)</f>
        <v/>
      </c>
      <c r="I394">
        <f>IF(D394="","",H394-F394*IFERROR(INDEX(الأصناف!$D$2:$D$2000,MATCH(D394,الأصناف!$A$2:$A$2000,0)),0))</f>
        <v/>
      </c>
      <c r="J394" s="4" t="n"/>
      <c r="K394" s="7">
        <f>IF(OR(B394="",B394&lt;&gt;الإيصال!$C$3),"",COUNTIF(B$2:B394,الإيصال!$C$3))</f>
        <v/>
      </c>
    </row>
    <row r="395">
      <c r="A395" s="6" t="n"/>
      <c r="B395" s="4" t="n"/>
      <c r="C395" s="4" t="n"/>
      <c r="D395" s="4" t="n"/>
      <c r="E395">
        <f>IF(D395="","",IFERROR(INDEX(الأصناف!$B$2:$B$2000,MATCH(D395,الأصناف!$A$2:$A$2000,0)),"كود غير موجود"))</f>
        <v/>
      </c>
      <c r="F395" s="4" t="n"/>
      <c r="G395">
        <f>IF(D395="","",IFERROR(INDEX(الأصناف!$C$2:$C$2000,MATCH(D395,الأصناف!$A$2:$A$2000,0)),0))</f>
        <v/>
      </c>
      <c r="H395">
        <f>IF(D395="","",F395*G395)</f>
        <v/>
      </c>
      <c r="I395">
        <f>IF(D395="","",H395-F395*IFERROR(INDEX(الأصناف!$D$2:$D$2000,MATCH(D395,الأصناف!$A$2:$A$2000,0)),0))</f>
        <v/>
      </c>
      <c r="J395" s="4" t="n"/>
      <c r="K395" s="7">
        <f>IF(OR(B395="",B395&lt;&gt;الإيصال!$C$3),"",COUNTIF(B$2:B395,الإيصال!$C$3))</f>
        <v/>
      </c>
    </row>
    <row r="396">
      <c r="A396" s="6" t="n"/>
      <c r="B396" s="4" t="n"/>
      <c r="C396" s="4" t="n"/>
      <c r="D396" s="4" t="n"/>
      <c r="E396">
        <f>IF(D396="","",IFERROR(INDEX(الأصناف!$B$2:$B$2000,MATCH(D396,الأصناف!$A$2:$A$2000,0)),"كود غير موجود"))</f>
        <v/>
      </c>
      <c r="F396" s="4" t="n"/>
      <c r="G396">
        <f>IF(D396="","",IFERROR(INDEX(الأصناف!$C$2:$C$2000,MATCH(D396,الأصناف!$A$2:$A$2000,0)),0))</f>
        <v/>
      </c>
      <c r="H396">
        <f>IF(D396="","",F396*G396)</f>
        <v/>
      </c>
      <c r="I396">
        <f>IF(D396="","",H396-F396*IFERROR(INDEX(الأصناف!$D$2:$D$2000,MATCH(D396,الأصناف!$A$2:$A$2000,0)),0))</f>
        <v/>
      </c>
      <c r="J396" s="4" t="n"/>
      <c r="K396" s="7">
        <f>IF(OR(B396="",B396&lt;&gt;الإيصال!$C$3),"",COUNTIF(B$2:B396,الإيصال!$C$3))</f>
        <v/>
      </c>
    </row>
    <row r="397">
      <c r="A397" s="6" t="n"/>
      <c r="B397" s="4" t="n"/>
      <c r="C397" s="4" t="n"/>
      <c r="D397" s="4" t="n"/>
      <c r="E397">
        <f>IF(D397="","",IFERROR(INDEX(الأصناف!$B$2:$B$2000,MATCH(D397,الأصناف!$A$2:$A$2000,0)),"كود غير موجود"))</f>
        <v/>
      </c>
      <c r="F397" s="4" t="n"/>
      <c r="G397">
        <f>IF(D397="","",IFERROR(INDEX(الأصناف!$C$2:$C$2000,MATCH(D397,الأصناف!$A$2:$A$2000,0)),0))</f>
        <v/>
      </c>
      <c r="H397">
        <f>IF(D397="","",F397*G397)</f>
        <v/>
      </c>
      <c r="I397">
        <f>IF(D397="","",H397-F397*IFERROR(INDEX(الأصناف!$D$2:$D$2000,MATCH(D397,الأصناف!$A$2:$A$2000,0)),0))</f>
        <v/>
      </c>
      <c r="J397" s="4" t="n"/>
      <c r="K397" s="7">
        <f>IF(OR(B397="",B397&lt;&gt;الإيصال!$C$3),"",COUNTIF(B$2:B397,الإيصال!$C$3))</f>
        <v/>
      </c>
    </row>
    <row r="398">
      <c r="A398" s="6" t="n"/>
      <c r="B398" s="4" t="n"/>
      <c r="C398" s="4" t="n"/>
      <c r="D398" s="4" t="n"/>
      <c r="E398">
        <f>IF(D398="","",IFERROR(INDEX(الأصناف!$B$2:$B$2000,MATCH(D398,الأصناف!$A$2:$A$2000,0)),"كود غير موجود"))</f>
        <v/>
      </c>
      <c r="F398" s="4" t="n"/>
      <c r="G398">
        <f>IF(D398="","",IFERROR(INDEX(الأصناف!$C$2:$C$2000,MATCH(D398,الأصناف!$A$2:$A$2000,0)),0))</f>
        <v/>
      </c>
      <c r="H398">
        <f>IF(D398="","",F398*G398)</f>
        <v/>
      </c>
      <c r="I398">
        <f>IF(D398="","",H398-F398*IFERROR(INDEX(الأصناف!$D$2:$D$2000,MATCH(D398,الأصناف!$A$2:$A$2000,0)),0))</f>
        <v/>
      </c>
      <c r="J398" s="4" t="n"/>
      <c r="K398" s="7">
        <f>IF(OR(B398="",B398&lt;&gt;الإيصال!$C$3),"",COUNTIF(B$2:B398,الإيصال!$C$3))</f>
        <v/>
      </c>
    </row>
    <row r="399">
      <c r="A399" s="6" t="n"/>
      <c r="B399" s="4" t="n"/>
      <c r="C399" s="4" t="n"/>
      <c r="D399" s="4" t="n"/>
      <c r="E399">
        <f>IF(D399="","",IFERROR(INDEX(الأصناف!$B$2:$B$2000,MATCH(D399,الأصناف!$A$2:$A$2000,0)),"كود غير موجود"))</f>
        <v/>
      </c>
      <c r="F399" s="4" t="n"/>
      <c r="G399">
        <f>IF(D399="","",IFERROR(INDEX(الأصناف!$C$2:$C$2000,MATCH(D399,الأصناف!$A$2:$A$2000,0)),0))</f>
        <v/>
      </c>
      <c r="H399">
        <f>IF(D399="","",F399*G399)</f>
        <v/>
      </c>
      <c r="I399">
        <f>IF(D399="","",H399-F399*IFERROR(INDEX(الأصناف!$D$2:$D$2000,MATCH(D399,الأصناف!$A$2:$A$2000,0)),0))</f>
        <v/>
      </c>
      <c r="J399" s="4" t="n"/>
      <c r="K399" s="7">
        <f>IF(OR(B399="",B399&lt;&gt;الإيصال!$C$3),"",COUNTIF(B$2:B399,الإيصال!$C$3))</f>
        <v/>
      </c>
    </row>
    <row r="400">
      <c r="A400" s="6" t="n"/>
      <c r="B400" s="4" t="n"/>
      <c r="C400" s="4" t="n"/>
      <c r="D400" s="4" t="n"/>
      <c r="E400">
        <f>IF(D400="","",IFERROR(INDEX(الأصناف!$B$2:$B$2000,MATCH(D400,الأصناف!$A$2:$A$2000,0)),"كود غير موجود"))</f>
        <v/>
      </c>
      <c r="F400" s="4" t="n"/>
      <c r="G400">
        <f>IF(D400="","",IFERROR(INDEX(الأصناف!$C$2:$C$2000,MATCH(D400,الأصناف!$A$2:$A$2000,0)),0))</f>
        <v/>
      </c>
      <c r="H400">
        <f>IF(D400="","",F400*G400)</f>
        <v/>
      </c>
      <c r="I400">
        <f>IF(D400="","",H400-F400*IFERROR(INDEX(الأصناف!$D$2:$D$2000,MATCH(D400,الأصناف!$A$2:$A$2000,0)),0))</f>
        <v/>
      </c>
      <c r="J400" s="4" t="n"/>
      <c r="K400" s="7">
        <f>IF(OR(B400="",B400&lt;&gt;الإيصال!$C$3),"",COUNTIF(B$2:B400,الإيصال!$C$3))</f>
        <v/>
      </c>
    </row>
    <row r="401">
      <c r="A401" s="6" t="n"/>
      <c r="B401" s="4" t="n"/>
      <c r="C401" s="4" t="n"/>
      <c r="D401" s="4" t="n"/>
      <c r="E401">
        <f>IF(D401="","",IFERROR(INDEX(الأصناف!$B$2:$B$2000,MATCH(D401,الأصناف!$A$2:$A$2000,0)),"كود غير موجود"))</f>
        <v/>
      </c>
      <c r="F401" s="4" t="n"/>
      <c r="G401">
        <f>IF(D401="","",IFERROR(INDEX(الأصناف!$C$2:$C$2000,MATCH(D401,الأصناف!$A$2:$A$2000,0)),0))</f>
        <v/>
      </c>
      <c r="H401">
        <f>IF(D401="","",F401*G401)</f>
        <v/>
      </c>
      <c r="I401">
        <f>IF(D401="","",H401-F401*IFERROR(INDEX(الأصناف!$D$2:$D$2000,MATCH(D401,الأصناف!$A$2:$A$2000,0)),0))</f>
        <v/>
      </c>
      <c r="J401" s="4" t="n"/>
      <c r="K401" s="7">
        <f>IF(OR(B401="",B401&lt;&gt;الإيصال!$C$3),"",COUNTIF(B$2:B401,الإيصال!$C$3))</f>
        <v/>
      </c>
    </row>
    <row r="402">
      <c r="A402" s="6" t="n"/>
      <c r="B402" s="4" t="n"/>
      <c r="C402" s="4" t="n"/>
      <c r="D402" s="4" t="n"/>
      <c r="E402">
        <f>IF(D402="","",IFERROR(INDEX(الأصناف!$B$2:$B$2000,MATCH(D402,الأصناف!$A$2:$A$2000,0)),"كود غير موجود"))</f>
        <v/>
      </c>
      <c r="F402" s="4" t="n"/>
      <c r="G402">
        <f>IF(D402="","",IFERROR(INDEX(الأصناف!$C$2:$C$2000,MATCH(D402,الأصناف!$A$2:$A$2000,0)),0))</f>
        <v/>
      </c>
      <c r="H402">
        <f>IF(D402="","",F402*G402)</f>
        <v/>
      </c>
      <c r="I402">
        <f>IF(D402="","",H402-F402*IFERROR(INDEX(الأصناف!$D$2:$D$2000,MATCH(D402,الأصناف!$A$2:$A$2000,0)),0))</f>
        <v/>
      </c>
      <c r="J402" s="4" t="n"/>
      <c r="K402" s="7">
        <f>IF(OR(B402="",B402&lt;&gt;الإيصال!$C$3),"",COUNTIF(B$2:B402,الإيصال!$C$3))</f>
        <v/>
      </c>
    </row>
    <row r="403">
      <c r="A403" s="6" t="n"/>
      <c r="B403" s="4" t="n"/>
      <c r="C403" s="4" t="n"/>
      <c r="D403" s="4" t="n"/>
      <c r="E403">
        <f>IF(D403="","",IFERROR(INDEX(الأصناف!$B$2:$B$2000,MATCH(D403,الأصناف!$A$2:$A$2000,0)),"كود غير موجود"))</f>
        <v/>
      </c>
      <c r="F403" s="4" t="n"/>
      <c r="G403">
        <f>IF(D403="","",IFERROR(INDEX(الأصناف!$C$2:$C$2000,MATCH(D403,الأصناف!$A$2:$A$2000,0)),0))</f>
        <v/>
      </c>
      <c r="H403">
        <f>IF(D403="","",F403*G403)</f>
        <v/>
      </c>
      <c r="I403">
        <f>IF(D403="","",H403-F403*IFERROR(INDEX(الأصناف!$D$2:$D$2000,MATCH(D403,الأصناف!$A$2:$A$2000,0)),0))</f>
        <v/>
      </c>
      <c r="J403" s="4" t="n"/>
      <c r="K403" s="7">
        <f>IF(OR(B403="",B403&lt;&gt;الإيصال!$C$3),"",COUNTIF(B$2:B403,الإيصال!$C$3))</f>
        <v/>
      </c>
    </row>
    <row r="404">
      <c r="A404" s="6" t="n"/>
      <c r="B404" s="4" t="n"/>
      <c r="C404" s="4" t="n"/>
      <c r="D404" s="4" t="n"/>
      <c r="E404">
        <f>IF(D404="","",IFERROR(INDEX(الأصناف!$B$2:$B$2000,MATCH(D404,الأصناف!$A$2:$A$2000,0)),"كود غير موجود"))</f>
        <v/>
      </c>
      <c r="F404" s="4" t="n"/>
      <c r="G404">
        <f>IF(D404="","",IFERROR(INDEX(الأصناف!$C$2:$C$2000,MATCH(D404,الأصناف!$A$2:$A$2000,0)),0))</f>
        <v/>
      </c>
      <c r="H404">
        <f>IF(D404="","",F404*G404)</f>
        <v/>
      </c>
      <c r="I404">
        <f>IF(D404="","",H404-F404*IFERROR(INDEX(الأصناف!$D$2:$D$2000,MATCH(D404,الأصناف!$A$2:$A$2000,0)),0))</f>
        <v/>
      </c>
      <c r="J404" s="4" t="n"/>
      <c r="K404" s="7">
        <f>IF(OR(B404="",B404&lt;&gt;الإيصال!$C$3),"",COUNTIF(B$2:B404,الإيصال!$C$3))</f>
        <v/>
      </c>
    </row>
    <row r="405">
      <c r="A405" s="6" t="n"/>
      <c r="B405" s="4" t="n"/>
      <c r="C405" s="4" t="n"/>
      <c r="D405" s="4" t="n"/>
      <c r="E405">
        <f>IF(D405="","",IFERROR(INDEX(الأصناف!$B$2:$B$2000,MATCH(D405,الأصناف!$A$2:$A$2000,0)),"كود غير موجود"))</f>
        <v/>
      </c>
      <c r="F405" s="4" t="n"/>
      <c r="G405">
        <f>IF(D405="","",IFERROR(INDEX(الأصناف!$C$2:$C$2000,MATCH(D405,الأصناف!$A$2:$A$2000,0)),0))</f>
        <v/>
      </c>
      <c r="H405">
        <f>IF(D405="","",F405*G405)</f>
        <v/>
      </c>
      <c r="I405">
        <f>IF(D405="","",H405-F405*IFERROR(INDEX(الأصناف!$D$2:$D$2000,MATCH(D405,الأصناف!$A$2:$A$2000,0)),0))</f>
        <v/>
      </c>
      <c r="J405" s="4" t="n"/>
      <c r="K405" s="7">
        <f>IF(OR(B405="",B405&lt;&gt;الإيصال!$C$3),"",COUNTIF(B$2:B405,الإيصال!$C$3))</f>
        <v/>
      </c>
    </row>
    <row r="406">
      <c r="A406" s="6" t="n"/>
      <c r="B406" s="4" t="n"/>
      <c r="C406" s="4" t="n"/>
      <c r="D406" s="4" t="n"/>
      <c r="E406">
        <f>IF(D406="","",IFERROR(INDEX(الأصناف!$B$2:$B$2000,MATCH(D406,الأصناف!$A$2:$A$2000,0)),"كود غير موجود"))</f>
        <v/>
      </c>
      <c r="F406" s="4" t="n"/>
      <c r="G406">
        <f>IF(D406="","",IFERROR(INDEX(الأصناف!$C$2:$C$2000,MATCH(D406,الأصناف!$A$2:$A$2000,0)),0))</f>
        <v/>
      </c>
      <c r="H406">
        <f>IF(D406="","",F406*G406)</f>
        <v/>
      </c>
      <c r="I406">
        <f>IF(D406="","",H406-F406*IFERROR(INDEX(الأصناف!$D$2:$D$2000,MATCH(D406,الأصناف!$A$2:$A$2000,0)),0))</f>
        <v/>
      </c>
      <c r="J406" s="4" t="n"/>
      <c r="K406" s="7">
        <f>IF(OR(B406="",B406&lt;&gt;الإيصال!$C$3),"",COUNTIF(B$2:B406,الإيصال!$C$3))</f>
        <v/>
      </c>
    </row>
    <row r="407">
      <c r="A407" s="6" t="n"/>
      <c r="B407" s="4" t="n"/>
      <c r="C407" s="4" t="n"/>
      <c r="D407" s="4" t="n"/>
      <c r="E407">
        <f>IF(D407="","",IFERROR(INDEX(الأصناف!$B$2:$B$2000,MATCH(D407,الأصناف!$A$2:$A$2000,0)),"كود غير موجود"))</f>
        <v/>
      </c>
      <c r="F407" s="4" t="n"/>
      <c r="G407">
        <f>IF(D407="","",IFERROR(INDEX(الأصناف!$C$2:$C$2000,MATCH(D407,الأصناف!$A$2:$A$2000,0)),0))</f>
        <v/>
      </c>
      <c r="H407">
        <f>IF(D407="","",F407*G407)</f>
        <v/>
      </c>
      <c r="I407">
        <f>IF(D407="","",H407-F407*IFERROR(INDEX(الأصناف!$D$2:$D$2000,MATCH(D407,الأصناف!$A$2:$A$2000,0)),0))</f>
        <v/>
      </c>
      <c r="J407" s="4" t="n"/>
      <c r="K407" s="7">
        <f>IF(OR(B407="",B407&lt;&gt;الإيصال!$C$3),"",COUNTIF(B$2:B407,الإيصال!$C$3))</f>
        <v/>
      </c>
    </row>
    <row r="408">
      <c r="A408" s="6" t="n"/>
      <c r="B408" s="4" t="n"/>
      <c r="C408" s="4" t="n"/>
      <c r="D408" s="4" t="n"/>
      <c r="E408">
        <f>IF(D408="","",IFERROR(INDEX(الأصناف!$B$2:$B$2000,MATCH(D408,الأصناف!$A$2:$A$2000,0)),"كود غير موجود"))</f>
        <v/>
      </c>
      <c r="F408" s="4" t="n"/>
      <c r="G408">
        <f>IF(D408="","",IFERROR(INDEX(الأصناف!$C$2:$C$2000,MATCH(D408,الأصناف!$A$2:$A$2000,0)),0))</f>
        <v/>
      </c>
      <c r="H408">
        <f>IF(D408="","",F408*G408)</f>
        <v/>
      </c>
      <c r="I408">
        <f>IF(D408="","",H408-F408*IFERROR(INDEX(الأصناف!$D$2:$D$2000,MATCH(D408,الأصناف!$A$2:$A$2000,0)),0))</f>
        <v/>
      </c>
      <c r="J408" s="4" t="n"/>
      <c r="K408" s="7">
        <f>IF(OR(B408="",B408&lt;&gt;الإيصال!$C$3),"",COUNTIF(B$2:B408,الإيصال!$C$3))</f>
        <v/>
      </c>
    </row>
    <row r="409">
      <c r="A409" s="6" t="n"/>
      <c r="B409" s="4" t="n"/>
      <c r="C409" s="4" t="n"/>
      <c r="D409" s="4" t="n"/>
      <c r="E409">
        <f>IF(D409="","",IFERROR(INDEX(الأصناف!$B$2:$B$2000,MATCH(D409,الأصناف!$A$2:$A$2000,0)),"كود غير موجود"))</f>
        <v/>
      </c>
      <c r="F409" s="4" t="n"/>
      <c r="G409">
        <f>IF(D409="","",IFERROR(INDEX(الأصناف!$C$2:$C$2000,MATCH(D409,الأصناف!$A$2:$A$2000,0)),0))</f>
        <v/>
      </c>
      <c r="H409">
        <f>IF(D409="","",F409*G409)</f>
        <v/>
      </c>
      <c r="I409">
        <f>IF(D409="","",H409-F409*IFERROR(INDEX(الأصناف!$D$2:$D$2000,MATCH(D409,الأصناف!$A$2:$A$2000,0)),0))</f>
        <v/>
      </c>
      <c r="J409" s="4" t="n"/>
      <c r="K409" s="7">
        <f>IF(OR(B409="",B409&lt;&gt;الإيصال!$C$3),"",COUNTIF(B$2:B409,الإيصال!$C$3))</f>
        <v/>
      </c>
    </row>
    <row r="410">
      <c r="A410" s="6" t="n"/>
      <c r="B410" s="4" t="n"/>
      <c r="C410" s="4" t="n"/>
      <c r="D410" s="4" t="n"/>
      <c r="E410">
        <f>IF(D410="","",IFERROR(INDEX(الأصناف!$B$2:$B$2000,MATCH(D410,الأصناف!$A$2:$A$2000,0)),"كود غير موجود"))</f>
        <v/>
      </c>
      <c r="F410" s="4" t="n"/>
      <c r="G410">
        <f>IF(D410="","",IFERROR(INDEX(الأصناف!$C$2:$C$2000,MATCH(D410,الأصناف!$A$2:$A$2000,0)),0))</f>
        <v/>
      </c>
      <c r="H410">
        <f>IF(D410="","",F410*G410)</f>
        <v/>
      </c>
      <c r="I410">
        <f>IF(D410="","",H410-F410*IFERROR(INDEX(الأصناف!$D$2:$D$2000,MATCH(D410,الأصناف!$A$2:$A$2000,0)),0))</f>
        <v/>
      </c>
      <c r="J410" s="4" t="n"/>
      <c r="K410" s="7">
        <f>IF(OR(B410="",B410&lt;&gt;الإيصال!$C$3),"",COUNTIF(B$2:B410,الإيصال!$C$3))</f>
        <v/>
      </c>
    </row>
    <row r="411">
      <c r="A411" s="6" t="n"/>
      <c r="B411" s="4" t="n"/>
      <c r="C411" s="4" t="n"/>
      <c r="D411" s="4" t="n"/>
      <c r="E411">
        <f>IF(D411="","",IFERROR(INDEX(الأصناف!$B$2:$B$2000,MATCH(D411,الأصناف!$A$2:$A$2000,0)),"كود غير موجود"))</f>
        <v/>
      </c>
      <c r="F411" s="4" t="n"/>
      <c r="G411">
        <f>IF(D411="","",IFERROR(INDEX(الأصناف!$C$2:$C$2000,MATCH(D411,الأصناف!$A$2:$A$2000,0)),0))</f>
        <v/>
      </c>
      <c r="H411">
        <f>IF(D411="","",F411*G411)</f>
        <v/>
      </c>
      <c r="I411">
        <f>IF(D411="","",H411-F411*IFERROR(INDEX(الأصناف!$D$2:$D$2000,MATCH(D411,الأصناف!$A$2:$A$2000,0)),0))</f>
        <v/>
      </c>
      <c r="J411" s="4" t="n"/>
      <c r="K411" s="7">
        <f>IF(OR(B411="",B411&lt;&gt;الإيصال!$C$3),"",COUNTIF(B$2:B411,الإيصال!$C$3))</f>
        <v/>
      </c>
    </row>
    <row r="412">
      <c r="A412" s="6" t="n"/>
      <c r="B412" s="4" t="n"/>
      <c r="C412" s="4" t="n"/>
      <c r="D412" s="4" t="n"/>
      <c r="E412">
        <f>IF(D412="","",IFERROR(INDEX(الأصناف!$B$2:$B$2000,MATCH(D412,الأصناف!$A$2:$A$2000,0)),"كود غير موجود"))</f>
        <v/>
      </c>
      <c r="F412" s="4" t="n"/>
      <c r="G412">
        <f>IF(D412="","",IFERROR(INDEX(الأصناف!$C$2:$C$2000,MATCH(D412,الأصناف!$A$2:$A$2000,0)),0))</f>
        <v/>
      </c>
      <c r="H412">
        <f>IF(D412="","",F412*G412)</f>
        <v/>
      </c>
      <c r="I412">
        <f>IF(D412="","",H412-F412*IFERROR(INDEX(الأصناف!$D$2:$D$2000,MATCH(D412,الأصناف!$A$2:$A$2000,0)),0))</f>
        <v/>
      </c>
      <c r="J412" s="4" t="n"/>
      <c r="K412" s="7">
        <f>IF(OR(B412="",B412&lt;&gt;الإيصال!$C$3),"",COUNTIF(B$2:B412,الإيصال!$C$3))</f>
        <v/>
      </c>
    </row>
    <row r="413">
      <c r="A413" s="6" t="n"/>
      <c r="B413" s="4" t="n"/>
      <c r="C413" s="4" t="n"/>
      <c r="D413" s="4" t="n"/>
      <c r="E413">
        <f>IF(D413="","",IFERROR(INDEX(الأصناف!$B$2:$B$2000,MATCH(D413,الأصناف!$A$2:$A$2000,0)),"كود غير موجود"))</f>
        <v/>
      </c>
      <c r="F413" s="4" t="n"/>
      <c r="G413">
        <f>IF(D413="","",IFERROR(INDEX(الأصناف!$C$2:$C$2000,MATCH(D413,الأصناف!$A$2:$A$2000,0)),0))</f>
        <v/>
      </c>
      <c r="H413">
        <f>IF(D413="","",F413*G413)</f>
        <v/>
      </c>
      <c r="I413">
        <f>IF(D413="","",H413-F413*IFERROR(INDEX(الأصناف!$D$2:$D$2000,MATCH(D413,الأصناف!$A$2:$A$2000,0)),0))</f>
        <v/>
      </c>
      <c r="J413" s="4" t="n"/>
      <c r="K413" s="7">
        <f>IF(OR(B413="",B413&lt;&gt;الإيصال!$C$3),"",COUNTIF(B$2:B413,الإيصال!$C$3))</f>
        <v/>
      </c>
    </row>
    <row r="414">
      <c r="A414" s="6" t="n"/>
      <c r="B414" s="4" t="n"/>
      <c r="C414" s="4" t="n"/>
      <c r="D414" s="4" t="n"/>
      <c r="E414">
        <f>IF(D414="","",IFERROR(INDEX(الأصناف!$B$2:$B$2000,MATCH(D414,الأصناف!$A$2:$A$2000,0)),"كود غير موجود"))</f>
        <v/>
      </c>
      <c r="F414" s="4" t="n"/>
      <c r="G414">
        <f>IF(D414="","",IFERROR(INDEX(الأصناف!$C$2:$C$2000,MATCH(D414,الأصناف!$A$2:$A$2000,0)),0))</f>
        <v/>
      </c>
      <c r="H414">
        <f>IF(D414="","",F414*G414)</f>
        <v/>
      </c>
      <c r="I414">
        <f>IF(D414="","",H414-F414*IFERROR(INDEX(الأصناف!$D$2:$D$2000,MATCH(D414,الأصناف!$A$2:$A$2000,0)),0))</f>
        <v/>
      </c>
      <c r="J414" s="4" t="n"/>
      <c r="K414" s="7">
        <f>IF(OR(B414="",B414&lt;&gt;الإيصال!$C$3),"",COUNTIF(B$2:B414,الإيصال!$C$3))</f>
        <v/>
      </c>
    </row>
    <row r="415">
      <c r="A415" s="6" t="n"/>
      <c r="B415" s="4" t="n"/>
      <c r="C415" s="4" t="n"/>
      <c r="D415" s="4" t="n"/>
      <c r="E415">
        <f>IF(D415="","",IFERROR(INDEX(الأصناف!$B$2:$B$2000,MATCH(D415,الأصناف!$A$2:$A$2000,0)),"كود غير موجود"))</f>
        <v/>
      </c>
      <c r="F415" s="4" t="n"/>
      <c r="G415">
        <f>IF(D415="","",IFERROR(INDEX(الأصناف!$C$2:$C$2000,MATCH(D415,الأصناف!$A$2:$A$2000,0)),0))</f>
        <v/>
      </c>
      <c r="H415">
        <f>IF(D415="","",F415*G415)</f>
        <v/>
      </c>
      <c r="I415">
        <f>IF(D415="","",H415-F415*IFERROR(INDEX(الأصناف!$D$2:$D$2000,MATCH(D415,الأصناف!$A$2:$A$2000,0)),0))</f>
        <v/>
      </c>
      <c r="J415" s="4" t="n"/>
      <c r="K415" s="7">
        <f>IF(OR(B415="",B415&lt;&gt;الإيصال!$C$3),"",COUNTIF(B$2:B415,الإيصال!$C$3))</f>
        <v/>
      </c>
    </row>
    <row r="416">
      <c r="A416" s="6" t="n"/>
      <c r="B416" s="4" t="n"/>
      <c r="C416" s="4" t="n"/>
      <c r="D416" s="4" t="n"/>
      <c r="E416">
        <f>IF(D416="","",IFERROR(INDEX(الأصناف!$B$2:$B$2000,MATCH(D416,الأصناف!$A$2:$A$2000,0)),"كود غير موجود"))</f>
        <v/>
      </c>
      <c r="F416" s="4" t="n"/>
      <c r="G416">
        <f>IF(D416="","",IFERROR(INDEX(الأصناف!$C$2:$C$2000,MATCH(D416,الأصناف!$A$2:$A$2000,0)),0))</f>
        <v/>
      </c>
      <c r="H416">
        <f>IF(D416="","",F416*G416)</f>
        <v/>
      </c>
      <c r="I416">
        <f>IF(D416="","",H416-F416*IFERROR(INDEX(الأصناف!$D$2:$D$2000,MATCH(D416,الأصناف!$A$2:$A$2000,0)),0))</f>
        <v/>
      </c>
      <c r="J416" s="4" t="n"/>
      <c r="K416" s="7">
        <f>IF(OR(B416="",B416&lt;&gt;الإيصال!$C$3),"",COUNTIF(B$2:B416,الإيصال!$C$3))</f>
        <v/>
      </c>
    </row>
    <row r="417">
      <c r="A417" s="6" t="n"/>
      <c r="B417" s="4" t="n"/>
      <c r="C417" s="4" t="n"/>
      <c r="D417" s="4" t="n"/>
      <c r="E417">
        <f>IF(D417="","",IFERROR(INDEX(الأصناف!$B$2:$B$2000,MATCH(D417,الأصناف!$A$2:$A$2000,0)),"كود غير موجود"))</f>
        <v/>
      </c>
      <c r="F417" s="4" t="n"/>
      <c r="G417">
        <f>IF(D417="","",IFERROR(INDEX(الأصناف!$C$2:$C$2000,MATCH(D417,الأصناف!$A$2:$A$2000,0)),0))</f>
        <v/>
      </c>
      <c r="H417">
        <f>IF(D417="","",F417*G417)</f>
        <v/>
      </c>
      <c r="I417">
        <f>IF(D417="","",H417-F417*IFERROR(INDEX(الأصناف!$D$2:$D$2000,MATCH(D417,الأصناف!$A$2:$A$2000,0)),0))</f>
        <v/>
      </c>
      <c r="J417" s="4" t="n"/>
      <c r="K417" s="7">
        <f>IF(OR(B417="",B417&lt;&gt;الإيصال!$C$3),"",COUNTIF(B$2:B417,الإيصال!$C$3))</f>
        <v/>
      </c>
    </row>
    <row r="418">
      <c r="A418" s="6" t="n"/>
      <c r="B418" s="4" t="n"/>
      <c r="C418" s="4" t="n"/>
      <c r="D418" s="4" t="n"/>
      <c r="E418">
        <f>IF(D418="","",IFERROR(INDEX(الأصناف!$B$2:$B$2000,MATCH(D418,الأصناف!$A$2:$A$2000,0)),"كود غير موجود"))</f>
        <v/>
      </c>
      <c r="F418" s="4" t="n"/>
      <c r="G418">
        <f>IF(D418="","",IFERROR(INDEX(الأصناف!$C$2:$C$2000,MATCH(D418,الأصناف!$A$2:$A$2000,0)),0))</f>
        <v/>
      </c>
      <c r="H418">
        <f>IF(D418="","",F418*G418)</f>
        <v/>
      </c>
      <c r="I418">
        <f>IF(D418="","",H418-F418*IFERROR(INDEX(الأصناف!$D$2:$D$2000,MATCH(D418,الأصناف!$A$2:$A$2000,0)),0))</f>
        <v/>
      </c>
      <c r="J418" s="4" t="n"/>
      <c r="K418" s="7">
        <f>IF(OR(B418="",B418&lt;&gt;الإيصال!$C$3),"",COUNTIF(B$2:B418,الإيصال!$C$3))</f>
        <v/>
      </c>
    </row>
    <row r="419">
      <c r="A419" s="6" t="n"/>
      <c r="B419" s="4" t="n"/>
      <c r="C419" s="4" t="n"/>
      <c r="D419" s="4" t="n"/>
      <c r="E419">
        <f>IF(D419="","",IFERROR(INDEX(الأصناف!$B$2:$B$2000,MATCH(D419,الأصناف!$A$2:$A$2000,0)),"كود غير موجود"))</f>
        <v/>
      </c>
      <c r="F419" s="4" t="n"/>
      <c r="G419">
        <f>IF(D419="","",IFERROR(INDEX(الأصناف!$C$2:$C$2000,MATCH(D419,الأصناف!$A$2:$A$2000,0)),0))</f>
        <v/>
      </c>
      <c r="H419">
        <f>IF(D419="","",F419*G419)</f>
        <v/>
      </c>
      <c r="I419">
        <f>IF(D419="","",H419-F419*IFERROR(INDEX(الأصناف!$D$2:$D$2000,MATCH(D419,الأصناف!$A$2:$A$2000,0)),0))</f>
        <v/>
      </c>
      <c r="J419" s="4" t="n"/>
      <c r="K419" s="7">
        <f>IF(OR(B419="",B419&lt;&gt;الإيصال!$C$3),"",COUNTIF(B$2:B419,الإيصال!$C$3))</f>
        <v/>
      </c>
    </row>
    <row r="420">
      <c r="A420" s="6" t="n"/>
      <c r="B420" s="4" t="n"/>
      <c r="C420" s="4" t="n"/>
      <c r="D420" s="4" t="n"/>
      <c r="E420">
        <f>IF(D420="","",IFERROR(INDEX(الأصناف!$B$2:$B$2000,MATCH(D420,الأصناف!$A$2:$A$2000,0)),"كود غير موجود"))</f>
        <v/>
      </c>
      <c r="F420" s="4" t="n"/>
      <c r="G420">
        <f>IF(D420="","",IFERROR(INDEX(الأصناف!$C$2:$C$2000,MATCH(D420,الأصناف!$A$2:$A$2000,0)),0))</f>
        <v/>
      </c>
      <c r="H420">
        <f>IF(D420="","",F420*G420)</f>
        <v/>
      </c>
      <c r="I420">
        <f>IF(D420="","",H420-F420*IFERROR(INDEX(الأصناف!$D$2:$D$2000,MATCH(D420,الأصناف!$A$2:$A$2000,0)),0))</f>
        <v/>
      </c>
      <c r="J420" s="4" t="n"/>
      <c r="K420" s="7">
        <f>IF(OR(B420="",B420&lt;&gt;الإيصال!$C$3),"",COUNTIF(B$2:B420,الإيصال!$C$3))</f>
        <v/>
      </c>
    </row>
    <row r="421">
      <c r="A421" s="6" t="n"/>
      <c r="B421" s="4" t="n"/>
      <c r="C421" s="4" t="n"/>
      <c r="D421" s="4" t="n"/>
      <c r="E421">
        <f>IF(D421="","",IFERROR(INDEX(الأصناف!$B$2:$B$2000,MATCH(D421,الأصناف!$A$2:$A$2000,0)),"كود غير موجود"))</f>
        <v/>
      </c>
      <c r="F421" s="4" t="n"/>
      <c r="G421">
        <f>IF(D421="","",IFERROR(INDEX(الأصناف!$C$2:$C$2000,MATCH(D421,الأصناف!$A$2:$A$2000,0)),0))</f>
        <v/>
      </c>
      <c r="H421">
        <f>IF(D421="","",F421*G421)</f>
        <v/>
      </c>
      <c r="I421">
        <f>IF(D421="","",H421-F421*IFERROR(INDEX(الأصناف!$D$2:$D$2000,MATCH(D421,الأصناف!$A$2:$A$2000,0)),0))</f>
        <v/>
      </c>
      <c r="J421" s="4" t="n"/>
      <c r="K421" s="7">
        <f>IF(OR(B421="",B421&lt;&gt;الإيصال!$C$3),"",COUNTIF(B$2:B421,الإيصال!$C$3))</f>
        <v/>
      </c>
    </row>
    <row r="422">
      <c r="A422" s="6" t="n"/>
      <c r="B422" s="4" t="n"/>
      <c r="C422" s="4" t="n"/>
      <c r="D422" s="4" t="n"/>
      <c r="E422">
        <f>IF(D422="","",IFERROR(INDEX(الأصناف!$B$2:$B$2000,MATCH(D422,الأصناف!$A$2:$A$2000,0)),"كود غير موجود"))</f>
        <v/>
      </c>
      <c r="F422" s="4" t="n"/>
      <c r="G422">
        <f>IF(D422="","",IFERROR(INDEX(الأصناف!$C$2:$C$2000,MATCH(D422,الأصناف!$A$2:$A$2000,0)),0))</f>
        <v/>
      </c>
      <c r="H422">
        <f>IF(D422="","",F422*G422)</f>
        <v/>
      </c>
      <c r="I422">
        <f>IF(D422="","",H422-F422*IFERROR(INDEX(الأصناف!$D$2:$D$2000,MATCH(D422,الأصناف!$A$2:$A$2000,0)),0))</f>
        <v/>
      </c>
      <c r="J422" s="4" t="n"/>
      <c r="K422" s="7">
        <f>IF(OR(B422="",B422&lt;&gt;الإيصال!$C$3),"",COUNTIF(B$2:B422,الإيصال!$C$3))</f>
        <v/>
      </c>
    </row>
    <row r="423">
      <c r="A423" s="6" t="n"/>
      <c r="B423" s="4" t="n"/>
      <c r="C423" s="4" t="n"/>
      <c r="D423" s="4" t="n"/>
      <c r="E423">
        <f>IF(D423="","",IFERROR(INDEX(الأصناف!$B$2:$B$2000,MATCH(D423,الأصناف!$A$2:$A$2000,0)),"كود غير موجود"))</f>
        <v/>
      </c>
      <c r="F423" s="4" t="n"/>
      <c r="G423">
        <f>IF(D423="","",IFERROR(INDEX(الأصناف!$C$2:$C$2000,MATCH(D423,الأصناف!$A$2:$A$2000,0)),0))</f>
        <v/>
      </c>
      <c r="H423">
        <f>IF(D423="","",F423*G423)</f>
        <v/>
      </c>
      <c r="I423">
        <f>IF(D423="","",H423-F423*IFERROR(INDEX(الأصناف!$D$2:$D$2000,MATCH(D423,الأصناف!$A$2:$A$2000,0)),0))</f>
        <v/>
      </c>
      <c r="J423" s="4" t="n"/>
      <c r="K423" s="7">
        <f>IF(OR(B423="",B423&lt;&gt;الإيصال!$C$3),"",COUNTIF(B$2:B423,الإيصال!$C$3))</f>
        <v/>
      </c>
    </row>
    <row r="424">
      <c r="A424" s="6" t="n"/>
      <c r="B424" s="4" t="n"/>
      <c r="C424" s="4" t="n"/>
      <c r="D424" s="4" t="n"/>
      <c r="E424">
        <f>IF(D424="","",IFERROR(INDEX(الأصناف!$B$2:$B$2000,MATCH(D424,الأصناف!$A$2:$A$2000,0)),"كود غير موجود"))</f>
        <v/>
      </c>
      <c r="F424" s="4" t="n"/>
      <c r="G424">
        <f>IF(D424="","",IFERROR(INDEX(الأصناف!$C$2:$C$2000,MATCH(D424,الأصناف!$A$2:$A$2000,0)),0))</f>
        <v/>
      </c>
      <c r="H424">
        <f>IF(D424="","",F424*G424)</f>
        <v/>
      </c>
      <c r="I424">
        <f>IF(D424="","",H424-F424*IFERROR(INDEX(الأصناف!$D$2:$D$2000,MATCH(D424,الأصناف!$A$2:$A$2000,0)),0))</f>
        <v/>
      </c>
      <c r="J424" s="4" t="n"/>
      <c r="K424" s="7">
        <f>IF(OR(B424="",B424&lt;&gt;الإيصال!$C$3),"",COUNTIF(B$2:B424,الإيصال!$C$3))</f>
        <v/>
      </c>
    </row>
    <row r="425">
      <c r="A425" s="6" t="n"/>
      <c r="B425" s="4" t="n"/>
      <c r="C425" s="4" t="n"/>
      <c r="D425" s="4" t="n"/>
      <c r="E425">
        <f>IF(D425="","",IFERROR(INDEX(الأصناف!$B$2:$B$2000,MATCH(D425,الأصناف!$A$2:$A$2000,0)),"كود غير موجود"))</f>
        <v/>
      </c>
      <c r="F425" s="4" t="n"/>
      <c r="G425">
        <f>IF(D425="","",IFERROR(INDEX(الأصناف!$C$2:$C$2000,MATCH(D425,الأصناف!$A$2:$A$2000,0)),0))</f>
        <v/>
      </c>
      <c r="H425">
        <f>IF(D425="","",F425*G425)</f>
        <v/>
      </c>
      <c r="I425">
        <f>IF(D425="","",H425-F425*IFERROR(INDEX(الأصناف!$D$2:$D$2000,MATCH(D425,الأصناف!$A$2:$A$2000,0)),0))</f>
        <v/>
      </c>
      <c r="J425" s="4" t="n"/>
      <c r="K425" s="7">
        <f>IF(OR(B425="",B425&lt;&gt;الإيصال!$C$3),"",COUNTIF(B$2:B425,الإيصال!$C$3))</f>
        <v/>
      </c>
    </row>
    <row r="426">
      <c r="A426" s="6" t="n"/>
      <c r="B426" s="4" t="n"/>
      <c r="C426" s="4" t="n"/>
      <c r="D426" s="4" t="n"/>
      <c r="E426">
        <f>IF(D426="","",IFERROR(INDEX(الأصناف!$B$2:$B$2000,MATCH(D426,الأصناف!$A$2:$A$2000,0)),"كود غير موجود"))</f>
        <v/>
      </c>
      <c r="F426" s="4" t="n"/>
      <c r="G426">
        <f>IF(D426="","",IFERROR(INDEX(الأصناف!$C$2:$C$2000,MATCH(D426,الأصناف!$A$2:$A$2000,0)),0))</f>
        <v/>
      </c>
      <c r="H426">
        <f>IF(D426="","",F426*G426)</f>
        <v/>
      </c>
      <c r="I426">
        <f>IF(D426="","",H426-F426*IFERROR(INDEX(الأصناف!$D$2:$D$2000,MATCH(D426,الأصناف!$A$2:$A$2000,0)),0))</f>
        <v/>
      </c>
      <c r="J426" s="4" t="n"/>
      <c r="K426" s="7">
        <f>IF(OR(B426="",B426&lt;&gt;الإيصال!$C$3),"",COUNTIF(B$2:B426,الإيصال!$C$3))</f>
        <v/>
      </c>
    </row>
    <row r="427">
      <c r="A427" s="6" t="n"/>
      <c r="B427" s="4" t="n"/>
      <c r="C427" s="4" t="n"/>
      <c r="D427" s="4" t="n"/>
      <c r="E427">
        <f>IF(D427="","",IFERROR(INDEX(الأصناف!$B$2:$B$2000,MATCH(D427,الأصناف!$A$2:$A$2000,0)),"كود غير موجود"))</f>
        <v/>
      </c>
      <c r="F427" s="4" t="n"/>
      <c r="G427">
        <f>IF(D427="","",IFERROR(INDEX(الأصناف!$C$2:$C$2000,MATCH(D427,الأصناف!$A$2:$A$2000,0)),0))</f>
        <v/>
      </c>
      <c r="H427">
        <f>IF(D427="","",F427*G427)</f>
        <v/>
      </c>
      <c r="I427">
        <f>IF(D427="","",H427-F427*IFERROR(INDEX(الأصناف!$D$2:$D$2000,MATCH(D427,الأصناف!$A$2:$A$2000,0)),0))</f>
        <v/>
      </c>
      <c r="J427" s="4" t="n"/>
      <c r="K427" s="7">
        <f>IF(OR(B427="",B427&lt;&gt;الإيصال!$C$3),"",COUNTIF(B$2:B427,الإيصال!$C$3))</f>
        <v/>
      </c>
    </row>
    <row r="428">
      <c r="A428" s="6" t="n"/>
      <c r="B428" s="4" t="n"/>
      <c r="C428" s="4" t="n"/>
      <c r="D428" s="4" t="n"/>
      <c r="E428">
        <f>IF(D428="","",IFERROR(INDEX(الأصناف!$B$2:$B$2000,MATCH(D428,الأصناف!$A$2:$A$2000,0)),"كود غير موجود"))</f>
        <v/>
      </c>
      <c r="F428" s="4" t="n"/>
      <c r="G428">
        <f>IF(D428="","",IFERROR(INDEX(الأصناف!$C$2:$C$2000,MATCH(D428,الأصناف!$A$2:$A$2000,0)),0))</f>
        <v/>
      </c>
      <c r="H428">
        <f>IF(D428="","",F428*G428)</f>
        <v/>
      </c>
      <c r="I428">
        <f>IF(D428="","",H428-F428*IFERROR(INDEX(الأصناف!$D$2:$D$2000,MATCH(D428,الأصناف!$A$2:$A$2000,0)),0))</f>
        <v/>
      </c>
      <c r="J428" s="4" t="n"/>
      <c r="K428" s="7">
        <f>IF(OR(B428="",B428&lt;&gt;الإيصال!$C$3),"",COUNTIF(B$2:B428,الإيصال!$C$3))</f>
        <v/>
      </c>
    </row>
    <row r="429">
      <c r="A429" s="6" t="n"/>
      <c r="B429" s="4" t="n"/>
      <c r="C429" s="4" t="n"/>
      <c r="D429" s="4" t="n"/>
      <c r="E429">
        <f>IF(D429="","",IFERROR(INDEX(الأصناف!$B$2:$B$2000,MATCH(D429,الأصناف!$A$2:$A$2000,0)),"كود غير موجود"))</f>
        <v/>
      </c>
      <c r="F429" s="4" t="n"/>
      <c r="G429">
        <f>IF(D429="","",IFERROR(INDEX(الأصناف!$C$2:$C$2000,MATCH(D429,الأصناف!$A$2:$A$2000,0)),0))</f>
        <v/>
      </c>
      <c r="H429">
        <f>IF(D429="","",F429*G429)</f>
        <v/>
      </c>
      <c r="I429">
        <f>IF(D429="","",H429-F429*IFERROR(INDEX(الأصناف!$D$2:$D$2000,MATCH(D429,الأصناف!$A$2:$A$2000,0)),0))</f>
        <v/>
      </c>
      <c r="J429" s="4" t="n"/>
      <c r="K429" s="7">
        <f>IF(OR(B429="",B429&lt;&gt;الإيصال!$C$3),"",COUNTIF(B$2:B429,الإيصال!$C$3))</f>
        <v/>
      </c>
    </row>
    <row r="430">
      <c r="A430" s="6" t="n"/>
      <c r="B430" s="4" t="n"/>
      <c r="C430" s="4" t="n"/>
      <c r="D430" s="4" t="n"/>
      <c r="E430">
        <f>IF(D430="","",IFERROR(INDEX(الأصناف!$B$2:$B$2000,MATCH(D430,الأصناف!$A$2:$A$2000,0)),"كود غير موجود"))</f>
        <v/>
      </c>
      <c r="F430" s="4" t="n"/>
      <c r="G430">
        <f>IF(D430="","",IFERROR(INDEX(الأصناف!$C$2:$C$2000,MATCH(D430,الأصناف!$A$2:$A$2000,0)),0))</f>
        <v/>
      </c>
      <c r="H430">
        <f>IF(D430="","",F430*G430)</f>
        <v/>
      </c>
      <c r="I430">
        <f>IF(D430="","",H430-F430*IFERROR(INDEX(الأصناف!$D$2:$D$2000,MATCH(D430,الأصناف!$A$2:$A$2000,0)),0))</f>
        <v/>
      </c>
      <c r="J430" s="4" t="n"/>
      <c r="K430" s="7">
        <f>IF(OR(B430="",B430&lt;&gt;الإيصال!$C$3),"",COUNTIF(B$2:B430,الإيصال!$C$3))</f>
        <v/>
      </c>
    </row>
    <row r="431">
      <c r="A431" s="6" t="n"/>
      <c r="B431" s="4" t="n"/>
      <c r="C431" s="4" t="n"/>
      <c r="D431" s="4" t="n"/>
      <c r="E431">
        <f>IF(D431="","",IFERROR(INDEX(الأصناف!$B$2:$B$2000,MATCH(D431,الأصناف!$A$2:$A$2000,0)),"كود غير موجود"))</f>
        <v/>
      </c>
      <c r="F431" s="4" t="n"/>
      <c r="G431">
        <f>IF(D431="","",IFERROR(INDEX(الأصناف!$C$2:$C$2000,MATCH(D431,الأصناف!$A$2:$A$2000,0)),0))</f>
        <v/>
      </c>
      <c r="H431">
        <f>IF(D431="","",F431*G431)</f>
        <v/>
      </c>
      <c r="I431">
        <f>IF(D431="","",H431-F431*IFERROR(INDEX(الأصناف!$D$2:$D$2000,MATCH(D431,الأصناف!$A$2:$A$2000,0)),0))</f>
        <v/>
      </c>
      <c r="J431" s="4" t="n"/>
      <c r="K431" s="7">
        <f>IF(OR(B431="",B431&lt;&gt;الإيصال!$C$3),"",COUNTIF(B$2:B431,الإيصال!$C$3))</f>
        <v/>
      </c>
    </row>
    <row r="432">
      <c r="A432" s="6" t="n"/>
      <c r="B432" s="4" t="n"/>
      <c r="C432" s="4" t="n"/>
      <c r="D432" s="4" t="n"/>
      <c r="E432">
        <f>IF(D432="","",IFERROR(INDEX(الأصناف!$B$2:$B$2000,MATCH(D432,الأصناف!$A$2:$A$2000,0)),"كود غير موجود"))</f>
        <v/>
      </c>
      <c r="F432" s="4" t="n"/>
      <c r="G432">
        <f>IF(D432="","",IFERROR(INDEX(الأصناف!$C$2:$C$2000,MATCH(D432,الأصناف!$A$2:$A$2000,0)),0))</f>
        <v/>
      </c>
      <c r="H432">
        <f>IF(D432="","",F432*G432)</f>
        <v/>
      </c>
      <c r="I432">
        <f>IF(D432="","",H432-F432*IFERROR(INDEX(الأصناف!$D$2:$D$2000,MATCH(D432,الأصناف!$A$2:$A$2000,0)),0))</f>
        <v/>
      </c>
      <c r="J432" s="4" t="n"/>
      <c r="K432" s="7">
        <f>IF(OR(B432="",B432&lt;&gt;الإيصال!$C$3),"",COUNTIF(B$2:B432,الإيصال!$C$3))</f>
        <v/>
      </c>
    </row>
    <row r="433">
      <c r="A433" s="6" t="n"/>
      <c r="B433" s="4" t="n"/>
      <c r="C433" s="4" t="n"/>
      <c r="D433" s="4" t="n"/>
      <c r="E433">
        <f>IF(D433="","",IFERROR(INDEX(الأصناف!$B$2:$B$2000,MATCH(D433,الأصناف!$A$2:$A$2000,0)),"كود غير موجود"))</f>
        <v/>
      </c>
      <c r="F433" s="4" t="n"/>
      <c r="G433">
        <f>IF(D433="","",IFERROR(INDEX(الأصناف!$C$2:$C$2000,MATCH(D433,الأصناف!$A$2:$A$2000,0)),0))</f>
        <v/>
      </c>
      <c r="H433">
        <f>IF(D433="","",F433*G433)</f>
        <v/>
      </c>
      <c r="I433">
        <f>IF(D433="","",H433-F433*IFERROR(INDEX(الأصناف!$D$2:$D$2000,MATCH(D433,الأصناف!$A$2:$A$2000,0)),0))</f>
        <v/>
      </c>
      <c r="J433" s="4" t="n"/>
      <c r="K433" s="7">
        <f>IF(OR(B433="",B433&lt;&gt;الإيصال!$C$3),"",COUNTIF(B$2:B433,الإيصال!$C$3))</f>
        <v/>
      </c>
    </row>
    <row r="434">
      <c r="A434" s="6" t="n"/>
      <c r="B434" s="4" t="n"/>
      <c r="C434" s="4" t="n"/>
      <c r="D434" s="4" t="n"/>
      <c r="E434">
        <f>IF(D434="","",IFERROR(INDEX(الأصناف!$B$2:$B$2000,MATCH(D434,الأصناف!$A$2:$A$2000,0)),"كود غير موجود"))</f>
        <v/>
      </c>
      <c r="F434" s="4" t="n"/>
      <c r="G434">
        <f>IF(D434="","",IFERROR(INDEX(الأصناف!$C$2:$C$2000,MATCH(D434,الأصناف!$A$2:$A$2000,0)),0))</f>
        <v/>
      </c>
      <c r="H434">
        <f>IF(D434="","",F434*G434)</f>
        <v/>
      </c>
      <c r="I434">
        <f>IF(D434="","",H434-F434*IFERROR(INDEX(الأصناف!$D$2:$D$2000,MATCH(D434,الأصناف!$A$2:$A$2000,0)),0))</f>
        <v/>
      </c>
      <c r="J434" s="4" t="n"/>
      <c r="K434" s="7">
        <f>IF(OR(B434="",B434&lt;&gt;الإيصال!$C$3),"",COUNTIF(B$2:B434,الإيصال!$C$3))</f>
        <v/>
      </c>
    </row>
    <row r="435">
      <c r="A435" s="6" t="n"/>
      <c r="B435" s="4" t="n"/>
      <c r="C435" s="4" t="n"/>
      <c r="D435" s="4" t="n"/>
      <c r="E435">
        <f>IF(D435="","",IFERROR(INDEX(الأصناف!$B$2:$B$2000,MATCH(D435,الأصناف!$A$2:$A$2000,0)),"كود غير موجود"))</f>
        <v/>
      </c>
      <c r="F435" s="4" t="n"/>
      <c r="G435">
        <f>IF(D435="","",IFERROR(INDEX(الأصناف!$C$2:$C$2000,MATCH(D435,الأصناف!$A$2:$A$2000,0)),0))</f>
        <v/>
      </c>
      <c r="H435">
        <f>IF(D435="","",F435*G435)</f>
        <v/>
      </c>
      <c r="I435">
        <f>IF(D435="","",H435-F435*IFERROR(INDEX(الأصناف!$D$2:$D$2000,MATCH(D435,الأصناف!$A$2:$A$2000,0)),0))</f>
        <v/>
      </c>
      <c r="J435" s="4" t="n"/>
      <c r="K435" s="7">
        <f>IF(OR(B435="",B435&lt;&gt;الإيصال!$C$3),"",COUNTIF(B$2:B435,الإيصال!$C$3))</f>
        <v/>
      </c>
    </row>
    <row r="436">
      <c r="A436" s="6" t="n"/>
      <c r="B436" s="4" t="n"/>
      <c r="C436" s="4" t="n"/>
      <c r="D436" s="4" t="n"/>
      <c r="E436">
        <f>IF(D436="","",IFERROR(INDEX(الأصناف!$B$2:$B$2000,MATCH(D436,الأصناف!$A$2:$A$2000,0)),"كود غير موجود"))</f>
        <v/>
      </c>
      <c r="F436" s="4" t="n"/>
      <c r="G436">
        <f>IF(D436="","",IFERROR(INDEX(الأصناف!$C$2:$C$2000,MATCH(D436,الأصناف!$A$2:$A$2000,0)),0))</f>
        <v/>
      </c>
      <c r="H436">
        <f>IF(D436="","",F436*G436)</f>
        <v/>
      </c>
      <c r="I436">
        <f>IF(D436="","",H436-F436*IFERROR(INDEX(الأصناف!$D$2:$D$2000,MATCH(D436,الأصناف!$A$2:$A$2000,0)),0))</f>
        <v/>
      </c>
      <c r="J436" s="4" t="n"/>
      <c r="K436" s="7">
        <f>IF(OR(B436="",B436&lt;&gt;الإيصال!$C$3),"",COUNTIF(B$2:B436,الإيصال!$C$3))</f>
        <v/>
      </c>
    </row>
    <row r="437">
      <c r="A437" s="6" t="n"/>
      <c r="B437" s="4" t="n"/>
      <c r="C437" s="4" t="n"/>
      <c r="D437" s="4" t="n"/>
      <c r="E437">
        <f>IF(D437="","",IFERROR(INDEX(الأصناف!$B$2:$B$2000,MATCH(D437,الأصناف!$A$2:$A$2000,0)),"كود غير موجود"))</f>
        <v/>
      </c>
      <c r="F437" s="4" t="n"/>
      <c r="G437">
        <f>IF(D437="","",IFERROR(INDEX(الأصناف!$C$2:$C$2000,MATCH(D437,الأصناف!$A$2:$A$2000,0)),0))</f>
        <v/>
      </c>
      <c r="H437">
        <f>IF(D437="","",F437*G437)</f>
        <v/>
      </c>
      <c r="I437">
        <f>IF(D437="","",H437-F437*IFERROR(INDEX(الأصناف!$D$2:$D$2000,MATCH(D437,الأصناف!$A$2:$A$2000,0)),0))</f>
        <v/>
      </c>
      <c r="J437" s="4" t="n"/>
      <c r="K437" s="7">
        <f>IF(OR(B437="",B437&lt;&gt;الإيصال!$C$3),"",COUNTIF(B$2:B437,الإيصال!$C$3))</f>
        <v/>
      </c>
    </row>
    <row r="438">
      <c r="A438" s="6" t="n"/>
      <c r="B438" s="4" t="n"/>
      <c r="C438" s="4" t="n"/>
      <c r="D438" s="4" t="n"/>
      <c r="E438">
        <f>IF(D438="","",IFERROR(INDEX(الأصناف!$B$2:$B$2000,MATCH(D438,الأصناف!$A$2:$A$2000,0)),"كود غير موجود"))</f>
        <v/>
      </c>
      <c r="F438" s="4" t="n"/>
      <c r="G438">
        <f>IF(D438="","",IFERROR(INDEX(الأصناف!$C$2:$C$2000,MATCH(D438,الأصناف!$A$2:$A$2000,0)),0))</f>
        <v/>
      </c>
      <c r="H438">
        <f>IF(D438="","",F438*G438)</f>
        <v/>
      </c>
      <c r="I438">
        <f>IF(D438="","",H438-F438*IFERROR(INDEX(الأصناف!$D$2:$D$2000,MATCH(D438,الأصناف!$A$2:$A$2000,0)),0))</f>
        <v/>
      </c>
      <c r="J438" s="4" t="n"/>
      <c r="K438" s="7">
        <f>IF(OR(B438="",B438&lt;&gt;الإيصال!$C$3),"",COUNTIF(B$2:B438,الإيصال!$C$3))</f>
        <v/>
      </c>
    </row>
    <row r="439">
      <c r="A439" s="6" t="n"/>
      <c r="B439" s="4" t="n"/>
      <c r="C439" s="4" t="n"/>
      <c r="D439" s="4" t="n"/>
      <c r="E439">
        <f>IF(D439="","",IFERROR(INDEX(الأصناف!$B$2:$B$2000,MATCH(D439,الأصناف!$A$2:$A$2000,0)),"كود غير موجود"))</f>
        <v/>
      </c>
      <c r="F439" s="4" t="n"/>
      <c r="G439">
        <f>IF(D439="","",IFERROR(INDEX(الأصناف!$C$2:$C$2000,MATCH(D439,الأصناف!$A$2:$A$2000,0)),0))</f>
        <v/>
      </c>
      <c r="H439">
        <f>IF(D439="","",F439*G439)</f>
        <v/>
      </c>
      <c r="I439">
        <f>IF(D439="","",H439-F439*IFERROR(INDEX(الأصناف!$D$2:$D$2000,MATCH(D439,الأصناف!$A$2:$A$2000,0)),0))</f>
        <v/>
      </c>
      <c r="J439" s="4" t="n"/>
      <c r="K439" s="7">
        <f>IF(OR(B439="",B439&lt;&gt;الإيصال!$C$3),"",COUNTIF(B$2:B439,الإيصال!$C$3))</f>
        <v/>
      </c>
    </row>
    <row r="440">
      <c r="A440" s="6" t="n"/>
      <c r="B440" s="4" t="n"/>
      <c r="C440" s="4" t="n"/>
      <c r="D440" s="4" t="n"/>
      <c r="E440">
        <f>IF(D440="","",IFERROR(INDEX(الأصناف!$B$2:$B$2000,MATCH(D440,الأصناف!$A$2:$A$2000,0)),"كود غير موجود"))</f>
        <v/>
      </c>
      <c r="F440" s="4" t="n"/>
      <c r="G440">
        <f>IF(D440="","",IFERROR(INDEX(الأصناف!$C$2:$C$2000,MATCH(D440,الأصناف!$A$2:$A$2000,0)),0))</f>
        <v/>
      </c>
      <c r="H440">
        <f>IF(D440="","",F440*G440)</f>
        <v/>
      </c>
      <c r="I440">
        <f>IF(D440="","",H440-F440*IFERROR(INDEX(الأصناف!$D$2:$D$2000,MATCH(D440,الأصناف!$A$2:$A$2000,0)),0))</f>
        <v/>
      </c>
      <c r="J440" s="4" t="n"/>
      <c r="K440" s="7">
        <f>IF(OR(B440="",B440&lt;&gt;الإيصال!$C$3),"",COUNTIF(B$2:B440,الإيصال!$C$3))</f>
        <v/>
      </c>
    </row>
    <row r="441">
      <c r="A441" s="6" t="n"/>
      <c r="B441" s="4" t="n"/>
      <c r="C441" s="4" t="n"/>
      <c r="D441" s="4" t="n"/>
      <c r="E441">
        <f>IF(D441="","",IFERROR(INDEX(الأصناف!$B$2:$B$2000,MATCH(D441,الأصناف!$A$2:$A$2000,0)),"كود غير موجود"))</f>
        <v/>
      </c>
      <c r="F441" s="4" t="n"/>
      <c r="G441">
        <f>IF(D441="","",IFERROR(INDEX(الأصناف!$C$2:$C$2000,MATCH(D441,الأصناف!$A$2:$A$2000,0)),0))</f>
        <v/>
      </c>
      <c r="H441">
        <f>IF(D441="","",F441*G441)</f>
        <v/>
      </c>
      <c r="I441">
        <f>IF(D441="","",H441-F441*IFERROR(INDEX(الأصناف!$D$2:$D$2000,MATCH(D441,الأصناف!$A$2:$A$2000,0)),0))</f>
        <v/>
      </c>
      <c r="J441" s="4" t="n"/>
      <c r="K441" s="7">
        <f>IF(OR(B441="",B441&lt;&gt;الإيصال!$C$3),"",COUNTIF(B$2:B441,الإيصال!$C$3))</f>
        <v/>
      </c>
    </row>
    <row r="442">
      <c r="A442" s="6" t="n"/>
      <c r="B442" s="4" t="n"/>
      <c r="C442" s="4" t="n"/>
      <c r="D442" s="4" t="n"/>
      <c r="E442">
        <f>IF(D442="","",IFERROR(INDEX(الأصناف!$B$2:$B$2000,MATCH(D442,الأصناف!$A$2:$A$2000,0)),"كود غير موجود"))</f>
        <v/>
      </c>
      <c r="F442" s="4" t="n"/>
      <c r="G442">
        <f>IF(D442="","",IFERROR(INDEX(الأصناف!$C$2:$C$2000,MATCH(D442,الأصناف!$A$2:$A$2000,0)),0))</f>
        <v/>
      </c>
      <c r="H442">
        <f>IF(D442="","",F442*G442)</f>
        <v/>
      </c>
      <c r="I442">
        <f>IF(D442="","",H442-F442*IFERROR(INDEX(الأصناف!$D$2:$D$2000,MATCH(D442,الأصناف!$A$2:$A$2000,0)),0))</f>
        <v/>
      </c>
      <c r="J442" s="4" t="n"/>
      <c r="K442" s="7">
        <f>IF(OR(B442="",B442&lt;&gt;الإيصال!$C$3),"",COUNTIF(B$2:B442,الإيصال!$C$3))</f>
        <v/>
      </c>
    </row>
    <row r="443">
      <c r="A443" s="6" t="n"/>
      <c r="B443" s="4" t="n"/>
      <c r="C443" s="4" t="n"/>
      <c r="D443" s="4" t="n"/>
      <c r="E443">
        <f>IF(D443="","",IFERROR(INDEX(الأصناف!$B$2:$B$2000,MATCH(D443,الأصناف!$A$2:$A$2000,0)),"كود غير موجود"))</f>
        <v/>
      </c>
      <c r="F443" s="4" t="n"/>
      <c r="G443">
        <f>IF(D443="","",IFERROR(INDEX(الأصناف!$C$2:$C$2000,MATCH(D443,الأصناف!$A$2:$A$2000,0)),0))</f>
        <v/>
      </c>
      <c r="H443">
        <f>IF(D443="","",F443*G443)</f>
        <v/>
      </c>
      <c r="I443">
        <f>IF(D443="","",H443-F443*IFERROR(INDEX(الأصناف!$D$2:$D$2000,MATCH(D443,الأصناف!$A$2:$A$2000,0)),0))</f>
        <v/>
      </c>
      <c r="J443" s="4" t="n"/>
      <c r="K443" s="7">
        <f>IF(OR(B443="",B443&lt;&gt;الإيصال!$C$3),"",COUNTIF(B$2:B443,الإيصال!$C$3))</f>
        <v/>
      </c>
    </row>
    <row r="444">
      <c r="A444" s="6" t="n"/>
      <c r="B444" s="4" t="n"/>
      <c r="C444" s="4" t="n"/>
      <c r="D444" s="4" t="n"/>
      <c r="E444">
        <f>IF(D444="","",IFERROR(INDEX(الأصناف!$B$2:$B$2000,MATCH(D444,الأصناف!$A$2:$A$2000,0)),"كود غير موجود"))</f>
        <v/>
      </c>
      <c r="F444" s="4" t="n"/>
      <c r="G444">
        <f>IF(D444="","",IFERROR(INDEX(الأصناف!$C$2:$C$2000,MATCH(D444,الأصناف!$A$2:$A$2000,0)),0))</f>
        <v/>
      </c>
      <c r="H444">
        <f>IF(D444="","",F444*G444)</f>
        <v/>
      </c>
      <c r="I444">
        <f>IF(D444="","",H444-F444*IFERROR(INDEX(الأصناف!$D$2:$D$2000,MATCH(D444,الأصناف!$A$2:$A$2000,0)),0))</f>
        <v/>
      </c>
      <c r="J444" s="4" t="n"/>
      <c r="K444" s="7">
        <f>IF(OR(B444="",B444&lt;&gt;الإيصال!$C$3),"",COUNTIF(B$2:B444,الإيصال!$C$3))</f>
        <v/>
      </c>
    </row>
    <row r="445">
      <c r="A445" s="6" t="n"/>
      <c r="B445" s="4" t="n"/>
      <c r="C445" s="4" t="n"/>
      <c r="D445" s="4" t="n"/>
      <c r="E445">
        <f>IF(D445="","",IFERROR(INDEX(الأصناف!$B$2:$B$2000,MATCH(D445,الأصناف!$A$2:$A$2000,0)),"كود غير موجود"))</f>
        <v/>
      </c>
      <c r="F445" s="4" t="n"/>
      <c r="G445">
        <f>IF(D445="","",IFERROR(INDEX(الأصناف!$C$2:$C$2000,MATCH(D445,الأصناف!$A$2:$A$2000,0)),0))</f>
        <v/>
      </c>
      <c r="H445">
        <f>IF(D445="","",F445*G445)</f>
        <v/>
      </c>
      <c r="I445">
        <f>IF(D445="","",H445-F445*IFERROR(INDEX(الأصناف!$D$2:$D$2000,MATCH(D445,الأصناف!$A$2:$A$2000,0)),0))</f>
        <v/>
      </c>
      <c r="J445" s="4" t="n"/>
      <c r="K445" s="7">
        <f>IF(OR(B445="",B445&lt;&gt;الإيصال!$C$3),"",COUNTIF(B$2:B445,الإيصال!$C$3))</f>
        <v/>
      </c>
    </row>
    <row r="446">
      <c r="A446" s="6" t="n"/>
      <c r="B446" s="4" t="n"/>
      <c r="C446" s="4" t="n"/>
      <c r="D446" s="4" t="n"/>
      <c r="E446">
        <f>IF(D446="","",IFERROR(INDEX(الأصناف!$B$2:$B$2000,MATCH(D446,الأصناف!$A$2:$A$2000,0)),"كود غير موجود"))</f>
        <v/>
      </c>
      <c r="F446" s="4" t="n"/>
      <c r="G446">
        <f>IF(D446="","",IFERROR(INDEX(الأصناف!$C$2:$C$2000,MATCH(D446,الأصناف!$A$2:$A$2000,0)),0))</f>
        <v/>
      </c>
      <c r="H446">
        <f>IF(D446="","",F446*G446)</f>
        <v/>
      </c>
      <c r="I446">
        <f>IF(D446="","",H446-F446*IFERROR(INDEX(الأصناف!$D$2:$D$2000,MATCH(D446,الأصناف!$A$2:$A$2000,0)),0))</f>
        <v/>
      </c>
      <c r="J446" s="4" t="n"/>
      <c r="K446" s="7">
        <f>IF(OR(B446="",B446&lt;&gt;الإيصال!$C$3),"",COUNTIF(B$2:B446,الإيصال!$C$3))</f>
        <v/>
      </c>
    </row>
    <row r="447">
      <c r="A447" s="6" t="n"/>
      <c r="B447" s="4" t="n"/>
      <c r="C447" s="4" t="n"/>
      <c r="D447" s="4" t="n"/>
      <c r="E447">
        <f>IF(D447="","",IFERROR(INDEX(الأصناف!$B$2:$B$2000,MATCH(D447,الأصناف!$A$2:$A$2000,0)),"كود غير موجود"))</f>
        <v/>
      </c>
      <c r="F447" s="4" t="n"/>
      <c r="G447">
        <f>IF(D447="","",IFERROR(INDEX(الأصناف!$C$2:$C$2000,MATCH(D447,الأصناف!$A$2:$A$2000,0)),0))</f>
        <v/>
      </c>
      <c r="H447">
        <f>IF(D447="","",F447*G447)</f>
        <v/>
      </c>
      <c r="I447">
        <f>IF(D447="","",H447-F447*IFERROR(INDEX(الأصناف!$D$2:$D$2000,MATCH(D447,الأصناف!$A$2:$A$2000,0)),0))</f>
        <v/>
      </c>
      <c r="J447" s="4" t="n"/>
      <c r="K447" s="7">
        <f>IF(OR(B447="",B447&lt;&gt;الإيصال!$C$3),"",COUNTIF(B$2:B447,الإيصال!$C$3))</f>
        <v/>
      </c>
    </row>
    <row r="448">
      <c r="A448" s="6" t="n"/>
      <c r="B448" s="4" t="n"/>
      <c r="C448" s="4" t="n"/>
      <c r="D448" s="4" t="n"/>
      <c r="E448">
        <f>IF(D448="","",IFERROR(INDEX(الأصناف!$B$2:$B$2000,MATCH(D448,الأصناف!$A$2:$A$2000,0)),"كود غير موجود"))</f>
        <v/>
      </c>
      <c r="F448" s="4" t="n"/>
      <c r="G448">
        <f>IF(D448="","",IFERROR(INDEX(الأصناف!$C$2:$C$2000,MATCH(D448,الأصناف!$A$2:$A$2000,0)),0))</f>
        <v/>
      </c>
      <c r="H448">
        <f>IF(D448="","",F448*G448)</f>
        <v/>
      </c>
      <c r="I448">
        <f>IF(D448="","",H448-F448*IFERROR(INDEX(الأصناف!$D$2:$D$2000,MATCH(D448,الأصناف!$A$2:$A$2000,0)),0))</f>
        <v/>
      </c>
      <c r="J448" s="4" t="n"/>
      <c r="K448" s="7">
        <f>IF(OR(B448="",B448&lt;&gt;الإيصال!$C$3),"",COUNTIF(B$2:B448,الإيصال!$C$3))</f>
        <v/>
      </c>
    </row>
    <row r="449">
      <c r="A449" s="6" t="n"/>
      <c r="B449" s="4" t="n"/>
      <c r="C449" s="4" t="n"/>
      <c r="D449" s="4" t="n"/>
      <c r="E449">
        <f>IF(D449="","",IFERROR(INDEX(الأصناف!$B$2:$B$2000,MATCH(D449,الأصناف!$A$2:$A$2000,0)),"كود غير موجود"))</f>
        <v/>
      </c>
      <c r="F449" s="4" t="n"/>
      <c r="G449">
        <f>IF(D449="","",IFERROR(INDEX(الأصناف!$C$2:$C$2000,MATCH(D449,الأصناف!$A$2:$A$2000,0)),0))</f>
        <v/>
      </c>
      <c r="H449">
        <f>IF(D449="","",F449*G449)</f>
        <v/>
      </c>
      <c r="I449">
        <f>IF(D449="","",H449-F449*IFERROR(INDEX(الأصناف!$D$2:$D$2000,MATCH(D449,الأصناف!$A$2:$A$2000,0)),0))</f>
        <v/>
      </c>
      <c r="J449" s="4" t="n"/>
      <c r="K449" s="7">
        <f>IF(OR(B449="",B449&lt;&gt;الإيصال!$C$3),"",COUNTIF(B$2:B449,الإيصال!$C$3))</f>
        <v/>
      </c>
    </row>
    <row r="450">
      <c r="A450" s="6" t="n"/>
      <c r="B450" s="4" t="n"/>
      <c r="C450" s="4" t="n"/>
      <c r="D450" s="4" t="n"/>
      <c r="E450">
        <f>IF(D450="","",IFERROR(INDEX(الأصناف!$B$2:$B$2000,MATCH(D450,الأصناف!$A$2:$A$2000,0)),"كود غير موجود"))</f>
        <v/>
      </c>
      <c r="F450" s="4" t="n"/>
      <c r="G450">
        <f>IF(D450="","",IFERROR(INDEX(الأصناف!$C$2:$C$2000,MATCH(D450,الأصناف!$A$2:$A$2000,0)),0))</f>
        <v/>
      </c>
      <c r="H450">
        <f>IF(D450="","",F450*G450)</f>
        <v/>
      </c>
      <c r="I450">
        <f>IF(D450="","",H450-F450*IFERROR(INDEX(الأصناف!$D$2:$D$2000,MATCH(D450,الأصناف!$A$2:$A$2000,0)),0))</f>
        <v/>
      </c>
      <c r="J450" s="4" t="n"/>
      <c r="K450" s="7">
        <f>IF(OR(B450="",B450&lt;&gt;الإيصال!$C$3),"",COUNTIF(B$2:B450,الإيصال!$C$3))</f>
        <v/>
      </c>
    </row>
    <row r="451">
      <c r="A451" s="6" t="n"/>
      <c r="B451" s="4" t="n"/>
      <c r="C451" s="4" t="n"/>
      <c r="D451" s="4" t="n"/>
      <c r="E451">
        <f>IF(D451="","",IFERROR(INDEX(الأصناف!$B$2:$B$2000,MATCH(D451,الأصناف!$A$2:$A$2000,0)),"كود غير موجود"))</f>
        <v/>
      </c>
      <c r="F451" s="4" t="n"/>
      <c r="G451">
        <f>IF(D451="","",IFERROR(INDEX(الأصناف!$C$2:$C$2000,MATCH(D451,الأصناف!$A$2:$A$2000,0)),0))</f>
        <v/>
      </c>
      <c r="H451">
        <f>IF(D451="","",F451*G451)</f>
        <v/>
      </c>
      <c r="I451">
        <f>IF(D451="","",H451-F451*IFERROR(INDEX(الأصناف!$D$2:$D$2000,MATCH(D451,الأصناف!$A$2:$A$2000,0)),0))</f>
        <v/>
      </c>
      <c r="J451" s="4" t="n"/>
      <c r="K451" s="7">
        <f>IF(OR(B451="",B451&lt;&gt;الإيصال!$C$3),"",COUNTIF(B$2:B451,الإيصال!$C$3))</f>
        <v/>
      </c>
    </row>
    <row r="452">
      <c r="A452" s="6" t="n"/>
      <c r="B452" s="4" t="n"/>
      <c r="C452" s="4" t="n"/>
      <c r="D452" s="4" t="n"/>
      <c r="E452">
        <f>IF(D452="","",IFERROR(INDEX(الأصناف!$B$2:$B$2000,MATCH(D452,الأصناف!$A$2:$A$2000,0)),"كود غير موجود"))</f>
        <v/>
      </c>
      <c r="F452" s="4" t="n"/>
      <c r="G452">
        <f>IF(D452="","",IFERROR(INDEX(الأصناف!$C$2:$C$2000,MATCH(D452,الأصناف!$A$2:$A$2000,0)),0))</f>
        <v/>
      </c>
      <c r="H452">
        <f>IF(D452="","",F452*G452)</f>
        <v/>
      </c>
      <c r="I452">
        <f>IF(D452="","",H452-F452*IFERROR(INDEX(الأصناف!$D$2:$D$2000,MATCH(D452,الأصناف!$A$2:$A$2000,0)),0))</f>
        <v/>
      </c>
      <c r="J452" s="4" t="n"/>
      <c r="K452" s="7">
        <f>IF(OR(B452="",B452&lt;&gt;الإيصال!$C$3),"",COUNTIF(B$2:B452,الإيصال!$C$3))</f>
        <v/>
      </c>
    </row>
    <row r="453">
      <c r="A453" s="6" t="n"/>
      <c r="B453" s="4" t="n"/>
      <c r="C453" s="4" t="n"/>
      <c r="D453" s="4" t="n"/>
      <c r="E453">
        <f>IF(D453="","",IFERROR(INDEX(الأصناف!$B$2:$B$2000,MATCH(D453,الأصناف!$A$2:$A$2000,0)),"كود غير موجود"))</f>
        <v/>
      </c>
      <c r="F453" s="4" t="n"/>
      <c r="G453">
        <f>IF(D453="","",IFERROR(INDEX(الأصناف!$C$2:$C$2000,MATCH(D453,الأصناف!$A$2:$A$2000,0)),0))</f>
        <v/>
      </c>
      <c r="H453">
        <f>IF(D453="","",F453*G453)</f>
        <v/>
      </c>
      <c r="I453">
        <f>IF(D453="","",H453-F453*IFERROR(INDEX(الأصناف!$D$2:$D$2000,MATCH(D453,الأصناف!$A$2:$A$2000,0)),0))</f>
        <v/>
      </c>
      <c r="J453" s="4" t="n"/>
      <c r="K453" s="7">
        <f>IF(OR(B453="",B453&lt;&gt;الإيصال!$C$3),"",COUNTIF(B$2:B453,الإيصال!$C$3))</f>
        <v/>
      </c>
    </row>
    <row r="454">
      <c r="A454" s="6" t="n"/>
      <c r="B454" s="4" t="n"/>
      <c r="C454" s="4" t="n"/>
      <c r="D454" s="4" t="n"/>
      <c r="E454">
        <f>IF(D454="","",IFERROR(INDEX(الأصناف!$B$2:$B$2000,MATCH(D454,الأصناف!$A$2:$A$2000,0)),"كود غير موجود"))</f>
        <v/>
      </c>
      <c r="F454" s="4" t="n"/>
      <c r="G454">
        <f>IF(D454="","",IFERROR(INDEX(الأصناف!$C$2:$C$2000,MATCH(D454,الأصناف!$A$2:$A$2000,0)),0))</f>
        <v/>
      </c>
      <c r="H454">
        <f>IF(D454="","",F454*G454)</f>
        <v/>
      </c>
      <c r="I454">
        <f>IF(D454="","",H454-F454*IFERROR(INDEX(الأصناف!$D$2:$D$2000,MATCH(D454,الأصناف!$A$2:$A$2000,0)),0))</f>
        <v/>
      </c>
      <c r="J454" s="4" t="n"/>
      <c r="K454" s="7">
        <f>IF(OR(B454="",B454&lt;&gt;الإيصال!$C$3),"",COUNTIF(B$2:B454,الإيصال!$C$3))</f>
        <v/>
      </c>
    </row>
    <row r="455">
      <c r="A455" s="6" t="n"/>
      <c r="B455" s="4" t="n"/>
      <c r="C455" s="4" t="n"/>
      <c r="D455" s="4" t="n"/>
      <c r="E455">
        <f>IF(D455="","",IFERROR(INDEX(الأصناف!$B$2:$B$2000,MATCH(D455,الأصناف!$A$2:$A$2000,0)),"كود غير موجود"))</f>
        <v/>
      </c>
      <c r="F455" s="4" t="n"/>
      <c r="G455">
        <f>IF(D455="","",IFERROR(INDEX(الأصناف!$C$2:$C$2000,MATCH(D455,الأصناف!$A$2:$A$2000,0)),0))</f>
        <v/>
      </c>
      <c r="H455">
        <f>IF(D455="","",F455*G455)</f>
        <v/>
      </c>
      <c r="I455">
        <f>IF(D455="","",H455-F455*IFERROR(INDEX(الأصناف!$D$2:$D$2000,MATCH(D455,الأصناف!$A$2:$A$2000,0)),0))</f>
        <v/>
      </c>
      <c r="J455" s="4" t="n"/>
      <c r="K455" s="7">
        <f>IF(OR(B455="",B455&lt;&gt;الإيصال!$C$3),"",COUNTIF(B$2:B455,الإيصال!$C$3))</f>
        <v/>
      </c>
    </row>
    <row r="456">
      <c r="A456" s="6" t="n"/>
      <c r="B456" s="4" t="n"/>
      <c r="C456" s="4" t="n"/>
      <c r="D456" s="4" t="n"/>
      <c r="E456">
        <f>IF(D456="","",IFERROR(INDEX(الأصناف!$B$2:$B$2000,MATCH(D456,الأصناف!$A$2:$A$2000,0)),"كود غير موجود"))</f>
        <v/>
      </c>
      <c r="F456" s="4" t="n"/>
      <c r="G456">
        <f>IF(D456="","",IFERROR(INDEX(الأصناف!$C$2:$C$2000,MATCH(D456,الأصناف!$A$2:$A$2000,0)),0))</f>
        <v/>
      </c>
      <c r="H456">
        <f>IF(D456="","",F456*G456)</f>
        <v/>
      </c>
      <c r="I456">
        <f>IF(D456="","",H456-F456*IFERROR(INDEX(الأصناف!$D$2:$D$2000,MATCH(D456,الأصناف!$A$2:$A$2000,0)),0))</f>
        <v/>
      </c>
      <c r="J456" s="4" t="n"/>
      <c r="K456" s="7">
        <f>IF(OR(B456="",B456&lt;&gt;الإيصال!$C$3),"",COUNTIF(B$2:B456,الإيصال!$C$3))</f>
        <v/>
      </c>
    </row>
    <row r="457">
      <c r="A457" s="6" t="n"/>
      <c r="B457" s="4" t="n"/>
      <c r="C457" s="4" t="n"/>
      <c r="D457" s="4" t="n"/>
      <c r="E457">
        <f>IF(D457="","",IFERROR(INDEX(الأصناف!$B$2:$B$2000,MATCH(D457,الأصناف!$A$2:$A$2000,0)),"كود غير موجود"))</f>
        <v/>
      </c>
      <c r="F457" s="4" t="n"/>
      <c r="G457">
        <f>IF(D457="","",IFERROR(INDEX(الأصناف!$C$2:$C$2000,MATCH(D457,الأصناف!$A$2:$A$2000,0)),0))</f>
        <v/>
      </c>
      <c r="H457">
        <f>IF(D457="","",F457*G457)</f>
        <v/>
      </c>
      <c r="I457">
        <f>IF(D457="","",H457-F457*IFERROR(INDEX(الأصناف!$D$2:$D$2000,MATCH(D457,الأصناف!$A$2:$A$2000,0)),0))</f>
        <v/>
      </c>
      <c r="J457" s="4" t="n"/>
      <c r="K457" s="7">
        <f>IF(OR(B457="",B457&lt;&gt;الإيصال!$C$3),"",COUNTIF(B$2:B457,الإيصال!$C$3))</f>
        <v/>
      </c>
    </row>
    <row r="458">
      <c r="A458" s="6" t="n"/>
      <c r="B458" s="4" t="n"/>
      <c r="C458" s="4" t="n"/>
      <c r="D458" s="4" t="n"/>
      <c r="E458">
        <f>IF(D458="","",IFERROR(INDEX(الأصناف!$B$2:$B$2000,MATCH(D458,الأصناف!$A$2:$A$2000,0)),"كود غير موجود"))</f>
        <v/>
      </c>
      <c r="F458" s="4" t="n"/>
      <c r="G458">
        <f>IF(D458="","",IFERROR(INDEX(الأصناف!$C$2:$C$2000,MATCH(D458,الأصناف!$A$2:$A$2000,0)),0))</f>
        <v/>
      </c>
      <c r="H458">
        <f>IF(D458="","",F458*G458)</f>
        <v/>
      </c>
      <c r="I458">
        <f>IF(D458="","",H458-F458*IFERROR(INDEX(الأصناف!$D$2:$D$2000,MATCH(D458,الأصناف!$A$2:$A$2000,0)),0))</f>
        <v/>
      </c>
      <c r="J458" s="4" t="n"/>
      <c r="K458" s="7">
        <f>IF(OR(B458="",B458&lt;&gt;الإيصال!$C$3),"",COUNTIF(B$2:B458,الإيصال!$C$3))</f>
        <v/>
      </c>
    </row>
    <row r="459">
      <c r="A459" s="6" t="n"/>
      <c r="B459" s="4" t="n"/>
      <c r="C459" s="4" t="n"/>
      <c r="D459" s="4" t="n"/>
      <c r="E459">
        <f>IF(D459="","",IFERROR(INDEX(الأصناف!$B$2:$B$2000,MATCH(D459,الأصناف!$A$2:$A$2000,0)),"كود غير موجود"))</f>
        <v/>
      </c>
      <c r="F459" s="4" t="n"/>
      <c r="G459">
        <f>IF(D459="","",IFERROR(INDEX(الأصناف!$C$2:$C$2000,MATCH(D459,الأصناف!$A$2:$A$2000,0)),0))</f>
        <v/>
      </c>
      <c r="H459">
        <f>IF(D459="","",F459*G459)</f>
        <v/>
      </c>
      <c r="I459">
        <f>IF(D459="","",H459-F459*IFERROR(INDEX(الأصناف!$D$2:$D$2000,MATCH(D459,الأصناف!$A$2:$A$2000,0)),0))</f>
        <v/>
      </c>
      <c r="J459" s="4" t="n"/>
      <c r="K459" s="7">
        <f>IF(OR(B459="",B459&lt;&gt;الإيصال!$C$3),"",COUNTIF(B$2:B459,الإيصال!$C$3))</f>
        <v/>
      </c>
    </row>
    <row r="460">
      <c r="A460" s="6" t="n"/>
      <c r="B460" s="4" t="n"/>
      <c r="C460" s="4" t="n"/>
      <c r="D460" s="4" t="n"/>
      <c r="E460">
        <f>IF(D460="","",IFERROR(INDEX(الأصناف!$B$2:$B$2000,MATCH(D460,الأصناف!$A$2:$A$2000,0)),"كود غير موجود"))</f>
        <v/>
      </c>
      <c r="F460" s="4" t="n"/>
      <c r="G460">
        <f>IF(D460="","",IFERROR(INDEX(الأصناف!$C$2:$C$2000,MATCH(D460,الأصناف!$A$2:$A$2000,0)),0))</f>
        <v/>
      </c>
      <c r="H460">
        <f>IF(D460="","",F460*G460)</f>
        <v/>
      </c>
      <c r="I460">
        <f>IF(D460="","",H460-F460*IFERROR(INDEX(الأصناف!$D$2:$D$2000,MATCH(D460,الأصناف!$A$2:$A$2000,0)),0))</f>
        <v/>
      </c>
      <c r="J460" s="4" t="n"/>
      <c r="K460" s="7">
        <f>IF(OR(B460="",B460&lt;&gt;الإيصال!$C$3),"",COUNTIF(B$2:B460,الإيصال!$C$3))</f>
        <v/>
      </c>
    </row>
    <row r="461">
      <c r="A461" s="6" t="n"/>
      <c r="B461" s="4" t="n"/>
      <c r="C461" s="4" t="n"/>
      <c r="D461" s="4" t="n"/>
      <c r="E461">
        <f>IF(D461="","",IFERROR(INDEX(الأصناف!$B$2:$B$2000,MATCH(D461,الأصناف!$A$2:$A$2000,0)),"كود غير موجود"))</f>
        <v/>
      </c>
      <c r="F461" s="4" t="n"/>
      <c r="G461">
        <f>IF(D461="","",IFERROR(INDEX(الأصناف!$C$2:$C$2000,MATCH(D461,الأصناف!$A$2:$A$2000,0)),0))</f>
        <v/>
      </c>
      <c r="H461">
        <f>IF(D461="","",F461*G461)</f>
        <v/>
      </c>
      <c r="I461">
        <f>IF(D461="","",H461-F461*IFERROR(INDEX(الأصناف!$D$2:$D$2000,MATCH(D461,الأصناف!$A$2:$A$2000,0)),0))</f>
        <v/>
      </c>
      <c r="J461" s="4" t="n"/>
      <c r="K461" s="7">
        <f>IF(OR(B461="",B461&lt;&gt;الإيصال!$C$3),"",COUNTIF(B$2:B461,الإيصال!$C$3))</f>
        <v/>
      </c>
    </row>
    <row r="462">
      <c r="A462" s="6" t="n"/>
      <c r="B462" s="4" t="n"/>
      <c r="C462" s="4" t="n"/>
      <c r="D462" s="4" t="n"/>
      <c r="E462">
        <f>IF(D462="","",IFERROR(INDEX(الأصناف!$B$2:$B$2000,MATCH(D462,الأصناف!$A$2:$A$2000,0)),"كود غير موجود"))</f>
        <v/>
      </c>
      <c r="F462" s="4" t="n"/>
      <c r="G462">
        <f>IF(D462="","",IFERROR(INDEX(الأصناف!$C$2:$C$2000,MATCH(D462,الأصناف!$A$2:$A$2000,0)),0))</f>
        <v/>
      </c>
      <c r="H462">
        <f>IF(D462="","",F462*G462)</f>
        <v/>
      </c>
      <c r="I462">
        <f>IF(D462="","",H462-F462*IFERROR(INDEX(الأصناف!$D$2:$D$2000,MATCH(D462,الأصناف!$A$2:$A$2000,0)),0))</f>
        <v/>
      </c>
      <c r="J462" s="4" t="n"/>
      <c r="K462" s="7">
        <f>IF(OR(B462="",B462&lt;&gt;الإيصال!$C$3),"",COUNTIF(B$2:B462,الإيصال!$C$3))</f>
        <v/>
      </c>
    </row>
    <row r="463">
      <c r="A463" s="6" t="n"/>
      <c r="B463" s="4" t="n"/>
      <c r="C463" s="4" t="n"/>
      <c r="D463" s="4" t="n"/>
      <c r="E463">
        <f>IF(D463="","",IFERROR(INDEX(الأصناف!$B$2:$B$2000,MATCH(D463,الأصناف!$A$2:$A$2000,0)),"كود غير موجود"))</f>
        <v/>
      </c>
      <c r="F463" s="4" t="n"/>
      <c r="G463">
        <f>IF(D463="","",IFERROR(INDEX(الأصناف!$C$2:$C$2000,MATCH(D463,الأصناف!$A$2:$A$2000,0)),0))</f>
        <v/>
      </c>
      <c r="H463">
        <f>IF(D463="","",F463*G463)</f>
        <v/>
      </c>
      <c r="I463">
        <f>IF(D463="","",H463-F463*IFERROR(INDEX(الأصناف!$D$2:$D$2000,MATCH(D463,الأصناف!$A$2:$A$2000,0)),0))</f>
        <v/>
      </c>
      <c r="J463" s="4" t="n"/>
      <c r="K463" s="7">
        <f>IF(OR(B463="",B463&lt;&gt;الإيصال!$C$3),"",COUNTIF(B$2:B463,الإيصال!$C$3))</f>
        <v/>
      </c>
    </row>
    <row r="464">
      <c r="A464" s="6" t="n"/>
      <c r="B464" s="4" t="n"/>
      <c r="C464" s="4" t="n"/>
      <c r="D464" s="4" t="n"/>
      <c r="E464">
        <f>IF(D464="","",IFERROR(INDEX(الأصناف!$B$2:$B$2000,MATCH(D464,الأصناف!$A$2:$A$2000,0)),"كود غير موجود"))</f>
        <v/>
      </c>
      <c r="F464" s="4" t="n"/>
      <c r="G464">
        <f>IF(D464="","",IFERROR(INDEX(الأصناف!$C$2:$C$2000,MATCH(D464,الأصناف!$A$2:$A$2000,0)),0))</f>
        <v/>
      </c>
      <c r="H464">
        <f>IF(D464="","",F464*G464)</f>
        <v/>
      </c>
      <c r="I464">
        <f>IF(D464="","",H464-F464*IFERROR(INDEX(الأصناف!$D$2:$D$2000,MATCH(D464,الأصناف!$A$2:$A$2000,0)),0))</f>
        <v/>
      </c>
      <c r="J464" s="4" t="n"/>
      <c r="K464" s="7">
        <f>IF(OR(B464="",B464&lt;&gt;الإيصال!$C$3),"",COUNTIF(B$2:B464,الإيصال!$C$3))</f>
        <v/>
      </c>
    </row>
    <row r="465">
      <c r="A465" s="6" t="n"/>
      <c r="B465" s="4" t="n"/>
      <c r="C465" s="4" t="n"/>
      <c r="D465" s="4" t="n"/>
      <c r="E465">
        <f>IF(D465="","",IFERROR(INDEX(الأصناف!$B$2:$B$2000,MATCH(D465,الأصناف!$A$2:$A$2000,0)),"كود غير موجود"))</f>
        <v/>
      </c>
      <c r="F465" s="4" t="n"/>
      <c r="G465">
        <f>IF(D465="","",IFERROR(INDEX(الأصناف!$C$2:$C$2000,MATCH(D465,الأصناف!$A$2:$A$2000,0)),0))</f>
        <v/>
      </c>
      <c r="H465">
        <f>IF(D465="","",F465*G465)</f>
        <v/>
      </c>
      <c r="I465">
        <f>IF(D465="","",H465-F465*IFERROR(INDEX(الأصناف!$D$2:$D$2000,MATCH(D465,الأصناف!$A$2:$A$2000,0)),0))</f>
        <v/>
      </c>
      <c r="J465" s="4" t="n"/>
      <c r="K465" s="7">
        <f>IF(OR(B465="",B465&lt;&gt;الإيصال!$C$3),"",COUNTIF(B$2:B465,الإيصال!$C$3))</f>
        <v/>
      </c>
    </row>
    <row r="466">
      <c r="A466" s="6" t="n"/>
      <c r="B466" s="4" t="n"/>
      <c r="C466" s="4" t="n"/>
      <c r="D466" s="4" t="n"/>
      <c r="E466">
        <f>IF(D466="","",IFERROR(INDEX(الأصناف!$B$2:$B$2000,MATCH(D466,الأصناف!$A$2:$A$2000,0)),"كود غير موجود"))</f>
        <v/>
      </c>
      <c r="F466" s="4" t="n"/>
      <c r="G466">
        <f>IF(D466="","",IFERROR(INDEX(الأصناف!$C$2:$C$2000,MATCH(D466,الأصناف!$A$2:$A$2000,0)),0))</f>
        <v/>
      </c>
      <c r="H466">
        <f>IF(D466="","",F466*G466)</f>
        <v/>
      </c>
      <c r="I466">
        <f>IF(D466="","",H466-F466*IFERROR(INDEX(الأصناف!$D$2:$D$2000,MATCH(D466,الأصناف!$A$2:$A$2000,0)),0))</f>
        <v/>
      </c>
      <c r="J466" s="4" t="n"/>
      <c r="K466" s="7">
        <f>IF(OR(B466="",B466&lt;&gt;الإيصال!$C$3),"",COUNTIF(B$2:B466,الإيصال!$C$3))</f>
        <v/>
      </c>
    </row>
    <row r="467">
      <c r="A467" s="6" t="n"/>
      <c r="B467" s="4" t="n"/>
      <c r="C467" s="4" t="n"/>
      <c r="D467" s="4" t="n"/>
      <c r="E467">
        <f>IF(D467="","",IFERROR(INDEX(الأصناف!$B$2:$B$2000,MATCH(D467,الأصناف!$A$2:$A$2000,0)),"كود غير موجود"))</f>
        <v/>
      </c>
      <c r="F467" s="4" t="n"/>
      <c r="G467">
        <f>IF(D467="","",IFERROR(INDEX(الأصناف!$C$2:$C$2000,MATCH(D467,الأصناف!$A$2:$A$2000,0)),0))</f>
        <v/>
      </c>
      <c r="H467">
        <f>IF(D467="","",F467*G467)</f>
        <v/>
      </c>
      <c r="I467">
        <f>IF(D467="","",H467-F467*IFERROR(INDEX(الأصناف!$D$2:$D$2000,MATCH(D467,الأصناف!$A$2:$A$2000,0)),0))</f>
        <v/>
      </c>
      <c r="J467" s="4" t="n"/>
      <c r="K467" s="7">
        <f>IF(OR(B467="",B467&lt;&gt;الإيصال!$C$3),"",COUNTIF(B$2:B467,الإيصال!$C$3))</f>
        <v/>
      </c>
    </row>
    <row r="468">
      <c r="A468" s="6" t="n"/>
      <c r="B468" s="4" t="n"/>
      <c r="C468" s="4" t="n"/>
      <c r="D468" s="4" t="n"/>
      <c r="E468">
        <f>IF(D468="","",IFERROR(INDEX(الأصناف!$B$2:$B$2000,MATCH(D468,الأصناف!$A$2:$A$2000,0)),"كود غير موجود"))</f>
        <v/>
      </c>
      <c r="F468" s="4" t="n"/>
      <c r="G468">
        <f>IF(D468="","",IFERROR(INDEX(الأصناف!$C$2:$C$2000,MATCH(D468,الأصناف!$A$2:$A$2000,0)),0))</f>
        <v/>
      </c>
      <c r="H468">
        <f>IF(D468="","",F468*G468)</f>
        <v/>
      </c>
      <c r="I468">
        <f>IF(D468="","",H468-F468*IFERROR(INDEX(الأصناف!$D$2:$D$2000,MATCH(D468,الأصناف!$A$2:$A$2000,0)),0))</f>
        <v/>
      </c>
      <c r="J468" s="4" t="n"/>
      <c r="K468" s="7">
        <f>IF(OR(B468="",B468&lt;&gt;الإيصال!$C$3),"",COUNTIF(B$2:B468,الإيصال!$C$3))</f>
        <v/>
      </c>
    </row>
    <row r="469">
      <c r="A469" s="6" t="n"/>
      <c r="B469" s="4" t="n"/>
      <c r="C469" s="4" t="n"/>
      <c r="D469" s="4" t="n"/>
      <c r="E469">
        <f>IF(D469="","",IFERROR(INDEX(الأصناف!$B$2:$B$2000,MATCH(D469,الأصناف!$A$2:$A$2000,0)),"كود غير موجود"))</f>
        <v/>
      </c>
      <c r="F469" s="4" t="n"/>
      <c r="G469">
        <f>IF(D469="","",IFERROR(INDEX(الأصناف!$C$2:$C$2000,MATCH(D469,الأصناف!$A$2:$A$2000,0)),0))</f>
        <v/>
      </c>
      <c r="H469">
        <f>IF(D469="","",F469*G469)</f>
        <v/>
      </c>
      <c r="I469">
        <f>IF(D469="","",H469-F469*IFERROR(INDEX(الأصناف!$D$2:$D$2000,MATCH(D469,الأصناف!$A$2:$A$2000,0)),0))</f>
        <v/>
      </c>
      <c r="J469" s="4" t="n"/>
      <c r="K469" s="7">
        <f>IF(OR(B469="",B469&lt;&gt;الإيصال!$C$3),"",COUNTIF(B$2:B469,الإيصال!$C$3))</f>
        <v/>
      </c>
    </row>
    <row r="470">
      <c r="A470" s="6" t="n"/>
      <c r="B470" s="4" t="n"/>
      <c r="C470" s="4" t="n"/>
      <c r="D470" s="4" t="n"/>
      <c r="E470">
        <f>IF(D470="","",IFERROR(INDEX(الأصناف!$B$2:$B$2000,MATCH(D470,الأصناف!$A$2:$A$2000,0)),"كود غير موجود"))</f>
        <v/>
      </c>
      <c r="F470" s="4" t="n"/>
      <c r="G470">
        <f>IF(D470="","",IFERROR(INDEX(الأصناف!$C$2:$C$2000,MATCH(D470,الأصناف!$A$2:$A$2000,0)),0))</f>
        <v/>
      </c>
      <c r="H470">
        <f>IF(D470="","",F470*G470)</f>
        <v/>
      </c>
      <c r="I470">
        <f>IF(D470="","",H470-F470*IFERROR(INDEX(الأصناف!$D$2:$D$2000,MATCH(D470,الأصناف!$A$2:$A$2000,0)),0))</f>
        <v/>
      </c>
      <c r="J470" s="4" t="n"/>
      <c r="K470" s="7">
        <f>IF(OR(B470="",B470&lt;&gt;الإيصال!$C$3),"",COUNTIF(B$2:B470,الإيصال!$C$3))</f>
        <v/>
      </c>
    </row>
    <row r="471">
      <c r="A471" s="6" t="n"/>
      <c r="B471" s="4" t="n"/>
      <c r="C471" s="4" t="n"/>
      <c r="D471" s="4" t="n"/>
      <c r="E471">
        <f>IF(D471="","",IFERROR(INDEX(الأصناف!$B$2:$B$2000,MATCH(D471,الأصناف!$A$2:$A$2000,0)),"كود غير موجود"))</f>
        <v/>
      </c>
      <c r="F471" s="4" t="n"/>
      <c r="G471">
        <f>IF(D471="","",IFERROR(INDEX(الأصناف!$C$2:$C$2000,MATCH(D471,الأصناف!$A$2:$A$2000,0)),0))</f>
        <v/>
      </c>
      <c r="H471">
        <f>IF(D471="","",F471*G471)</f>
        <v/>
      </c>
      <c r="I471">
        <f>IF(D471="","",H471-F471*IFERROR(INDEX(الأصناف!$D$2:$D$2000,MATCH(D471,الأصناف!$A$2:$A$2000,0)),0))</f>
        <v/>
      </c>
      <c r="J471" s="4" t="n"/>
      <c r="K471" s="7">
        <f>IF(OR(B471="",B471&lt;&gt;الإيصال!$C$3),"",COUNTIF(B$2:B471,الإيصال!$C$3))</f>
        <v/>
      </c>
    </row>
    <row r="472">
      <c r="A472" s="6" t="n"/>
      <c r="B472" s="4" t="n"/>
      <c r="C472" s="4" t="n"/>
      <c r="D472" s="4" t="n"/>
      <c r="E472">
        <f>IF(D472="","",IFERROR(INDEX(الأصناف!$B$2:$B$2000,MATCH(D472,الأصناف!$A$2:$A$2000,0)),"كود غير موجود"))</f>
        <v/>
      </c>
      <c r="F472" s="4" t="n"/>
      <c r="G472">
        <f>IF(D472="","",IFERROR(INDEX(الأصناف!$C$2:$C$2000,MATCH(D472,الأصناف!$A$2:$A$2000,0)),0))</f>
        <v/>
      </c>
      <c r="H472">
        <f>IF(D472="","",F472*G472)</f>
        <v/>
      </c>
      <c r="I472">
        <f>IF(D472="","",H472-F472*IFERROR(INDEX(الأصناف!$D$2:$D$2000,MATCH(D472,الأصناف!$A$2:$A$2000,0)),0))</f>
        <v/>
      </c>
      <c r="J472" s="4" t="n"/>
      <c r="K472" s="7">
        <f>IF(OR(B472="",B472&lt;&gt;الإيصال!$C$3),"",COUNTIF(B$2:B472,الإيصال!$C$3))</f>
        <v/>
      </c>
    </row>
    <row r="473">
      <c r="A473" s="6" t="n"/>
      <c r="B473" s="4" t="n"/>
      <c r="C473" s="4" t="n"/>
      <c r="D473" s="4" t="n"/>
      <c r="E473">
        <f>IF(D473="","",IFERROR(INDEX(الأصناف!$B$2:$B$2000,MATCH(D473,الأصناف!$A$2:$A$2000,0)),"كود غير موجود"))</f>
        <v/>
      </c>
      <c r="F473" s="4" t="n"/>
      <c r="G473">
        <f>IF(D473="","",IFERROR(INDEX(الأصناف!$C$2:$C$2000,MATCH(D473,الأصناف!$A$2:$A$2000,0)),0))</f>
        <v/>
      </c>
      <c r="H473">
        <f>IF(D473="","",F473*G473)</f>
        <v/>
      </c>
      <c r="I473">
        <f>IF(D473="","",H473-F473*IFERROR(INDEX(الأصناف!$D$2:$D$2000,MATCH(D473,الأصناف!$A$2:$A$2000,0)),0))</f>
        <v/>
      </c>
      <c r="J473" s="4" t="n"/>
      <c r="K473" s="7">
        <f>IF(OR(B473="",B473&lt;&gt;الإيصال!$C$3),"",COUNTIF(B$2:B473,الإيصال!$C$3))</f>
        <v/>
      </c>
    </row>
    <row r="474">
      <c r="A474" s="6" t="n"/>
      <c r="B474" s="4" t="n"/>
      <c r="C474" s="4" t="n"/>
      <c r="D474" s="4" t="n"/>
      <c r="E474">
        <f>IF(D474="","",IFERROR(INDEX(الأصناف!$B$2:$B$2000,MATCH(D474,الأصناف!$A$2:$A$2000,0)),"كود غير موجود"))</f>
        <v/>
      </c>
      <c r="F474" s="4" t="n"/>
      <c r="G474">
        <f>IF(D474="","",IFERROR(INDEX(الأصناف!$C$2:$C$2000,MATCH(D474,الأصناف!$A$2:$A$2000,0)),0))</f>
        <v/>
      </c>
      <c r="H474">
        <f>IF(D474="","",F474*G474)</f>
        <v/>
      </c>
      <c r="I474">
        <f>IF(D474="","",H474-F474*IFERROR(INDEX(الأصناف!$D$2:$D$2000,MATCH(D474,الأصناف!$A$2:$A$2000,0)),0))</f>
        <v/>
      </c>
      <c r="J474" s="4" t="n"/>
      <c r="K474" s="7">
        <f>IF(OR(B474="",B474&lt;&gt;الإيصال!$C$3),"",COUNTIF(B$2:B474,الإيصال!$C$3))</f>
        <v/>
      </c>
    </row>
    <row r="475">
      <c r="A475" s="6" t="n"/>
      <c r="B475" s="4" t="n"/>
      <c r="C475" s="4" t="n"/>
      <c r="D475" s="4" t="n"/>
      <c r="E475">
        <f>IF(D475="","",IFERROR(INDEX(الأصناف!$B$2:$B$2000,MATCH(D475,الأصناف!$A$2:$A$2000,0)),"كود غير موجود"))</f>
        <v/>
      </c>
      <c r="F475" s="4" t="n"/>
      <c r="G475">
        <f>IF(D475="","",IFERROR(INDEX(الأصناف!$C$2:$C$2000,MATCH(D475,الأصناف!$A$2:$A$2000,0)),0))</f>
        <v/>
      </c>
      <c r="H475">
        <f>IF(D475="","",F475*G475)</f>
        <v/>
      </c>
      <c r="I475">
        <f>IF(D475="","",H475-F475*IFERROR(INDEX(الأصناف!$D$2:$D$2000,MATCH(D475,الأصناف!$A$2:$A$2000,0)),0))</f>
        <v/>
      </c>
      <c r="J475" s="4" t="n"/>
      <c r="K475" s="7">
        <f>IF(OR(B475="",B475&lt;&gt;الإيصال!$C$3),"",COUNTIF(B$2:B475,الإيصال!$C$3))</f>
        <v/>
      </c>
    </row>
    <row r="476">
      <c r="A476" s="6" t="n"/>
      <c r="B476" s="4" t="n"/>
      <c r="C476" s="4" t="n"/>
      <c r="D476" s="4" t="n"/>
      <c r="E476">
        <f>IF(D476="","",IFERROR(INDEX(الأصناف!$B$2:$B$2000,MATCH(D476,الأصناف!$A$2:$A$2000,0)),"كود غير موجود"))</f>
        <v/>
      </c>
      <c r="F476" s="4" t="n"/>
      <c r="G476">
        <f>IF(D476="","",IFERROR(INDEX(الأصناف!$C$2:$C$2000,MATCH(D476,الأصناف!$A$2:$A$2000,0)),0))</f>
        <v/>
      </c>
      <c r="H476">
        <f>IF(D476="","",F476*G476)</f>
        <v/>
      </c>
      <c r="I476">
        <f>IF(D476="","",H476-F476*IFERROR(INDEX(الأصناف!$D$2:$D$2000,MATCH(D476,الأصناف!$A$2:$A$2000,0)),0))</f>
        <v/>
      </c>
      <c r="J476" s="4" t="n"/>
      <c r="K476" s="7">
        <f>IF(OR(B476="",B476&lt;&gt;الإيصال!$C$3),"",COUNTIF(B$2:B476,الإيصال!$C$3))</f>
        <v/>
      </c>
    </row>
    <row r="477">
      <c r="A477" s="6" t="n"/>
      <c r="B477" s="4" t="n"/>
      <c r="C477" s="4" t="n"/>
      <c r="D477" s="4" t="n"/>
      <c r="E477">
        <f>IF(D477="","",IFERROR(INDEX(الأصناف!$B$2:$B$2000,MATCH(D477,الأصناف!$A$2:$A$2000,0)),"كود غير موجود"))</f>
        <v/>
      </c>
      <c r="F477" s="4" t="n"/>
      <c r="G477">
        <f>IF(D477="","",IFERROR(INDEX(الأصناف!$C$2:$C$2000,MATCH(D477,الأصناف!$A$2:$A$2000,0)),0))</f>
        <v/>
      </c>
      <c r="H477">
        <f>IF(D477="","",F477*G477)</f>
        <v/>
      </c>
      <c r="I477">
        <f>IF(D477="","",H477-F477*IFERROR(INDEX(الأصناف!$D$2:$D$2000,MATCH(D477,الأصناف!$A$2:$A$2000,0)),0))</f>
        <v/>
      </c>
      <c r="J477" s="4" t="n"/>
      <c r="K477" s="7">
        <f>IF(OR(B477="",B477&lt;&gt;الإيصال!$C$3),"",COUNTIF(B$2:B477,الإيصال!$C$3))</f>
        <v/>
      </c>
    </row>
    <row r="478">
      <c r="A478" s="6" t="n"/>
      <c r="B478" s="4" t="n"/>
      <c r="C478" s="4" t="n"/>
      <c r="D478" s="4" t="n"/>
      <c r="E478">
        <f>IF(D478="","",IFERROR(INDEX(الأصناف!$B$2:$B$2000,MATCH(D478,الأصناف!$A$2:$A$2000,0)),"كود غير موجود"))</f>
        <v/>
      </c>
      <c r="F478" s="4" t="n"/>
      <c r="G478">
        <f>IF(D478="","",IFERROR(INDEX(الأصناف!$C$2:$C$2000,MATCH(D478,الأصناف!$A$2:$A$2000,0)),0))</f>
        <v/>
      </c>
      <c r="H478">
        <f>IF(D478="","",F478*G478)</f>
        <v/>
      </c>
      <c r="I478">
        <f>IF(D478="","",H478-F478*IFERROR(INDEX(الأصناف!$D$2:$D$2000,MATCH(D478,الأصناف!$A$2:$A$2000,0)),0))</f>
        <v/>
      </c>
      <c r="J478" s="4" t="n"/>
      <c r="K478" s="7">
        <f>IF(OR(B478="",B478&lt;&gt;الإيصال!$C$3),"",COUNTIF(B$2:B478,الإيصال!$C$3))</f>
        <v/>
      </c>
    </row>
    <row r="479">
      <c r="A479" s="6" t="n"/>
      <c r="B479" s="4" t="n"/>
      <c r="C479" s="4" t="n"/>
      <c r="D479" s="4" t="n"/>
      <c r="E479">
        <f>IF(D479="","",IFERROR(INDEX(الأصناف!$B$2:$B$2000,MATCH(D479,الأصناف!$A$2:$A$2000,0)),"كود غير موجود"))</f>
        <v/>
      </c>
      <c r="F479" s="4" t="n"/>
      <c r="G479">
        <f>IF(D479="","",IFERROR(INDEX(الأصناف!$C$2:$C$2000,MATCH(D479,الأصناف!$A$2:$A$2000,0)),0))</f>
        <v/>
      </c>
      <c r="H479">
        <f>IF(D479="","",F479*G479)</f>
        <v/>
      </c>
      <c r="I479">
        <f>IF(D479="","",H479-F479*IFERROR(INDEX(الأصناف!$D$2:$D$2000,MATCH(D479,الأصناف!$A$2:$A$2000,0)),0))</f>
        <v/>
      </c>
      <c r="J479" s="4" t="n"/>
      <c r="K479" s="7">
        <f>IF(OR(B479="",B479&lt;&gt;الإيصال!$C$3),"",COUNTIF(B$2:B479,الإيصال!$C$3))</f>
        <v/>
      </c>
    </row>
    <row r="480">
      <c r="A480" s="6" t="n"/>
      <c r="B480" s="4" t="n"/>
      <c r="C480" s="4" t="n"/>
      <c r="D480" s="4" t="n"/>
      <c r="E480">
        <f>IF(D480="","",IFERROR(INDEX(الأصناف!$B$2:$B$2000,MATCH(D480,الأصناف!$A$2:$A$2000,0)),"كود غير موجود"))</f>
        <v/>
      </c>
      <c r="F480" s="4" t="n"/>
      <c r="G480">
        <f>IF(D480="","",IFERROR(INDEX(الأصناف!$C$2:$C$2000,MATCH(D480,الأصناف!$A$2:$A$2000,0)),0))</f>
        <v/>
      </c>
      <c r="H480">
        <f>IF(D480="","",F480*G480)</f>
        <v/>
      </c>
      <c r="I480">
        <f>IF(D480="","",H480-F480*IFERROR(INDEX(الأصناف!$D$2:$D$2000,MATCH(D480,الأصناف!$A$2:$A$2000,0)),0))</f>
        <v/>
      </c>
      <c r="J480" s="4" t="n"/>
      <c r="K480" s="7">
        <f>IF(OR(B480="",B480&lt;&gt;الإيصال!$C$3),"",COUNTIF(B$2:B480,الإيصال!$C$3))</f>
        <v/>
      </c>
    </row>
    <row r="481">
      <c r="A481" s="6" t="n"/>
      <c r="B481" s="4" t="n"/>
      <c r="C481" s="4" t="n"/>
      <c r="D481" s="4" t="n"/>
      <c r="E481">
        <f>IF(D481="","",IFERROR(INDEX(الأصناف!$B$2:$B$2000,MATCH(D481,الأصناف!$A$2:$A$2000,0)),"كود غير موجود"))</f>
        <v/>
      </c>
      <c r="F481" s="4" t="n"/>
      <c r="G481">
        <f>IF(D481="","",IFERROR(INDEX(الأصناف!$C$2:$C$2000,MATCH(D481,الأصناف!$A$2:$A$2000,0)),0))</f>
        <v/>
      </c>
      <c r="H481">
        <f>IF(D481="","",F481*G481)</f>
        <v/>
      </c>
      <c r="I481">
        <f>IF(D481="","",H481-F481*IFERROR(INDEX(الأصناف!$D$2:$D$2000,MATCH(D481,الأصناف!$A$2:$A$2000,0)),0))</f>
        <v/>
      </c>
      <c r="J481" s="4" t="n"/>
      <c r="K481" s="7">
        <f>IF(OR(B481="",B481&lt;&gt;الإيصال!$C$3),"",COUNTIF(B$2:B481,الإيصال!$C$3))</f>
        <v/>
      </c>
    </row>
    <row r="482">
      <c r="A482" s="6" t="n"/>
      <c r="B482" s="4" t="n"/>
      <c r="C482" s="4" t="n"/>
      <c r="D482" s="4" t="n"/>
      <c r="E482">
        <f>IF(D482="","",IFERROR(INDEX(الأصناف!$B$2:$B$2000,MATCH(D482,الأصناف!$A$2:$A$2000,0)),"كود غير موجود"))</f>
        <v/>
      </c>
      <c r="F482" s="4" t="n"/>
      <c r="G482">
        <f>IF(D482="","",IFERROR(INDEX(الأصناف!$C$2:$C$2000,MATCH(D482,الأصناف!$A$2:$A$2000,0)),0))</f>
        <v/>
      </c>
      <c r="H482">
        <f>IF(D482="","",F482*G482)</f>
        <v/>
      </c>
      <c r="I482">
        <f>IF(D482="","",H482-F482*IFERROR(INDEX(الأصناف!$D$2:$D$2000,MATCH(D482,الأصناف!$A$2:$A$2000,0)),0))</f>
        <v/>
      </c>
      <c r="J482" s="4" t="n"/>
      <c r="K482" s="7">
        <f>IF(OR(B482="",B482&lt;&gt;الإيصال!$C$3),"",COUNTIF(B$2:B482,الإيصال!$C$3))</f>
        <v/>
      </c>
    </row>
    <row r="483">
      <c r="A483" s="6" t="n"/>
      <c r="B483" s="4" t="n"/>
      <c r="C483" s="4" t="n"/>
      <c r="D483" s="4" t="n"/>
      <c r="E483">
        <f>IF(D483="","",IFERROR(INDEX(الأصناف!$B$2:$B$2000,MATCH(D483,الأصناف!$A$2:$A$2000,0)),"كود غير موجود"))</f>
        <v/>
      </c>
      <c r="F483" s="4" t="n"/>
      <c r="G483">
        <f>IF(D483="","",IFERROR(INDEX(الأصناف!$C$2:$C$2000,MATCH(D483,الأصناف!$A$2:$A$2000,0)),0))</f>
        <v/>
      </c>
      <c r="H483">
        <f>IF(D483="","",F483*G483)</f>
        <v/>
      </c>
      <c r="I483">
        <f>IF(D483="","",H483-F483*IFERROR(INDEX(الأصناف!$D$2:$D$2000,MATCH(D483,الأصناف!$A$2:$A$2000,0)),0))</f>
        <v/>
      </c>
      <c r="J483" s="4" t="n"/>
      <c r="K483" s="7">
        <f>IF(OR(B483="",B483&lt;&gt;الإيصال!$C$3),"",COUNTIF(B$2:B483,الإيصال!$C$3))</f>
        <v/>
      </c>
    </row>
    <row r="484">
      <c r="A484" s="6" t="n"/>
      <c r="B484" s="4" t="n"/>
      <c r="C484" s="4" t="n"/>
      <c r="D484" s="4" t="n"/>
      <c r="E484">
        <f>IF(D484="","",IFERROR(INDEX(الأصناف!$B$2:$B$2000,MATCH(D484,الأصناف!$A$2:$A$2000,0)),"كود غير موجود"))</f>
        <v/>
      </c>
      <c r="F484" s="4" t="n"/>
      <c r="G484">
        <f>IF(D484="","",IFERROR(INDEX(الأصناف!$C$2:$C$2000,MATCH(D484,الأصناف!$A$2:$A$2000,0)),0))</f>
        <v/>
      </c>
      <c r="H484">
        <f>IF(D484="","",F484*G484)</f>
        <v/>
      </c>
      <c r="I484">
        <f>IF(D484="","",H484-F484*IFERROR(INDEX(الأصناف!$D$2:$D$2000,MATCH(D484,الأصناف!$A$2:$A$2000,0)),0))</f>
        <v/>
      </c>
      <c r="J484" s="4" t="n"/>
      <c r="K484" s="7">
        <f>IF(OR(B484="",B484&lt;&gt;الإيصال!$C$3),"",COUNTIF(B$2:B484,الإيصال!$C$3))</f>
        <v/>
      </c>
    </row>
    <row r="485">
      <c r="A485" s="6" t="n"/>
      <c r="B485" s="4" t="n"/>
      <c r="C485" s="4" t="n"/>
      <c r="D485" s="4" t="n"/>
      <c r="E485">
        <f>IF(D485="","",IFERROR(INDEX(الأصناف!$B$2:$B$2000,MATCH(D485,الأصناف!$A$2:$A$2000,0)),"كود غير موجود"))</f>
        <v/>
      </c>
      <c r="F485" s="4" t="n"/>
      <c r="G485">
        <f>IF(D485="","",IFERROR(INDEX(الأصناف!$C$2:$C$2000,MATCH(D485,الأصناف!$A$2:$A$2000,0)),0))</f>
        <v/>
      </c>
      <c r="H485">
        <f>IF(D485="","",F485*G485)</f>
        <v/>
      </c>
      <c r="I485">
        <f>IF(D485="","",H485-F485*IFERROR(INDEX(الأصناف!$D$2:$D$2000,MATCH(D485,الأصناف!$A$2:$A$2000,0)),0))</f>
        <v/>
      </c>
      <c r="J485" s="4" t="n"/>
      <c r="K485" s="7">
        <f>IF(OR(B485="",B485&lt;&gt;الإيصال!$C$3),"",COUNTIF(B$2:B485,الإيصال!$C$3))</f>
        <v/>
      </c>
    </row>
    <row r="486">
      <c r="A486" s="6" t="n"/>
      <c r="B486" s="4" t="n"/>
      <c r="C486" s="4" t="n"/>
      <c r="D486" s="4" t="n"/>
      <c r="E486">
        <f>IF(D486="","",IFERROR(INDEX(الأصناف!$B$2:$B$2000,MATCH(D486,الأصناف!$A$2:$A$2000,0)),"كود غير موجود"))</f>
        <v/>
      </c>
      <c r="F486" s="4" t="n"/>
      <c r="G486">
        <f>IF(D486="","",IFERROR(INDEX(الأصناف!$C$2:$C$2000,MATCH(D486,الأصناف!$A$2:$A$2000,0)),0))</f>
        <v/>
      </c>
      <c r="H486">
        <f>IF(D486="","",F486*G486)</f>
        <v/>
      </c>
      <c r="I486">
        <f>IF(D486="","",H486-F486*IFERROR(INDEX(الأصناف!$D$2:$D$2000,MATCH(D486,الأصناف!$A$2:$A$2000,0)),0))</f>
        <v/>
      </c>
      <c r="J486" s="4" t="n"/>
      <c r="K486" s="7">
        <f>IF(OR(B486="",B486&lt;&gt;الإيصال!$C$3),"",COUNTIF(B$2:B486,الإيصال!$C$3))</f>
        <v/>
      </c>
    </row>
    <row r="487">
      <c r="A487" s="6" t="n"/>
      <c r="B487" s="4" t="n"/>
      <c r="C487" s="4" t="n"/>
      <c r="D487" s="4" t="n"/>
      <c r="E487">
        <f>IF(D487="","",IFERROR(INDEX(الأصناف!$B$2:$B$2000,MATCH(D487,الأصناف!$A$2:$A$2000,0)),"كود غير موجود"))</f>
        <v/>
      </c>
      <c r="F487" s="4" t="n"/>
      <c r="G487">
        <f>IF(D487="","",IFERROR(INDEX(الأصناف!$C$2:$C$2000,MATCH(D487,الأصناف!$A$2:$A$2000,0)),0))</f>
        <v/>
      </c>
      <c r="H487">
        <f>IF(D487="","",F487*G487)</f>
        <v/>
      </c>
      <c r="I487">
        <f>IF(D487="","",H487-F487*IFERROR(INDEX(الأصناف!$D$2:$D$2000,MATCH(D487,الأصناف!$A$2:$A$2000,0)),0))</f>
        <v/>
      </c>
      <c r="J487" s="4" t="n"/>
      <c r="K487" s="7">
        <f>IF(OR(B487="",B487&lt;&gt;الإيصال!$C$3),"",COUNTIF(B$2:B487,الإيصال!$C$3))</f>
        <v/>
      </c>
    </row>
    <row r="488">
      <c r="A488" s="6" t="n"/>
      <c r="B488" s="4" t="n"/>
      <c r="C488" s="4" t="n"/>
      <c r="D488" s="4" t="n"/>
      <c r="E488">
        <f>IF(D488="","",IFERROR(INDEX(الأصناف!$B$2:$B$2000,MATCH(D488,الأصناف!$A$2:$A$2000,0)),"كود غير موجود"))</f>
        <v/>
      </c>
      <c r="F488" s="4" t="n"/>
      <c r="G488">
        <f>IF(D488="","",IFERROR(INDEX(الأصناف!$C$2:$C$2000,MATCH(D488,الأصناف!$A$2:$A$2000,0)),0))</f>
        <v/>
      </c>
      <c r="H488">
        <f>IF(D488="","",F488*G488)</f>
        <v/>
      </c>
      <c r="I488">
        <f>IF(D488="","",H488-F488*IFERROR(INDEX(الأصناف!$D$2:$D$2000,MATCH(D488,الأصناف!$A$2:$A$2000,0)),0))</f>
        <v/>
      </c>
      <c r="J488" s="4" t="n"/>
      <c r="K488" s="7">
        <f>IF(OR(B488="",B488&lt;&gt;الإيصال!$C$3),"",COUNTIF(B$2:B488,الإيصال!$C$3))</f>
        <v/>
      </c>
    </row>
    <row r="489">
      <c r="A489" s="6" t="n"/>
      <c r="B489" s="4" t="n"/>
      <c r="C489" s="4" t="n"/>
      <c r="D489" s="4" t="n"/>
      <c r="E489">
        <f>IF(D489="","",IFERROR(INDEX(الأصناف!$B$2:$B$2000,MATCH(D489,الأصناف!$A$2:$A$2000,0)),"كود غير موجود"))</f>
        <v/>
      </c>
      <c r="F489" s="4" t="n"/>
      <c r="G489">
        <f>IF(D489="","",IFERROR(INDEX(الأصناف!$C$2:$C$2000,MATCH(D489,الأصناف!$A$2:$A$2000,0)),0))</f>
        <v/>
      </c>
      <c r="H489">
        <f>IF(D489="","",F489*G489)</f>
        <v/>
      </c>
      <c r="I489">
        <f>IF(D489="","",H489-F489*IFERROR(INDEX(الأصناف!$D$2:$D$2000,MATCH(D489,الأصناف!$A$2:$A$2000,0)),0))</f>
        <v/>
      </c>
      <c r="J489" s="4" t="n"/>
      <c r="K489" s="7">
        <f>IF(OR(B489="",B489&lt;&gt;الإيصال!$C$3),"",COUNTIF(B$2:B489,الإيصال!$C$3))</f>
        <v/>
      </c>
    </row>
    <row r="490">
      <c r="A490" s="6" t="n"/>
      <c r="B490" s="4" t="n"/>
      <c r="C490" s="4" t="n"/>
      <c r="D490" s="4" t="n"/>
      <c r="E490">
        <f>IF(D490="","",IFERROR(INDEX(الأصناف!$B$2:$B$2000,MATCH(D490,الأصناف!$A$2:$A$2000,0)),"كود غير موجود"))</f>
        <v/>
      </c>
      <c r="F490" s="4" t="n"/>
      <c r="G490">
        <f>IF(D490="","",IFERROR(INDEX(الأصناف!$C$2:$C$2000,MATCH(D490,الأصناف!$A$2:$A$2000,0)),0))</f>
        <v/>
      </c>
      <c r="H490">
        <f>IF(D490="","",F490*G490)</f>
        <v/>
      </c>
      <c r="I490">
        <f>IF(D490="","",H490-F490*IFERROR(INDEX(الأصناف!$D$2:$D$2000,MATCH(D490,الأصناف!$A$2:$A$2000,0)),0))</f>
        <v/>
      </c>
      <c r="J490" s="4" t="n"/>
      <c r="K490" s="7">
        <f>IF(OR(B490="",B490&lt;&gt;الإيصال!$C$3),"",COUNTIF(B$2:B490,الإيصال!$C$3))</f>
        <v/>
      </c>
    </row>
    <row r="491">
      <c r="A491" s="6" t="n"/>
      <c r="B491" s="4" t="n"/>
      <c r="C491" s="4" t="n"/>
      <c r="D491" s="4" t="n"/>
      <c r="E491">
        <f>IF(D491="","",IFERROR(INDEX(الأصناف!$B$2:$B$2000,MATCH(D491,الأصناف!$A$2:$A$2000,0)),"كود غير موجود"))</f>
        <v/>
      </c>
      <c r="F491" s="4" t="n"/>
      <c r="G491">
        <f>IF(D491="","",IFERROR(INDEX(الأصناف!$C$2:$C$2000,MATCH(D491,الأصناف!$A$2:$A$2000,0)),0))</f>
        <v/>
      </c>
      <c r="H491">
        <f>IF(D491="","",F491*G491)</f>
        <v/>
      </c>
      <c r="I491">
        <f>IF(D491="","",H491-F491*IFERROR(INDEX(الأصناف!$D$2:$D$2000,MATCH(D491,الأصناف!$A$2:$A$2000,0)),0))</f>
        <v/>
      </c>
      <c r="J491" s="4" t="n"/>
      <c r="K491" s="7">
        <f>IF(OR(B491="",B491&lt;&gt;الإيصال!$C$3),"",COUNTIF(B$2:B491,الإيصال!$C$3))</f>
        <v/>
      </c>
    </row>
    <row r="492">
      <c r="A492" s="6" t="n"/>
      <c r="B492" s="4" t="n"/>
      <c r="C492" s="4" t="n"/>
      <c r="D492" s="4" t="n"/>
      <c r="E492">
        <f>IF(D492="","",IFERROR(INDEX(الأصناف!$B$2:$B$2000,MATCH(D492,الأصناف!$A$2:$A$2000,0)),"كود غير موجود"))</f>
        <v/>
      </c>
      <c r="F492" s="4" t="n"/>
      <c r="G492">
        <f>IF(D492="","",IFERROR(INDEX(الأصناف!$C$2:$C$2000,MATCH(D492,الأصناف!$A$2:$A$2000,0)),0))</f>
        <v/>
      </c>
      <c r="H492">
        <f>IF(D492="","",F492*G492)</f>
        <v/>
      </c>
      <c r="I492">
        <f>IF(D492="","",H492-F492*IFERROR(INDEX(الأصناف!$D$2:$D$2000,MATCH(D492,الأصناف!$A$2:$A$2000,0)),0))</f>
        <v/>
      </c>
      <c r="J492" s="4" t="n"/>
      <c r="K492" s="7">
        <f>IF(OR(B492="",B492&lt;&gt;الإيصال!$C$3),"",COUNTIF(B$2:B492,الإيصال!$C$3))</f>
        <v/>
      </c>
    </row>
    <row r="493">
      <c r="A493" s="6" t="n"/>
      <c r="B493" s="4" t="n"/>
      <c r="C493" s="4" t="n"/>
      <c r="D493" s="4" t="n"/>
      <c r="E493">
        <f>IF(D493="","",IFERROR(INDEX(الأصناف!$B$2:$B$2000,MATCH(D493,الأصناف!$A$2:$A$2000,0)),"كود غير موجود"))</f>
        <v/>
      </c>
      <c r="F493" s="4" t="n"/>
      <c r="G493">
        <f>IF(D493="","",IFERROR(INDEX(الأصناف!$C$2:$C$2000,MATCH(D493,الأصناف!$A$2:$A$2000,0)),0))</f>
        <v/>
      </c>
      <c r="H493">
        <f>IF(D493="","",F493*G493)</f>
        <v/>
      </c>
      <c r="I493">
        <f>IF(D493="","",H493-F493*IFERROR(INDEX(الأصناف!$D$2:$D$2000,MATCH(D493,الأصناف!$A$2:$A$2000,0)),0))</f>
        <v/>
      </c>
      <c r="J493" s="4" t="n"/>
      <c r="K493" s="7">
        <f>IF(OR(B493="",B493&lt;&gt;الإيصال!$C$3),"",COUNTIF(B$2:B493,الإيصال!$C$3))</f>
        <v/>
      </c>
    </row>
    <row r="494">
      <c r="A494" s="6" t="n"/>
      <c r="B494" s="4" t="n"/>
      <c r="C494" s="4" t="n"/>
      <c r="D494" s="4" t="n"/>
      <c r="E494">
        <f>IF(D494="","",IFERROR(INDEX(الأصناف!$B$2:$B$2000,MATCH(D494,الأصناف!$A$2:$A$2000,0)),"كود غير موجود"))</f>
        <v/>
      </c>
      <c r="F494" s="4" t="n"/>
      <c r="G494">
        <f>IF(D494="","",IFERROR(INDEX(الأصناف!$C$2:$C$2000,MATCH(D494,الأصناف!$A$2:$A$2000,0)),0))</f>
        <v/>
      </c>
      <c r="H494">
        <f>IF(D494="","",F494*G494)</f>
        <v/>
      </c>
      <c r="I494">
        <f>IF(D494="","",H494-F494*IFERROR(INDEX(الأصناف!$D$2:$D$2000,MATCH(D494,الأصناف!$A$2:$A$2000,0)),0))</f>
        <v/>
      </c>
      <c r="J494" s="4" t="n"/>
      <c r="K494" s="7">
        <f>IF(OR(B494="",B494&lt;&gt;الإيصال!$C$3),"",COUNTIF(B$2:B494,الإيصال!$C$3))</f>
        <v/>
      </c>
    </row>
    <row r="495">
      <c r="A495" s="6" t="n"/>
      <c r="B495" s="4" t="n"/>
      <c r="C495" s="4" t="n"/>
      <c r="D495" s="4" t="n"/>
      <c r="E495">
        <f>IF(D495="","",IFERROR(INDEX(الأصناف!$B$2:$B$2000,MATCH(D495,الأصناف!$A$2:$A$2000,0)),"كود غير موجود"))</f>
        <v/>
      </c>
      <c r="F495" s="4" t="n"/>
      <c r="G495">
        <f>IF(D495="","",IFERROR(INDEX(الأصناف!$C$2:$C$2000,MATCH(D495,الأصناف!$A$2:$A$2000,0)),0))</f>
        <v/>
      </c>
      <c r="H495">
        <f>IF(D495="","",F495*G495)</f>
        <v/>
      </c>
      <c r="I495">
        <f>IF(D495="","",H495-F495*IFERROR(INDEX(الأصناف!$D$2:$D$2000,MATCH(D495,الأصناف!$A$2:$A$2000,0)),0))</f>
        <v/>
      </c>
      <c r="J495" s="4" t="n"/>
      <c r="K495" s="7">
        <f>IF(OR(B495="",B495&lt;&gt;الإيصال!$C$3),"",COUNTIF(B$2:B495,الإيصال!$C$3))</f>
        <v/>
      </c>
    </row>
    <row r="496">
      <c r="A496" s="6" t="n"/>
      <c r="B496" s="4" t="n"/>
      <c r="C496" s="4" t="n"/>
      <c r="D496" s="4" t="n"/>
      <c r="E496">
        <f>IF(D496="","",IFERROR(INDEX(الأصناف!$B$2:$B$2000,MATCH(D496,الأصناف!$A$2:$A$2000,0)),"كود غير موجود"))</f>
        <v/>
      </c>
      <c r="F496" s="4" t="n"/>
      <c r="G496">
        <f>IF(D496="","",IFERROR(INDEX(الأصناف!$C$2:$C$2000,MATCH(D496,الأصناف!$A$2:$A$2000,0)),0))</f>
        <v/>
      </c>
      <c r="H496">
        <f>IF(D496="","",F496*G496)</f>
        <v/>
      </c>
      <c r="I496">
        <f>IF(D496="","",H496-F496*IFERROR(INDEX(الأصناف!$D$2:$D$2000,MATCH(D496,الأصناف!$A$2:$A$2000,0)),0))</f>
        <v/>
      </c>
      <c r="J496" s="4" t="n"/>
      <c r="K496" s="7">
        <f>IF(OR(B496="",B496&lt;&gt;الإيصال!$C$3),"",COUNTIF(B$2:B496,الإيصال!$C$3))</f>
        <v/>
      </c>
    </row>
    <row r="497">
      <c r="A497" s="6" t="n"/>
      <c r="B497" s="4" t="n"/>
      <c r="C497" s="4" t="n"/>
      <c r="D497" s="4" t="n"/>
      <c r="E497">
        <f>IF(D497="","",IFERROR(INDEX(الأصناف!$B$2:$B$2000,MATCH(D497,الأصناف!$A$2:$A$2000,0)),"كود غير موجود"))</f>
        <v/>
      </c>
      <c r="F497" s="4" t="n"/>
      <c r="G497">
        <f>IF(D497="","",IFERROR(INDEX(الأصناف!$C$2:$C$2000,MATCH(D497,الأصناف!$A$2:$A$2000,0)),0))</f>
        <v/>
      </c>
      <c r="H497">
        <f>IF(D497="","",F497*G497)</f>
        <v/>
      </c>
      <c r="I497">
        <f>IF(D497="","",H497-F497*IFERROR(INDEX(الأصناف!$D$2:$D$2000,MATCH(D497,الأصناف!$A$2:$A$2000,0)),0))</f>
        <v/>
      </c>
      <c r="J497" s="4" t="n"/>
      <c r="K497" s="7">
        <f>IF(OR(B497="",B497&lt;&gt;الإيصال!$C$3),"",COUNTIF(B$2:B497,الإيصال!$C$3))</f>
        <v/>
      </c>
    </row>
    <row r="498">
      <c r="A498" s="6" t="n"/>
      <c r="B498" s="4" t="n"/>
      <c r="C498" s="4" t="n"/>
      <c r="D498" s="4" t="n"/>
      <c r="E498">
        <f>IF(D498="","",IFERROR(INDEX(الأصناف!$B$2:$B$2000,MATCH(D498,الأصناف!$A$2:$A$2000,0)),"كود غير موجود"))</f>
        <v/>
      </c>
      <c r="F498" s="4" t="n"/>
      <c r="G498">
        <f>IF(D498="","",IFERROR(INDEX(الأصناف!$C$2:$C$2000,MATCH(D498,الأصناف!$A$2:$A$2000,0)),0))</f>
        <v/>
      </c>
      <c r="H498">
        <f>IF(D498="","",F498*G498)</f>
        <v/>
      </c>
      <c r="I498">
        <f>IF(D498="","",H498-F498*IFERROR(INDEX(الأصناف!$D$2:$D$2000,MATCH(D498,الأصناف!$A$2:$A$2000,0)),0))</f>
        <v/>
      </c>
      <c r="J498" s="4" t="n"/>
      <c r="K498" s="7">
        <f>IF(OR(B498="",B498&lt;&gt;الإيصال!$C$3),"",COUNTIF(B$2:B498,الإيصال!$C$3))</f>
        <v/>
      </c>
    </row>
    <row r="499">
      <c r="A499" s="6" t="n"/>
      <c r="B499" s="4" t="n"/>
      <c r="C499" s="4" t="n"/>
      <c r="D499" s="4" t="n"/>
      <c r="E499">
        <f>IF(D499="","",IFERROR(INDEX(الأصناف!$B$2:$B$2000,MATCH(D499,الأصناف!$A$2:$A$2000,0)),"كود غير موجود"))</f>
        <v/>
      </c>
      <c r="F499" s="4" t="n"/>
      <c r="G499">
        <f>IF(D499="","",IFERROR(INDEX(الأصناف!$C$2:$C$2000,MATCH(D499,الأصناف!$A$2:$A$2000,0)),0))</f>
        <v/>
      </c>
      <c r="H499">
        <f>IF(D499="","",F499*G499)</f>
        <v/>
      </c>
      <c r="I499">
        <f>IF(D499="","",H499-F499*IFERROR(INDEX(الأصناف!$D$2:$D$2000,MATCH(D499,الأصناف!$A$2:$A$2000,0)),0))</f>
        <v/>
      </c>
      <c r="J499" s="4" t="n"/>
      <c r="K499" s="7">
        <f>IF(OR(B499="",B499&lt;&gt;الإيصال!$C$3),"",COUNTIF(B$2:B499,الإيصال!$C$3))</f>
        <v/>
      </c>
    </row>
    <row r="500">
      <c r="A500" s="6" t="n"/>
      <c r="B500" s="4" t="n"/>
      <c r="C500" s="4" t="n"/>
      <c r="D500" s="4" t="n"/>
      <c r="E500">
        <f>IF(D500="","",IFERROR(INDEX(الأصناف!$B$2:$B$2000,MATCH(D500,الأصناف!$A$2:$A$2000,0)),"كود غير موجود"))</f>
        <v/>
      </c>
      <c r="F500" s="4" t="n"/>
      <c r="G500">
        <f>IF(D500="","",IFERROR(INDEX(الأصناف!$C$2:$C$2000,MATCH(D500,الأصناف!$A$2:$A$2000,0)),0))</f>
        <v/>
      </c>
      <c r="H500">
        <f>IF(D500="","",F500*G500)</f>
        <v/>
      </c>
      <c r="I500">
        <f>IF(D500="","",H500-F500*IFERROR(INDEX(الأصناف!$D$2:$D$2000,MATCH(D500,الأصناف!$A$2:$A$2000,0)),0))</f>
        <v/>
      </c>
      <c r="J500" s="4" t="n"/>
      <c r="K500" s="7">
        <f>IF(OR(B500="",B500&lt;&gt;الإيصال!$C$3),"",COUNTIF(B$2:B500,الإيصال!$C$3))</f>
        <v/>
      </c>
    </row>
    <row r="501">
      <c r="A501" s="6" t="n"/>
      <c r="B501" s="4" t="n"/>
      <c r="C501" s="4" t="n"/>
      <c r="D501" s="4" t="n"/>
      <c r="E501">
        <f>IF(D501="","",IFERROR(INDEX(الأصناف!$B$2:$B$2000,MATCH(D501,الأصناف!$A$2:$A$2000,0)),"كود غير موجود"))</f>
        <v/>
      </c>
      <c r="F501" s="4" t="n"/>
      <c r="G501">
        <f>IF(D501="","",IFERROR(INDEX(الأصناف!$C$2:$C$2000,MATCH(D501,الأصناف!$A$2:$A$2000,0)),0))</f>
        <v/>
      </c>
      <c r="H501">
        <f>IF(D501="","",F501*G501)</f>
        <v/>
      </c>
      <c r="I501">
        <f>IF(D501="","",H501-F501*IFERROR(INDEX(الأصناف!$D$2:$D$2000,MATCH(D501,الأصناف!$A$2:$A$2000,0)),0))</f>
        <v/>
      </c>
      <c r="J501" s="4" t="n"/>
      <c r="K501" s="7">
        <f>IF(OR(B501="",B501&lt;&gt;الإيصال!$C$3),"",COUNTIF(B$2:B501,الإيصال!$C$3))</f>
        <v/>
      </c>
    </row>
    <row r="502">
      <c r="A502" s="6" t="n"/>
      <c r="B502" s="4" t="n"/>
      <c r="C502" s="4" t="n"/>
      <c r="D502" s="4" t="n"/>
      <c r="E502">
        <f>IF(D502="","",IFERROR(INDEX(الأصناف!$B$2:$B$2000,MATCH(D502,الأصناف!$A$2:$A$2000,0)),"كود غير موجود"))</f>
        <v/>
      </c>
      <c r="F502" s="4" t="n"/>
      <c r="G502">
        <f>IF(D502="","",IFERROR(INDEX(الأصناف!$C$2:$C$2000,MATCH(D502,الأصناف!$A$2:$A$2000,0)),0))</f>
        <v/>
      </c>
      <c r="H502">
        <f>IF(D502="","",F502*G502)</f>
        <v/>
      </c>
      <c r="I502">
        <f>IF(D502="","",H502-F502*IFERROR(INDEX(الأصناف!$D$2:$D$2000,MATCH(D502,الأصناف!$A$2:$A$2000,0)),0))</f>
        <v/>
      </c>
      <c r="J502" s="4" t="n"/>
      <c r="K502" s="7">
        <f>IF(OR(B502="",B502&lt;&gt;الإيصال!$C$3),"",COUNTIF(B$2:B502,الإيصال!$C$3))</f>
        <v/>
      </c>
    </row>
    <row r="503">
      <c r="A503" s="6" t="n"/>
      <c r="B503" s="4" t="n"/>
      <c r="C503" s="4" t="n"/>
      <c r="D503" s="4" t="n"/>
      <c r="E503">
        <f>IF(D503="","",IFERROR(INDEX(الأصناف!$B$2:$B$2000,MATCH(D503,الأصناف!$A$2:$A$2000,0)),"كود غير موجود"))</f>
        <v/>
      </c>
      <c r="F503" s="4" t="n"/>
      <c r="G503">
        <f>IF(D503="","",IFERROR(INDEX(الأصناف!$C$2:$C$2000,MATCH(D503,الأصناف!$A$2:$A$2000,0)),0))</f>
        <v/>
      </c>
      <c r="H503">
        <f>IF(D503="","",F503*G503)</f>
        <v/>
      </c>
      <c r="I503">
        <f>IF(D503="","",H503-F503*IFERROR(INDEX(الأصناف!$D$2:$D$2000,MATCH(D503,الأصناف!$A$2:$A$2000,0)),0))</f>
        <v/>
      </c>
      <c r="J503" s="4" t="n"/>
      <c r="K503" s="7">
        <f>IF(OR(B503="",B503&lt;&gt;الإيصال!$C$3),"",COUNTIF(B$2:B503,الإيصال!$C$3))</f>
        <v/>
      </c>
    </row>
    <row r="504">
      <c r="A504" s="6" t="n"/>
      <c r="B504" s="4" t="n"/>
      <c r="C504" s="4" t="n"/>
      <c r="D504" s="4" t="n"/>
      <c r="E504">
        <f>IF(D504="","",IFERROR(INDEX(الأصناف!$B$2:$B$2000,MATCH(D504,الأصناف!$A$2:$A$2000,0)),"كود غير موجود"))</f>
        <v/>
      </c>
      <c r="F504" s="4" t="n"/>
      <c r="G504">
        <f>IF(D504="","",IFERROR(INDEX(الأصناف!$C$2:$C$2000,MATCH(D504,الأصناف!$A$2:$A$2000,0)),0))</f>
        <v/>
      </c>
      <c r="H504">
        <f>IF(D504="","",F504*G504)</f>
        <v/>
      </c>
      <c r="I504">
        <f>IF(D504="","",H504-F504*IFERROR(INDEX(الأصناف!$D$2:$D$2000,MATCH(D504,الأصناف!$A$2:$A$2000,0)),0))</f>
        <v/>
      </c>
      <c r="J504" s="4" t="n"/>
      <c r="K504" s="7">
        <f>IF(OR(B504="",B504&lt;&gt;الإيصال!$C$3),"",COUNTIF(B$2:B504,الإيصال!$C$3))</f>
        <v/>
      </c>
    </row>
    <row r="505">
      <c r="A505" s="6" t="n"/>
      <c r="B505" s="4" t="n"/>
      <c r="C505" s="4" t="n"/>
      <c r="D505" s="4" t="n"/>
      <c r="E505">
        <f>IF(D505="","",IFERROR(INDEX(الأصناف!$B$2:$B$2000,MATCH(D505,الأصناف!$A$2:$A$2000,0)),"كود غير موجود"))</f>
        <v/>
      </c>
      <c r="F505" s="4" t="n"/>
      <c r="G505">
        <f>IF(D505="","",IFERROR(INDEX(الأصناف!$C$2:$C$2000,MATCH(D505,الأصناف!$A$2:$A$2000,0)),0))</f>
        <v/>
      </c>
      <c r="H505">
        <f>IF(D505="","",F505*G505)</f>
        <v/>
      </c>
      <c r="I505">
        <f>IF(D505="","",H505-F505*IFERROR(INDEX(الأصناف!$D$2:$D$2000,MATCH(D505,الأصناف!$A$2:$A$2000,0)),0))</f>
        <v/>
      </c>
      <c r="J505" s="4" t="n"/>
      <c r="K505" s="7">
        <f>IF(OR(B505="",B505&lt;&gt;الإيصال!$C$3),"",COUNTIF(B$2:B505,الإيصال!$C$3))</f>
        <v/>
      </c>
    </row>
    <row r="506">
      <c r="A506" s="6" t="n"/>
      <c r="B506" s="4" t="n"/>
      <c r="C506" s="4" t="n"/>
      <c r="D506" s="4" t="n"/>
      <c r="E506">
        <f>IF(D506="","",IFERROR(INDEX(الأصناف!$B$2:$B$2000,MATCH(D506,الأصناف!$A$2:$A$2000,0)),"كود غير موجود"))</f>
        <v/>
      </c>
      <c r="F506" s="4" t="n"/>
      <c r="G506">
        <f>IF(D506="","",IFERROR(INDEX(الأصناف!$C$2:$C$2000,MATCH(D506,الأصناف!$A$2:$A$2000,0)),0))</f>
        <v/>
      </c>
      <c r="H506">
        <f>IF(D506="","",F506*G506)</f>
        <v/>
      </c>
      <c r="I506">
        <f>IF(D506="","",H506-F506*IFERROR(INDEX(الأصناف!$D$2:$D$2000,MATCH(D506,الأصناف!$A$2:$A$2000,0)),0))</f>
        <v/>
      </c>
      <c r="J506" s="4" t="n"/>
      <c r="K506" s="7">
        <f>IF(OR(B506="",B506&lt;&gt;الإيصال!$C$3),"",COUNTIF(B$2:B506,الإيصال!$C$3))</f>
        <v/>
      </c>
    </row>
    <row r="507">
      <c r="A507" s="6" t="n"/>
      <c r="B507" s="4" t="n"/>
      <c r="C507" s="4" t="n"/>
      <c r="D507" s="4" t="n"/>
      <c r="E507">
        <f>IF(D507="","",IFERROR(INDEX(الأصناف!$B$2:$B$2000,MATCH(D507,الأصناف!$A$2:$A$2000,0)),"كود غير موجود"))</f>
        <v/>
      </c>
      <c r="F507" s="4" t="n"/>
      <c r="G507">
        <f>IF(D507="","",IFERROR(INDEX(الأصناف!$C$2:$C$2000,MATCH(D507,الأصناف!$A$2:$A$2000,0)),0))</f>
        <v/>
      </c>
      <c r="H507">
        <f>IF(D507="","",F507*G507)</f>
        <v/>
      </c>
      <c r="I507">
        <f>IF(D507="","",H507-F507*IFERROR(INDEX(الأصناف!$D$2:$D$2000,MATCH(D507,الأصناف!$A$2:$A$2000,0)),0))</f>
        <v/>
      </c>
      <c r="J507" s="4" t="n"/>
      <c r="K507" s="7">
        <f>IF(OR(B507="",B507&lt;&gt;الإيصال!$C$3),"",COUNTIF(B$2:B507,الإيصال!$C$3))</f>
        <v/>
      </c>
    </row>
    <row r="508">
      <c r="A508" s="6" t="n"/>
      <c r="B508" s="4" t="n"/>
      <c r="C508" s="4" t="n"/>
      <c r="D508" s="4" t="n"/>
      <c r="E508">
        <f>IF(D508="","",IFERROR(INDEX(الأصناف!$B$2:$B$2000,MATCH(D508,الأصناف!$A$2:$A$2000,0)),"كود غير موجود"))</f>
        <v/>
      </c>
      <c r="F508" s="4" t="n"/>
      <c r="G508">
        <f>IF(D508="","",IFERROR(INDEX(الأصناف!$C$2:$C$2000,MATCH(D508,الأصناف!$A$2:$A$2000,0)),0))</f>
        <v/>
      </c>
      <c r="H508">
        <f>IF(D508="","",F508*G508)</f>
        <v/>
      </c>
      <c r="I508">
        <f>IF(D508="","",H508-F508*IFERROR(INDEX(الأصناف!$D$2:$D$2000,MATCH(D508,الأصناف!$A$2:$A$2000,0)),0))</f>
        <v/>
      </c>
      <c r="J508" s="4" t="n"/>
      <c r="K508" s="7">
        <f>IF(OR(B508="",B508&lt;&gt;الإيصال!$C$3),"",COUNTIF(B$2:B508,الإيصال!$C$3))</f>
        <v/>
      </c>
    </row>
    <row r="509">
      <c r="A509" s="6" t="n"/>
      <c r="B509" s="4" t="n"/>
      <c r="C509" s="4" t="n"/>
      <c r="D509" s="4" t="n"/>
      <c r="E509">
        <f>IF(D509="","",IFERROR(INDEX(الأصناف!$B$2:$B$2000,MATCH(D509,الأصناف!$A$2:$A$2000,0)),"كود غير موجود"))</f>
        <v/>
      </c>
      <c r="F509" s="4" t="n"/>
      <c r="G509">
        <f>IF(D509="","",IFERROR(INDEX(الأصناف!$C$2:$C$2000,MATCH(D509,الأصناف!$A$2:$A$2000,0)),0))</f>
        <v/>
      </c>
      <c r="H509">
        <f>IF(D509="","",F509*G509)</f>
        <v/>
      </c>
      <c r="I509">
        <f>IF(D509="","",H509-F509*IFERROR(INDEX(الأصناف!$D$2:$D$2000,MATCH(D509,الأصناف!$A$2:$A$2000,0)),0))</f>
        <v/>
      </c>
      <c r="J509" s="4" t="n"/>
      <c r="K509" s="7">
        <f>IF(OR(B509="",B509&lt;&gt;الإيصال!$C$3),"",COUNTIF(B$2:B509,الإيصال!$C$3))</f>
        <v/>
      </c>
    </row>
    <row r="510">
      <c r="A510" s="6" t="n"/>
      <c r="B510" s="4" t="n"/>
      <c r="C510" s="4" t="n"/>
      <c r="D510" s="4" t="n"/>
      <c r="E510">
        <f>IF(D510="","",IFERROR(INDEX(الأصناف!$B$2:$B$2000,MATCH(D510,الأصناف!$A$2:$A$2000,0)),"كود غير موجود"))</f>
        <v/>
      </c>
      <c r="F510" s="4" t="n"/>
      <c r="G510">
        <f>IF(D510="","",IFERROR(INDEX(الأصناف!$C$2:$C$2000,MATCH(D510,الأصناف!$A$2:$A$2000,0)),0))</f>
        <v/>
      </c>
      <c r="H510">
        <f>IF(D510="","",F510*G510)</f>
        <v/>
      </c>
      <c r="I510">
        <f>IF(D510="","",H510-F510*IFERROR(INDEX(الأصناف!$D$2:$D$2000,MATCH(D510,الأصناف!$A$2:$A$2000,0)),0))</f>
        <v/>
      </c>
      <c r="J510" s="4" t="n"/>
      <c r="K510" s="7">
        <f>IF(OR(B510="",B510&lt;&gt;الإيصال!$C$3),"",COUNTIF(B$2:B510,الإيصال!$C$3))</f>
        <v/>
      </c>
    </row>
    <row r="511">
      <c r="A511" s="6" t="n"/>
      <c r="B511" s="4" t="n"/>
      <c r="C511" s="4" t="n"/>
      <c r="D511" s="4" t="n"/>
      <c r="E511">
        <f>IF(D511="","",IFERROR(INDEX(الأصناف!$B$2:$B$2000,MATCH(D511,الأصناف!$A$2:$A$2000,0)),"كود غير موجود"))</f>
        <v/>
      </c>
      <c r="F511" s="4" t="n"/>
      <c r="G511">
        <f>IF(D511="","",IFERROR(INDEX(الأصناف!$C$2:$C$2000,MATCH(D511,الأصناف!$A$2:$A$2000,0)),0))</f>
        <v/>
      </c>
      <c r="H511">
        <f>IF(D511="","",F511*G511)</f>
        <v/>
      </c>
      <c r="I511">
        <f>IF(D511="","",H511-F511*IFERROR(INDEX(الأصناف!$D$2:$D$2000,MATCH(D511,الأصناف!$A$2:$A$2000,0)),0))</f>
        <v/>
      </c>
      <c r="J511" s="4" t="n"/>
      <c r="K511" s="7">
        <f>IF(OR(B511="",B511&lt;&gt;الإيصال!$C$3),"",COUNTIF(B$2:B511,الإيصال!$C$3))</f>
        <v/>
      </c>
    </row>
    <row r="512">
      <c r="A512" s="6" t="n"/>
      <c r="B512" s="4" t="n"/>
      <c r="C512" s="4" t="n"/>
      <c r="D512" s="4" t="n"/>
      <c r="E512">
        <f>IF(D512="","",IFERROR(INDEX(الأصناف!$B$2:$B$2000,MATCH(D512,الأصناف!$A$2:$A$2000,0)),"كود غير موجود"))</f>
        <v/>
      </c>
      <c r="F512" s="4" t="n"/>
      <c r="G512">
        <f>IF(D512="","",IFERROR(INDEX(الأصناف!$C$2:$C$2000,MATCH(D512,الأصناف!$A$2:$A$2000,0)),0))</f>
        <v/>
      </c>
      <c r="H512">
        <f>IF(D512="","",F512*G512)</f>
        <v/>
      </c>
      <c r="I512">
        <f>IF(D512="","",H512-F512*IFERROR(INDEX(الأصناف!$D$2:$D$2000,MATCH(D512,الأصناف!$A$2:$A$2000,0)),0))</f>
        <v/>
      </c>
      <c r="J512" s="4" t="n"/>
      <c r="K512" s="7">
        <f>IF(OR(B512="",B512&lt;&gt;الإيصال!$C$3),"",COUNTIF(B$2:B512,الإيصال!$C$3))</f>
        <v/>
      </c>
    </row>
    <row r="513">
      <c r="A513" s="6" t="n"/>
      <c r="B513" s="4" t="n"/>
      <c r="C513" s="4" t="n"/>
      <c r="D513" s="4" t="n"/>
      <c r="E513">
        <f>IF(D513="","",IFERROR(INDEX(الأصناف!$B$2:$B$2000,MATCH(D513,الأصناف!$A$2:$A$2000,0)),"كود غير موجود"))</f>
        <v/>
      </c>
      <c r="F513" s="4" t="n"/>
      <c r="G513">
        <f>IF(D513="","",IFERROR(INDEX(الأصناف!$C$2:$C$2000,MATCH(D513,الأصناف!$A$2:$A$2000,0)),0))</f>
        <v/>
      </c>
      <c r="H513">
        <f>IF(D513="","",F513*G513)</f>
        <v/>
      </c>
      <c r="I513">
        <f>IF(D513="","",H513-F513*IFERROR(INDEX(الأصناف!$D$2:$D$2000,MATCH(D513,الأصناف!$A$2:$A$2000,0)),0))</f>
        <v/>
      </c>
      <c r="J513" s="4" t="n"/>
      <c r="K513" s="7">
        <f>IF(OR(B513="",B513&lt;&gt;الإيصال!$C$3),"",COUNTIF(B$2:B513,الإيصال!$C$3))</f>
        <v/>
      </c>
    </row>
    <row r="514">
      <c r="A514" s="6" t="n"/>
      <c r="B514" s="4" t="n"/>
      <c r="C514" s="4" t="n"/>
      <c r="D514" s="4" t="n"/>
      <c r="E514">
        <f>IF(D514="","",IFERROR(INDEX(الأصناف!$B$2:$B$2000,MATCH(D514,الأصناف!$A$2:$A$2000,0)),"كود غير موجود"))</f>
        <v/>
      </c>
      <c r="F514" s="4" t="n"/>
      <c r="G514">
        <f>IF(D514="","",IFERROR(INDEX(الأصناف!$C$2:$C$2000,MATCH(D514,الأصناف!$A$2:$A$2000,0)),0))</f>
        <v/>
      </c>
      <c r="H514">
        <f>IF(D514="","",F514*G514)</f>
        <v/>
      </c>
      <c r="I514">
        <f>IF(D514="","",H514-F514*IFERROR(INDEX(الأصناف!$D$2:$D$2000,MATCH(D514,الأصناف!$A$2:$A$2000,0)),0))</f>
        <v/>
      </c>
      <c r="J514" s="4" t="n"/>
      <c r="K514" s="7">
        <f>IF(OR(B514="",B514&lt;&gt;الإيصال!$C$3),"",COUNTIF(B$2:B514,الإيصال!$C$3))</f>
        <v/>
      </c>
    </row>
    <row r="515">
      <c r="A515" s="6" t="n"/>
      <c r="B515" s="4" t="n"/>
      <c r="C515" s="4" t="n"/>
      <c r="D515" s="4" t="n"/>
      <c r="E515">
        <f>IF(D515="","",IFERROR(INDEX(الأصناف!$B$2:$B$2000,MATCH(D515,الأصناف!$A$2:$A$2000,0)),"كود غير موجود"))</f>
        <v/>
      </c>
      <c r="F515" s="4" t="n"/>
      <c r="G515">
        <f>IF(D515="","",IFERROR(INDEX(الأصناف!$C$2:$C$2000,MATCH(D515,الأصناف!$A$2:$A$2000,0)),0))</f>
        <v/>
      </c>
      <c r="H515">
        <f>IF(D515="","",F515*G515)</f>
        <v/>
      </c>
      <c r="I515">
        <f>IF(D515="","",H515-F515*IFERROR(INDEX(الأصناف!$D$2:$D$2000,MATCH(D515,الأصناف!$A$2:$A$2000,0)),0))</f>
        <v/>
      </c>
      <c r="J515" s="4" t="n"/>
      <c r="K515" s="7">
        <f>IF(OR(B515="",B515&lt;&gt;الإيصال!$C$3),"",COUNTIF(B$2:B515,الإيصال!$C$3))</f>
        <v/>
      </c>
    </row>
    <row r="516">
      <c r="A516" s="6" t="n"/>
      <c r="B516" s="4" t="n"/>
      <c r="C516" s="4" t="n"/>
      <c r="D516" s="4" t="n"/>
      <c r="E516">
        <f>IF(D516="","",IFERROR(INDEX(الأصناف!$B$2:$B$2000,MATCH(D516,الأصناف!$A$2:$A$2000,0)),"كود غير موجود"))</f>
        <v/>
      </c>
      <c r="F516" s="4" t="n"/>
      <c r="G516">
        <f>IF(D516="","",IFERROR(INDEX(الأصناف!$C$2:$C$2000,MATCH(D516,الأصناف!$A$2:$A$2000,0)),0))</f>
        <v/>
      </c>
      <c r="H516">
        <f>IF(D516="","",F516*G516)</f>
        <v/>
      </c>
      <c r="I516">
        <f>IF(D516="","",H516-F516*IFERROR(INDEX(الأصناف!$D$2:$D$2000,MATCH(D516,الأصناف!$A$2:$A$2000,0)),0))</f>
        <v/>
      </c>
      <c r="J516" s="4" t="n"/>
      <c r="K516" s="7">
        <f>IF(OR(B516="",B516&lt;&gt;الإيصال!$C$3),"",COUNTIF(B$2:B516,الإيصال!$C$3))</f>
        <v/>
      </c>
    </row>
    <row r="517">
      <c r="A517" s="6" t="n"/>
      <c r="B517" s="4" t="n"/>
      <c r="C517" s="4" t="n"/>
      <c r="D517" s="4" t="n"/>
      <c r="E517">
        <f>IF(D517="","",IFERROR(INDEX(الأصناف!$B$2:$B$2000,MATCH(D517,الأصناف!$A$2:$A$2000,0)),"كود غير موجود"))</f>
        <v/>
      </c>
      <c r="F517" s="4" t="n"/>
      <c r="G517">
        <f>IF(D517="","",IFERROR(INDEX(الأصناف!$C$2:$C$2000,MATCH(D517,الأصناف!$A$2:$A$2000,0)),0))</f>
        <v/>
      </c>
      <c r="H517">
        <f>IF(D517="","",F517*G517)</f>
        <v/>
      </c>
      <c r="I517">
        <f>IF(D517="","",H517-F517*IFERROR(INDEX(الأصناف!$D$2:$D$2000,MATCH(D517,الأصناف!$A$2:$A$2000,0)),0))</f>
        <v/>
      </c>
      <c r="J517" s="4" t="n"/>
      <c r="K517" s="7">
        <f>IF(OR(B517="",B517&lt;&gt;الإيصال!$C$3),"",COUNTIF(B$2:B517,الإيصال!$C$3))</f>
        <v/>
      </c>
    </row>
    <row r="518">
      <c r="A518" s="6" t="n"/>
      <c r="B518" s="4" t="n"/>
      <c r="C518" s="4" t="n"/>
      <c r="D518" s="4" t="n"/>
      <c r="E518">
        <f>IF(D518="","",IFERROR(INDEX(الأصناف!$B$2:$B$2000,MATCH(D518,الأصناف!$A$2:$A$2000,0)),"كود غير موجود"))</f>
        <v/>
      </c>
      <c r="F518" s="4" t="n"/>
      <c r="G518">
        <f>IF(D518="","",IFERROR(INDEX(الأصناف!$C$2:$C$2000,MATCH(D518,الأصناف!$A$2:$A$2000,0)),0))</f>
        <v/>
      </c>
      <c r="H518">
        <f>IF(D518="","",F518*G518)</f>
        <v/>
      </c>
      <c r="I518">
        <f>IF(D518="","",H518-F518*IFERROR(INDEX(الأصناف!$D$2:$D$2000,MATCH(D518,الأصناف!$A$2:$A$2000,0)),0))</f>
        <v/>
      </c>
      <c r="J518" s="4" t="n"/>
      <c r="K518" s="7">
        <f>IF(OR(B518="",B518&lt;&gt;الإيصال!$C$3),"",COUNTIF(B$2:B518,الإيصال!$C$3))</f>
        <v/>
      </c>
    </row>
    <row r="519">
      <c r="A519" s="6" t="n"/>
      <c r="B519" s="4" t="n"/>
      <c r="C519" s="4" t="n"/>
      <c r="D519" s="4" t="n"/>
      <c r="E519">
        <f>IF(D519="","",IFERROR(INDEX(الأصناف!$B$2:$B$2000,MATCH(D519,الأصناف!$A$2:$A$2000,0)),"كود غير موجود"))</f>
        <v/>
      </c>
      <c r="F519" s="4" t="n"/>
      <c r="G519">
        <f>IF(D519="","",IFERROR(INDEX(الأصناف!$C$2:$C$2000,MATCH(D519,الأصناف!$A$2:$A$2000,0)),0))</f>
        <v/>
      </c>
      <c r="H519">
        <f>IF(D519="","",F519*G519)</f>
        <v/>
      </c>
      <c r="I519">
        <f>IF(D519="","",H519-F519*IFERROR(INDEX(الأصناف!$D$2:$D$2000,MATCH(D519,الأصناف!$A$2:$A$2000,0)),0))</f>
        <v/>
      </c>
      <c r="J519" s="4" t="n"/>
      <c r="K519" s="7">
        <f>IF(OR(B519="",B519&lt;&gt;الإيصال!$C$3),"",COUNTIF(B$2:B519,الإيصال!$C$3))</f>
        <v/>
      </c>
    </row>
    <row r="520">
      <c r="A520" s="6" t="n"/>
      <c r="B520" s="4" t="n"/>
      <c r="C520" s="4" t="n"/>
      <c r="D520" s="4" t="n"/>
      <c r="E520">
        <f>IF(D520="","",IFERROR(INDEX(الأصناف!$B$2:$B$2000,MATCH(D520,الأصناف!$A$2:$A$2000,0)),"كود غير موجود"))</f>
        <v/>
      </c>
      <c r="F520" s="4" t="n"/>
      <c r="G520">
        <f>IF(D520="","",IFERROR(INDEX(الأصناف!$C$2:$C$2000,MATCH(D520,الأصناف!$A$2:$A$2000,0)),0))</f>
        <v/>
      </c>
      <c r="H520">
        <f>IF(D520="","",F520*G520)</f>
        <v/>
      </c>
      <c r="I520">
        <f>IF(D520="","",H520-F520*IFERROR(INDEX(الأصناف!$D$2:$D$2000,MATCH(D520,الأصناف!$A$2:$A$2000,0)),0))</f>
        <v/>
      </c>
      <c r="J520" s="4" t="n"/>
      <c r="K520" s="7">
        <f>IF(OR(B520="",B520&lt;&gt;الإيصال!$C$3),"",COUNTIF(B$2:B520,الإيصال!$C$3))</f>
        <v/>
      </c>
    </row>
    <row r="521">
      <c r="A521" s="6" t="n"/>
      <c r="B521" s="4" t="n"/>
      <c r="C521" s="4" t="n"/>
      <c r="D521" s="4" t="n"/>
      <c r="E521">
        <f>IF(D521="","",IFERROR(INDEX(الأصناف!$B$2:$B$2000,MATCH(D521,الأصناف!$A$2:$A$2000,0)),"كود غير موجود"))</f>
        <v/>
      </c>
      <c r="F521" s="4" t="n"/>
      <c r="G521">
        <f>IF(D521="","",IFERROR(INDEX(الأصناف!$C$2:$C$2000,MATCH(D521,الأصناف!$A$2:$A$2000,0)),0))</f>
        <v/>
      </c>
      <c r="H521">
        <f>IF(D521="","",F521*G521)</f>
        <v/>
      </c>
      <c r="I521">
        <f>IF(D521="","",H521-F521*IFERROR(INDEX(الأصناف!$D$2:$D$2000,MATCH(D521,الأصناف!$A$2:$A$2000,0)),0))</f>
        <v/>
      </c>
      <c r="J521" s="4" t="n"/>
      <c r="K521" s="7">
        <f>IF(OR(B521="",B521&lt;&gt;الإيصال!$C$3),"",COUNTIF(B$2:B521,الإيصال!$C$3))</f>
        <v/>
      </c>
    </row>
    <row r="522">
      <c r="A522" s="6" t="n"/>
      <c r="B522" s="4" t="n"/>
      <c r="C522" s="4" t="n"/>
      <c r="D522" s="4" t="n"/>
      <c r="E522">
        <f>IF(D522="","",IFERROR(INDEX(الأصناف!$B$2:$B$2000,MATCH(D522,الأصناف!$A$2:$A$2000,0)),"كود غير موجود"))</f>
        <v/>
      </c>
      <c r="F522" s="4" t="n"/>
      <c r="G522">
        <f>IF(D522="","",IFERROR(INDEX(الأصناف!$C$2:$C$2000,MATCH(D522,الأصناف!$A$2:$A$2000,0)),0))</f>
        <v/>
      </c>
      <c r="H522">
        <f>IF(D522="","",F522*G522)</f>
        <v/>
      </c>
      <c r="I522">
        <f>IF(D522="","",H522-F522*IFERROR(INDEX(الأصناف!$D$2:$D$2000,MATCH(D522,الأصناف!$A$2:$A$2000,0)),0))</f>
        <v/>
      </c>
      <c r="J522" s="4" t="n"/>
      <c r="K522" s="7">
        <f>IF(OR(B522="",B522&lt;&gt;الإيصال!$C$3),"",COUNTIF(B$2:B522,الإيصال!$C$3))</f>
        <v/>
      </c>
    </row>
    <row r="523">
      <c r="A523" s="6" t="n"/>
      <c r="B523" s="4" t="n"/>
      <c r="C523" s="4" t="n"/>
      <c r="D523" s="4" t="n"/>
      <c r="E523">
        <f>IF(D523="","",IFERROR(INDEX(الأصناف!$B$2:$B$2000,MATCH(D523,الأصناف!$A$2:$A$2000,0)),"كود غير موجود"))</f>
        <v/>
      </c>
      <c r="F523" s="4" t="n"/>
      <c r="G523">
        <f>IF(D523="","",IFERROR(INDEX(الأصناف!$C$2:$C$2000,MATCH(D523,الأصناف!$A$2:$A$2000,0)),0))</f>
        <v/>
      </c>
      <c r="H523">
        <f>IF(D523="","",F523*G523)</f>
        <v/>
      </c>
      <c r="I523">
        <f>IF(D523="","",H523-F523*IFERROR(INDEX(الأصناف!$D$2:$D$2000,MATCH(D523,الأصناف!$A$2:$A$2000,0)),0))</f>
        <v/>
      </c>
      <c r="J523" s="4" t="n"/>
      <c r="K523" s="7">
        <f>IF(OR(B523="",B523&lt;&gt;الإيصال!$C$3),"",COUNTIF(B$2:B523,الإيصال!$C$3))</f>
        <v/>
      </c>
    </row>
    <row r="524">
      <c r="A524" s="6" t="n"/>
      <c r="B524" s="4" t="n"/>
      <c r="C524" s="4" t="n"/>
      <c r="D524" s="4" t="n"/>
      <c r="E524">
        <f>IF(D524="","",IFERROR(INDEX(الأصناف!$B$2:$B$2000,MATCH(D524,الأصناف!$A$2:$A$2000,0)),"كود غير موجود"))</f>
        <v/>
      </c>
      <c r="F524" s="4" t="n"/>
      <c r="G524">
        <f>IF(D524="","",IFERROR(INDEX(الأصناف!$C$2:$C$2000,MATCH(D524,الأصناف!$A$2:$A$2000,0)),0))</f>
        <v/>
      </c>
      <c r="H524">
        <f>IF(D524="","",F524*G524)</f>
        <v/>
      </c>
      <c r="I524">
        <f>IF(D524="","",H524-F524*IFERROR(INDEX(الأصناف!$D$2:$D$2000,MATCH(D524,الأصناف!$A$2:$A$2000,0)),0))</f>
        <v/>
      </c>
      <c r="J524" s="4" t="n"/>
      <c r="K524" s="7">
        <f>IF(OR(B524="",B524&lt;&gt;الإيصال!$C$3),"",COUNTIF(B$2:B524,الإيصال!$C$3))</f>
        <v/>
      </c>
    </row>
    <row r="525">
      <c r="A525" s="6" t="n"/>
      <c r="B525" s="4" t="n"/>
      <c r="C525" s="4" t="n"/>
      <c r="D525" s="4" t="n"/>
      <c r="E525">
        <f>IF(D525="","",IFERROR(INDEX(الأصناف!$B$2:$B$2000,MATCH(D525,الأصناف!$A$2:$A$2000,0)),"كود غير موجود"))</f>
        <v/>
      </c>
      <c r="F525" s="4" t="n"/>
      <c r="G525">
        <f>IF(D525="","",IFERROR(INDEX(الأصناف!$C$2:$C$2000,MATCH(D525,الأصناف!$A$2:$A$2000,0)),0))</f>
        <v/>
      </c>
      <c r="H525">
        <f>IF(D525="","",F525*G525)</f>
        <v/>
      </c>
      <c r="I525">
        <f>IF(D525="","",H525-F525*IFERROR(INDEX(الأصناف!$D$2:$D$2000,MATCH(D525,الأصناف!$A$2:$A$2000,0)),0))</f>
        <v/>
      </c>
      <c r="J525" s="4" t="n"/>
      <c r="K525" s="7">
        <f>IF(OR(B525="",B525&lt;&gt;الإيصال!$C$3),"",COUNTIF(B$2:B525,الإيصال!$C$3))</f>
        <v/>
      </c>
    </row>
    <row r="526">
      <c r="A526" s="6" t="n"/>
      <c r="B526" s="4" t="n"/>
      <c r="C526" s="4" t="n"/>
      <c r="D526" s="4" t="n"/>
      <c r="E526">
        <f>IF(D526="","",IFERROR(INDEX(الأصناف!$B$2:$B$2000,MATCH(D526,الأصناف!$A$2:$A$2000,0)),"كود غير موجود"))</f>
        <v/>
      </c>
      <c r="F526" s="4" t="n"/>
      <c r="G526">
        <f>IF(D526="","",IFERROR(INDEX(الأصناف!$C$2:$C$2000,MATCH(D526,الأصناف!$A$2:$A$2000,0)),0))</f>
        <v/>
      </c>
      <c r="H526">
        <f>IF(D526="","",F526*G526)</f>
        <v/>
      </c>
      <c r="I526">
        <f>IF(D526="","",H526-F526*IFERROR(INDEX(الأصناف!$D$2:$D$2000,MATCH(D526,الأصناف!$A$2:$A$2000,0)),0))</f>
        <v/>
      </c>
      <c r="J526" s="4" t="n"/>
      <c r="K526" s="7">
        <f>IF(OR(B526="",B526&lt;&gt;الإيصال!$C$3),"",COUNTIF(B$2:B526,الإيصال!$C$3))</f>
        <v/>
      </c>
    </row>
    <row r="527">
      <c r="A527" s="6" t="n"/>
      <c r="B527" s="4" t="n"/>
      <c r="C527" s="4" t="n"/>
      <c r="D527" s="4" t="n"/>
      <c r="E527">
        <f>IF(D527="","",IFERROR(INDEX(الأصناف!$B$2:$B$2000,MATCH(D527,الأصناف!$A$2:$A$2000,0)),"كود غير موجود"))</f>
        <v/>
      </c>
      <c r="F527" s="4" t="n"/>
      <c r="G527">
        <f>IF(D527="","",IFERROR(INDEX(الأصناف!$C$2:$C$2000,MATCH(D527,الأصناف!$A$2:$A$2000,0)),0))</f>
        <v/>
      </c>
      <c r="H527">
        <f>IF(D527="","",F527*G527)</f>
        <v/>
      </c>
      <c r="I527">
        <f>IF(D527="","",H527-F527*IFERROR(INDEX(الأصناف!$D$2:$D$2000,MATCH(D527,الأصناف!$A$2:$A$2000,0)),0))</f>
        <v/>
      </c>
      <c r="J527" s="4" t="n"/>
      <c r="K527" s="7">
        <f>IF(OR(B527="",B527&lt;&gt;الإيصال!$C$3),"",COUNTIF(B$2:B527,الإيصال!$C$3))</f>
        <v/>
      </c>
    </row>
    <row r="528">
      <c r="A528" s="6" t="n"/>
      <c r="B528" s="4" t="n"/>
      <c r="C528" s="4" t="n"/>
      <c r="D528" s="4" t="n"/>
      <c r="E528">
        <f>IF(D528="","",IFERROR(INDEX(الأصناف!$B$2:$B$2000,MATCH(D528,الأصناف!$A$2:$A$2000,0)),"كود غير موجود"))</f>
        <v/>
      </c>
      <c r="F528" s="4" t="n"/>
      <c r="G528">
        <f>IF(D528="","",IFERROR(INDEX(الأصناف!$C$2:$C$2000,MATCH(D528,الأصناف!$A$2:$A$2000,0)),0))</f>
        <v/>
      </c>
      <c r="H528">
        <f>IF(D528="","",F528*G528)</f>
        <v/>
      </c>
      <c r="I528">
        <f>IF(D528="","",H528-F528*IFERROR(INDEX(الأصناف!$D$2:$D$2000,MATCH(D528,الأصناف!$A$2:$A$2000,0)),0))</f>
        <v/>
      </c>
      <c r="J528" s="4" t="n"/>
      <c r="K528" s="7">
        <f>IF(OR(B528="",B528&lt;&gt;الإيصال!$C$3),"",COUNTIF(B$2:B528,الإيصال!$C$3))</f>
        <v/>
      </c>
    </row>
    <row r="529">
      <c r="A529" s="6" t="n"/>
      <c r="B529" s="4" t="n"/>
      <c r="C529" s="4" t="n"/>
      <c r="D529" s="4" t="n"/>
      <c r="E529">
        <f>IF(D529="","",IFERROR(INDEX(الأصناف!$B$2:$B$2000,MATCH(D529,الأصناف!$A$2:$A$2000,0)),"كود غير موجود"))</f>
        <v/>
      </c>
      <c r="F529" s="4" t="n"/>
      <c r="G529">
        <f>IF(D529="","",IFERROR(INDEX(الأصناف!$C$2:$C$2000,MATCH(D529,الأصناف!$A$2:$A$2000,0)),0))</f>
        <v/>
      </c>
      <c r="H529">
        <f>IF(D529="","",F529*G529)</f>
        <v/>
      </c>
      <c r="I529">
        <f>IF(D529="","",H529-F529*IFERROR(INDEX(الأصناف!$D$2:$D$2000,MATCH(D529,الأصناف!$A$2:$A$2000,0)),0))</f>
        <v/>
      </c>
      <c r="J529" s="4" t="n"/>
      <c r="K529" s="7">
        <f>IF(OR(B529="",B529&lt;&gt;الإيصال!$C$3),"",COUNTIF(B$2:B529,الإيصال!$C$3))</f>
        <v/>
      </c>
    </row>
    <row r="530">
      <c r="A530" s="6" t="n"/>
      <c r="B530" s="4" t="n"/>
      <c r="C530" s="4" t="n"/>
      <c r="D530" s="4" t="n"/>
      <c r="E530">
        <f>IF(D530="","",IFERROR(INDEX(الأصناف!$B$2:$B$2000,MATCH(D530,الأصناف!$A$2:$A$2000,0)),"كود غير موجود"))</f>
        <v/>
      </c>
      <c r="F530" s="4" t="n"/>
      <c r="G530">
        <f>IF(D530="","",IFERROR(INDEX(الأصناف!$C$2:$C$2000,MATCH(D530,الأصناف!$A$2:$A$2000,0)),0))</f>
        <v/>
      </c>
      <c r="H530">
        <f>IF(D530="","",F530*G530)</f>
        <v/>
      </c>
      <c r="I530">
        <f>IF(D530="","",H530-F530*IFERROR(INDEX(الأصناف!$D$2:$D$2000,MATCH(D530,الأصناف!$A$2:$A$2000,0)),0))</f>
        <v/>
      </c>
      <c r="J530" s="4" t="n"/>
      <c r="K530" s="7">
        <f>IF(OR(B530="",B530&lt;&gt;الإيصال!$C$3),"",COUNTIF(B$2:B530,الإيصال!$C$3))</f>
        <v/>
      </c>
    </row>
    <row r="531">
      <c r="A531" s="6" t="n"/>
      <c r="B531" s="4" t="n"/>
      <c r="C531" s="4" t="n"/>
      <c r="D531" s="4" t="n"/>
      <c r="E531">
        <f>IF(D531="","",IFERROR(INDEX(الأصناف!$B$2:$B$2000,MATCH(D531,الأصناف!$A$2:$A$2000,0)),"كود غير موجود"))</f>
        <v/>
      </c>
      <c r="F531" s="4" t="n"/>
      <c r="G531">
        <f>IF(D531="","",IFERROR(INDEX(الأصناف!$C$2:$C$2000,MATCH(D531,الأصناف!$A$2:$A$2000,0)),0))</f>
        <v/>
      </c>
      <c r="H531">
        <f>IF(D531="","",F531*G531)</f>
        <v/>
      </c>
      <c r="I531">
        <f>IF(D531="","",H531-F531*IFERROR(INDEX(الأصناف!$D$2:$D$2000,MATCH(D531,الأصناف!$A$2:$A$2000,0)),0))</f>
        <v/>
      </c>
      <c r="J531" s="4" t="n"/>
      <c r="K531" s="7">
        <f>IF(OR(B531="",B531&lt;&gt;الإيصال!$C$3),"",COUNTIF(B$2:B531,الإيصال!$C$3))</f>
        <v/>
      </c>
    </row>
    <row r="532">
      <c r="A532" s="6" t="n"/>
      <c r="B532" s="4" t="n"/>
      <c r="C532" s="4" t="n"/>
      <c r="D532" s="4" t="n"/>
      <c r="E532">
        <f>IF(D532="","",IFERROR(INDEX(الأصناف!$B$2:$B$2000,MATCH(D532,الأصناف!$A$2:$A$2000,0)),"كود غير موجود"))</f>
        <v/>
      </c>
      <c r="F532" s="4" t="n"/>
      <c r="G532">
        <f>IF(D532="","",IFERROR(INDEX(الأصناف!$C$2:$C$2000,MATCH(D532,الأصناف!$A$2:$A$2000,0)),0))</f>
        <v/>
      </c>
      <c r="H532">
        <f>IF(D532="","",F532*G532)</f>
        <v/>
      </c>
      <c r="I532">
        <f>IF(D532="","",H532-F532*IFERROR(INDEX(الأصناف!$D$2:$D$2000,MATCH(D532,الأصناف!$A$2:$A$2000,0)),0))</f>
        <v/>
      </c>
      <c r="J532" s="4" t="n"/>
      <c r="K532" s="7">
        <f>IF(OR(B532="",B532&lt;&gt;الإيصال!$C$3),"",COUNTIF(B$2:B532,الإيصال!$C$3))</f>
        <v/>
      </c>
    </row>
    <row r="533">
      <c r="A533" s="6" t="n"/>
      <c r="B533" s="4" t="n"/>
      <c r="C533" s="4" t="n"/>
      <c r="D533" s="4" t="n"/>
      <c r="E533">
        <f>IF(D533="","",IFERROR(INDEX(الأصناف!$B$2:$B$2000,MATCH(D533,الأصناف!$A$2:$A$2000,0)),"كود غير موجود"))</f>
        <v/>
      </c>
      <c r="F533" s="4" t="n"/>
      <c r="G533">
        <f>IF(D533="","",IFERROR(INDEX(الأصناف!$C$2:$C$2000,MATCH(D533,الأصناف!$A$2:$A$2000,0)),0))</f>
        <v/>
      </c>
      <c r="H533">
        <f>IF(D533="","",F533*G533)</f>
        <v/>
      </c>
      <c r="I533">
        <f>IF(D533="","",H533-F533*IFERROR(INDEX(الأصناف!$D$2:$D$2000,MATCH(D533,الأصناف!$A$2:$A$2000,0)),0))</f>
        <v/>
      </c>
      <c r="J533" s="4" t="n"/>
      <c r="K533" s="7">
        <f>IF(OR(B533="",B533&lt;&gt;الإيصال!$C$3),"",COUNTIF(B$2:B533,الإيصال!$C$3))</f>
        <v/>
      </c>
    </row>
    <row r="534">
      <c r="A534" s="6" t="n"/>
      <c r="B534" s="4" t="n"/>
      <c r="C534" s="4" t="n"/>
      <c r="D534" s="4" t="n"/>
      <c r="E534">
        <f>IF(D534="","",IFERROR(INDEX(الأصناف!$B$2:$B$2000,MATCH(D534,الأصناف!$A$2:$A$2000,0)),"كود غير موجود"))</f>
        <v/>
      </c>
      <c r="F534" s="4" t="n"/>
      <c r="G534">
        <f>IF(D534="","",IFERROR(INDEX(الأصناف!$C$2:$C$2000,MATCH(D534,الأصناف!$A$2:$A$2000,0)),0))</f>
        <v/>
      </c>
      <c r="H534">
        <f>IF(D534="","",F534*G534)</f>
        <v/>
      </c>
      <c r="I534">
        <f>IF(D534="","",H534-F534*IFERROR(INDEX(الأصناف!$D$2:$D$2000,MATCH(D534,الأصناف!$A$2:$A$2000,0)),0))</f>
        <v/>
      </c>
      <c r="J534" s="4" t="n"/>
      <c r="K534" s="7">
        <f>IF(OR(B534="",B534&lt;&gt;الإيصال!$C$3),"",COUNTIF(B$2:B534,الإيصال!$C$3))</f>
        <v/>
      </c>
    </row>
    <row r="535">
      <c r="A535" s="6" t="n"/>
      <c r="B535" s="4" t="n"/>
      <c r="C535" s="4" t="n"/>
      <c r="D535" s="4" t="n"/>
      <c r="E535">
        <f>IF(D535="","",IFERROR(INDEX(الأصناف!$B$2:$B$2000,MATCH(D535,الأصناف!$A$2:$A$2000,0)),"كود غير موجود"))</f>
        <v/>
      </c>
      <c r="F535" s="4" t="n"/>
      <c r="G535">
        <f>IF(D535="","",IFERROR(INDEX(الأصناف!$C$2:$C$2000,MATCH(D535,الأصناف!$A$2:$A$2000,0)),0))</f>
        <v/>
      </c>
      <c r="H535">
        <f>IF(D535="","",F535*G535)</f>
        <v/>
      </c>
      <c r="I535">
        <f>IF(D535="","",H535-F535*IFERROR(INDEX(الأصناف!$D$2:$D$2000,MATCH(D535,الأصناف!$A$2:$A$2000,0)),0))</f>
        <v/>
      </c>
      <c r="J535" s="4" t="n"/>
      <c r="K535" s="7">
        <f>IF(OR(B535="",B535&lt;&gt;الإيصال!$C$3),"",COUNTIF(B$2:B535,الإيصال!$C$3))</f>
        <v/>
      </c>
    </row>
    <row r="536">
      <c r="A536" s="6" t="n"/>
      <c r="B536" s="4" t="n"/>
      <c r="C536" s="4" t="n"/>
      <c r="D536" s="4" t="n"/>
      <c r="E536">
        <f>IF(D536="","",IFERROR(INDEX(الأصناف!$B$2:$B$2000,MATCH(D536,الأصناف!$A$2:$A$2000,0)),"كود غير موجود"))</f>
        <v/>
      </c>
      <c r="F536" s="4" t="n"/>
      <c r="G536">
        <f>IF(D536="","",IFERROR(INDEX(الأصناف!$C$2:$C$2000,MATCH(D536,الأصناف!$A$2:$A$2000,0)),0))</f>
        <v/>
      </c>
      <c r="H536">
        <f>IF(D536="","",F536*G536)</f>
        <v/>
      </c>
      <c r="I536">
        <f>IF(D536="","",H536-F536*IFERROR(INDEX(الأصناف!$D$2:$D$2000,MATCH(D536,الأصناف!$A$2:$A$2000,0)),0))</f>
        <v/>
      </c>
      <c r="J536" s="4" t="n"/>
      <c r="K536" s="7">
        <f>IF(OR(B536="",B536&lt;&gt;الإيصال!$C$3),"",COUNTIF(B$2:B536,الإيصال!$C$3))</f>
        <v/>
      </c>
    </row>
    <row r="537">
      <c r="A537" s="6" t="n"/>
      <c r="B537" s="4" t="n"/>
      <c r="C537" s="4" t="n"/>
      <c r="D537" s="4" t="n"/>
      <c r="E537">
        <f>IF(D537="","",IFERROR(INDEX(الأصناف!$B$2:$B$2000,MATCH(D537,الأصناف!$A$2:$A$2000,0)),"كود غير موجود"))</f>
        <v/>
      </c>
      <c r="F537" s="4" t="n"/>
      <c r="G537">
        <f>IF(D537="","",IFERROR(INDEX(الأصناف!$C$2:$C$2000,MATCH(D537,الأصناف!$A$2:$A$2000,0)),0))</f>
        <v/>
      </c>
      <c r="H537">
        <f>IF(D537="","",F537*G537)</f>
        <v/>
      </c>
      <c r="I537">
        <f>IF(D537="","",H537-F537*IFERROR(INDEX(الأصناف!$D$2:$D$2000,MATCH(D537,الأصناف!$A$2:$A$2000,0)),0))</f>
        <v/>
      </c>
      <c r="J537" s="4" t="n"/>
      <c r="K537" s="7">
        <f>IF(OR(B537="",B537&lt;&gt;الإيصال!$C$3),"",COUNTIF(B$2:B537,الإيصال!$C$3))</f>
        <v/>
      </c>
    </row>
    <row r="538">
      <c r="A538" s="6" t="n"/>
      <c r="B538" s="4" t="n"/>
      <c r="C538" s="4" t="n"/>
      <c r="D538" s="4" t="n"/>
      <c r="E538">
        <f>IF(D538="","",IFERROR(INDEX(الأصناف!$B$2:$B$2000,MATCH(D538,الأصناف!$A$2:$A$2000,0)),"كود غير موجود"))</f>
        <v/>
      </c>
      <c r="F538" s="4" t="n"/>
      <c r="G538">
        <f>IF(D538="","",IFERROR(INDEX(الأصناف!$C$2:$C$2000,MATCH(D538,الأصناف!$A$2:$A$2000,0)),0))</f>
        <v/>
      </c>
      <c r="H538">
        <f>IF(D538="","",F538*G538)</f>
        <v/>
      </c>
      <c r="I538">
        <f>IF(D538="","",H538-F538*IFERROR(INDEX(الأصناف!$D$2:$D$2000,MATCH(D538,الأصناف!$A$2:$A$2000,0)),0))</f>
        <v/>
      </c>
      <c r="J538" s="4" t="n"/>
      <c r="K538" s="7">
        <f>IF(OR(B538="",B538&lt;&gt;الإيصال!$C$3),"",COUNTIF(B$2:B538,الإيصال!$C$3))</f>
        <v/>
      </c>
    </row>
    <row r="539">
      <c r="A539" s="6" t="n"/>
      <c r="B539" s="4" t="n"/>
      <c r="C539" s="4" t="n"/>
      <c r="D539" s="4" t="n"/>
      <c r="E539">
        <f>IF(D539="","",IFERROR(INDEX(الأصناف!$B$2:$B$2000,MATCH(D539,الأصناف!$A$2:$A$2000,0)),"كود غير موجود"))</f>
        <v/>
      </c>
      <c r="F539" s="4" t="n"/>
      <c r="G539">
        <f>IF(D539="","",IFERROR(INDEX(الأصناف!$C$2:$C$2000,MATCH(D539,الأصناف!$A$2:$A$2000,0)),0))</f>
        <v/>
      </c>
      <c r="H539">
        <f>IF(D539="","",F539*G539)</f>
        <v/>
      </c>
      <c r="I539">
        <f>IF(D539="","",H539-F539*IFERROR(INDEX(الأصناف!$D$2:$D$2000,MATCH(D539,الأصناف!$A$2:$A$2000,0)),0))</f>
        <v/>
      </c>
      <c r="J539" s="4" t="n"/>
      <c r="K539" s="7">
        <f>IF(OR(B539="",B539&lt;&gt;الإيصال!$C$3),"",COUNTIF(B$2:B539,الإيصال!$C$3))</f>
        <v/>
      </c>
    </row>
    <row r="540">
      <c r="A540" s="6" t="n"/>
      <c r="B540" s="4" t="n"/>
      <c r="C540" s="4" t="n"/>
      <c r="D540" s="4" t="n"/>
      <c r="E540">
        <f>IF(D540="","",IFERROR(INDEX(الأصناف!$B$2:$B$2000,MATCH(D540,الأصناف!$A$2:$A$2000,0)),"كود غير موجود"))</f>
        <v/>
      </c>
      <c r="F540" s="4" t="n"/>
      <c r="G540">
        <f>IF(D540="","",IFERROR(INDEX(الأصناف!$C$2:$C$2000,MATCH(D540,الأصناف!$A$2:$A$2000,0)),0))</f>
        <v/>
      </c>
      <c r="H540">
        <f>IF(D540="","",F540*G540)</f>
        <v/>
      </c>
      <c r="I540">
        <f>IF(D540="","",H540-F540*IFERROR(INDEX(الأصناف!$D$2:$D$2000,MATCH(D540,الأصناف!$A$2:$A$2000,0)),0))</f>
        <v/>
      </c>
      <c r="J540" s="4" t="n"/>
      <c r="K540" s="7">
        <f>IF(OR(B540="",B540&lt;&gt;الإيصال!$C$3),"",COUNTIF(B$2:B540,الإيصال!$C$3))</f>
        <v/>
      </c>
    </row>
    <row r="541">
      <c r="A541" s="6" t="n"/>
      <c r="B541" s="4" t="n"/>
      <c r="C541" s="4" t="n"/>
      <c r="D541" s="4" t="n"/>
      <c r="E541">
        <f>IF(D541="","",IFERROR(INDEX(الأصناف!$B$2:$B$2000,MATCH(D541,الأصناف!$A$2:$A$2000,0)),"كود غير موجود"))</f>
        <v/>
      </c>
      <c r="F541" s="4" t="n"/>
      <c r="G541">
        <f>IF(D541="","",IFERROR(INDEX(الأصناف!$C$2:$C$2000,MATCH(D541,الأصناف!$A$2:$A$2000,0)),0))</f>
        <v/>
      </c>
      <c r="H541">
        <f>IF(D541="","",F541*G541)</f>
        <v/>
      </c>
      <c r="I541">
        <f>IF(D541="","",H541-F541*IFERROR(INDEX(الأصناف!$D$2:$D$2000,MATCH(D541,الأصناف!$A$2:$A$2000,0)),0))</f>
        <v/>
      </c>
      <c r="J541" s="4" t="n"/>
      <c r="K541" s="7">
        <f>IF(OR(B541="",B541&lt;&gt;الإيصال!$C$3),"",COUNTIF(B$2:B541,الإيصال!$C$3))</f>
        <v/>
      </c>
    </row>
    <row r="542">
      <c r="A542" s="6" t="n"/>
      <c r="B542" s="4" t="n"/>
      <c r="C542" s="4" t="n"/>
      <c r="D542" s="4" t="n"/>
      <c r="E542">
        <f>IF(D542="","",IFERROR(INDEX(الأصناف!$B$2:$B$2000,MATCH(D542,الأصناف!$A$2:$A$2000,0)),"كود غير موجود"))</f>
        <v/>
      </c>
      <c r="F542" s="4" t="n"/>
      <c r="G542">
        <f>IF(D542="","",IFERROR(INDEX(الأصناف!$C$2:$C$2000,MATCH(D542,الأصناف!$A$2:$A$2000,0)),0))</f>
        <v/>
      </c>
      <c r="H542">
        <f>IF(D542="","",F542*G542)</f>
        <v/>
      </c>
      <c r="I542">
        <f>IF(D542="","",H542-F542*IFERROR(INDEX(الأصناف!$D$2:$D$2000,MATCH(D542,الأصناف!$A$2:$A$2000,0)),0))</f>
        <v/>
      </c>
      <c r="J542" s="4" t="n"/>
      <c r="K542" s="7">
        <f>IF(OR(B542="",B542&lt;&gt;الإيصال!$C$3),"",COUNTIF(B$2:B542,الإيصال!$C$3))</f>
        <v/>
      </c>
    </row>
    <row r="543">
      <c r="A543" s="6" t="n"/>
      <c r="B543" s="4" t="n"/>
      <c r="C543" s="4" t="n"/>
      <c r="D543" s="4" t="n"/>
      <c r="E543">
        <f>IF(D543="","",IFERROR(INDEX(الأصناف!$B$2:$B$2000,MATCH(D543,الأصناف!$A$2:$A$2000,0)),"كود غير موجود"))</f>
        <v/>
      </c>
      <c r="F543" s="4" t="n"/>
      <c r="G543">
        <f>IF(D543="","",IFERROR(INDEX(الأصناف!$C$2:$C$2000,MATCH(D543,الأصناف!$A$2:$A$2000,0)),0))</f>
        <v/>
      </c>
      <c r="H543">
        <f>IF(D543="","",F543*G543)</f>
        <v/>
      </c>
      <c r="I543">
        <f>IF(D543="","",H543-F543*IFERROR(INDEX(الأصناف!$D$2:$D$2000,MATCH(D543,الأصناف!$A$2:$A$2000,0)),0))</f>
        <v/>
      </c>
      <c r="J543" s="4" t="n"/>
      <c r="K543" s="7">
        <f>IF(OR(B543="",B543&lt;&gt;الإيصال!$C$3),"",COUNTIF(B$2:B543,الإيصال!$C$3))</f>
        <v/>
      </c>
    </row>
    <row r="544">
      <c r="A544" s="6" t="n"/>
      <c r="B544" s="4" t="n"/>
      <c r="C544" s="4" t="n"/>
      <c r="D544" s="4" t="n"/>
      <c r="E544">
        <f>IF(D544="","",IFERROR(INDEX(الأصناف!$B$2:$B$2000,MATCH(D544,الأصناف!$A$2:$A$2000,0)),"كود غير موجود"))</f>
        <v/>
      </c>
      <c r="F544" s="4" t="n"/>
      <c r="G544">
        <f>IF(D544="","",IFERROR(INDEX(الأصناف!$C$2:$C$2000,MATCH(D544,الأصناف!$A$2:$A$2000,0)),0))</f>
        <v/>
      </c>
      <c r="H544">
        <f>IF(D544="","",F544*G544)</f>
        <v/>
      </c>
      <c r="I544">
        <f>IF(D544="","",H544-F544*IFERROR(INDEX(الأصناف!$D$2:$D$2000,MATCH(D544,الأصناف!$A$2:$A$2000,0)),0))</f>
        <v/>
      </c>
      <c r="J544" s="4" t="n"/>
      <c r="K544" s="7">
        <f>IF(OR(B544="",B544&lt;&gt;الإيصال!$C$3),"",COUNTIF(B$2:B544,الإيصال!$C$3))</f>
        <v/>
      </c>
    </row>
    <row r="545">
      <c r="A545" s="6" t="n"/>
      <c r="B545" s="4" t="n"/>
      <c r="C545" s="4" t="n"/>
      <c r="D545" s="4" t="n"/>
      <c r="E545">
        <f>IF(D545="","",IFERROR(INDEX(الأصناف!$B$2:$B$2000,MATCH(D545,الأصناف!$A$2:$A$2000,0)),"كود غير موجود"))</f>
        <v/>
      </c>
      <c r="F545" s="4" t="n"/>
      <c r="G545">
        <f>IF(D545="","",IFERROR(INDEX(الأصناف!$C$2:$C$2000,MATCH(D545,الأصناف!$A$2:$A$2000,0)),0))</f>
        <v/>
      </c>
      <c r="H545">
        <f>IF(D545="","",F545*G545)</f>
        <v/>
      </c>
      <c r="I545">
        <f>IF(D545="","",H545-F545*IFERROR(INDEX(الأصناف!$D$2:$D$2000,MATCH(D545,الأصناف!$A$2:$A$2000,0)),0))</f>
        <v/>
      </c>
      <c r="J545" s="4" t="n"/>
      <c r="K545" s="7">
        <f>IF(OR(B545="",B545&lt;&gt;الإيصال!$C$3),"",COUNTIF(B$2:B545,الإيصال!$C$3))</f>
        <v/>
      </c>
    </row>
    <row r="546">
      <c r="A546" s="6" t="n"/>
      <c r="B546" s="4" t="n"/>
      <c r="C546" s="4" t="n"/>
      <c r="D546" s="4" t="n"/>
      <c r="E546">
        <f>IF(D546="","",IFERROR(INDEX(الأصناف!$B$2:$B$2000,MATCH(D546,الأصناف!$A$2:$A$2000,0)),"كود غير موجود"))</f>
        <v/>
      </c>
      <c r="F546" s="4" t="n"/>
      <c r="G546">
        <f>IF(D546="","",IFERROR(INDEX(الأصناف!$C$2:$C$2000,MATCH(D546,الأصناف!$A$2:$A$2000,0)),0))</f>
        <v/>
      </c>
      <c r="H546">
        <f>IF(D546="","",F546*G546)</f>
        <v/>
      </c>
      <c r="I546">
        <f>IF(D546="","",H546-F546*IFERROR(INDEX(الأصناف!$D$2:$D$2000,MATCH(D546,الأصناف!$A$2:$A$2000,0)),0))</f>
        <v/>
      </c>
      <c r="J546" s="4" t="n"/>
      <c r="K546" s="7">
        <f>IF(OR(B546="",B546&lt;&gt;الإيصال!$C$3),"",COUNTIF(B$2:B546,الإيصال!$C$3))</f>
        <v/>
      </c>
    </row>
    <row r="547">
      <c r="A547" s="6" t="n"/>
      <c r="B547" s="4" t="n"/>
      <c r="C547" s="4" t="n"/>
      <c r="D547" s="4" t="n"/>
      <c r="E547">
        <f>IF(D547="","",IFERROR(INDEX(الأصناف!$B$2:$B$2000,MATCH(D547,الأصناف!$A$2:$A$2000,0)),"كود غير موجود"))</f>
        <v/>
      </c>
      <c r="F547" s="4" t="n"/>
      <c r="G547">
        <f>IF(D547="","",IFERROR(INDEX(الأصناف!$C$2:$C$2000,MATCH(D547,الأصناف!$A$2:$A$2000,0)),0))</f>
        <v/>
      </c>
      <c r="H547">
        <f>IF(D547="","",F547*G547)</f>
        <v/>
      </c>
      <c r="I547">
        <f>IF(D547="","",H547-F547*IFERROR(INDEX(الأصناف!$D$2:$D$2000,MATCH(D547,الأصناف!$A$2:$A$2000,0)),0))</f>
        <v/>
      </c>
      <c r="J547" s="4" t="n"/>
      <c r="K547" s="7">
        <f>IF(OR(B547="",B547&lt;&gt;الإيصال!$C$3),"",COUNTIF(B$2:B547,الإيصال!$C$3))</f>
        <v/>
      </c>
    </row>
    <row r="548">
      <c r="A548" s="6" t="n"/>
      <c r="B548" s="4" t="n"/>
      <c r="C548" s="4" t="n"/>
      <c r="D548" s="4" t="n"/>
      <c r="E548">
        <f>IF(D548="","",IFERROR(INDEX(الأصناف!$B$2:$B$2000,MATCH(D548,الأصناف!$A$2:$A$2000,0)),"كود غير موجود"))</f>
        <v/>
      </c>
      <c r="F548" s="4" t="n"/>
      <c r="G548">
        <f>IF(D548="","",IFERROR(INDEX(الأصناف!$C$2:$C$2000,MATCH(D548,الأصناف!$A$2:$A$2000,0)),0))</f>
        <v/>
      </c>
      <c r="H548">
        <f>IF(D548="","",F548*G548)</f>
        <v/>
      </c>
      <c r="I548">
        <f>IF(D548="","",H548-F548*IFERROR(INDEX(الأصناف!$D$2:$D$2000,MATCH(D548,الأصناف!$A$2:$A$2000,0)),0))</f>
        <v/>
      </c>
      <c r="J548" s="4" t="n"/>
      <c r="K548" s="7">
        <f>IF(OR(B548="",B548&lt;&gt;الإيصال!$C$3),"",COUNTIF(B$2:B548,الإيصال!$C$3))</f>
        <v/>
      </c>
    </row>
    <row r="549">
      <c r="A549" s="6" t="n"/>
      <c r="B549" s="4" t="n"/>
      <c r="C549" s="4" t="n"/>
      <c r="D549" s="4" t="n"/>
      <c r="E549">
        <f>IF(D549="","",IFERROR(INDEX(الأصناف!$B$2:$B$2000,MATCH(D549,الأصناف!$A$2:$A$2000,0)),"كود غير موجود"))</f>
        <v/>
      </c>
      <c r="F549" s="4" t="n"/>
      <c r="G549">
        <f>IF(D549="","",IFERROR(INDEX(الأصناف!$C$2:$C$2000,MATCH(D549,الأصناف!$A$2:$A$2000,0)),0))</f>
        <v/>
      </c>
      <c r="H549">
        <f>IF(D549="","",F549*G549)</f>
        <v/>
      </c>
      <c r="I549">
        <f>IF(D549="","",H549-F549*IFERROR(INDEX(الأصناف!$D$2:$D$2000,MATCH(D549,الأصناف!$A$2:$A$2000,0)),0))</f>
        <v/>
      </c>
      <c r="J549" s="4" t="n"/>
      <c r="K549" s="7">
        <f>IF(OR(B549="",B549&lt;&gt;الإيصال!$C$3),"",COUNTIF(B$2:B549,الإيصال!$C$3))</f>
        <v/>
      </c>
    </row>
    <row r="550">
      <c r="A550" s="6" t="n"/>
      <c r="B550" s="4" t="n"/>
      <c r="C550" s="4" t="n"/>
      <c r="D550" s="4" t="n"/>
      <c r="E550">
        <f>IF(D550="","",IFERROR(INDEX(الأصناف!$B$2:$B$2000,MATCH(D550,الأصناف!$A$2:$A$2000,0)),"كود غير موجود"))</f>
        <v/>
      </c>
      <c r="F550" s="4" t="n"/>
      <c r="G550">
        <f>IF(D550="","",IFERROR(INDEX(الأصناف!$C$2:$C$2000,MATCH(D550,الأصناف!$A$2:$A$2000,0)),0))</f>
        <v/>
      </c>
      <c r="H550">
        <f>IF(D550="","",F550*G550)</f>
        <v/>
      </c>
      <c r="I550">
        <f>IF(D550="","",H550-F550*IFERROR(INDEX(الأصناف!$D$2:$D$2000,MATCH(D550,الأصناف!$A$2:$A$2000,0)),0))</f>
        <v/>
      </c>
      <c r="J550" s="4" t="n"/>
      <c r="K550" s="7">
        <f>IF(OR(B550="",B550&lt;&gt;الإيصال!$C$3),"",COUNTIF(B$2:B550,الإيصال!$C$3))</f>
        <v/>
      </c>
    </row>
    <row r="551">
      <c r="A551" s="6" t="n"/>
      <c r="B551" s="4" t="n"/>
      <c r="C551" s="4" t="n"/>
      <c r="D551" s="4" t="n"/>
      <c r="E551">
        <f>IF(D551="","",IFERROR(INDEX(الأصناف!$B$2:$B$2000,MATCH(D551,الأصناف!$A$2:$A$2000,0)),"كود غير موجود"))</f>
        <v/>
      </c>
      <c r="F551" s="4" t="n"/>
      <c r="G551">
        <f>IF(D551="","",IFERROR(INDEX(الأصناف!$C$2:$C$2000,MATCH(D551,الأصناف!$A$2:$A$2000,0)),0))</f>
        <v/>
      </c>
      <c r="H551">
        <f>IF(D551="","",F551*G551)</f>
        <v/>
      </c>
      <c r="I551">
        <f>IF(D551="","",H551-F551*IFERROR(INDEX(الأصناف!$D$2:$D$2000,MATCH(D551,الأصناف!$A$2:$A$2000,0)),0))</f>
        <v/>
      </c>
      <c r="J551" s="4" t="n"/>
      <c r="K551" s="7">
        <f>IF(OR(B551="",B551&lt;&gt;الإيصال!$C$3),"",COUNTIF(B$2:B551,الإيصال!$C$3))</f>
        <v/>
      </c>
    </row>
    <row r="552">
      <c r="A552" s="6" t="n"/>
      <c r="B552" s="4" t="n"/>
      <c r="C552" s="4" t="n"/>
      <c r="D552" s="4" t="n"/>
      <c r="E552">
        <f>IF(D552="","",IFERROR(INDEX(الأصناف!$B$2:$B$2000,MATCH(D552,الأصناف!$A$2:$A$2000,0)),"كود غير موجود"))</f>
        <v/>
      </c>
      <c r="F552" s="4" t="n"/>
      <c r="G552">
        <f>IF(D552="","",IFERROR(INDEX(الأصناف!$C$2:$C$2000,MATCH(D552,الأصناف!$A$2:$A$2000,0)),0))</f>
        <v/>
      </c>
      <c r="H552">
        <f>IF(D552="","",F552*G552)</f>
        <v/>
      </c>
      <c r="I552">
        <f>IF(D552="","",H552-F552*IFERROR(INDEX(الأصناف!$D$2:$D$2000,MATCH(D552,الأصناف!$A$2:$A$2000,0)),0))</f>
        <v/>
      </c>
      <c r="J552" s="4" t="n"/>
      <c r="K552" s="7">
        <f>IF(OR(B552="",B552&lt;&gt;الإيصال!$C$3),"",COUNTIF(B$2:B552,الإيصال!$C$3))</f>
        <v/>
      </c>
    </row>
    <row r="553">
      <c r="A553" s="6" t="n"/>
      <c r="B553" s="4" t="n"/>
      <c r="C553" s="4" t="n"/>
      <c r="D553" s="4" t="n"/>
      <c r="E553">
        <f>IF(D553="","",IFERROR(INDEX(الأصناف!$B$2:$B$2000,MATCH(D553,الأصناف!$A$2:$A$2000,0)),"كود غير موجود"))</f>
        <v/>
      </c>
      <c r="F553" s="4" t="n"/>
      <c r="G553">
        <f>IF(D553="","",IFERROR(INDEX(الأصناف!$C$2:$C$2000,MATCH(D553,الأصناف!$A$2:$A$2000,0)),0))</f>
        <v/>
      </c>
      <c r="H553">
        <f>IF(D553="","",F553*G553)</f>
        <v/>
      </c>
      <c r="I553">
        <f>IF(D553="","",H553-F553*IFERROR(INDEX(الأصناف!$D$2:$D$2000,MATCH(D553,الأصناف!$A$2:$A$2000,0)),0))</f>
        <v/>
      </c>
      <c r="J553" s="4" t="n"/>
      <c r="K553" s="7">
        <f>IF(OR(B553="",B553&lt;&gt;الإيصال!$C$3),"",COUNTIF(B$2:B553,الإيصال!$C$3))</f>
        <v/>
      </c>
    </row>
    <row r="554">
      <c r="A554" s="6" t="n"/>
      <c r="B554" s="4" t="n"/>
      <c r="C554" s="4" t="n"/>
      <c r="D554" s="4" t="n"/>
      <c r="E554">
        <f>IF(D554="","",IFERROR(INDEX(الأصناف!$B$2:$B$2000,MATCH(D554,الأصناف!$A$2:$A$2000,0)),"كود غير موجود"))</f>
        <v/>
      </c>
      <c r="F554" s="4" t="n"/>
      <c r="G554">
        <f>IF(D554="","",IFERROR(INDEX(الأصناف!$C$2:$C$2000,MATCH(D554,الأصناف!$A$2:$A$2000,0)),0))</f>
        <v/>
      </c>
      <c r="H554">
        <f>IF(D554="","",F554*G554)</f>
        <v/>
      </c>
      <c r="I554">
        <f>IF(D554="","",H554-F554*IFERROR(INDEX(الأصناف!$D$2:$D$2000,MATCH(D554,الأصناف!$A$2:$A$2000,0)),0))</f>
        <v/>
      </c>
      <c r="J554" s="4" t="n"/>
      <c r="K554" s="7">
        <f>IF(OR(B554="",B554&lt;&gt;الإيصال!$C$3),"",COUNTIF(B$2:B554,الإيصال!$C$3))</f>
        <v/>
      </c>
    </row>
    <row r="555">
      <c r="A555" s="6" t="n"/>
      <c r="B555" s="4" t="n"/>
      <c r="C555" s="4" t="n"/>
      <c r="D555" s="4" t="n"/>
      <c r="E555">
        <f>IF(D555="","",IFERROR(INDEX(الأصناف!$B$2:$B$2000,MATCH(D555,الأصناف!$A$2:$A$2000,0)),"كود غير موجود"))</f>
        <v/>
      </c>
      <c r="F555" s="4" t="n"/>
      <c r="G555">
        <f>IF(D555="","",IFERROR(INDEX(الأصناف!$C$2:$C$2000,MATCH(D555,الأصناف!$A$2:$A$2000,0)),0))</f>
        <v/>
      </c>
      <c r="H555">
        <f>IF(D555="","",F555*G555)</f>
        <v/>
      </c>
      <c r="I555">
        <f>IF(D555="","",H555-F555*IFERROR(INDEX(الأصناف!$D$2:$D$2000,MATCH(D555,الأصناف!$A$2:$A$2000,0)),0))</f>
        <v/>
      </c>
      <c r="J555" s="4" t="n"/>
      <c r="K555" s="7">
        <f>IF(OR(B555="",B555&lt;&gt;الإيصال!$C$3),"",COUNTIF(B$2:B555,الإيصال!$C$3))</f>
        <v/>
      </c>
    </row>
    <row r="556">
      <c r="A556" s="6" t="n"/>
      <c r="B556" s="4" t="n"/>
      <c r="C556" s="4" t="n"/>
      <c r="D556" s="4" t="n"/>
      <c r="E556">
        <f>IF(D556="","",IFERROR(INDEX(الأصناف!$B$2:$B$2000,MATCH(D556,الأصناف!$A$2:$A$2000,0)),"كود غير موجود"))</f>
        <v/>
      </c>
      <c r="F556" s="4" t="n"/>
      <c r="G556">
        <f>IF(D556="","",IFERROR(INDEX(الأصناف!$C$2:$C$2000,MATCH(D556,الأصناف!$A$2:$A$2000,0)),0))</f>
        <v/>
      </c>
      <c r="H556">
        <f>IF(D556="","",F556*G556)</f>
        <v/>
      </c>
      <c r="I556">
        <f>IF(D556="","",H556-F556*IFERROR(INDEX(الأصناف!$D$2:$D$2000,MATCH(D556,الأصناف!$A$2:$A$2000,0)),0))</f>
        <v/>
      </c>
      <c r="J556" s="4" t="n"/>
      <c r="K556" s="7">
        <f>IF(OR(B556="",B556&lt;&gt;الإيصال!$C$3),"",COUNTIF(B$2:B556,الإيصال!$C$3))</f>
        <v/>
      </c>
    </row>
    <row r="557">
      <c r="A557" s="6" t="n"/>
      <c r="B557" s="4" t="n"/>
      <c r="C557" s="4" t="n"/>
      <c r="D557" s="4" t="n"/>
      <c r="E557">
        <f>IF(D557="","",IFERROR(INDEX(الأصناف!$B$2:$B$2000,MATCH(D557,الأصناف!$A$2:$A$2000,0)),"كود غير موجود"))</f>
        <v/>
      </c>
      <c r="F557" s="4" t="n"/>
      <c r="G557">
        <f>IF(D557="","",IFERROR(INDEX(الأصناف!$C$2:$C$2000,MATCH(D557,الأصناف!$A$2:$A$2000,0)),0))</f>
        <v/>
      </c>
      <c r="H557">
        <f>IF(D557="","",F557*G557)</f>
        <v/>
      </c>
      <c r="I557">
        <f>IF(D557="","",H557-F557*IFERROR(INDEX(الأصناف!$D$2:$D$2000,MATCH(D557,الأصناف!$A$2:$A$2000,0)),0))</f>
        <v/>
      </c>
      <c r="J557" s="4" t="n"/>
      <c r="K557" s="7">
        <f>IF(OR(B557="",B557&lt;&gt;الإيصال!$C$3),"",COUNTIF(B$2:B557,الإيصال!$C$3))</f>
        <v/>
      </c>
    </row>
    <row r="558">
      <c r="A558" s="6" t="n"/>
      <c r="B558" s="4" t="n"/>
      <c r="C558" s="4" t="n"/>
      <c r="D558" s="4" t="n"/>
      <c r="E558">
        <f>IF(D558="","",IFERROR(INDEX(الأصناف!$B$2:$B$2000,MATCH(D558,الأصناف!$A$2:$A$2000,0)),"كود غير موجود"))</f>
        <v/>
      </c>
      <c r="F558" s="4" t="n"/>
      <c r="G558">
        <f>IF(D558="","",IFERROR(INDEX(الأصناف!$C$2:$C$2000,MATCH(D558,الأصناف!$A$2:$A$2000,0)),0))</f>
        <v/>
      </c>
      <c r="H558">
        <f>IF(D558="","",F558*G558)</f>
        <v/>
      </c>
      <c r="I558">
        <f>IF(D558="","",H558-F558*IFERROR(INDEX(الأصناف!$D$2:$D$2000,MATCH(D558,الأصناف!$A$2:$A$2000,0)),0))</f>
        <v/>
      </c>
      <c r="J558" s="4" t="n"/>
      <c r="K558" s="7">
        <f>IF(OR(B558="",B558&lt;&gt;الإيصال!$C$3),"",COUNTIF(B$2:B558,الإيصال!$C$3))</f>
        <v/>
      </c>
    </row>
    <row r="559">
      <c r="A559" s="6" t="n"/>
      <c r="B559" s="4" t="n"/>
      <c r="C559" s="4" t="n"/>
      <c r="D559" s="4" t="n"/>
      <c r="E559">
        <f>IF(D559="","",IFERROR(INDEX(الأصناف!$B$2:$B$2000,MATCH(D559,الأصناف!$A$2:$A$2000,0)),"كود غير موجود"))</f>
        <v/>
      </c>
      <c r="F559" s="4" t="n"/>
      <c r="G559">
        <f>IF(D559="","",IFERROR(INDEX(الأصناف!$C$2:$C$2000,MATCH(D559,الأصناف!$A$2:$A$2000,0)),0))</f>
        <v/>
      </c>
      <c r="H559">
        <f>IF(D559="","",F559*G559)</f>
        <v/>
      </c>
      <c r="I559">
        <f>IF(D559="","",H559-F559*IFERROR(INDEX(الأصناف!$D$2:$D$2000,MATCH(D559,الأصناف!$A$2:$A$2000,0)),0))</f>
        <v/>
      </c>
      <c r="J559" s="4" t="n"/>
      <c r="K559" s="7">
        <f>IF(OR(B559="",B559&lt;&gt;الإيصال!$C$3),"",COUNTIF(B$2:B559,الإيصال!$C$3))</f>
        <v/>
      </c>
    </row>
    <row r="560">
      <c r="A560" s="6" t="n"/>
      <c r="B560" s="4" t="n"/>
      <c r="C560" s="4" t="n"/>
      <c r="D560" s="4" t="n"/>
      <c r="E560">
        <f>IF(D560="","",IFERROR(INDEX(الأصناف!$B$2:$B$2000,MATCH(D560,الأصناف!$A$2:$A$2000,0)),"كود غير موجود"))</f>
        <v/>
      </c>
      <c r="F560" s="4" t="n"/>
      <c r="G560">
        <f>IF(D560="","",IFERROR(INDEX(الأصناف!$C$2:$C$2000,MATCH(D560,الأصناف!$A$2:$A$2000,0)),0))</f>
        <v/>
      </c>
      <c r="H560">
        <f>IF(D560="","",F560*G560)</f>
        <v/>
      </c>
      <c r="I560">
        <f>IF(D560="","",H560-F560*IFERROR(INDEX(الأصناف!$D$2:$D$2000,MATCH(D560,الأصناف!$A$2:$A$2000,0)),0))</f>
        <v/>
      </c>
      <c r="J560" s="4" t="n"/>
      <c r="K560" s="7">
        <f>IF(OR(B560="",B560&lt;&gt;الإيصال!$C$3),"",COUNTIF(B$2:B560,الإيصال!$C$3))</f>
        <v/>
      </c>
    </row>
    <row r="561">
      <c r="A561" s="6" t="n"/>
      <c r="B561" s="4" t="n"/>
      <c r="C561" s="4" t="n"/>
      <c r="D561" s="4" t="n"/>
      <c r="E561">
        <f>IF(D561="","",IFERROR(INDEX(الأصناف!$B$2:$B$2000,MATCH(D561,الأصناف!$A$2:$A$2000,0)),"كود غير موجود"))</f>
        <v/>
      </c>
      <c r="F561" s="4" t="n"/>
      <c r="G561">
        <f>IF(D561="","",IFERROR(INDEX(الأصناف!$C$2:$C$2000,MATCH(D561,الأصناف!$A$2:$A$2000,0)),0))</f>
        <v/>
      </c>
      <c r="H561">
        <f>IF(D561="","",F561*G561)</f>
        <v/>
      </c>
      <c r="I561">
        <f>IF(D561="","",H561-F561*IFERROR(INDEX(الأصناف!$D$2:$D$2000,MATCH(D561,الأصناف!$A$2:$A$2000,0)),0))</f>
        <v/>
      </c>
      <c r="J561" s="4" t="n"/>
      <c r="K561" s="7">
        <f>IF(OR(B561="",B561&lt;&gt;الإيصال!$C$3),"",COUNTIF(B$2:B561,الإيصال!$C$3))</f>
        <v/>
      </c>
    </row>
    <row r="562">
      <c r="A562" s="6" t="n"/>
      <c r="B562" s="4" t="n"/>
      <c r="C562" s="4" t="n"/>
      <c r="D562" s="4" t="n"/>
      <c r="E562">
        <f>IF(D562="","",IFERROR(INDEX(الأصناف!$B$2:$B$2000,MATCH(D562,الأصناف!$A$2:$A$2000,0)),"كود غير موجود"))</f>
        <v/>
      </c>
      <c r="F562" s="4" t="n"/>
      <c r="G562">
        <f>IF(D562="","",IFERROR(INDEX(الأصناف!$C$2:$C$2000,MATCH(D562,الأصناف!$A$2:$A$2000,0)),0))</f>
        <v/>
      </c>
      <c r="H562">
        <f>IF(D562="","",F562*G562)</f>
        <v/>
      </c>
      <c r="I562">
        <f>IF(D562="","",H562-F562*IFERROR(INDEX(الأصناف!$D$2:$D$2000,MATCH(D562,الأصناف!$A$2:$A$2000,0)),0))</f>
        <v/>
      </c>
      <c r="J562" s="4" t="n"/>
      <c r="K562" s="7">
        <f>IF(OR(B562="",B562&lt;&gt;الإيصال!$C$3),"",COUNTIF(B$2:B562,الإيصال!$C$3))</f>
        <v/>
      </c>
    </row>
    <row r="563">
      <c r="A563" s="6" t="n"/>
      <c r="B563" s="4" t="n"/>
      <c r="C563" s="4" t="n"/>
      <c r="D563" s="4" t="n"/>
      <c r="E563">
        <f>IF(D563="","",IFERROR(INDEX(الأصناف!$B$2:$B$2000,MATCH(D563,الأصناف!$A$2:$A$2000,0)),"كود غير موجود"))</f>
        <v/>
      </c>
      <c r="F563" s="4" t="n"/>
      <c r="G563">
        <f>IF(D563="","",IFERROR(INDEX(الأصناف!$C$2:$C$2000,MATCH(D563,الأصناف!$A$2:$A$2000,0)),0))</f>
        <v/>
      </c>
      <c r="H563">
        <f>IF(D563="","",F563*G563)</f>
        <v/>
      </c>
      <c r="I563">
        <f>IF(D563="","",H563-F563*IFERROR(INDEX(الأصناف!$D$2:$D$2000,MATCH(D563,الأصناف!$A$2:$A$2000,0)),0))</f>
        <v/>
      </c>
      <c r="J563" s="4" t="n"/>
      <c r="K563" s="7">
        <f>IF(OR(B563="",B563&lt;&gt;الإيصال!$C$3),"",COUNTIF(B$2:B563,الإيصال!$C$3))</f>
        <v/>
      </c>
    </row>
    <row r="564">
      <c r="A564" s="6" t="n"/>
      <c r="B564" s="4" t="n"/>
      <c r="C564" s="4" t="n"/>
      <c r="D564" s="4" t="n"/>
      <c r="E564">
        <f>IF(D564="","",IFERROR(INDEX(الأصناف!$B$2:$B$2000,MATCH(D564,الأصناف!$A$2:$A$2000,0)),"كود غير موجود"))</f>
        <v/>
      </c>
      <c r="F564" s="4" t="n"/>
      <c r="G564">
        <f>IF(D564="","",IFERROR(INDEX(الأصناف!$C$2:$C$2000,MATCH(D564,الأصناف!$A$2:$A$2000,0)),0))</f>
        <v/>
      </c>
      <c r="H564">
        <f>IF(D564="","",F564*G564)</f>
        <v/>
      </c>
      <c r="I564">
        <f>IF(D564="","",H564-F564*IFERROR(INDEX(الأصناف!$D$2:$D$2000,MATCH(D564,الأصناف!$A$2:$A$2000,0)),0))</f>
        <v/>
      </c>
      <c r="J564" s="4" t="n"/>
      <c r="K564" s="7">
        <f>IF(OR(B564="",B564&lt;&gt;الإيصال!$C$3),"",COUNTIF(B$2:B564,الإيصال!$C$3))</f>
        <v/>
      </c>
    </row>
    <row r="565">
      <c r="A565" s="6" t="n"/>
      <c r="B565" s="4" t="n"/>
      <c r="C565" s="4" t="n"/>
      <c r="D565" s="4" t="n"/>
      <c r="E565">
        <f>IF(D565="","",IFERROR(INDEX(الأصناف!$B$2:$B$2000,MATCH(D565,الأصناف!$A$2:$A$2000,0)),"كود غير موجود"))</f>
        <v/>
      </c>
      <c r="F565" s="4" t="n"/>
      <c r="G565">
        <f>IF(D565="","",IFERROR(INDEX(الأصناف!$C$2:$C$2000,MATCH(D565,الأصناف!$A$2:$A$2000,0)),0))</f>
        <v/>
      </c>
      <c r="H565">
        <f>IF(D565="","",F565*G565)</f>
        <v/>
      </c>
      <c r="I565">
        <f>IF(D565="","",H565-F565*IFERROR(INDEX(الأصناف!$D$2:$D$2000,MATCH(D565,الأصناف!$A$2:$A$2000,0)),0))</f>
        <v/>
      </c>
      <c r="J565" s="4" t="n"/>
      <c r="K565" s="7">
        <f>IF(OR(B565="",B565&lt;&gt;الإيصال!$C$3),"",COUNTIF(B$2:B565,الإيصال!$C$3))</f>
        <v/>
      </c>
    </row>
    <row r="566">
      <c r="A566" s="6" t="n"/>
      <c r="B566" s="4" t="n"/>
      <c r="C566" s="4" t="n"/>
      <c r="D566" s="4" t="n"/>
      <c r="E566">
        <f>IF(D566="","",IFERROR(INDEX(الأصناف!$B$2:$B$2000,MATCH(D566,الأصناف!$A$2:$A$2000,0)),"كود غير موجود"))</f>
        <v/>
      </c>
      <c r="F566" s="4" t="n"/>
      <c r="G566">
        <f>IF(D566="","",IFERROR(INDEX(الأصناف!$C$2:$C$2000,MATCH(D566,الأصناف!$A$2:$A$2000,0)),0))</f>
        <v/>
      </c>
      <c r="H566">
        <f>IF(D566="","",F566*G566)</f>
        <v/>
      </c>
      <c r="I566">
        <f>IF(D566="","",H566-F566*IFERROR(INDEX(الأصناف!$D$2:$D$2000,MATCH(D566,الأصناف!$A$2:$A$2000,0)),0))</f>
        <v/>
      </c>
      <c r="J566" s="4" t="n"/>
      <c r="K566" s="7">
        <f>IF(OR(B566="",B566&lt;&gt;الإيصال!$C$3),"",COUNTIF(B$2:B566,الإيصال!$C$3))</f>
        <v/>
      </c>
    </row>
    <row r="567">
      <c r="A567" s="6" t="n"/>
      <c r="B567" s="4" t="n"/>
      <c r="C567" s="4" t="n"/>
      <c r="D567" s="4" t="n"/>
      <c r="E567">
        <f>IF(D567="","",IFERROR(INDEX(الأصناف!$B$2:$B$2000,MATCH(D567,الأصناف!$A$2:$A$2000,0)),"كود غير موجود"))</f>
        <v/>
      </c>
      <c r="F567" s="4" t="n"/>
      <c r="G567">
        <f>IF(D567="","",IFERROR(INDEX(الأصناف!$C$2:$C$2000,MATCH(D567,الأصناف!$A$2:$A$2000,0)),0))</f>
        <v/>
      </c>
      <c r="H567">
        <f>IF(D567="","",F567*G567)</f>
        <v/>
      </c>
      <c r="I567">
        <f>IF(D567="","",H567-F567*IFERROR(INDEX(الأصناف!$D$2:$D$2000,MATCH(D567,الأصناف!$A$2:$A$2000,0)),0))</f>
        <v/>
      </c>
      <c r="J567" s="4" t="n"/>
      <c r="K567" s="7">
        <f>IF(OR(B567="",B567&lt;&gt;الإيصال!$C$3),"",COUNTIF(B$2:B567,الإيصال!$C$3))</f>
        <v/>
      </c>
    </row>
    <row r="568">
      <c r="A568" s="6" t="n"/>
      <c r="B568" s="4" t="n"/>
      <c r="C568" s="4" t="n"/>
      <c r="D568" s="4" t="n"/>
      <c r="E568">
        <f>IF(D568="","",IFERROR(INDEX(الأصناف!$B$2:$B$2000,MATCH(D568,الأصناف!$A$2:$A$2000,0)),"كود غير موجود"))</f>
        <v/>
      </c>
      <c r="F568" s="4" t="n"/>
      <c r="G568">
        <f>IF(D568="","",IFERROR(INDEX(الأصناف!$C$2:$C$2000,MATCH(D568,الأصناف!$A$2:$A$2000,0)),0))</f>
        <v/>
      </c>
      <c r="H568">
        <f>IF(D568="","",F568*G568)</f>
        <v/>
      </c>
      <c r="I568">
        <f>IF(D568="","",H568-F568*IFERROR(INDEX(الأصناف!$D$2:$D$2000,MATCH(D568,الأصناف!$A$2:$A$2000,0)),0))</f>
        <v/>
      </c>
      <c r="J568" s="4" t="n"/>
      <c r="K568" s="7">
        <f>IF(OR(B568="",B568&lt;&gt;الإيصال!$C$3),"",COUNTIF(B$2:B568,الإيصال!$C$3))</f>
        <v/>
      </c>
    </row>
    <row r="569">
      <c r="A569" s="6" t="n"/>
      <c r="B569" s="4" t="n"/>
      <c r="C569" s="4" t="n"/>
      <c r="D569" s="4" t="n"/>
      <c r="E569">
        <f>IF(D569="","",IFERROR(INDEX(الأصناف!$B$2:$B$2000,MATCH(D569,الأصناف!$A$2:$A$2000,0)),"كود غير موجود"))</f>
        <v/>
      </c>
      <c r="F569" s="4" t="n"/>
      <c r="G569">
        <f>IF(D569="","",IFERROR(INDEX(الأصناف!$C$2:$C$2000,MATCH(D569,الأصناف!$A$2:$A$2000,0)),0))</f>
        <v/>
      </c>
      <c r="H569">
        <f>IF(D569="","",F569*G569)</f>
        <v/>
      </c>
      <c r="I569">
        <f>IF(D569="","",H569-F569*IFERROR(INDEX(الأصناف!$D$2:$D$2000,MATCH(D569,الأصناف!$A$2:$A$2000,0)),0))</f>
        <v/>
      </c>
      <c r="J569" s="4" t="n"/>
      <c r="K569" s="7">
        <f>IF(OR(B569="",B569&lt;&gt;الإيصال!$C$3),"",COUNTIF(B$2:B569,الإيصال!$C$3))</f>
        <v/>
      </c>
    </row>
    <row r="570">
      <c r="A570" s="6" t="n"/>
      <c r="B570" s="4" t="n"/>
      <c r="C570" s="4" t="n"/>
      <c r="D570" s="4" t="n"/>
      <c r="E570">
        <f>IF(D570="","",IFERROR(INDEX(الأصناف!$B$2:$B$2000,MATCH(D570,الأصناف!$A$2:$A$2000,0)),"كود غير موجود"))</f>
        <v/>
      </c>
      <c r="F570" s="4" t="n"/>
      <c r="G570">
        <f>IF(D570="","",IFERROR(INDEX(الأصناف!$C$2:$C$2000,MATCH(D570,الأصناف!$A$2:$A$2000,0)),0))</f>
        <v/>
      </c>
      <c r="H570">
        <f>IF(D570="","",F570*G570)</f>
        <v/>
      </c>
      <c r="I570">
        <f>IF(D570="","",H570-F570*IFERROR(INDEX(الأصناف!$D$2:$D$2000,MATCH(D570,الأصناف!$A$2:$A$2000,0)),0))</f>
        <v/>
      </c>
      <c r="J570" s="4" t="n"/>
      <c r="K570" s="7">
        <f>IF(OR(B570="",B570&lt;&gt;الإيصال!$C$3),"",COUNTIF(B$2:B570,الإيصال!$C$3))</f>
        <v/>
      </c>
    </row>
    <row r="571">
      <c r="A571" s="6" t="n"/>
      <c r="B571" s="4" t="n"/>
      <c r="C571" s="4" t="n"/>
      <c r="D571" s="4" t="n"/>
      <c r="E571">
        <f>IF(D571="","",IFERROR(INDEX(الأصناف!$B$2:$B$2000,MATCH(D571,الأصناف!$A$2:$A$2000,0)),"كود غير موجود"))</f>
        <v/>
      </c>
      <c r="F571" s="4" t="n"/>
      <c r="G571">
        <f>IF(D571="","",IFERROR(INDEX(الأصناف!$C$2:$C$2000,MATCH(D571,الأصناف!$A$2:$A$2000,0)),0))</f>
        <v/>
      </c>
      <c r="H571">
        <f>IF(D571="","",F571*G571)</f>
        <v/>
      </c>
      <c r="I571">
        <f>IF(D571="","",H571-F571*IFERROR(INDEX(الأصناف!$D$2:$D$2000,MATCH(D571,الأصناف!$A$2:$A$2000,0)),0))</f>
        <v/>
      </c>
      <c r="J571" s="4" t="n"/>
      <c r="K571" s="7">
        <f>IF(OR(B571="",B571&lt;&gt;الإيصال!$C$3),"",COUNTIF(B$2:B571,الإيصال!$C$3))</f>
        <v/>
      </c>
    </row>
    <row r="572">
      <c r="A572" s="6" t="n"/>
      <c r="B572" s="4" t="n"/>
      <c r="C572" s="4" t="n"/>
      <c r="D572" s="4" t="n"/>
      <c r="E572">
        <f>IF(D572="","",IFERROR(INDEX(الأصناف!$B$2:$B$2000,MATCH(D572,الأصناف!$A$2:$A$2000,0)),"كود غير موجود"))</f>
        <v/>
      </c>
      <c r="F572" s="4" t="n"/>
      <c r="G572">
        <f>IF(D572="","",IFERROR(INDEX(الأصناف!$C$2:$C$2000,MATCH(D572,الأصناف!$A$2:$A$2000,0)),0))</f>
        <v/>
      </c>
      <c r="H572">
        <f>IF(D572="","",F572*G572)</f>
        <v/>
      </c>
      <c r="I572">
        <f>IF(D572="","",H572-F572*IFERROR(INDEX(الأصناف!$D$2:$D$2000,MATCH(D572,الأصناف!$A$2:$A$2000,0)),0))</f>
        <v/>
      </c>
      <c r="J572" s="4" t="n"/>
      <c r="K572" s="7">
        <f>IF(OR(B572="",B572&lt;&gt;الإيصال!$C$3),"",COUNTIF(B$2:B572,الإيصال!$C$3))</f>
        <v/>
      </c>
    </row>
    <row r="573">
      <c r="A573" s="6" t="n"/>
      <c r="B573" s="4" t="n"/>
      <c r="C573" s="4" t="n"/>
      <c r="D573" s="4" t="n"/>
      <c r="E573">
        <f>IF(D573="","",IFERROR(INDEX(الأصناف!$B$2:$B$2000,MATCH(D573,الأصناف!$A$2:$A$2000,0)),"كود غير موجود"))</f>
        <v/>
      </c>
      <c r="F573" s="4" t="n"/>
      <c r="G573">
        <f>IF(D573="","",IFERROR(INDEX(الأصناف!$C$2:$C$2000,MATCH(D573,الأصناف!$A$2:$A$2000,0)),0))</f>
        <v/>
      </c>
      <c r="H573">
        <f>IF(D573="","",F573*G573)</f>
        <v/>
      </c>
      <c r="I573">
        <f>IF(D573="","",H573-F573*IFERROR(INDEX(الأصناف!$D$2:$D$2000,MATCH(D573,الأصناف!$A$2:$A$2000,0)),0))</f>
        <v/>
      </c>
      <c r="J573" s="4" t="n"/>
      <c r="K573" s="7">
        <f>IF(OR(B573="",B573&lt;&gt;الإيصال!$C$3),"",COUNTIF(B$2:B573,الإيصال!$C$3))</f>
        <v/>
      </c>
    </row>
    <row r="574">
      <c r="A574" s="6" t="n"/>
      <c r="B574" s="4" t="n"/>
      <c r="C574" s="4" t="n"/>
      <c r="D574" s="4" t="n"/>
      <c r="E574">
        <f>IF(D574="","",IFERROR(INDEX(الأصناف!$B$2:$B$2000,MATCH(D574,الأصناف!$A$2:$A$2000,0)),"كود غير موجود"))</f>
        <v/>
      </c>
      <c r="F574" s="4" t="n"/>
      <c r="G574">
        <f>IF(D574="","",IFERROR(INDEX(الأصناف!$C$2:$C$2000,MATCH(D574,الأصناف!$A$2:$A$2000,0)),0))</f>
        <v/>
      </c>
      <c r="H574">
        <f>IF(D574="","",F574*G574)</f>
        <v/>
      </c>
      <c r="I574">
        <f>IF(D574="","",H574-F574*IFERROR(INDEX(الأصناف!$D$2:$D$2000,MATCH(D574,الأصناف!$A$2:$A$2000,0)),0))</f>
        <v/>
      </c>
      <c r="J574" s="4" t="n"/>
      <c r="K574" s="7">
        <f>IF(OR(B574="",B574&lt;&gt;الإيصال!$C$3),"",COUNTIF(B$2:B574,الإيصال!$C$3))</f>
        <v/>
      </c>
    </row>
    <row r="575">
      <c r="A575" s="6" t="n"/>
      <c r="B575" s="4" t="n"/>
      <c r="C575" s="4" t="n"/>
      <c r="D575" s="4" t="n"/>
      <c r="E575">
        <f>IF(D575="","",IFERROR(INDEX(الأصناف!$B$2:$B$2000,MATCH(D575,الأصناف!$A$2:$A$2000,0)),"كود غير موجود"))</f>
        <v/>
      </c>
      <c r="F575" s="4" t="n"/>
      <c r="G575">
        <f>IF(D575="","",IFERROR(INDEX(الأصناف!$C$2:$C$2000,MATCH(D575,الأصناف!$A$2:$A$2000,0)),0))</f>
        <v/>
      </c>
      <c r="H575">
        <f>IF(D575="","",F575*G575)</f>
        <v/>
      </c>
      <c r="I575">
        <f>IF(D575="","",H575-F575*IFERROR(INDEX(الأصناف!$D$2:$D$2000,MATCH(D575,الأصناف!$A$2:$A$2000,0)),0))</f>
        <v/>
      </c>
      <c r="J575" s="4" t="n"/>
      <c r="K575" s="7">
        <f>IF(OR(B575="",B575&lt;&gt;الإيصال!$C$3),"",COUNTIF(B$2:B575,الإيصال!$C$3))</f>
        <v/>
      </c>
    </row>
    <row r="576">
      <c r="A576" s="6" t="n"/>
      <c r="B576" s="4" t="n"/>
      <c r="C576" s="4" t="n"/>
      <c r="D576" s="4" t="n"/>
      <c r="E576">
        <f>IF(D576="","",IFERROR(INDEX(الأصناف!$B$2:$B$2000,MATCH(D576,الأصناف!$A$2:$A$2000,0)),"كود غير موجود"))</f>
        <v/>
      </c>
      <c r="F576" s="4" t="n"/>
      <c r="G576">
        <f>IF(D576="","",IFERROR(INDEX(الأصناف!$C$2:$C$2000,MATCH(D576,الأصناف!$A$2:$A$2000,0)),0))</f>
        <v/>
      </c>
      <c r="H576">
        <f>IF(D576="","",F576*G576)</f>
        <v/>
      </c>
      <c r="I576">
        <f>IF(D576="","",H576-F576*IFERROR(INDEX(الأصناف!$D$2:$D$2000,MATCH(D576,الأصناف!$A$2:$A$2000,0)),0))</f>
        <v/>
      </c>
      <c r="J576" s="4" t="n"/>
      <c r="K576" s="7">
        <f>IF(OR(B576="",B576&lt;&gt;الإيصال!$C$3),"",COUNTIF(B$2:B576,الإيصال!$C$3))</f>
        <v/>
      </c>
    </row>
    <row r="577">
      <c r="A577" s="6" t="n"/>
      <c r="B577" s="4" t="n"/>
      <c r="C577" s="4" t="n"/>
      <c r="D577" s="4" t="n"/>
      <c r="E577">
        <f>IF(D577="","",IFERROR(INDEX(الأصناف!$B$2:$B$2000,MATCH(D577,الأصناف!$A$2:$A$2000,0)),"كود غير موجود"))</f>
        <v/>
      </c>
      <c r="F577" s="4" t="n"/>
      <c r="G577">
        <f>IF(D577="","",IFERROR(INDEX(الأصناف!$C$2:$C$2000,MATCH(D577,الأصناف!$A$2:$A$2000,0)),0))</f>
        <v/>
      </c>
      <c r="H577">
        <f>IF(D577="","",F577*G577)</f>
        <v/>
      </c>
      <c r="I577">
        <f>IF(D577="","",H577-F577*IFERROR(INDEX(الأصناف!$D$2:$D$2000,MATCH(D577,الأصناف!$A$2:$A$2000,0)),0))</f>
        <v/>
      </c>
      <c r="J577" s="4" t="n"/>
      <c r="K577" s="7">
        <f>IF(OR(B577="",B577&lt;&gt;الإيصال!$C$3),"",COUNTIF(B$2:B577,الإيصال!$C$3))</f>
        <v/>
      </c>
    </row>
    <row r="578">
      <c r="A578" s="6" t="n"/>
      <c r="B578" s="4" t="n"/>
      <c r="C578" s="4" t="n"/>
      <c r="D578" s="4" t="n"/>
      <c r="E578">
        <f>IF(D578="","",IFERROR(INDEX(الأصناف!$B$2:$B$2000,MATCH(D578,الأصناف!$A$2:$A$2000,0)),"كود غير موجود"))</f>
        <v/>
      </c>
      <c r="F578" s="4" t="n"/>
      <c r="G578">
        <f>IF(D578="","",IFERROR(INDEX(الأصناف!$C$2:$C$2000,MATCH(D578,الأصناف!$A$2:$A$2000,0)),0))</f>
        <v/>
      </c>
      <c r="H578">
        <f>IF(D578="","",F578*G578)</f>
        <v/>
      </c>
      <c r="I578">
        <f>IF(D578="","",H578-F578*IFERROR(INDEX(الأصناف!$D$2:$D$2000,MATCH(D578,الأصناف!$A$2:$A$2000,0)),0))</f>
        <v/>
      </c>
      <c r="J578" s="4" t="n"/>
      <c r="K578" s="7">
        <f>IF(OR(B578="",B578&lt;&gt;الإيصال!$C$3),"",COUNTIF(B$2:B578,الإيصال!$C$3))</f>
        <v/>
      </c>
    </row>
    <row r="579">
      <c r="A579" s="6" t="n"/>
      <c r="B579" s="4" t="n"/>
      <c r="C579" s="4" t="n"/>
      <c r="D579" s="4" t="n"/>
      <c r="E579">
        <f>IF(D579="","",IFERROR(INDEX(الأصناف!$B$2:$B$2000,MATCH(D579,الأصناف!$A$2:$A$2000,0)),"كود غير موجود"))</f>
        <v/>
      </c>
      <c r="F579" s="4" t="n"/>
      <c r="G579">
        <f>IF(D579="","",IFERROR(INDEX(الأصناف!$C$2:$C$2000,MATCH(D579,الأصناف!$A$2:$A$2000,0)),0))</f>
        <v/>
      </c>
      <c r="H579">
        <f>IF(D579="","",F579*G579)</f>
        <v/>
      </c>
      <c r="I579">
        <f>IF(D579="","",H579-F579*IFERROR(INDEX(الأصناف!$D$2:$D$2000,MATCH(D579,الأصناف!$A$2:$A$2000,0)),0))</f>
        <v/>
      </c>
      <c r="J579" s="4" t="n"/>
      <c r="K579" s="7">
        <f>IF(OR(B579="",B579&lt;&gt;الإيصال!$C$3),"",COUNTIF(B$2:B579,الإيصال!$C$3))</f>
        <v/>
      </c>
    </row>
    <row r="580">
      <c r="A580" s="6" t="n"/>
      <c r="B580" s="4" t="n"/>
      <c r="C580" s="4" t="n"/>
      <c r="D580" s="4" t="n"/>
      <c r="E580">
        <f>IF(D580="","",IFERROR(INDEX(الأصناف!$B$2:$B$2000,MATCH(D580,الأصناف!$A$2:$A$2000,0)),"كود غير موجود"))</f>
        <v/>
      </c>
      <c r="F580" s="4" t="n"/>
      <c r="G580">
        <f>IF(D580="","",IFERROR(INDEX(الأصناف!$C$2:$C$2000,MATCH(D580,الأصناف!$A$2:$A$2000,0)),0))</f>
        <v/>
      </c>
      <c r="H580">
        <f>IF(D580="","",F580*G580)</f>
        <v/>
      </c>
      <c r="I580">
        <f>IF(D580="","",H580-F580*IFERROR(INDEX(الأصناف!$D$2:$D$2000,MATCH(D580,الأصناف!$A$2:$A$2000,0)),0))</f>
        <v/>
      </c>
      <c r="J580" s="4" t="n"/>
      <c r="K580" s="7">
        <f>IF(OR(B580="",B580&lt;&gt;الإيصال!$C$3),"",COUNTIF(B$2:B580,الإيصال!$C$3))</f>
        <v/>
      </c>
    </row>
    <row r="581">
      <c r="A581" s="6" t="n"/>
      <c r="B581" s="4" t="n"/>
      <c r="C581" s="4" t="n"/>
      <c r="D581" s="4" t="n"/>
      <c r="E581">
        <f>IF(D581="","",IFERROR(INDEX(الأصناف!$B$2:$B$2000,MATCH(D581,الأصناف!$A$2:$A$2000,0)),"كود غير موجود"))</f>
        <v/>
      </c>
      <c r="F581" s="4" t="n"/>
      <c r="G581">
        <f>IF(D581="","",IFERROR(INDEX(الأصناف!$C$2:$C$2000,MATCH(D581,الأصناف!$A$2:$A$2000,0)),0))</f>
        <v/>
      </c>
      <c r="H581">
        <f>IF(D581="","",F581*G581)</f>
        <v/>
      </c>
      <c r="I581">
        <f>IF(D581="","",H581-F581*IFERROR(INDEX(الأصناف!$D$2:$D$2000,MATCH(D581,الأصناف!$A$2:$A$2000,0)),0))</f>
        <v/>
      </c>
      <c r="J581" s="4" t="n"/>
      <c r="K581" s="7">
        <f>IF(OR(B581="",B581&lt;&gt;الإيصال!$C$3),"",COUNTIF(B$2:B581,الإيصال!$C$3))</f>
        <v/>
      </c>
    </row>
    <row r="582">
      <c r="A582" s="6" t="n"/>
      <c r="B582" s="4" t="n"/>
      <c r="C582" s="4" t="n"/>
      <c r="D582" s="4" t="n"/>
      <c r="E582">
        <f>IF(D582="","",IFERROR(INDEX(الأصناف!$B$2:$B$2000,MATCH(D582,الأصناف!$A$2:$A$2000,0)),"كود غير موجود"))</f>
        <v/>
      </c>
      <c r="F582" s="4" t="n"/>
      <c r="G582">
        <f>IF(D582="","",IFERROR(INDEX(الأصناف!$C$2:$C$2000,MATCH(D582,الأصناف!$A$2:$A$2000,0)),0))</f>
        <v/>
      </c>
      <c r="H582">
        <f>IF(D582="","",F582*G582)</f>
        <v/>
      </c>
      <c r="I582">
        <f>IF(D582="","",H582-F582*IFERROR(INDEX(الأصناف!$D$2:$D$2000,MATCH(D582,الأصناف!$A$2:$A$2000,0)),0))</f>
        <v/>
      </c>
      <c r="J582" s="4" t="n"/>
      <c r="K582" s="7">
        <f>IF(OR(B582="",B582&lt;&gt;الإيصال!$C$3),"",COUNTIF(B$2:B582,الإيصال!$C$3))</f>
        <v/>
      </c>
    </row>
    <row r="583">
      <c r="A583" s="6" t="n"/>
      <c r="B583" s="4" t="n"/>
      <c r="C583" s="4" t="n"/>
      <c r="D583" s="4" t="n"/>
      <c r="E583">
        <f>IF(D583="","",IFERROR(INDEX(الأصناف!$B$2:$B$2000,MATCH(D583,الأصناف!$A$2:$A$2000,0)),"كود غير موجود"))</f>
        <v/>
      </c>
      <c r="F583" s="4" t="n"/>
      <c r="G583">
        <f>IF(D583="","",IFERROR(INDEX(الأصناف!$C$2:$C$2000,MATCH(D583,الأصناف!$A$2:$A$2000,0)),0))</f>
        <v/>
      </c>
      <c r="H583">
        <f>IF(D583="","",F583*G583)</f>
        <v/>
      </c>
      <c r="I583">
        <f>IF(D583="","",H583-F583*IFERROR(INDEX(الأصناف!$D$2:$D$2000,MATCH(D583,الأصناف!$A$2:$A$2000,0)),0))</f>
        <v/>
      </c>
      <c r="J583" s="4" t="n"/>
      <c r="K583" s="7">
        <f>IF(OR(B583="",B583&lt;&gt;الإيصال!$C$3),"",COUNTIF(B$2:B583,الإيصال!$C$3))</f>
        <v/>
      </c>
    </row>
    <row r="584">
      <c r="A584" s="6" t="n"/>
      <c r="B584" s="4" t="n"/>
      <c r="C584" s="4" t="n"/>
      <c r="D584" s="4" t="n"/>
      <c r="E584">
        <f>IF(D584="","",IFERROR(INDEX(الأصناف!$B$2:$B$2000,MATCH(D584,الأصناف!$A$2:$A$2000,0)),"كود غير موجود"))</f>
        <v/>
      </c>
      <c r="F584" s="4" t="n"/>
      <c r="G584">
        <f>IF(D584="","",IFERROR(INDEX(الأصناف!$C$2:$C$2000,MATCH(D584,الأصناف!$A$2:$A$2000,0)),0))</f>
        <v/>
      </c>
      <c r="H584">
        <f>IF(D584="","",F584*G584)</f>
        <v/>
      </c>
      <c r="I584">
        <f>IF(D584="","",H584-F584*IFERROR(INDEX(الأصناف!$D$2:$D$2000,MATCH(D584,الأصناف!$A$2:$A$2000,0)),0))</f>
        <v/>
      </c>
      <c r="J584" s="4" t="n"/>
      <c r="K584" s="7">
        <f>IF(OR(B584="",B584&lt;&gt;الإيصال!$C$3),"",COUNTIF(B$2:B584,الإيصال!$C$3))</f>
        <v/>
      </c>
    </row>
    <row r="585">
      <c r="A585" s="6" t="n"/>
      <c r="B585" s="4" t="n"/>
      <c r="C585" s="4" t="n"/>
      <c r="D585" s="4" t="n"/>
      <c r="E585">
        <f>IF(D585="","",IFERROR(INDEX(الأصناف!$B$2:$B$2000,MATCH(D585,الأصناف!$A$2:$A$2000,0)),"كود غير موجود"))</f>
        <v/>
      </c>
      <c r="F585" s="4" t="n"/>
      <c r="G585">
        <f>IF(D585="","",IFERROR(INDEX(الأصناف!$C$2:$C$2000,MATCH(D585,الأصناف!$A$2:$A$2000,0)),0))</f>
        <v/>
      </c>
      <c r="H585">
        <f>IF(D585="","",F585*G585)</f>
        <v/>
      </c>
      <c r="I585">
        <f>IF(D585="","",H585-F585*IFERROR(INDEX(الأصناف!$D$2:$D$2000,MATCH(D585,الأصناف!$A$2:$A$2000,0)),0))</f>
        <v/>
      </c>
      <c r="J585" s="4" t="n"/>
      <c r="K585" s="7">
        <f>IF(OR(B585="",B585&lt;&gt;الإيصال!$C$3),"",COUNTIF(B$2:B585,الإيصال!$C$3))</f>
        <v/>
      </c>
    </row>
    <row r="586">
      <c r="A586" s="6" t="n"/>
      <c r="B586" s="4" t="n"/>
      <c r="C586" s="4" t="n"/>
      <c r="D586" s="4" t="n"/>
      <c r="E586">
        <f>IF(D586="","",IFERROR(INDEX(الأصناف!$B$2:$B$2000,MATCH(D586,الأصناف!$A$2:$A$2000,0)),"كود غير موجود"))</f>
        <v/>
      </c>
      <c r="F586" s="4" t="n"/>
      <c r="G586">
        <f>IF(D586="","",IFERROR(INDEX(الأصناف!$C$2:$C$2000,MATCH(D586,الأصناف!$A$2:$A$2000,0)),0))</f>
        <v/>
      </c>
      <c r="H586">
        <f>IF(D586="","",F586*G586)</f>
        <v/>
      </c>
      <c r="I586">
        <f>IF(D586="","",H586-F586*IFERROR(INDEX(الأصناف!$D$2:$D$2000,MATCH(D586,الأصناف!$A$2:$A$2000,0)),0))</f>
        <v/>
      </c>
      <c r="J586" s="4" t="n"/>
      <c r="K586" s="7">
        <f>IF(OR(B586="",B586&lt;&gt;الإيصال!$C$3),"",COUNTIF(B$2:B586,الإيصال!$C$3))</f>
        <v/>
      </c>
    </row>
    <row r="587">
      <c r="A587" s="6" t="n"/>
      <c r="B587" s="4" t="n"/>
      <c r="C587" s="4" t="n"/>
      <c r="D587" s="4" t="n"/>
      <c r="E587">
        <f>IF(D587="","",IFERROR(INDEX(الأصناف!$B$2:$B$2000,MATCH(D587,الأصناف!$A$2:$A$2000,0)),"كود غير موجود"))</f>
        <v/>
      </c>
      <c r="F587" s="4" t="n"/>
      <c r="G587">
        <f>IF(D587="","",IFERROR(INDEX(الأصناف!$C$2:$C$2000,MATCH(D587,الأصناف!$A$2:$A$2000,0)),0))</f>
        <v/>
      </c>
      <c r="H587">
        <f>IF(D587="","",F587*G587)</f>
        <v/>
      </c>
      <c r="I587">
        <f>IF(D587="","",H587-F587*IFERROR(INDEX(الأصناف!$D$2:$D$2000,MATCH(D587,الأصناف!$A$2:$A$2000,0)),0))</f>
        <v/>
      </c>
      <c r="J587" s="4" t="n"/>
      <c r="K587" s="7">
        <f>IF(OR(B587="",B587&lt;&gt;الإيصال!$C$3),"",COUNTIF(B$2:B587,الإيصال!$C$3))</f>
        <v/>
      </c>
    </row>
    <row r="588">
      <c r="A588" s="6" t="n"/>
      <c r="B588" s="4" t="n"/>
      <c r="C588" s="4" t="n"/>
      <c r="D588" s="4" t="n"/>
      <c r="E588">
        <f>IF(D588="","",IFERROR(INDEX(الأصناف!$B$2:$B$2000,MATCH(D588,الأصناف!$A$2:$A$2000,0)),"كود غير موجود"))</f>
        <v/>
      </c>
      <c r="F588" s="4" t="n"/>
      <c r="G588">
        <f>IF(D588="","",IFERROR(INDEX(الأصناف!$C$2:$C$2000,MATCH(D588,الأصناف!$A$2:$A$2000,0)),0))</f>
        <v/>
      </c>
      <c r="H588">
        <f>IF(D588="","",F588*G588)</f>
        <v/>
      </c>
      <c r="I588">
        <f>IF(D588="","",H588-F588*IFERROR(INDEX(الأصناف!$D$2:$D$2000,MATCH(D588,الأصناف!$A$2:$A$2000,0)),0))</f>
        <v/>
      </c>
      <c r="J588" s="4" t="n"/>
      <c r="K588" s="7">
        <f>IF(OR(B588="",B588&lt;&gt;الإيصال!$C$3),"",COUNTIF(B$2:B588,الإيصال!$C$3))</f>
        <v/>
      </c>
    </row>
    <row r="589">
      <c r="A589" s="6" t="n"/>
      <c r="B589" s="4" t="n"/>
      <c r="C589" s="4" t="n"/>
      <c r="D589" s="4" t="n"/>
      <c r="E589">
        <f>IF(D589="","",IFERROR(INDEX(الأصناف!$B$2:$B$2000,MATCH(D589,الأصناف!$A$2:$A$2000,0)),"كود غير موجود"))</f>
        <v/>
      </c>
      <c r="F589" s="4" t="n"/>
      <c r="G589">
        <f>IF(D589="","",IFERROR(INDEX(الأصناف!$C$2:$C$2000,MATCH(D589,الأصناف!$A$2:$A$2000,0)),0))</f>
        <v/>
      </c>
      <c r="H589">
        <f>IF(D589="","",F589*G589)</f>
        <v/>
      </c>
      <c r="I589">
        <f>IF(D589="","",H589-F589*IFERROR(INDEX(الأصناف!$D$2:$D$2000,MATCH(D589,الأصناف!$A$2:$A$2000,0)),0))</f>
        <v/>
      </c>
      <c r="J589" s="4" t="n"/>
      <c r="K589" s="7">
        <f>IF(OR(B589="",B589&lt;&gt;الإيصال!$C$3),"",COUNTIF(B$2:B589,الإيصال!$C$3))</f>
        <v/>
      </c>
    </row>
    <row r="590">
      <c r="A590" s="6" t="n"/>
      <c r="B590" s="4" t="n"/>
      <c r="C590" s="4" t="n"/>
      <c r="D590" s="4" t="n"/>
      <c r="E590">
        <f>IF(D590="","",IFERROR(INDEX(الأصناف!$B$2:$B$2000,MATCH(D590,الأصناف!$A$2:$A$2000,0)),"كود غير موجود"))</f>
        <v/>
      </c>
      <c r="F590" s="4" t="n"/>
      <c r="G590">
        <f>IF(D590="","",IFERROR(INDEX(الأصناف!$C$2:$C$2000,MATCH(D590,الأصناف!$A$2:$A$2000,0)),0))</f>
        <v/>
      </c>
      <c r="H590">
        <f>IF(D590="","",F590*G590)</f>
        <v/>
      </c>
      <c r="I590">
        <f>IF(D590="","",H590-F590*IFERROR(INDEX(الأصناف!$D$2:$D$2000,MATCH(D590,الأصناف!$A$2:$A$2000,0)),0))</f>
        <v/>
      </c>
      <c r="J590" s="4" t="n"/>
      <c r="K590" s="7">
        <f>IF(OR(B590="",B590&lt;&gt;الإيصال!$C$3),"",COUNTIF(B$2:B590,الإيصال!$C$3))</f>
        <v/>
      </c>
    </row>
    <row r="591">
      <c r="A591" s="6" t="n"/>
      <c r="B591" s="4" t="n"/>
      <c r="C591" s="4" t="n"/>
      <c r="D591" s="4" t="n"/>
      <c r="E591">
        <f>IF(D591="","",IFERROR(INDEX(الأصناف!$B$2:$B$2000,MATCH(D591,الأصناف!$A$2:$A$2000,0)),"كود غير موجود"))</f>
        <v/>
      </c>
      <c r="F591" s="4" t="n"/>
      <c r="G591">
        <f>IF(D591="","",IFERROR(INDEX(الأصناف!$C$2:$C$2000,MATCH(D591,الأصناف!$A$2:$A$2000,0)),0))</f>
        <v/>
      </c>
      <c r="H591">
        <f>IF(D591="","",F591*G591)</f>
        <v/>
      </c>
      <c r="I591">
        <f>IF(D591="","",H591-F591*IFERROR(INDEX(الأصناف!$D$2:$D$2000,MATCH(D591,الأصناف!$A$2:$A$2000,0)),0))</f>
        <v/>
      </c>
      <c r="J591" s="4" t="n"/>
      <c r="K591" s="7">
        <f>IF(OR(B591="",B591&lt;&gt;الإيصال!$C$3),"",COUNTIF(B$2:B591,الإيصال!$C$3))</f>
        <v/>
      </c>
    </row>
    <row r="592">
      <c r="A592" s="6" t="n"/>
      <c r="B592" s="4" t="n"/>
      <c r="C592" s="4" t="n"/>
      <c r="D592" s="4" t="n"/>
      <c r="E592">
        <f>IF(D592="","",IFERROR(INDEX(الأصناف!$B$2:$B$2000,MATCH(D592,الأصناف!$A$2:$A$2000,0)),"كود غير موجود"))</f>
        <v/>
      </c>
      <c r="F592" s="4" t="n"/>
      <c r="G592">
        <f>IF(D592="","",IFERROR(INDEX(الأصناف!$C$2:$C$2000,MATCH(D592,الأصناف!$A$2:$A$2000,0)),0))</f>
        <v/>
      </c>
      <c r="H592">
        <f>IF(D592="","",F592*G592)</f>
        <v/>
      </c>
      <c r="I592">
        <f>IF(D592="","",H592-F592*IFERROR(INDEX(الأصناف!$D$2:$D$2000,MATCH(D592,الأصناف!$A$2:$A$2000,0)),0))</f>
        <v/>
      </c>
      <c r="J592" s="4" t="n"/>
      <c r="K592" s="7">
        <f>IF(OR(B592="",B592&lt;&gt;الإيصال!$C$3),"",COUNTIF(B$2:B592,الإيصال!$C$3))</f>
        <v/>
      </c>
    </row>
    <row r="593">
      <c r="A593" s="6" t="n"/>
      <c r="B593" s="4" t="n"/>
      <c r="C593" s="4" t="n"/>
      <c r="D593" s="4" t="n"/>
      <c r="E593">
        <f>IF(D593="","",IFERROR(INDEX(الأصناف!$B$2:$B$2000,MATCH(D593,الأصناف!$A$2:$A$2000,0)),"كود غير موجود"))</f>
        <v/>
      </c>
      <c r="F593" s="4" t="n"/>
      <c r="G593">
        <f>IF(D593="","",IFERROR(INDEX(الأصناف!$C$2:$C$2000,MATCH(D593,الأصناف!$A$2:$A$2000,0)),0))</f>
        <v/>
      </c>
      <c r="H593">
        <f>IF(D593="","",F593*G593)</f>
        <v/>
      </c>
      <c r="I593">
        <f>IF(D593="","",H593-F593*IFERROR(INDEX(الأصناف!$D$2:$D$2000,MATCH(D593,الأصناف!$A$2:$A$2000,0)),0))</f>
        <v/>
      </c>
      <c r="J593" s="4" t="n"/>
      <c r="K593" s="7">
        <f>IF(OR(B593="",B593&lt;&gt;الإيصال!$C$3),"",COUNTIF(B$2:B593,الإيصال!$C$3))</f>
        <v/>
      </c>
    </row>
    <row r="594">
      <c r="A594" s="6" t="n"/>
      <c r="B594" s="4" t="n"/>
      <c r="C594" s="4" t="n"/>
      <c r="D594" s="4" t="n"/>
      <c r="E594">
        <f>IF(D594="","",IFERROR(INDEX(الأصناف!$B$2:$B$2000,MATCH(D594,الأصناف!$A$2:$A$2000,0)),"كود غير موجود"))</f>
        <v/>
      </c>
      <c r="F594" s="4" t="n"/>
      <c r="G594">
        <f>IF(D594="","",IFERROR(INDEX(الأصناف!$C$2:$C$2000,MATCH(D594,الأصناف!$A$2:$A$2000,0)),0))</f>
        <v/>
      </c>
      <c r="H594">
        <f>IF(D594="","",F594*G594)</f>
        <v/>
      </c>
      <c r="I594">
        <f>IF(D594="","",H594-F594*IFERROR(INDEX(الأصناف!$D$2:$D$2000,MATCH(D594,الأصناف!$A$2:$A$2000,0)),0))</f>
        <v/>
      </c>
      <c r="J594" s="4" t="n"/>
      <c r="K594" s="7">
        <f>IF(OR(B594="",B594&lt;&gt;الإيصال!$C$3),"",COUNTIF(B$2:B594,الإيصال!$C$3))</f>
        <v/>
      </c>
    </row>
    <row r="595">
      <c r="A595" s="6" t="n"/>
      <c r="B595" s="4" t="n"/>
      <c r="C595" s="4" t="n"/>
      <c r="D595" s="4" t="n"/>
      <c r="E595">
        <f>IF(D595="","",IFERROR(INDEX(الأصناف!$B$2:$B$2000,MATCH(D595,الأصناف!$A$2:$A$2000,0)),"كود غير موجود"))</f>
        <v/>
      </c>
      <c r="F595" s="4" t="n"/>
      <c r="G595">
        <f>IF(D595="","",IFERROR(INDEX(الأصناف!$C$2:$C$2000,MATCH(D595,الأصناف!$A$2:$A$2000,0)),0))</f>
        <v/>
      </c>
      <c r="H595">
        <f>IF(D595="","",F595*G595)</f>
        <v/>
      </c>
      <c r="I595">
        <f>IF(D595="","",H595-F595*IFERROR(INDEX(الأصناف!$D$2:$D$2000,MATCH(D595,الأصناف!$A$2:$A$2000,0)),0))</f>
        <v/>
      </c>
      <c r="J595" s="4" t="n"/>
      <c r="K595" s="7">
        <f>IF(OR(B595="",B595&lt;&gt;الإيصال!$C$3),"",COUNTIF(B$2:B595,الإيصال!$C$3))</f>
        <v/>
      </c>
    </row>
    <row r="596">
      <c r="A596" s="6" t="n"/>
      <c r="B596" s="4" t="n"/>
      <c r="C596" s="4" t="n"/>
      <c r="D596" s="4" t="n"/>
      <c r="E596">
        <f>IF(D596="","",IFERROR(INDEX(الأصناف!$B$2:$B$2000,MATCH(D596,الأصناف!$A$2:$A$2000,0)),"كود غير موجود"))</f>
        <v/>
      </c>
      <c r="F596" s="4" t="n"/>
      <c r="G596">
        <f>IF(D596="","",IFERROR(INDEX(الأصناف!$C$2:$C$2000,MATCH(D596,الأصناف!$A$2:$A$2000,0)),0))</f>
        <v/>
      </c>
      <c r="H596">
        <f>IF(D596="","",F596*G596)</f>
        <v/>
      </c>
      <c r="I596">
        <f>IF(D596="","",H596-F596*IFERROR(INDEX(الأصناف!$D$2:$D$2000,MATCH(D596,الأصناف!$A$2:$A$2000,0)),0))</f>
        <v/>
      </c>
      <c r="J596" s="4" t="n"/>
      <c r="K596" s="7">
        <f>IF(OR(B596="",B596&lt;&gt;الإيصال!$C$3),"",COUNTIF(B$2:B596,الإيصال!$C$3))</f>
        <v/>
      </c>
    </row>
    <row r="597">
      <c r="A597" s="6" t="n"/>
      <c r="B597" s="4" t="n"/>
      <c r="C597" s="4" t="n"/>
      <c r="D597" s="4" t="n"/>
      <c r="E597">
        <f>IF(D597="","",IFERROR(INDEX(الأصناف!$B$2:$B$2000,MATCH(D597,الأصناف!$A$2:$A$2000,0)),"كود غير موجود"))</f>
        <v/>
      </c>
      <c r="F597" s="4" t="n"/>
      <c r="G597">
        <f>IF(D597="","",IFERROR(INDEX(الأصناف!$C$2:$C$2000,MATCH(D597,الأصناف!$A$2:$A$2000,0)),0))</f>
        <v/>
      </c>
      <c r="H597">
        <f>IF(D597="","",F597*G597)</f>
        <v/>
      </c>
      <c r="I597">
        <f>IF(D597="","",H597-F597*IFERROR(INDEX(الأصناف!$D$2:$D$2000,MATCH(D597,الأصناف!$A$2:$A$2000,0)),0))</f>
        <v/>
      </c>
      <c r="J597" s="4" t="n"/>
      <c r="K597" s="7">
        <f>IF(OR(B597="",B597&lt;&gt;الإيصال!$C$3),"",COUNTIF(B$2:B597,الإيصال!$C$3))</f>
        <v/>
      </c>
    </row>
    <row r="598">
      <c r="A598" s="6" t="n"/>
      <c r="B598" s="4" t="n"/>
      <c r="C598" s="4" t="n"/>
      <c r="D598" s="4" t="n"/>
      <c r="E598">
        <f>IF(D598="","",IFERROR(INDEX(الأصناف!$B$2:$B$2000,MATCH(D598,الأصناف!$A$2:$A$2000,0)),"كود غير موجود"))</f>
        <v/>
      </c>
      <c r="F598" s="4" t="n"/>
      <c r="G598">
        <f>IF(D598="","",IFERROR(INDEX(الأصناف!$C$2:$C$2000,MATCH(D598,الأصناف!$A$2:$A$2000,0)),0))</f>
        <v/>
      </c>
      <c r="H598">
        <f>IF(D598="","",F598*G598)</f>
        <v/>
      </c>
      <c r="I598">
        <f>IF(D598="","",H598-F598*IFERROR(INDEX(الأصناف!$D$2:$D$2000,MATCH(D598,الأصناف!$A$2:$A$2000,0)),0))</f>
        <v/>
      </c>
      <c r="J598" s="4" t="n"/>
      <c r="K598" s="7">
        <f>IF(OR(B598="",B598&lt;&gt;الإيصال!$C$3),"",COUNTIF(B$2:B598,الإيصال!$C$3))</f>
        <v/>
      </c>
    </row>
    <row r="599">
      <c r="A599" s="6" t="n"/>
      <c r="B599" s="4" t="n"/>
      <c r="C599" s="4" t="n"/>
      <c r="D599" s="4" t="n"/>
      <c r="E599">
        <f>IF(D599="","",IFERROR(INDEX(الأصناف!$B$2:$B$2000,MATCH(D599,الأصناف!$A$2:$A$2000,0)),"كود غير موجود"))</f>
        <v/>
      </c>
      <c r="F599" s="4" t="n"/>
      <c r="G599">
        <f>IF(D599="","",IFERROR(INDEX(الأصناف!$C$2:$C$2000,MATCH(D599,الأصناف!$A$2:$A$2000,0)),0))</f>
        <v/>
      </c>
      <c r="H599">
        <f>IF(D599="","",F599*G599)</f>
        <v/>
      </c>
      <c r="I599">
        <f>IF(D599="","",H599-F599*IFERROR(INDEX(الأصناف!$D$2:$D$2000,MATCH(D599,الأصناف!$A$2:$A$2000,0)),0))</f>
        <v/>
      </c>
      <c r="J599" s="4" t="n"/>
      <c r="K599" s="7">
        <f>IF(OR(B599="",B599&lt;&gt;الإيصال!$C$3),"",COUNTIF(B$2:B599,الإيصال!$C$3))</f>
        <v/>
      </c>
    </row>
    <row r="600">
      <c r="A600" s="6" t="n"/>
      <c r="B600" s="4" t="n"/>
      <c r="C600" s="4" t="n"/>
      <c r="D600" s="4" t="n"/>
      <c r="E600">
        <f>IF(D600="","",IFERROR(INDEX(الأصناف!$B$2:$B$2000,MATCH(D600,الأصناف!$A$2:$A$2000,0)),"كود غير موجود"))</f>
        <v/>
      </c>
      <c r="F600" s="4" t="n"/>
      <c r="G600">
        <f>IF(D600="","",IFERROR(INDEX(الأصناف!$C$2:$C$2000,MATCH(D600,الأصناف!$A$2:$A$2000,0)),0))</f>
        <v/>
      </c>
      <c r="H600">
        <f>IF(D600="","",F600*G600)</f>
        <v/>
      </c>
      <c r="I600">
        <f>IF(D600="","",H600-F600*IFERROR(INDEX(الأصناف!$D$2:$D$2000,MATCH(D600,الأصناف!$A$2:$A$2000,0)),0))</f>
        <v/>
      </c>
      <c r="J600" s="4" t="n"/>
      <c r="K600" s="7">
        <f>IF(OR(B600="",B600&lt;&gt;الإيصال!$C$3),"",COUNTIF(B$2:B600,الإيصال!$C$3))</f>
        <v/>
      </c>
    </row>
    <row r="601">
      <c r="A601" s="6" t="n"/>
      <c r="B601" s="4" t="n"/>
      <c r="C601" s="4" t="n"/>
      <c r="D601" s="4" t="n"/>
      <c r="E601">
        <f>IF(D601="","",IFERROR(INDEX(الأصناف!$B$2:$B$2000,MATCH(D601,الأصناف!$A$2:$A$2000,0)),"كود غير موجود"))</f>
        <v/>
      </c>
      <c r="F601" s="4" t="n"/>
      <c r="G601">
        <f>IF(D601="","",IFERROR(INDEX(الأصناف!$C$2:$C$2000,MATCH(D601,الأصناف!$A$2:$A$2000,0)),0))</f>
        <v/>
      </c>
      <c r="H601">
        <f>IF(D601="","",F601*G601)</f>
        <v/>
      </c>
      <c r="I601">
        <f>IF(D601="","",H601-F601*IFERROR(INDEX(الأصناف!$D$2:$D$2000,MATCH(D601,الأصناف!$A$2:$A$2000,0)),0))</f>
        <v/>
      </c>
      <c r="J601" s="4" t="n"/>
      <c r="K601" s="7">
        <f>IF(OR(B601="",B601&lt;&gt;الإيصال!$C$3),"",COUNTIF(B$2:B601,الإيصال!$C$3))</f>
        <v/>
      </c>
    </row>
    <row r="602">
      <c r="A602" s="6" t="n"/>
      <c r="B602" s="4" t="n"/>
      <c r="C602" s="4" t="n"/>
      <c r="D602" s="4" t="n"/>
      <c r="E602">
        <f>IF(D602="","",IFERROR(INDEX(الأصناف!$B$2:$B$2000,MATCH(D602,الأصناف!$A$2:$A$2000,0)),"كود غير موجود"))</f>
        <v/>
      </c>
      <c r="F602" s="4" t="n"/>
      <c r="G602">
        <f>IF(D602="","",IFERROR(INDEX(الأصناف!$C$2:$C$2000,MATCH(D602,الأصناف!$A$2:$A$2000,0)),0))</f>
        <v/>
      </c>
      <c r="H602">
        <f>IF(D602="","",F602*G602)</f>
        <v/>
      </c>
      <c r="I602">
        <f>IF(D602="","",H602-F602*IFERROR(INDEX(الأصناف!$D$2:$D$2000,MATCH(D602,الأصناف!$A$2:$A$2000,0)),0))</f>
        <v/>
      </c>
      <c r="J602" s="4" t="n"/>
      <c r="K602" s="7">
        <f>IF(OR(B602="",B602&lt;&gt;الإيصال!$C$3),"",COUNTIF(B$2:B602,الإيصال!$C$3))</f>
        <v/>
      </c>
    </row>
    <row r="603">
      <c r="A603" s="6" t="n"/>
      <c r="B603" s="4" t="n"/>
      <c r="C603" s="4" t="n"/>
      <c r="D603" s="4" t="n"/>
      <c r="E603">
        <f>IF(D603="","",IFERROR(INDEX(الأصناف!$B$2:$B$2000,MATCH(D603,الأصناف!$A$2:$A$2000,0)),"كود غير موجود"))</f>
        <v/>
      </c>
      <c r="F603" s="4" t="n"/>
      <c r="G603">
        <f>IF(D603="","",IFERROR(INDEX(الأصناف!$C$2:$C$2000,MATCH(D603,الأصناف!$A$2:$A$2000,0)),0))</f>
        <v/>
      </c>
      <c r="H603">
        <f>IF(D603="","",F603*G603)</f>
        <v/>
      </c>
      <c r="I603">
        <f>IF(D603="","",H603-F603*IFERROR(INDEX(الأصناف!$D$2:$D$2000,MATCH(D603,الأصناف!$A$2:$A$2000,0)),0))</f>
        <v/>
      </c>
      <c r="J603" s="4" t="n"/>
      <c r="K603" s="7">
        <f>IF(OR(B603="",B603&lt;&gt;الإيصال!$C$3),"",COUNTIF(B$2:B603,الإيصال!$C$3))</f>
        <v/>
      </c>
    </row>
    <row r="604">
      <c r="A604" s="6" t="n"/>
      <c r="B604" s="4" t="n"/>
      <c r="C604" s="4" t="n"/>
      <c r="D604" s="4" t="n"/>
      <c r="E604">
        <f>IF(D604="","",IFERROR(INDEX(الأصناف!$B$2:$B$2000,MATCH(D604,الأصناف!$A$2:$A$2000,0)),"كود غير موجود"))</f>
        <v/>
      </c>
      <c r="F604" s="4" t="n"/>
      <c r="G604">
        <f>IF(D604="","",IFERROR(INDEX(الأصناف!$C$2:$C$2000,MATCH(D604,الأصناف!$A$2:$A$2000,0)),0))</f>
        <v/>
      </c>
      <c r="H604">
        <f>IF(D604="","",F604*G604)</f>
        <v/>
      </c>
      <c r="I604">
        <f>IF(D604="","",H604-F604*IFERROR(INDEX(الأصناف!$D$2:$D$2000,MATCH(D604,الأصناف!$A$2:$A$2000,0)),0))</f>
        <v/>
      </c>
      <c r="J604" s="4" t="n"/>
      <c r="K604" s="7">
        <f>IF(OR(B604="",B604&lt;&gt;الإيصال!$C$3),"",COUNTIF(B$2:B604,الإيصال!$C$3))</f>
        <v/>
      </c>
    </row>
    <row r="605">
      <c r="A605" s="6" t="n"/>
      <c r="B605" s="4" t="n"/>
      <c r="C605" s="4" t="n"/>
      <c r="D605" s="4" t="n"/>
      <c r="E605">
        <f>IF(D605="","",IFERROR(INDEX(الأصناف!$B$2:$B$2000,MATCH(D605,الأصناف!$A$2:$A$2000,0)),"كود غير موجود"))</f>
        <v/>
      </c>
      <c r="F605" s="4" t="n"/>
      <c r="G605">
        <f>IF(D605="","",IFERROR(INDEX(الأصناف!$C$2:$C$2000,MATCH(D605,الأصناف!$A$2:$A$2000,0)),0))</f>
        <v/>
      </c>
      <c r="H605">
        <f>IF(D605="","",F605*G605)</f>
        <v/>
      </c>
      <c r="I605">
        <f>IF(D605="","",H605-F605*IFERROR(INDEX(الأصناف!$D$2:$D$2000,MATCH(D605,الأصناف!$A$2:$A$2000,0)),0))</f>
        <v/>
      </c>
      <c r="J605" s="4" t="n"/>
      <c r="K605" s="7">
        <f>IF(OR(B605="",B605&lt;&gt;الإيصال!$C$3),"",COUNTIF(B$2:B605,الإيصال!$C$3))</f>
        <v/>
      </c>
    </row>
    <row r="606">
      <c r="A606" s="6" t="n"/>
      <c r="B606" s="4" t="n"/>
      <c r="C606" s="4" t="n"/>
      <c r="D606" s="4" t="n"/>
      <c r="E606">
        <f>IF(D606="","",IFERROR(INDEX(الأصناف!$B$2:$B$2000,MATCH(D606,الأصناف!$A$2:$A$2000,0)),"كود غير موجود"))</f>
        <v/>
      </c>
      <c r="F606" s="4" t="n"/>
      <c r="G606">
        <f>IF(D606="","",IFERROR(INDEX(الأصناف!$C$2:$C$2000,MATCH(D606,الأصناف!$A$2:$A$2000,0)),0))</f>
        <v/>
      </c>
      <c r="H606">
        <f>IF(D606="","",F606*G606)</f>
        <v/>
      </c>
      <c r="I606">
        <f>IF(D606="","",H606-F606*IFERROR(INDEX(الأصناف!$D$2:$D$2000,MATCH(D606,الأصناف!$A$2:$A$2000,0)),0))</f>
        <v/>
      </c>
      <c r="J606" s="4" t="n"/>
      <c r="K606" s="7">
        <f>IF(OR(B606="",B606&lt;&gt;الإيصال!$C$3),"",COUNTIF(B$2:B606,الإيصال!$C$3))</f>
        <v/>
      </c>
    </row>
    <row r="607">
      <c r="A607" s="6" t="n"/>
      <c r="B607" s="4" t="n"/>
      <c r="C607" s="4" t="n"/>
      <c r="D607" s="4" t="n"/>
      <c r="E607">
        <f>IF(D607="","",IFERROR(INDEX(الأصناف!$B$2:$B$2000,MATCH(D607,الأصناف!$A$2:$A$2000,0)),"كود غير موجود"))</f>
        <v/>
      </c>
      <c r="F607" s="4" t="n"/>
      <c r="G607">
        <f>IF(D607="","",IFERROR(INDEX(الأصناف!$C$2:$C$2000,MATCH(D607,الأصناف!$A$2:$A$2000,0)),0))</f>
        <v/>
      </c>
      <c r="H607">
        <f>IF(D607="","",F607*G607)</f>
        <v/>
      </c>
      <c r="I607">
        <f>IF(D607="","",H607-F607*IFERROR(INDEX(الأصناف!$D$2:$D$2000,MATCH(D607,الأصناف!$A$2:$A$2000,0)),0))</f>
        <v/>
      </c>
      <c r="J607" s="4" t="n"/>
      <c r="K607" s="7">
        <f>IF(OR(B607="",B607&lt;&gt;الإيصال!$C$3),"",COUNTIF(B$2:B607,الإيصال!$C$3))</f>
        <v/>
      </c>
    </row>
    <row r="608">
      <c r="A608" s="6" t="n"/>
      <c r="B608" s="4" t="n"/>
      <c r="C608" s="4" t="n"/>
      <c r="D608" s="4" t="n"/>
      <c r="E608">
        <f>IF(D608="","",IFERROR(INDEX(الأصناف!$B$2:$B$2000,MATCH(D608,الأصناف!$A$2:$A$2000,0)),"كود غير موجود"))</f>
        <v/>
      </c>
      <c r="F608" s="4" t="n"/>
      <c r="G608">
        <f>IF(D608="","",IFERROR(INDEX(الأصناف!$C$2:$C$2000,MATCH(D608,الأصناف!$A$2:$A$2000,0)),0))</f>
        <v/>
      </c>
      <c r="H608">
        <f>IF(D608="","",F608*G608)</f>
        <v/>
      </c>
      <c r="I608">
        <f>IF(D608="","",H608-F608*IFERROR(INDEX(الأصناف!$D$2:$D$2000,MATCH(D608,الأصناف!$A$2:$A$2000,0)),0))</f>
        <v/>
      </c>
      <c r="J608" s="4" t="n"/>
      <c r="K608" s="7">
        <f>IF(OR(B608="",B608&lt;&gt;الإيصال!$C$3),"",COUNTIF(B$2:B608,الإيصال!$C$3))</f>
        <v/>
      </c>
    </row>
    <row r="609">
      <c r="A609" s="6" t="n"/>
      <c r="B609" s="4" t="n"/>
      <c r="C609" s="4" t="n"/>
      <c r="D609" s="4" t="n"/>
      <c r="E609">
        <f>IF(D609="","",IFERROR(INDEX(الأصناف!$B$2:$B$2000,MATCH(D609,الأصناف!$A$2:$A$2000,0)),"كود غير موجود"))</f>
        <v/>
      </c>
      <c r="F609" s="4" t="n"/>
      <c r="G609">
        <f>IF(D609="","",IFERROR(INDEX(الأصناف!$C$2:$C$2000,MATCH(D609,الأصناف!$A$2:$A$2000,0)),0))</f>
        <v/>
      </c>
      <c r="H609">
        <f>IF(D609="","",F609*G609)</f>
        <v/>
      </c>
      <c r="I609">
        <f>IF(D609="","",H609-F609*IFERROR(INDEX(الأصناف!$D$2:$D$2000,MATCH(D609,الأصناف!$A$2:$A$2000,0)),0))</f>
        <v/>
      </c>
      <c r="J609" s="4" t="n"/>
      <c r="K609" s="7">
        <f>IF(OR(B609="",B609&lt;&gt;الإيصال!$C$3),"",COUNTIF(B$2:B609,الإيصال!$C$3))</f>
        <v/>
      </c>
    </row>
    <row r="610">
      <c r="A610" s="6" t="n"/>
      <c r="B610" s="4" t="n"/>
      <c r="C610" s="4" t="n"/>
      <c r="D610" s="4" t="n"/>
      <c r="E610">
        <f>IF(D610="","",IFERROR(INDEX(الأصناف!$B$2:$B$2000,MATCH(D610,الأصناف!$A$2:$A$2000,0)),"كود غير موجود"))</f>
        <v/>
      </c>
      <c r="F610" s="4" t="n"/>
      <c r="G610">
        <f>IF(D610="","",IFERROR(INDEX(الأصناف!$C$2:$C$2000,MATCH(D610,الأصناف!$A$2:$A$2000,0)),0))</f>
        <v/>
      </c>
      <c r="H610">
        <f>IF(D610="","",F610*G610)</f>
        <v/>
      </c>
      <c r="I610">
        <f>IF(D610="","",H610-F610*IFERROR(INDEX(الأصناف!$D$2:$D$2000,MATCH(D610,الأصناف!$A$2:$A$2000,0)),0))</f>
        <v/>
      </c>
      <c r="J610" s="4" t="n"/>
      <c r="K610" s="7">
        <f>IF(OR(B610="",B610&lt;&gt;الإيصال!$C$3),"",COUNTIF(B$2:B610,الإيصال!$C$3))</f>
        <v/>
      </c>
    </row>
    <row r="611">
      <c r="A611" s="6" t="n"/>
      <c r="B611" s="4" t="n"/>
      <c r="C611" s="4" t="n"/>
      <c r="D611" s="4" t="n"/>
      <c r="E611">
        <f>IF(D611="","",IFERROR(INDEX(الأصناف!$B$2:$B$2000,MATCH(D611,الأصناف!$A$2:$A$2000,0)),"كود غير موجود"))</f>
        <v/>
      </c>
      <c r="F611" s="4" t="n"/>
      <c r="G611">
        <f>IF(D611="","",IFERROR(INDEX(الأصناف!$C$2:$C$2000,MATCH(D611,الأصناف!$A$2:$A$2000,0)),0))</f>
        <v/>
      </c>
      <c r="H611">
        <f>IF(D611="","",F611*G611)</f>
        <v/>
      </c>
      <c r="I611">
        <f>IF(D611="","",H611-F611*IFERROR(INDEX(الأصناف!$D$2:$D$2000,MATCH(D611,الأصناف!$A$2:$A$2000,0)),0))</f>
        <v/>
      </c>
      <c r="J611" s="4" t="n"/>
      <c r="K611" s="7">
        <f>IF(OR(B611="",B611&lt;&gt;الإيصال!$C$3),"",COUNTIF(B$2:B611,الإيصال!$C$3))</f>
        <v/>
      </c>
    </row>
    <row r="612">
      <c r="A612" s="6" t="n"/>
      <c r="B612" s="4" t="n"/>
      <c r="C612" s="4" t="n"/>
      <c r="D612" s="4" t="n"/>
      <c r="E612">
        <f>IF(D612="","",IFERROR(INDEX(الأصناف!$B$2:$B$2000,MATCH(D612,الأصناف!$A$2:$A$2000,0)),"كود غير موجود"))</f>
        <v/>
      </c>
      <c r="F612" s="4" t="n"/>
      <c r="G612">
        <f>IF(D612="","",IFERROR(INDEX(الأصناف!$C$2:$C$2000,MATCH(D612,الأصناف!$A$2:$A$2000,0)),0))</f>
        <v/>
      </c>
      <c r="H612">
        <f>IF(D612="","",F612*G612)</f>
        <v/>
      </c>
      <c r="I612">
        <f>IF(D612="","",H612-F612*IFERROR(INDEX(الأصناف!$D$2:$D$2000,MATCH(D612,الأصناف!$A$2:$A$2000,0)),0))</f>
        <v/>
      </c>
      <c r="J612" s="4" t="n"/>
      <c r="K612" s="7">
        <f>IF(OR(B612="",B612&lt;&gt;الإيصال!$C$3),"",COUNTIF(B$2:B612,الإيصال!$C$3))</f>
        <v/>
      </c>
    </row>
    <row r="613">
      <c r="A613" s="6" t="n"/>
      <c r="B613" s="4" t="n"/>
      <c r="C613" s="4" t="n"/>
      <c r="D613" s="4" t="n"/>
      <c r="E613">
        <f>IF(D613="","",IFERROR(INDEX(الأصناف!$B$2:$B$2000,MATCH(D613,الأصناف!$A$2:$A$2000,0)),"كود غير موجود"))</f>
        <v/>
      </c>
      <c r="F613" s="4" t="n"/>
      <c r="G613">
        <f>IF(D613="","",IFERROR(INDEX(الأصناف!$C$2:$C$2000,MATCH(D613,الأصناف!$A$2:$A$2000,0)),0))</f>
        <v/>
      </c>
      <c r="H613">
        <f>IF(D613="","",F613*G613)</f>
        <v/>
      </c>
      <c r="I613">
        <f>IF(D613="","",H613-F613*IFERROR(INDEX(الأصناف!$D$2:$D$2000,MATCH(D613,الأصناف!$A$2:$A$2000,0)),0))</f>
        <v/>
      </c>
      <c r="J613" s="4" t="n"/>
      <c r="K613" s="7">
        <f>IF(OR(B613="",B613&lt;&gt;الإيصال!$C$3),"",COUNTIF(B$2:B613,الإيصال!$C$3))</f>
        <v/>
      </c>
    </row>
    <row r="614">
      <c r="A614" s="6" t="n"/>
      <c r="B614" s="4" t="n"/>
      <c r="C614" s="4" t="n"/>
      <c r="D614" s="4" t="n"/>
      <c r="E614">
        <f>IF(D614="","",IFERROR(INDEX(الأصناف!$B$2:$B$2000,MATCH(D614,الأصناف!$A$2:$A$2000,0)),"كود غير موجود"))</f>
        <v/>
      </c>
      <c r="F614" s="4" t="n"/>
      <c r="G614">
        <f>IF(D614="","",IFERROR(INDEX(الأصناف!$C$2:$C$2000,MATCH(D614,الأصناف!$A$2:$A$2000,0)),0))</f>
        <v/>
      </c>
      <c r="H614">
        <f>IF(D614="","",F614*G614)</f>
        <v/>
      </c>
      <c r="I614">
        <f>IF(D614="","",H614-F614*IFERROR(INDEX(الأصناف!$D$2:$D$2000,MATCH(D614,الأصناف!$A$2:$A$2000,0)),0))</f>
        <v/>
      </c>
      <c r="J614" s="4" t="n"/>
      <c r="K614" s="7">
        <f>IF(OR(B614="",B614&lt;&gt;الإيصال!$C$3),"",COUNTIF(B$2:B614,الإيصال!$C$3))</f>
        <v/>
      </c>
    </row>
    <row r="615">
      <c r="A615" s="6" t="n"/>
      <c r="B615" s="4" t="n"/>
      <c r="C615" s="4" t="n"/>
      <c r="D615" s="4" t="n"/>
      <c r="E615">
        <f>IF(D615="","",IFERROR(INDEX(الأصناف!$B$2:$B$2000,MATCH(D615,الأصناف!$A$2:$A$2000,0)),"كود غير موجود"))</f>
        <v/>
      </c>
      <c r="F615" s="4" t="n"/>
      <c r="G615">
        <f>IF(D615="","",IFERROR(INDEX(الأصناف!$C$2:$C$2000,MATCH(D615,الأصناف!$A$2:$A$2000,0)),0))</f>
        <v/>
      </c>
      <c r="H615">
        <f>IF(D615="","",F615*G615)</f>
        <v/>
      </c>
      <c r="I615">
        <f>IF(D615="","",H615-F615*IFERROR(INDEX(الأصناف!$D$2:$D$2000,MATCH(D615,الأصناف!$A$2:$A$2000,0)),0))</f>
        <v/>
      </c>
      <c r="J615" s="4" t="n"/>
      <c r="K615" s="7">
        <f>IF(OR(B615="",B615&lt;&gt;الإيصال!$C$3),"",COUNTIF(B$2:B615,الإيصال!$C$3))</f>
        <v/>
      </c>
    </row>
    <row r="616">
      <c r="A616" s="6" t="n"/>
      <c r="B616" s="4" t="n"/>
      <c r="C616" s="4" t="n"/>
      <c r="D616" s="4" t="n"/>
      <c r="E616">
        <f>IF(D616="","",IFERROR(INDEX(الأصناف!$B$2:$B$2000,MATCH(D616,الأصناف!$A$2:$A$2000,0)),"كود غير موجود"))</f>
        <v/>
      </c>
      <c r="F616" s="4" t="n"/>
      <c r="G616">
        <f>IF(D616="","",IFERROR(INDEX(الأصناف!$C$2:$C$2000,MATCH(D616,الأصناف!$A$2:$A$2000,0)),0))</f>
        <v/>
      </c>
      <c r="H616">
        <f>IF(D616="","",F616*G616)</f>
        <v/>
      </c>
      <c r="I616">
        <f>IF(D616="","",H616-F616*IFERROR(INDEX(الأصناف!$D$2:$D$2000,MATCH(D616,الأصناف!$A$2:$A$2000,0)),0))</f>
        <v/>
      </c>
      <c r="J616" s="4" t="n"/>
      <c r="K616" s="7">
        <f>IF(OR(B616="",B616&lt;&gt;الإيصال!$C$3),"",COUNTIF(B$2:B616,الإيصال!$C$3))</f>
        <v/>
      </c>
    </row>
    <row r="617">
      <c r="A617" s="6" t="n"/>
      <c r="B617" s="4" t="n"/>
      <c r="C617" s="4" t="n"/>
      <c r="D617" s="4" t="n"/>
      <c r="E617">
        <f>IF(D617="","",IFERROR(INDEX(الأصناف!$B$2:$B$2000,MATCH(D617,الأصناف!$A$2:$A$2000,0)),"كود غير موجود"))</f>
        <v/>
      </c>
      <c r="F617" s="4" t="n"/>
      <c r="G617">
        <f>IF(D617="","",IFERROR(INDEX(الأصناف!$C$2:$C$2000,MATCH(D617,الأصناف!$A$2:$A$2000,0)),0))</f>
        <v/>
      </c>
      <c r="H617">
        <f>IF(D617="","",F617*G617)</f>
        <v/>
      </c>
      <c r="I617">
        <f>IF(D617="","",H617-F617*IFERROR(INDEX(الأصناف!$D$2:$D$2000,MATCH(D617,الأصناف!$A$2:$A$2000,0)),0))</f>
        <v/>
      </c>
      <c r="J617" s="4" t="n"/>
      <c r="K617" s="7">
        <f>IF(OR(B617="",B617&lt;&gt;الإيصال!$C$3),"",COUNTIF(B$2:B617,الإيصال!$C$3))</f>
        <v/>
      </c>
    </row>
    <row r="618">
      <c r="A618" s="6" t="n"/>
      <c r="B618" s="4" t="n"/>
      <c r="C618" s="4" t="n"/>
      <c r="D618" s="4" t="n"/>
      <c r="E618">
        <f>IF(D618="","",IFERROR(INDEX(الأصناف!$B$2:$B$2000,MATCH(D618,الأصناف!$A$2:$A$2000,0)),"كود غير موجود"))</f>
        <v/>
      </c>
      <c r="F618" s="4" t="n"/>
      <c r="G618">
        <f>IF(D618="","",IFERROR(INDEX(الأصناف!$C$2:$C$2000,MATCH(D618,الأصناف!$A$2:$A$2000,0)),0))</f>
        <v/>
      </c>
      <c r="H618">
        <f>IF(D618="","",F618*G618)</f>
        <v/>
      </c>
      <c r="I618">
        <f>IF(D618="","",H618-F618*IFERROR(INDEX(الأصناف!$D$2:$D$2000,MATCH(D618,الأصناف!$A$2:$A$2000,0)),0))</f>
        <v/>
      </c>
      <c r="J618" s="4" t="n"/>
      <c r="K618" s="7">
        <f>IF(OR(B618="",B618&lt;&gt;الإيصال!$C$3),"",COUNTIF(B$2:B618,الإيصال!$C$3))</f>
        <v/>
      </c>
    </row>
    <row r="619">
      <c r="A619" s="6" t="n"/>
      <c r="B619" s="4" t="n"/>
      <c r="C619" s="4" t="n"/>
      <c r="D619" s="4" t="n"/>
      <c r="E619">
        <f>IF(D619="","",IFERROR(INDEX(الأصناف!$B$2:$B$2000,MATCH(D619,الأصناف!$A$2:$A$2000,0)),"كود غير موجود"))</f>
        <v/>
      </c>
      <c r="F619" s="4" t="n"/>
      <c r="G619">
        <f>IF(D619="","",IFERROR(INDEX(الأصناف!$C$2:$C$2000,MATCH(D619,الأصناف!$A$2:$A$2000,0)),0))</f>
        <v/>
      </c>
      <c r="H619">
        <f>IF(D619="","",F619*G619)</f>
        <v/>
      </c>
      <c r="I619">
        <f>IF(D619="","",H619-F619*IFERROR(INDEX(الأصناف!$D$2:$D$2000,MATCH(D619,الأصناف!$A$2:$A$2000,0)),0))</f>
        <v/>
      </c>
      <c r="J619" s="4" t="n"/>
      <c r="K619" s="7">
        <f>IF(OR(B619="",B619&lt;&gt;الإيصال!$C$3),"",COUNTIF(B$2:B619,الإيصال!$C$3))</f>
        <v/>
      </c>
    </row>
    <row r="620">
      <c r="A620" s="6" t="n"/>
      <c r="B620" s="4" t="n"/>
      <c r="C620" s="4" t="n"/>
      <c r="D620" s="4" t="n"/>
      <c r="E620">
        <f>IF(D620="","",IFERROR(INDEX(الأصناف!$B$2:$B$2000,MATCH(D620,الأصناف!$A$2:$A$2000,0)),"كود غير موجود"))</f>
        <v/>
      </c>
      <c r="F620" s="4" t="n"/>
      <c r="G620">
        <f>IF(D620="","",IFERROR(INDEX(الأصناف!$C$2:$C$2000,MATCH(D620,الأصناف!$A$2:$A$2000,0)),0))</f>
        <v/>
      </c>
      <c r="H620">
        <f>IF(D620="","",F620*G620)</f>
        <v/>
      </c>
      <c r="I620">
        <f>IF(D620="","",H620-F620*IFERROR(INDEX(الأصناف!$D$2:$D$2000,MATCH(D620,الأصناف!$A$2:$A$2000,0)),0))</f>
        <v/>
      </c>
      <c r="J620" s="4" t="n"/>
      <c r="K620" s="7">
        <f>IF(OR(B620="",B620&lt;&gt;الإيصال!$C$3),"",COUNTIF(B$2:B620,الإيصال!$C$3))</f>
        <v/>
      </c>
    </row>
    <row r="621">
      <c r="A621" s="6" t="n"/>
      <c r="B621" s="4" t="n"/>
      <c r="C621" s="4" t="n"/>
      <c r="D621" s="4" t="n"/>
      <c r="E621">
        <f>IF(D621="","",IFERROR(INDEX(الأصناف!$B$2:$B$2000,MATCH(D621,الأصناف!$A$2:$A$2000,0)),"كود غير موجود"))</f>
        <v/>
      </c>
      <c r="F621" s="4" t="n"/>
      <c r="G621">
        <f>IF(D621="","",IFERROR(INDEX(الأصناف!$C$2:$C$2000,MATCH(D621,الأصناف!$A$2:$A$2000,0)),0))</f>
        <v/>
      </c>
      <c r="H621">
        <f>IF(D621="","",F621*G621)</f>
        <v/>
      </c>
      <c r="I621">
        <f>IF(D621="","",H621-F621*IFERROR(INDEX(الأصناف!$D$2:$D$2000,MATCH(D621,الأصناف!$A$2:$A$2000,0)),0))</f>
        <v/>
      </c>
      <c r="J621" s="4" t="n"/>
      <c r="K621" s="7">
        <f>IF(OR(B621="",B621&lt;&gt;الإيصال!$C$3),"",COUNTIF(B$2:B621,الإيصال!$C$3))</f>
        <v/>
      </c>
    </row>
    <row r="622">
      <c r="A622" s="6" t="n"/>
      <c r="B622" s="4" t="n"/>
      <c r="C622" s="4" t="n"/>
      <c r="D622" s="4" t="n"/>
      <c r="E622">
        <f>IF(D622="","",IFERROR(INDEX(الأصناف!$B$2:$B$2000,MATCH(D622,الأصناف!$A$2:$A$2000,0)),"كود غير موجود"))</f>
        <v/>
      </c>
      <c r="F622" s="4" t="n"/>
      <c r="G622">
        <f>IF(D622="","",IFERROR(INDEX(الأصناف!$C$2:$C$2000,MATCH(D622,الأصناف!$A$2:$A$2000,0)),0))</f>
        <v/>
      </c>
      <c r="H622">
        <f>IF(D622="","",F622*G622)</f>
        <v/>
      </c>
      <c r="I622">
        <f>IF(D622="","",H622-F622*IFERROR(INDEX(الأصناف!$D$2:$D$2000,MATCH(D622,الأصناف!$A$2:$A$2000,0)),0))</f>
        <v/>
      </c>
      <c r="J622" s="4" t="n"/>
      <c r="K622" s="7">
        <f>IF(OR(B622="",B622&lt;&gt;الإيصال!$C$3),"",COUNTIF(B$2:B622,الإيصال!$C$3))</f>
        <v/>
      </c>
    </row>
    <row r="623">
      <c r="A623" s="6" t="n"/>
      <c r="B623" s="4" t="n"/>
      <c r="C623" s="4" t="n"/>
      <c r="D623" s="4" t="n"/>
      <c r="E623">
        <f>IF(D623="","",IFERROR(INDEX(الأصناف!$B$2:$B$2000,MATCH(D623,الأصناف!$A$2:$A$2000,0)),"كود غير موجود"))</f>
        <v/>
      </c>
      <c r="F623" s="4" t="n"/>
      <c r="G623">
        <f>IF(D623="","",IFERROR(INDEX(الأصناف!$C$2:$C$2000,MATCH(D623,الأصناف!$A$2:$A$2000,0)),0))</f>
        <v/>
      </c>
      <c r="H623">
        <f>IF(D623="","",F623*G623)</f>
        <v/>
      </c>
      <c r="I623">
        <f>IF(D623="","",H623-F623*IFERROR(INDEX(الأصناف!$D$2:$D$2000,MATCH(D623,الأصناف!$A$2:$A$2000,0)),0))</f>
        <v/>
      </c>
      <c r="J623" s="4" t="n"/>
      <c r="K623" s="7">
        <f>IF(OR(B623="",B623&lt;&gt;الإيصال!$C$3),"",COUNTIF(B$2:B623,الإيصال!$C$3))</f>
        <v/>
      </c>
    </row>
    <row r="624">
      <c r="A624" s="6" t="n"/>
      <c r="B624" s="4" t="n"/>
      <c r="C624" s="4" t="n"/>
      <c r="D624" s="4" t="n"/>
      <c r="E624">
        <f>IF(D624="","",IFERROR(INDEX(الأصناف!$B$2:$B$2000,MATCH(D624,الأصناف!$A$2:$A$2000,0)),"كود غير موجود"))</f>
        <v/>
      </c>
      <c r="F624" s="4" t="n"/>
      <c r="G624">
        <f>IF(D624="","",IFERROR(INDEX(الأصناف!$C$2:$C$2000,MATCH(D624,الأصناف!$A$2:$A$2000,0)),0))</f>
        <v/>
      </c>
      <c r="H624">
        <f>IF(D624="","",F624*G624)</f>
        <v/>
      </c>
      <c r="I624">
        <f>IF(D624="","",H624-F624*IFERROR(INDEX(الأصناف!$D$2:$D$2000,MATCH(D624,الأصناف!$A$2:$A$2000,0)),0))</f>
        <v/>
      </c>
      <c r="J624" s="4" t="n"/>
      <c r="K624" s="7">
        <f>IF(OR(B624="",B624&lt;&gt;الإيصال!$C$3),"",COUNTIF(B$2:B624,الإيصال!$C$3))</f>
        <v/>
      </c>
    </row>
    <row r="625">
      <c r="A625" s="6" t="n"/>
      <c r="B625" s="4" t="n"/>
      <c r="C625" s="4" t="n"/>
      <c r="D625" s="4" t="n"/>
      <c r="E625">
        <f>IF(D625="","",IFERROR(INDEX(الأصناف!$B$2:$B$2000,MATCH(D625,الأصناف!$A$2:$A$2000,0)),"كود غير موجود"))</f>
        <v/>
      </c>
      <c r="F625" s="4" t="n"/>
      <c r="G625">
        <f>IF(D625="","",IFERROR(INDEX(الأصناف!$C$2:$C$2000,MATCH(D625,الأصناف!$A$2:$A$2000,0)),0))</f>
        <v/>
      </c>
      <c r="H625">
        <f>IF(D625="","",F625*G625)</f>
        <v/>
      </c>
      <c r="I625">
        <f>IF(D625="","",H625-F625*IFERROR(INDEX(الأصناف!$D$2:$D$2000,MATCH(D625,الأصناف!$A$2:$A$2000,0)),0))</f>
        <v/>
      </c>
      <c r="J625" s="4" t="n"/>
      <c r="K625" s="7">
        <f>IF(OR(B625="",B625&lt;&gt;الإيصال!$C$3),"",COUNTIF(B$2:B625,الإيصال!$C$3))</f>
        <v/>
      </c>
    </row>
    <row r="626">
      <c r="A626" s="6" t="n"/>
      <c r="B626" s="4" t="n"/>
      <c r="C626" s="4" t="n"/>
      <c r="D626" s="4" t="n"/>
      <c r="E626">
        <f>IF(D626="","",IFERROR(INDEX(الأصناف!$B$2:$B$2000,MATCH(D626,الأصناف!$A$2:$A$2000,0)),"كود غير موجود"))</f>
        <v/>
      </c>
      <c r="F626" s="4" t="n"/>
      <c r="G626">
        <f>IF(D626="","",IFERROR(INDEX(الأصناف!$C$2:$C$2000,MATCH(D626,الأصناف!$A$2:$A$2000,0)),0))</f>
        <v/>
      </c>
      <c r="H626">
        <f>IF(D626="","",F626*G626)</f>
        <v/>
      </c>
      <c r="I626">
        <f>IF(D626="","",H626-F626*IFERROR(INDEX(الأصناف!$D$2:$D$2000,MATCH(D626,الأصناف!$A$2:$A$2000,0)),0))</f>
        <v/>
      </c>
      <c r="J626" s="4" t="n"/>
      <c r="K626" s="7">
        <f>IF(OR(B626="",B626&lt;&gt;الإيصال!$C$3),"",COUNTIF(B$2:B626,الإيصال!$C$3))</f>
        <v/>
      </c>
    </row>
    <row r="627">
      <c r="A627" s="6" t="n"/>
      <c r="B627" s="4" t="n"/>
      <c r="C627" s="4" t="n"/>
      <c r="D627" s="4" t="n"/>
      <c r="E627">
        <f>IF(D627="","",IFERROR(INDEX(الأصناف!$B$2:$B$2000,MATCH(D627,الأصناف!$A$2:$A$2000,0)),"كود غير موجود"))</f>
        <v/>
      </c>
      <c r="F627" s="4" t="n"/>
      <c r="G627">
        <f>IF(D627="","",IFERROR(INDEX(الأصناف!$C$2:$C$2000,MATCH(D627,الأصناف!$A$2:$A$2000,0)),0))</f>
        <v/>
      </c>
      <c r="H627">
        <f>IF(D627="","",F627*G627)</f>
        <v/>
      </c>
      <c r="I627">
        <f>IF(D627="","",H627-F627*IFERROR(INDEX(الأصناف!$D$2:$D$2000,MATCH(D627,الأصناف!$A$2:$A$2000,0)),0))</f>
        <v/>
      </c>
      <c r="J627" s="4" t="n"/>
      <c r="K627" s="7">
        <f>IF(OR(B627="",B627&lt;&gt;الإيصال!$C$3),"",COUNTIF(B$2:B627,الإيصال!$C$3))</f>
        <v/>
      </c>
    </row>
    <row r="628">
      <c r="A628" s="6" t="n"/>
      <c r="B628" s="4" t="n"/>
      <c r="C628" s="4" t="n"/>
      <c r="D628" s="4" t="n"/>
      <c r="E628">
        <f>IF(D628="","",IFERROR(INDEX(الأصناف!$B$2:$B$2000,MATCH(D628,الأصناف!$A$2:$A$2000,0)),"كود غير موجود"))</f>
        <v/>
      </c>
      <c r="F628" s="4" t="n"/>
      <c r="G628">
        <f>IF(D628="","",IFERROR(INDEX(الأصناف!$C$2:$C$2000,MATCH(D628,الأصناف!$A$2:$A$2000,0)),0))</f>
        <v/>
      </c>
      <c r="H628">
        <f>IF(D628="","",F628*G628)</f>
        <v/>
      </c>
      <c r="I628">
        <f>IF(D628="","",H628-F628*IFERROR(INDEX(الأصناف!$D$2:$D$2000,MATCH(D628,الأصناف!$A$2:$A$2000,0)),0))</f>
        <v/>
      </c>
      <c r="J628" s="4" t="n"/>
      <c r="K628" s="7">
        <f>IF(OR(B628="",B628&lt;&gt;الإيصال!$C$3),"",COUNTIF(B$2:B628,الإيصال!$C$3))</f>
        <v/>
      </c>
    </row>
    <row r="629">
      <c r="A629" s="6" t="n"/>
      <c r="B629" s="4" t="n"/>
      <c r="C629" s="4" t="n"/>
      <c r="D629" s="4" t="n"/>
      <c r="E629">
        <f>IF(D629="","",IFERROR(INDEX(الأصناف!$B$2:$B$2000,MATCH(D629,الأصناف!$A$2:$A$2000,0)),"كود غير موجود"))</f>
        <v/>
      </c>
      <c r="F629" s="4" t="n"/>
      <c r="G629">
        <f>IF(D629="","",IFERROR(INDEX(الأصناف!$C$2:$C$2000,MATCH(D629,الأصناف!$A$2:$A$2000,0)),0))</f>
        <v/>
      </c>
      <c r="H629">
        <f>IF(D629="","",F629*G629)</f>
        <v/>
      </c>
      <c r="I629">
        <f>IF(D629="","",H629-F629*IFERROR(INDEX(الأصناف!$D$2:$D$2000,MATCH(D629,الأصناف!$A$2:$A$2000,0)),0))</f>
        <v/>
      </c>
      <c r="J629" s="4" t="n"/>
      <c r="K629" s="7">
        <f>IF(OR(B629="",B629&lt;&gt;الإيصال!$C$3),"",COUNTIF(B$2:B629,الإيصال!$C$3))</f>
        <v/>
      </c>
    </row>
    <row r="630">
      <c r="A630" s="6" t="n"/>
      <c r="B630" s="4" t="n"/>
      <c r="C630" s="4" t="n"/>
      <c r="D630" s="4" t="n"/>
      <c r="E630">
        <f>IF(D630="","",IFERROR(INDEX(الأصناف!$B$2:$B$2000,MATCH(D630,الأصناف!$A$2:$A$2000,0)),"كود غير موجود"))</f>
        <v/>
      </c>
      <c r="F630" s="4" t="n"/>
      <c r="G630">
        <f>IF(D630="","",IFERROR(INDEX(الأصناف!$C$2:$C$2000,MATCH(D630,الأصناف!$A$2:$A$2000,0)),0))</f>
        <v/>
      </c>
      <c r="H630">
        <f>IF(D630="","",F630*G630)</f>
        <v/>
      </c>
      <c r="I630">
        <f>IF(D630="","",H630-F630*IFERROR(INDEX(الأصناف!$D$2:$D$2000,MATCH(D630,الأصناف!$A$2:$A$2000,0)),0))</f>
        <v/>
      </c>
      <c r="J630" s="4" t="n"/>
      <c r="K630" s="7">
        <f>IF(OR(B630="",B630&lt;&gt;الإيصال!$C$3),"",COUNTIF(B$2:B630,الإيصال!$C$3))</f>
        <v/>
      </c>
    </row>
    <row r="631">
      <c r="A631" s="6" t="n"/>
      <c r="B631" s="4" t="n"/>
      <c r="C631" s="4" t="n"/>
      <c r="D631" s="4" t="n"/>
      <c r="E631">
        <f>IF(D631="","",IFERROR(INDEX(الأصناف!$B$2:$B$2000,MATCH(D631,الأصناف!$A$2:$A$2000,0)),"كود غير موجود"))</f>
        <v/>
      </c>
      <c r="F631" s="4" t="n"/>
      <c r="G631">
        <f>IF(D631="","",IFERROR(INDEX(الأصناف!$C$2:$C$2000,MATCH(D631,الأصناف!$A$2:$A$2000,0)),0))</f>
        <v/>
      </c>
      <c r="H631">
        <f>IF(D631="","",F631*G631)</f>
        <v/>
      </c>
      <c r="I631">
        <f>IF(D631="","",H631-F631*IFERROR(INDEX(الأصناف!$D$2:$D$2000,MATCH(D631,الأصناف!$A$2:$A$2000,0)),0))</f>
        <v/>
      </c>
      <c r="J631" s="4" t="n"/>
      <c r="K631" s="7">
        <f>IF(OR(B631="",B631&lt;&gt;الإيصال!$C$3),"",COUNTIF(B$2:B631,الإيصال!$C$3))</f>
        <v/>
      </c>
    </row>
    <row r="632">
      <c r="A632" s="6" t="n"/>
      <c r="B632" s="4" t="n"/>
      <c r="C632" s="4" t="n"/>
      <c r="D632" s="4" t="n"/>
      <c r="E632">
        <f>IF(D632="","",IFERROR(INDEX(الأصناف!$B$2:$B$2000,MATCH(D632,الأصناف!$A$2:$A$2000,0)),"كود غير موجود"))</f>
        <v/>
      </c>
      <c r="F632" s="4" t="n"/>
      <c r="G632">
        <f>IF(D632="","",IFERROR(INDEX(الأصناف!$C$2:$C$2000,MATCH(D632,الأصناف!$A$2:$A$2000,0)),0))</f>
        <v/>
      </c>
      <c r="H632">
        <f>IF(D632="","",F632*G632)</f>
        <v/>
      </c>
      <c r="I632">
        <f>IF(D632="","",H632-F632*IFERROR(INDEX(الأصناف!$D$2:$D$2000,MATCH(D632,الأصناف!$A$2:$A$2000,0)),0))</f>
        <v/>
      </c>
      <c r="J632" s="4" t="n"/>
      <c r="K632" s="7">
        <f>IF(OR(B632="",B632&lt;&gt;الإيصال!$C$3),"",COUNTIF(B$2:B632,الإيصال!$C$3))</f>
        <v/>
      </c>
    </row>
    <row r="633">
      <c r="A633" s="6" t="n"/>
      <c r="B633" s="4" t="n"/>
      <c r="C633" s="4" t="n"/>
      <c r="D633" s="4" t="n"/>
      <c r="E633">
        <f>IF(D633="","",IFERROR(INDEX(الأصناف!$B$2:$B$2000,MATCH(D633,الأصناف!$A$2:$A$2000,0)),"كود غير موجود"))</f>
        <v/>
      </c>
      <c r="F633" s="4" t="n"/>
      <c r="G633">
        <f>IF(D633="","",IFERROR(INDEX(الأصناف!$C$2:$C$2000,MATCH(D633,الأصناف!$A$2:$A$2000,0)),0))</f>
        <v/>
      </c>
      <c r="H633">
        <f>IF(D633="","",F633*G633)</f>
        <v/>
      </c>
      <c r="I633">
        <f>IF(D633="","",H633-F633*IFERROR(INDEX(الأصناف!$D$2:$D$2000,MATCH(D633,الأصناف!$A$2:$A$2000,0)),0))</f>
        <v/>
      </c>
      <c r="J633" s="4" t="n"/>
      <c r="K633" s="7">
        <f>IF(OR(B633="",B633&lt;&gt;الإيصال!$C$3),"",COUNTIF(B$2:B633,الإيصال!$C$3))</f>
        <v/>
      </c>
    </row>
    <row r="634">
      <c r="A634" s="6" t="n"/>
      <c r="B634" s="4" t="n"/>
      <c r="C634" s="4" t="n"/>
      <c r="D634" s="4" t="n"/>
      <c r="E634">
        <f>IF(D634="","",IFERROR(INDEX(الأصناف!$B$2:$B$2000,MATCH(D634,الأصناف!$A$2:$A$2000,0)),"كود غير موجود"))</f>
        <v/>
      </c>
      <c r="F634" s="4" t="n"/>
      <c r="G634">
        <f>IF(D634="","",IFERROR(INDEX(الأصناف!$C$2:$C$2000,MATCH(D634,الأصناف!$A$2:$A$2000,0)),0))</f>
        <v/>
      </c>
      <c r="H634">
        <f>IF(D634="","",F634*G634)</f>
        <v/>
      </c>
      <c r="I634">
        <f>IF(D634="","",H634-F634*IFERROR(INDEX(الأصناف!$D$2:$D$2000,MATCH(D634,الأصناف!$A$2:$A$2000,0)),0))</f>
        <v/>
      </c>
      <c r="J634" s="4" t="n"/>
      <c r="K634" s="7">
        <f>IF(OR(B634="",B634&lt;&gt;الإيصال!$C$3),"",COUNTIF(B$2:B634,الإيصال!$C$3))</f>
        <v/>
      </c>
    </row>
    <row r="635">
      <c r="A635" s="6" t="n"/>
      <c r="B635" s="4" t="n"/>
      <c r="C635" s="4" t="n"/>
      <c r="D635" s="4" t="n"/>
      <c r="E635">
        <f>IF(D635="","",IFERROR(INDEX(الأصناف!$B$2:$B$2000,MATCH(D635,الأصناف!$A$2:$A$2000,0)),"كود غير موجود"))</f>
        <v/>
      </c>
      <c r="F635" s="4" t="n"/>
      <c r="G635">
        <f>IF(D635="","",IFERROR(INDEX(الأصناف!$C$2:$C$2000,MATCH(D635,الأصناف!$A$2:$A$2000,0)),0))</f>
        <v/>
      </c>
      <c r="H635">
        <f>IF(D635="","",F635*G635)</f>
        <v/>
      </c>
      <c r="I635">
        <f>IF(D635="","",H635-F635*IFERROR(INDEX(الأصناف!$D$2:$D$2000,MATCH(D635,الأصناف!$A$2:$A$2000,0)),0))</f>
        <v/>
      </c>
      <c r="J635" s="4" t="n"/>
      <c r="K635" s="7">
        <f>IF(OR(B635="",B635&lt;&gt;الإيصال!$C$3),"",COUNTIF(B$2:B635,الإيصال!$C$3))</f>
        <v/>
      </c>
    </row>
    <row r="636">
      <c r="A636" s="6" t="n"/>
      <c r="B636" s="4" t="n"/>
      <c r="C636" s="4" t="n"/>
      <c r="D636" s="4" t="n"/>
      <c r="E636">
        <f>IF(D636="","",IFERROR(INDEX(الأصناف!$B$2:$B$2000,MATCH(D636,الأصناف!$A$2:$A$2000,0)),"كود غير موجود"))</f>
        <v/>
      </c>
      <c r="F636" s="4" t="n"/>
      <c r="G636">
        <f>IF(D636="","",IFERROR(INDEX(الأصناف!$C$2:$C$2000,MATCH(D636,الأصناف!$A$2:$A$2000,0)),0))</f>
        <v/>
      </c>
      <c r="H636">
        <f>IF(D636="","",F636*G636)</f>
        <v/>
      </c>
      <c r="I636">
        <f>IF(D636="","",H636-F636*IFERROR(INDEX(الأصناف!$D$2:$D$2000,MATCH(D636,الأصناف!$A$2:$A$2000,0)),0))</f>
        <v/>
      </c>
      <c r="J636" s="4" t="n"/>
      <c r="K636" s="7">
        <f>IF(OR(B636="",B636&lt;&gt;الإيصال!$C$3),"",COUNTIF(B$2:B636,الإيصال!$C$3))</f>
        <v/>
      </c>
    </row>
    <row r="637">
      <c r="A637" s="6" t="n"/>
      <c r="B637" s="4" t="n"/>
      <c r="C637" s="4" t="n"/>
      <c r="D637" s="4" t="n"/>
      <c r="E637">
        <f>IF(D637="","",IFERROR(INDEX(الأصناف!$B$2:$B$2000,MATCH(D637,الأصناف!$A$2:$A$2000,0)),"كود غير موجود"))</f>
        <v/>
      </c>
      <c r="F637" s="4" t="n"/>
      <c r="G637">
        <f>IF(D637="","",IFERROR(INDEX(الأصناف!$C$2:$C$2000,MATCH(D637,الأصناف!$A$2:$A$2000,0)),0))</f>
        <v/>
      </c>
      <c r="H637">
        <f>IF(D637="","",F637*G637)</f>
        <v/>
      </c>
      <c r="I637">
        <f>IF(D637="","",H637-F637*IFERROR(INDEX(الأصناف!$D$2:$D$2000,MATCH(D637,الأصناف!$A$2:$A$2000,0)),0))</f>
        <v/>
      </c>
      <c r="J637" s="4" t="n"/>
      <c r="K637" s="7">
        <f>IF(OR(B637="",B637&lt;&gt;الإيصال!$C$3),"",COUNTIF(B$2:B637,الإيصال!$C$3))</f>
        <v/>
      </c>
    </row>
    <row r="638">
      <c r="A638" s="6" t="n"/>
      <c r="B638" s="4" t="n"/>
      <c r="C638" s="4" t="n"/>
      <c r="D638" s="4" t="n"/>
      <c r="E638">
        <f>IF(D638="","",IFERROR(INDEX(الأصناف!$B$2:$B$2000,MATCH(D638,الأصناف!$A$2:$A$2000,0)),"كود غير موجود"))</f>
        <v/>
      </c>
      <c r="F638" s="4" t="n"/>
      <c r="G638">
        <f>IF(D638="","",IFERROR(INDEX(الأصناف!$C$2:$C$2000,MATCH(D638,الأصناف!$A$2:$A$2000,0)),0))</f>
        <v/>
      </c>
      <c r="H638">
        <f>IF(D638="","",F638*G638)</f>
        <v/>
      </c>
      <c r="I638">
        <f>IF(D638="","",H638-F638*IFERROR(INDEX(الأصناف!$D$2:$D$2000,MATCH(D638,الأصناف!$A$2:$A$2000,0)),0))</f>
        <v/>
      </c>
      <c r="J638" s="4" t="n"/>
      <c r="K638" s="7">
        <f>IF(OR(B638="",B638&lt;&gt;الإيصال!$C$3),"",COUNTIF(B$2:B638,الإيصال!$C$3))</f>
        <v/>
      </c>
    </row>
    <row r="639">
      <c r="A639" s="6" t="n"/>
      <c r="B639" s="4" t="n"/>
      <c r="C639" s="4" t="n"/>
      <c r="D639" s="4" t="n"/>
      <c r="E639">
        <f>IF(D639="","",IFERROR(INDEX(الأصناف!$B$2:$B$2000,MATCH(D639,الأصناف!$A$2:$A$2000,0)),"كود غير موجود"))</f>
        <v/>
      </c>
      <c r="F639" s="4" t="n"/>
      <c r="G639">
        <f>IF(D639="","",IFERROR(INDEX(الأصناف!$C$2:$C$2000,MATCH(D639,الأصناف!$A$2:$A$2000,0)),0))</f>
        <v/>
      </c>
      <c r="H639">
        <f>IF(D639="","",F639*G639)</f>
        <v/>
      </c>
      <c r="I639">
        <f>IF(D639="","",H639-F639*IFERROR(INDEX(الأصناف!$D$2:$D$2000,MATCH(D639,الأصناف!$A$2:$A$2000,0)),0))</f>
        <v/>
      </c>
      <c r="J639" s="4" t="n"/>
      <c r="K639" s="7">
        <f>IF(OR(B639="",B639&lt;&gt;الإيصال!$C$3),"",COUNTIF(B$2:B639,الإيصال!$C$3))</f>
        <v/>
      </c>
    </row>
    <row r="640">
      <c r="A640" s="6" t="n"/>
      <c r="B640" s="4" t="n"/>
      <c r="C640" s="4" t="n"/>
      <c r="D640" s="4" t="n"/>
      <c r="E640">
        <f>IF(D640="","",IFERROR(INDEX(الأصناف!$B$2:$B$2000,MATCH(D640,الأصناف!$A$2:$A$2000,0)),"كود غير موجود"))</f>
        <v/>
      </c>
      <c r="F640" s="4" t="n"/>
      <c r="G640">
        <f>IF(D640="","",IFERROR(INDEX(الأصناف!$C$2:$C$2000,MATCH(D640,الأصناف!$A$2:$A$2000,0)),0))</f>
        <v/>
      </c>
      <c r="H640">
        <f>IF(D640="","",F640*G640)</f>
        <v/>
      </c>
      <c r="I640">
        <f>IF(D640="","",H640-F640*IFERROR(INDEX(الأصناف!$D$2:$D$2000,MATCH(D640,الأصناف!$A$2:$A$2000,0)),0))</f>
        <v/>
      </c>
      <c r="J640" s="4" t="n"/>
      <c r="K640" s="7">
        <f>IF(OR(B640="",B640&lt;&gt;الإيصال!$C$3),"",COUNTIF(B$2:B640,الإيصال!$C$3))</f>
        <v/>
      </c>
    </row>
    <row r="641">
      <c r="A641" s="6" t="n"/>
      <c r="B641" s="4" t="n"/>
      <c r="C641" s="4" t="n"/>
      <c r="D641" s="4" t="n"/>
      <c r="E641">
        <f>IF(D641="","",IFERROR(INDEX(الأصناف!$B$2:$B$2000,MATCH(D641,الأصناف!$A$2:$A$2000,0)),"كود غير موجود"))</f>
        <v/>
      </c>
      <c r="F641" s="4" t="n"/>
      <c r="G641">
        <f>IF(D641="","",IFERROR(INDEX(الأصناف!$C$2:$C$2000,MATCH(D641,الأصناف!$A$2:$A$2000,0)),0))</f>
        <v/>
      </c>
      <c r="H641">
        <f>IF(D641="","",F641*G641)</f>
        <v/>
      </c>
      <c r="I641">
        <f>IF(D641="","",H641-F641*IFERROR(INDEX(الأصناف!$D$2:$D$2000,MATCH(D641,الأصناف!$A$2:$A$2000,0)),0))</f>
        <v/>
      </c>
      <c r="J641" s="4" t="n"/>
      <c r="K641" s="7">
        <f>IF(OR(B641="",B641&lt;&gt;الإيصال!$C$3),"",COUNTIF(B$2:B641,الإيصال!$C$3))</f>
        <v/>
      </c>
    </row>
    <row r="642">
      <c r="A642" s="6" t="n"/>
      <c r="B642" s="4" t="n"/>
      <c r="C642" s="4" t="n"/>
      <c r="D642" s="4" t="n"/>
      <c r="E642">
        <f>IF(D642="","",IFERROR(INDEX(الأصناف!$B$2:$B$2000,MATCH(D642,الأصناف!$A$2:$A$2000,0)),"كود غير موجود"))</f>
        <v/>
      </c>
      <c r="F642" s="4" t="n"/>
      <c r="G642">
        <f>IF(D642="","",IFERROR(INDEX(الأصناف!$C$2:$C$2000,MATCH(D642,الأصناف!$A$2:$A$2000,0)),0))</f>
        <v/>
      </c>
      <c r="H642">
        <f>IF(D642="","",F642*G642)</f>
        <v/>
      </c>
      <c r="I642">
        <f>IF(D642="","",H642-F642*IFERROR(INDEX(الأصناف!$D$2:$D$2000,MATCH(D642,الأصناف!$A$2:$A$2000,0)),0))</f>
        <v/>
      </c>
      <c r="J642" s="4" t="n"/>
      <c r="K642" s="7">
        <f>IF(OR(B642="",B642&lt;&gt;الإيصال!$C$3),"",COUNTIF(B$2:B642,الإيصال!$C$3))</f>
        <v/>
      </c>
    </row>
    <row r="643">
      <c r="A643" s="6" t="n"/>
      <c r="B643" s="4" t="n"/>
      <c r="C643" s="4" t="n"/>
      <c r="D643" s="4" t="n"/>
      <c r="E643">
        <f>IF(D643="","",IFERROR(INDEX(الأصناف!$B$2:$B$2000,MATCH(D643,الأصناف!$A$2:$A$2000,0)),"كود غير موجود"))</f>
        <v/>
      </c>
      <c r="F643" s="4" t="n"/>
      <c r="G643">
        <f>IF(D643="","",IFERROR(INDEX(الأصناف!$C$2:$C$2000,MATCH(D643,الأصناف!$A$2:$A$2000,0)),0))</f>
        <v/>
      </c>
      <c r="H643">
        <f>IF(D643="","",F643*G643)</f>
        <v/>
      </c>
      <c r="I643">
        <f>IF(D643="","",H643-F643*IFERROR(INDEX(الأصناف!$D$2:$D$2000,MATCH(D643,الأصناف!$A$2:$A$2000,0)),0))</f>
        <v/>
      </c>
      <c r="J643" s="4" t="n"/>
      <c r="K643" s="7">
        <f>IF(OR(B643="",B643&lt;&gt;الإيصال!$C$3),"",COUNTIF(B$2:B643,الإيصال!$C$3))</f>
        <v/>
      </c>
    </row>
    <row r="644">
      <c r="A644" s="6" t="n"/>
      <c r="B644" s="4" t="n"/>
      <c r="C644" s="4" t="n"/>
      <c r="D644" s="4" t="n"/>
      <c r="E644">
        <f>IF(D644="","",IFERROR(INDEX(الأصناف!$B$2:$B$2000,MATCH(D644,الأصناف!$A$2:$A$2000,0)),"كود غير موجود"))</f>
        <v/>
      </c>
      <c r="F644" s="4" t="n"/>
      <c r="G644">
        <f>IF(D644="","",IFERROR(INDEX(الأصناف!$C$2:$C$2000,MATCH(D644,الأصناف!$A$2:$A$2000,0)),0))</f>
        <v/>
      </c>
      <c r="H644">
        <f>IF(D644="","",F644*G644)</f>
        <v/>
      </c>
      <c r="I644">
        <f>IF(D644="","",H644-F644*IFERROR(INDEX(الأصناف!$D$2:$D$2000,MATCH(D644,الأصناف!$A$2:$A$2000,0)),0))</f>
        <v/>
      </c>
      <c r="J644" s="4" t="n"/>
      <c r="K644" s="7">
        <f>IF(OR(B644="",B644&lt;&gt;الإيصال!$C$3),"",COUNTIF(B$2:B644,الإيصال!$C$3))</f>
        <v/>
      </c>
    </row>
    <row r="645">
      <c r="A645" s="6" t="n"/>
      <c r="B645" s="4" t="n"/>
      <c r="C645" s="4" t="n"/>
      <c r="D645" s="4" t="n"/>
      <c r="E645">
        <f>IF(D645="","",IFERROR(INDEX(الأصناف!$B$2:$B$2000,MATCH(D645,الأصناف!$A$2:$A$2000,0)),"كود غير موجود"))</f>
        <v/>
      </c>
      <c r="F645" s="4" t="n"/>
      <c r="G645">
        <f>IF(D645="","",IFERROR(INDEX(الأصناف!$C$2:$C$2000,MATCH(D645,الأصناف!$A$2:$A$2000,0)),0))</f>
        <v/>
      </c>
      <c r="H645">
        <f>IF(D645="","",F645*G645)</f>
        <v/>
      </c>
      <c r="I645">
        <f>IF(D645="","",H645-F645*IFERROR(INDEX(الأصناف!$D$2:$D$2000,MATCH(D645,الأصناف!$A$2:$A$2000,0)),0))</f>
        <v/>
      </c>
      <c r="J645" s="4" t="n"/>
      <c r="K645" s="7">
        <f>IF(OR(B645="",B645&lt;&gt;الإيصال!$C$3),"",COUNTIF(B$2:B645,الإيصال!$C$3))</f>
        <v/>
      </c>
    </row>
    <row r="646">
      <c r="A646" s="6" t="n"/>
      <c r="B646" s="4" t="n"/>
      <c r="C646" s="4" t="n"/>
      <c r="D646" s="4" t="n"/>
      <c r="E646">
        <f>IF(D646="","",IFERROR(INDEX(الأصناف!$B$2:$B$2000,MATCH(D646,الأصناف!$A$2:$A$2000,0)),"كود غير موجود"))</f>
        <v/>
      </c>
      <c r="F646" s="4" t="n"/>
      <c r="G646">
        <f>IF(D646="","",IFERROR(INDEX(الأصناف!$C$2:$C$2000,MATCH(D646,الأصناف!$A$2:$A$2000,0)),0))</f>
        <v/>
      </c>
      <c r="H646">
        <f>IF(D646="","",F646*G646)</f>
        <v/>
      </c>
      <c r="I646">
        <f>IF(D646="","",H646-F646*IFERROR(INDEX(الأصناف!$D$2:$D$2000,MATCH(D646,الأصناف!$A$2:$A$2000,0)),0))</f>
        <v/>
      </c>
      <c r="J646" s="4" t="n"/>
      <c r="K646" s="7">
        <f>IF(OR(B646="",B646&lt;&gt;الإيصال!$C$3),"",COUNTIF(B$2:B646,الإيصال!$C$3))</f>
        <v/>
      </c>
    </row>
    <row r="647">
      <c r="A647" s="6" t="n"/>
      <c r="B647" s="4" t="n"/>
      <c r="C647" s="4" t="n"/>
      <c r="D647" s="4" t="n"/>
      <c r="E647">
        <f>IF(D647="","",IFERROR(INDEX(الأصناف!$B$2:$B$2000,MATCH(D647,الأصناف!$A$2:$A$2000,0)),"كود غير موجود"))</f>
        <v/>
      </c>
      <c r="F647" s="4" t="n"/>
      <c r="G647">
        <f>IF(D647="","",IFERROR(INDEX(الأصناف!$C$2:$C$2000,MATCH(D647,الأصناف!$A$2:$A$2000,0)),0))</f>
        <v/>
      </c>
      <c r="H647">
        <f>IF(D647="","",F647*G647)</f>
        <v/>
      </c>
      <c r="I647">
        <f>IF(D647="","",H647-F647*IFERROR(INDEX(الأصناف!$D$2:$D$2000,MATCH(D647,الأصناف!$A$2:$A$2000,0)),0))</f>
        <v/>
      </c>
      <c r="J647" s="4" t="n"/>
      <c r="K647" s="7">
        <f>IF(OR(B647="",B647&lt;&gt;الإيصال!$C$3),"",COUNTIF(B$2:B647,الإيصال!$C$3))</f>
        <v/>
      </c>
    </row>
    <row r="648">
      <c r="A648" s="6" t="n"/>
      <c r="B648" s="4" t="n"/>
      <c r="C648" s="4" t="n"/>
      <c r="D648" s="4" t="n"/>
      <c r="E648">
        <f>IF(D648="","",IFERROR(INDEX(الأصناف!$B$2:$B$2000,MATCH(D648,الأصناف!$A$2:$A$2000,0)),"كود غير موجود"))</f>
        <v/>
      </c>
      <c r="F648" s="4" t="n"/>
      <c r="G648">
        <f>IF(D648="","",IFERROR(INDEX(الأصناف!$C$2:$C$2000,MATCH(D648,الأصناف!$A$2:$A$2000,0)),0))</f>
        <v/>
      </c>
      <c r="H648">
        <f>IF(D648="","",F648*G648)</f>
        <v/>
      </c>
      <c r="I648">
        <f>IF(D648="","",H648-F648*IFERROR(INDEX(الأصناف!$D$2:$D$2000,MATCH(D648,الأصناف!$A$2:$A$2000,0)),0))</f>
        <v/>
      </c>
      <c r="J648" s="4" t="n"/>
      <c r="K648" s="7">
        <f>IF(OR(B648="",B648&lt;&gt;الإيصال!$C$3),"",COUNTIF(B$2:B648,الإيصال!$C$3))</f>
        <v/>
      </c>
    </row>
    <row r="649">
      <c r="A649" s="6" t="n"/>
      <c r="B649" s="4" t="n"/>
      <c r="C649" s="4" t="n"/>
      <c r="D649" s="4" t="n"/>
      <c r="E649">
        <f>IF(D649="","",IFERROR(INDEX(الأصناف!$B$2:$B$2000,MATCH(D649,الأصناف!$A$2:$A$2000,0)),"كود غير موجود"))</f>
        <v/>
      </c>
      <c r="F649" s="4" t="n"/>
      <c r="G649">
        <f>IF(D649="","",IFERROR(INDEX(الأصناف!$C$2:$C$2000,MATCH(D649,الأصناف!$A$2:$A$2000,0)),0))</f>
        <v/>
      </c>
      <c r="H649">
        <f>IF(D649="","",F649*G649)</f>
        <v/>
      </c>
      <c r="I649">
        <f>IF(D649="","",H649-F649*IFERROR(INDEX(الأصناف!$D$2:$D$2000,MATCH(D649,الأصناف!$A$2:$A$2000,0)),0))</f>
        <v/>
      </c>
      <c r="J649" s="4" t="n"/>
      <c r="K649" s="7">
        <f>IF(OR(B649="",B649&lt;&gt;الإيصال!$C$3),"",COUNTIF(B$2:B649,الإيصال!$C$3))</f>
        <v/>
      </c>
    </row>
    <row r="650">
      <c r="A650" s="6" t="n"/>
      <c r="B650" s="4" t="n"/>
      <c r="C650" s="4" t="n"/>
      <c r="D650" s="4" t="n"/>
      <c r="E650">
        <f>IF(D650="","",IFERROR(INDEX(الأصناف!$B$2:$B$2000,MATCH(D650,الأصناف!$A$2:$A$2000,0)),"كود غير موجود"))</f>
        <v/>
      </c>
      <c r="F650" s="4" t="n"/>
      <c r="G650">
        <f>IF(D650="","",IFERROR(INDEX(الأصناف!$C$2:$C$2000,MATCH(D650,الأصناف!$A$2:$A$2000,0)),0))</f>
        <v/>
      </c>
      <c r="H650">
        <f>IF(D650="","",F650*G650)</f>
        <v/>
      </c>
      <c r="I650">
        <f>IF(D650="","",H650-F650*IFERROR(INDEX(الأصناف!$D$2:$D$2000,MATCH(D650,الأصناف!$A$2:$A$2000,0)),0))</f>
        <v/>
      </c>
      <c r="J650" s="4" t="n"/>
      <c r="K650" s="7">
        <f>IF(OR(B650="",B650&lt;&gt;الإيصال!$C$3),"",COUNTIF(B$2:B650,الإيصال!$C$3))</f>
        <v/>
      </c>
    </row>
    <row r="651">
      <c r="A651" s="6" t="n"/>
      <c r="B651" s="4" t="n"/>
      <c r="C651" s="4" t="n"/>
      <c r="D651" s="4" t="n"/>
      <c r="E651">
        <f>IF(D651="","",IFERROR(INDEX(الأصناف!$B$2:$B$2000,MATCH(D651,الأصناف!$A$2:$A$2000,0)),"كود غير موجود"))</f>
        <v/>
      </c>
      <c r="F651" s="4" t="n"/>
      <c r="G651">
        <f>IF(D651="","",IFERROR(INDEX(الأصناف!$C$2:$C$2000,MATCH(D651,الأصناف!$A$2:$A$2000,0)),0))</f>
        <v/>
      </c>
      <c r="H651">
        <f>IF(D651="","",F651*G651)</f>
        <v/>
      </c>
      <c r="I651">
        <f>IF(D651="","",H651-F651*IFERROR(INDEX(الأصناف!$D$2:$D$2000,MATCH(D651,الأصناف!$A$2:$A$2000,0)),0))</f>
        <v/>
      </c>
      <c r="J651" s="4" t="n"/>
      <c r="K651" s="7">
        <f>IF(OR(B651="",B651&lt;&gt;الإيصال!$C$3),"",COUNTIF(B$2:B651,الإيصال!$C$3))</f>
        <v/>
      </c>
    </row>
    <row r="652">
      <c r="A652" s="6" t="n"/>
      <c r="B652" s="4" t="n"/>
      <c r="C652" s="4" t="n"/>
      <c r="D652" s="4" t="n"/>
      <c r="E652">
        <f>IF(D652="","",IFERROR(INDEX(الأصناف!$B$2:$B$2000,MATCH(D652,الأصناف!$A$2:$A$2000,0)),"كود غير موجود"))</f>
        <v/>
      </c>
      <c r="F652" s="4" t="n"/>
      <c r="G652">
        <f>IF(D652="","",IFERROR(INDEX(الأصناف!$C$2:$C$2000,MATCH(D652,الأصناف!$A$2:$A$2000,0)),0))</f>
        <v/>
      </c>
      <c r="H652">
        <f>IF(D652="","",F652*G652)</f>
        <v/>
      </c>
      <c r="I652">
        <f>IF(D652="","",H652-F652*IFERROR(INDEX(الأصناف!$D$2:$D$2000,MATCH(D652,الأصناف!$A$2:$A$2000,0)),0))</f>
        <v/>
      </c>
      <c r="J652" s="4" t="n"/>
      <c r="K652" s="7">
        <f>IF(OR(B652="",B652&lt;&gt;الإيصال!$C$3),"",COUNTIF(B$2:B652,الإيصال!$C$3))</f>
        <v/>
      </c>
    </row>
    <row r="653">
      <c r="A653" s="6" t="n"/>
      <c r="B653" s="4" t="n"/>
      <c r="C653" s="4" t="n"/>
      <c r="D653" s="4" t="n"/>
      <c r="E653">
        <f>IF(D653="","",IFERROR(INDEX(الأصناف!$B$2:$B$2000,MATCH(D653,الأصناف!$A$2:$A$2000,0)),"كود غير موجود"))</f>
        <v/>
      </c>
      <c r="F653" s="4" t="n"/>
      <c r="G653">
        <f>IF(D653="","",IFERROR(INDEX(الأصناف!$C$2:$C$2000,MATCH(D653,الأصناف!$A$2:$A$2000,0)),0))</f>
        <v/>
      </c>
      <c r="H653">
        <f>IF(D653="","",F653*G653)</f>
        <v/>
      </c>
      <c r="I653">
        <f>IF(D653="","",H653-F653*IFERROR(INDEX(الأصناف!$D$2:$D$2000,MATCH(D653,الأصناف!$A$2:$A$2000,0)),0))</f>
        <v/>
      </c>
      <c r="J653" s="4" t="n"/>
      <c r="K653" s="7">
        <f>IF(OR(B653="",B653&lt;&gt;الإيصال!$C$3),"",COUNTIF(B$2:B653,الإيصال!$C$3))</f>
        <v/>
      </c>
    </row>
    <row r="654">
      <c r="A654" s="6" t="n"/>
      <c r="B654" s="4" t="n"/>
      <c r="C654" s="4" t="n"/>
      <c r="D654" s="4" t="n"/>
      <c r="E654">
        <f>IF(D654="","",IFERROR(INDEX(الأصناف!$B$2:$B$2000,MATCH(D654,الأصناف!$A$2:$A$2000,0)),"كود غير موجود"))</f>
        <v/>
      </c>
      <c r="F654" s="4" t="n"/>
      <c r="G654">
        <f>IF(D654="","",IFERROR(INDEX(الأصناف!$C$2:$C$2000,MATCH(D654,الأصناف!$A$2:$A$2000,0)),0))</f>
        <v/>
      </c>
      <c r="H654">
        <f>IF(D654="","",F654*G654)</f>
        <v/>
      </c>
      <c r="I654">
        <f>IF(D654="","",H654-F654*IFERROR(INDEX(الأصناف!$D$2:$D$2000,MATCH(D654,الأصناف!$A$2:$A$2000,0)),0))</f>
        <v/>
      </c>
      <c r="J654" s="4" t="n"/>
      <c r="K654" s="7">
        <f>IF(OR(B654="",B654&lt;&gt;الإيصال!$C$3),"",COUNTIF(B$2:B654,الإيصال!$C$3))</f>
        <v/>
      </c>
    </row>
    <row r="655">
      <c r="A655" s="6" t="n"/>
      <c r="B655" s="4" t="n"/>
      <c r="C655" s="4" t="n"/>
      <c r="D655" s="4" t="n"/>
      <c r="E655">
        <f>IF(D655="","",IFERROR(INDEX(الأصناف!$B$2:$B$2000,MATCH(D655,الأصناف!$A$2:$A$2000,0)),"كود غير موجود"))</f>
        <v/>
      </c>
      <c r="F655" s="4" t="n"/>
      <c r="G655">
        <f>IF(D655="","",IFERROR(INDEX(الأصناف!$C$2:$C$2000,MATCH(D655,الأصناف!$A$2:$A$2000,0)),0))</f>
        <v/>
      </c>
      <c r="H655">
        <f>IF(D655="","",F655*G655)</f>
        <v/>
      </c>
      <c r="I655">
        <f>IF(D655="","",H655-F655*IFERROR(INDEX(الأصناف!$D$2:$D$2000,MATCH(D655,الأصناف!$A$2:$A$2000,0)),0))</f>
        <v/>
      </c>
      <c r="J655" s="4" t="n"/>
      <c r="K655" s="7">
        <f>IF(OR(B655="",B655&lt;&gt;الإيصال!$C$3),"",COUNTIF(B$2:B655,الإيصال!$C$3))</f>
        <v/>
      </c>
    </row>
    <row r="656">
      <c r="A656" s="6" t="n"/>
      <c r="B656" s="4" t="n"/>
      <c r="C656" s="4" t="n"/>
      <c r="D656" s="4" t="n"/>
      <c r="E656">
        <f>IF(D656="","",IFERROR(INDEX(الأصناف!$B$2:$B$2000,MATCH(D656,الأصناف!$A$2:$A$2000,0)),"كود غير موجود"))</f>
        <v/>
      </c>
      <c r="F656" s="4" t="n"/>
      <c r="G656">
        <f>IF(D656="","",IFERROR(INDEX(الأصناف!$C$2:$C$2000,MATCH(D656,الأصناف!$A$2:$A$2000,0)),0))</f>
        <v/>
      </c>
      <c r="H656">
        <f>IF(D656="","",F656*G656)</f>
        <v/>
      </c>
      <c r="I656">
        <f>IF(D656="","",H656-F656*IFERROR(INDEX(الأصناف!$D$2:$D$2000,MATCH(D656,الأصناف!$A$2:$A$2000,0)),0))</f>
        <v/>
      </c>
      <c r="J656" s="4" t="n"/>
      <c r="K656" s="7">
        <f>IF(OR(B656="",B656&lt;&gt;الإيصال!$C$3),"",COUNTIF(B$2:B656,الإيصال!$C$3))</f>
        <v/>
      </c>
    </row>
    <row r="657">
      <c r="A657" s="6" t="n"/>
      <c r="B657" s="4" t="n"/>
      <c r="C657" s="4" t="n"/>
      <c r="D657" s="4" t="n"/>
      <c r="E657">
        <f>IF(D657="","",IFERROR(INDEX(الأصناف!$B$2:$B$2000,MATCH(D657,الأصناف!$A$2:$A$2000,0)),"كود غير موجود"))</f>
        <v/>
      </c>
      <c r="F657" s="4" t="n"/>
      <c r="G657">
        <f>IF(D657="","",IFERROR(INDEX(الأصناف!$C$2:$C$2000,MATCH(D657,الأصناف!$A$2:$A$2000,0)),0))</f>
        <v/>
      </c>
      <c r="H657">
        <f>IF(D657="","",F657*G657)</f>
        <v/>
      </c>
      <c r="I657">
        <f>IF(D657="","",H657-F657*IFERROR(INDEX(الأصناف!$D$2:$D$2000,MATCH(D657,الأصناف!$A$2:$A$2000,0)),0))</f>
        <v/>
      </c>
      <c r="J657" s="4" t="n"/>
      <c r="K657" s="7">
        <f>IF(OR(B657="",B657&lt;&gt;الإيصال!$C$3),"",COUNTIF(B$2:B657,الإيصال!$C$3))</f>
        <v/>
      </c>
    </row>
    <row r="658">
      <c r="A658" s="6" t="n"/>
      <c r="B658" s="4" t="n"/>
      <c r="C658" s="4" t="n"/>
      <c r="D658" s="4" t="n"/>
      <c r="E658">
        <f>IF(D658="","",IFERROR(INDEX(الأصناف!$B$2:$B$2000,MATCH(D658,الأصناف!$A$2:$A$2000,0)),"كود غير موجود"))</f>
        <v/>
      </c>
      <c r="F658" s="4" t="n"/>
      <c r="G658">
        <f>IF(D658="","",IFERROR(INDEX(الأصناف!$C$2:$C$2000,MATCH(D658,الأصناف!$A$2:$A$2000,0)),0))</f>
        <v/>
      </c>
      <c r="H658">
        <f>IF(D658="","",F658*G658)</f>
        <v/>
      </c>
      <c r="I658">
        <f>IF(D658="","",H658-F658*IFERROR(INDEX(الأصناف!$D$2:$D$2000,MATCH(D658,الأصناف!$A$2:$A$2000,0)),0))</f>
        <v/>
      </c>
      <c r="J658" s="4" t="n"/>
      <c r="K658" s="7">
        <f>IF(OR(B658="",B658&lt;&gt;الإيصال!$C$3),"",COUNTIF(B$2:B658,الإيصال!$C$3))</f>
        <v/>
      </c>
    </row>
    <row r="659">
      <c r="A659" s="6" t="n"/>
      <c r="B659" s="4" t="n"/>
      <c r="C659" s="4" t="n"/>
      <c r="D659" s="4" t="n"/>
      <c r="E659">
        <f>IF(D659="","",IFERROR(INDEX(الأصناف!$B$2:$B$2000,MATCH(D659,الأصناف!$A$2:$A$2000,0)),"كود غير موجود"))</f>
        <v/>
      </c>
      <c r="F659" s="4" t="n"/>
      <c r="G659">
        <f>IF(D659="","",IFERROR(INDEX(الأصناف!$C$2:$C$2000,MATCH(D659,الأصناف!$A$2:$A$2000,0)),0))</f>
        <v/>
      </c>
      <c r="H659">
        <f>IF(D659="","",F659*G659)</f>
        <v/>
      </c>
      <c r="I659">
        <f>IF(D659="","",H659-F659*IFERROR(INDEX(الأصناف!$D$2:$D$2000,MATCH(D659,الأصناف!$A$2:$A$2000,0)),0))</f>
        <v/>
      </c>
      <c r="J659" s="4" t="n"/>
      <c r="K659" s="7">
        <f>IF(OR(B659="",B659&lt;&gt;الإيصال!$C$3),"",COUNTIF(B$2:B659,الإيصال!$C$3))</f>
        <v/>
      </c>
    </row>
    <row r="660">
      <c r="A660" s="6" t="n"/>
      <c r="B660" s="4" t="n"/>
      <c r="C660" s="4" t="n"/>
      <c r="D660" s="4" t="n"/>
      <c r="E660">
        <f>IF(D660="","",IFERROR(INDEX(الأصناف!$B$2:$B$2000,MATCH(D660,الأصناف!$A$2:$A$2000,0)),"كود غير موجود"))</f>
        <v/>
      </c>
      <c r="F660" s="4" t="n"/>
      <c r="G660">
        <f>IF(D660="","",IFERROR(INDEX(الأصناف!$C$2:$C$2000,MATCH(D660,الأصناف!$A$2:$A$2000,0)),0))</f>
        <v/>
      </c>
      <c r="H660">
        <f>IF(D660="","",F660*G660)</f>
        <v/>
      </c>
      <c r="I660">
        <f>IF(D660="","",H660-F660*IFERROR(INDEX(الأصناف!$D$2:$D$2000,MATCH(D660,الأصناف!$A$2:$A$2000,0)),0))</f>
        <v/>
      </c>
      <c r="J660" s="4" t="n"/>
      <c r="K660" s="7">
        <f>IF(OR(B660="",B660&lt;&gt;الإيصال!$C$3),"",COUNTIF(B$2:B660,الإيصال!$C$3))</f>
        <v/>
      </c>
    </row>
    <row r="661">
      <c r="A661" s="6" t="n"/>
      <c r="B661" s="4" t="n"/>
      <c r="C661" s="4" t="n"/>
      <c r="D661" s="4" t="n"/>
      <c r="E661">
        <f>IF(D661="","",IFERROR(INDEX(الأصناف!$B$2:$B$2000,MATCH(D661,الأصناف!$A$2:$A$2000,0)),"كود غير موجود"))</f>
        <v/>
      </c>
      <c r="F661" s="4" t="n"/>
      <c r="G661">
        <f>IF(D661="","",IFERROR(INDEX(الأصناف!$C$2:$C$2000,MATCH(D661,الأصناف!$A$2:$A$2000,0)),0))</f>
        <v/>
      </c>
      <c r="H661">
        <f>IF(D661="","",F661*G661)</f>
        <v/>
      </c>
      <c r="I661">
        <f>IF(D661="","",H661-F661*IFERROR(INDEX(الأصناف!$D$2:$D$2000,MATCH(D661,الأصناف!$A$2:$A$2000,0)),0))</f>
        <v/>
      </c>
      <c r="J661" s="4" t="n"/>
      <c r="K661" s="7">
        <f>IF(OR(B661="",B661&lt;&gt;الإيصال!$C$3),"",COUNTIF(B$2:B661,الإيصال!$C$3))</f>
        <v/>
      </c>
    </row>
    <row r="662">
      <c r="A662" s="6" t="n"/>
      <c r="B662" s="4" t="n"/>
      <c r="C662" s="4" t="n"/>
      <c r="D662" s="4" t="n"/>
      <c r="E662">
        <f>IF(D662="","",IFERROR(INDEX(الأصناف!$B$2:$B$2000,MATCH(D662,الأصناف!$A$2:$A$2000,0)),"كود غير موجود"))</f>
        <v/>
      </c>
      <c r="F662" s="4" t="n"/>
      <c r="G662">
        <f>IF(D662="","",IFERROR(INDEX(الأصناف!$C$2:$C$2000,MATCH(D662,الأصناف!$A$2:$A$2000,0)),0))</f>
        <v/>
      </c>
      <c r="H662">
        <f>IF(D662="","",F662*G662)</f>
        <v/>
      </c>
      <c r="I662">
        <f>IF(D662="","",H662-F662*IFERROR(INDEX(الأصناف!$D$2:$D$2000,MATCH(D662,الأصناف!$A$2:$A$2000,0)),0))</f>
        <v/>
      </c>
      <c r="J662" s="4" t="n"/>
      <c r="K662" s="7">
        <f>IF(OR(B662="",B662&lt;&gt;الإيصال!$C$3),"",COUNTIF(B$2:B662,الإيصال!$C$3))</f>
        <v/>
      </c>
    </row>
    <row r="663">
      <c r="A663" s="6" t="n"/>
      <c r="B663" s="4" t="n"/>
      <c r="C663" s="4" t="n"/>
      <c r="D663" s="4" t="n"/>
      <c r="E663">
        <f>IF(D663="","",IFERROR(INDEX(الأصناف!$B$2:$B$2000,MATCH(D663,الأصناف!$A$2:$A$2000,0)),"كود غير موجود"))</f>
        <v/>
      </c>
      <c r="F663" s="4" t="n"/>
      <c r="G663">
        <f>IF(D663="","",IFERROR(INDEX(الأصناف!$C$2:$C$2000,MATCH(D663,الأصناف!$A$2:$A$2000,0)),0))</f>
        <v/>
      </c>
      <c r="H663">
        <f>IF(D663="","",F663*G663)</f>
        <v/>
      </c>
      <c r="I663">
        <f>IF(D663="","",H663-F663*IFERROR(INDEX(الأصناف!$D$2:$D$2000,MATCH(D663,الأصناف!$A$2:$A$2000,0)),0))</f>
        <v/>
      </c>
      <c r="J663" s="4" t="n"/>
      <c r="K663" s="7">
        <f>IF(OR(B663="",B663&lt;&gt;الإيصال!$C$3),"",COUNTIF(B$2:B663,الإيصال!$C$3))</f>
        <v/>
      </c>
    </row>
    <row r="664">
      <c r="A664" s="6" t="n"/>
      <c r="B664" s="4" t="n"/>
      <c r="C664" s="4" t="n"/>
      <c r="D664" s="4" t="n"/>
      <c r="E664">
        <f>IF(D664="","",IFERROR(INDEX(الأصناف!$B$2:$B$2000,MATCH(D664,الأصناف!$A$2:$A$2000,0)),"كود غير موجود"))</f>
        <v/>
      </c>
      <c r="F664" s="4" t="n"/>
      <c r="G664">
        <f>IF(D664="","",IFERROR(INDEX(الأصناف!$C$2:$C$2000,MATCH(D664,الأصناف!$A$2:$A$2000,0)),0))</f>
        <v/>
      </c>
      <c r="H664">
        <f>IF(D664="","",F664*G664)</f>
        <v/>
      </c>
      <c r="I664">
        <f>IF(D664="","",H664-F664*IFERROR(INDEX(الأصناف!$D$2:$D$2000,MATCH(D664,الأصناف!$A$2:$A$2000,0)),0))</f>
        <v/>
      </c>
      <c r="J664" s="4" t="n"/>
      <c r="K664" s="7">
        <f>IF(OR(B664="",B664&lt;&gt;الإيصال!$C$3),"",COUNTIF(B$2:B664,الإيصال!$C$3))</f>
        <v/>
      </c>
    </row>
    <row r="665">
      <c r="A665" s="6" t="n"/>
      <c r="B665" s="4" t="n"/>
      <c r="C665" s="4" t="n"/>
      <c r="D665" s="4" t="n"/>
      <c r="E665">
        <f>IF(D665="","",IFERROR(INDEX(الأصناف!$B$2:$B$2000,MATCH(D665,الأصناف!$A$2:$A$2000,0)),"كود غير موجود"))</f>
        <v/>
      </c>
      <c r="F665" s="4" t="n"/>
      <c r="G665">
        <f>IF(D665="","",IFERROR(INDEX(الأصناف!$C$2:$C$2000,MATCH(D665,الأصناف!$A$2:$A$2000,0)),0))</f>
        <v/>
      </c>
      <c r="H665">
        <f>IF(D665="","",F665*G665)</f>
        <v/>
      </c>
      <c r="I665">
        <f>IF(D665="","",H665-F665*IFERROR(INDEX(الأصناف!$D$2:$D$2000,MATCH(D665,الأصناف!$A$2:$A$2000,0)),0))</f>
        <v/>
      </c>
      <c r="J665" s="4" t="n"/>
      <c r="K665" s="7">
        <f>IF(OR(B665="",B665&lt;&gt;الإيصال!$C$3),"",COUNTIF(B$2:B665,الإيصال!$C$3))</f>
        <v/>
      </c>
    </row>
    <row r="666">
      <c r="A666" s="6" t="n"/>
      <c r="B666" s="4" t="n"/>
      <c r="C666" s="4" t="n"/>
      <c r="D666" s="4" t="n"/>
      <c r="E666">
        <f>IF(D666="","",IFERROR(INDEX(الأصناف!$B$2:$B$2000,MATCH(D666,الأصناف!$A$2:$A$2000,0)),"كود غير موجود"))</f>
        <v/>
      </c>
      <c r="F666" s="4" t="n"/>
      <c r="G666">
        <f>IF(D666="","",IFERROR(INDEX(الأصناف!$C$2:$C$2000,MATCH(D666,الأصناف!$A$2:$A$2000,0)),0))</f>
        <v/>
      </c>
      <c r="H666">
        <f>IF(D666="","",F666*G666)</f>
        <v/>
      </c>
      <c r="I666">
        <f>IF(D666="","",H666-F666*IFERROR(INDEX(الأصناف!$D$2:$D$2000,MATCH(D666,الأصناف!$A$2:$A$2000,0)),0))</f>
        <v/>
      </c>
      <c r="J666" s="4" t="n"/>
      <c r="K666" s="7">
        <f>IF(OR(B666="",B666&lt;&gt;الإيصال!$C$3),"",COUNTIF(B$2:B666,الإيصال!$C$3))</f>
        <v/>
      </c>
    </row>
    <row r="667">
      <c r="A667" s="6" t="n"/>
      <c r="B667" s="4" t="n"/>
      <c r="C667" s="4" t="n"/>
      <c r="D667" s="4" t="n"/>
      <c r="E667">
        <f>IF(D667="","",IFERROR(INDEX(الأصناف!$B$2:$B$2000,MATCH(D667,الأصناف!$A$2:$A$2000,0)),"كود غير موجود"))</f>
        <v/>
      </c>
      <c r="F667" s="4" t="n"/>
      <c r="G667">
        <f>IF(D667="","",IFERROR(INDEX(الأصناف!$C$2:$C$2000,MATCH(D667,الأصناف!$A$2:$A$2000,0)),0))</f>
        <v/>
      </c>
      <c r="H667">
        <f>IF(D667="","",F667*G667)</f>
        <v/>
      </c>
      <c r="I667">
        <f>IF(D667="","",H667-F667*IFERROR(INDEX(الأصناف!$D$2:$D$2000,MATCH(D667,الأصناف!$A$2:$A$2000,0)),0))</f>
        <v/>
      </c>
      <c r="J667" s="4" t="n"/>
      <c r="K667" s="7">
        <f>IF(OR(B667="",B667&lt;&gt;الإيصال!$C$3),"",COUNTIF(B$2:B667,الإيصال!$C$3))</f>
        <v/>
      </c>
    </row>
    <row r="668">
      <c r="A668" s="6" t="n"/>
      <c r="B668" s="4" t="n"/>
      <c r="C668" s="4" t="n"/>
      <c r="D668" s="4" t="n"/>
      <c r="E668">
        <f>IF(D668="","",IFERROR(INDEX(الأصناف!$B$2:$B$2000,MATCH(D668,الأصناف!$A$2:$A$2000,0)),"كود غير موجود"))</f>
        <v/>
      </c>
      <c r="F668" s="4" t="n"/>
      <c r="G668">
        <f>IF(D668="","",IFERROR(INDEX(الأصناف!$C$2:$C$2000,MATCH(D668,الأصناف!$A$2:$A$2000,0)),0))</f>
        <v/>
      </c>
      <c r="H668">
        <f>IF(D668="","",F668*G668)</f>
        <v/>
      </c>
      <c r="I668">
        <f>IF(D668="","",H668-F668*IFERROR(INDEX(الأصناف!$D$2:$D$2000,MATCH(D668,الأصناف!$A$2:$A$2000,0)),0))</f>
        <v/>
      </c>
      <c r="J668" s="4" t="n"/>
      <c r="K668" s="7">
        <f>IF(OR(B668="",B668&lt;&gt;الإيصال!$C$3),"",COUNTIF(B$2:B668,الإيصال!$C$3))</f>
        <v/>
      </c>
    </row>
    <row r="669">
      <c r="A669" s="6" t="n"/>
      <c r="B669" s="4" t="n"/>
      <c r="C669" s="4" t="n"/>
      <c r="D669" s="4" t="n"/>
      <c r="E669">
        <f>IF(D669="","",IFERROR(INDEX(الأصناف!$B$2:$B$2000,MATCH(D669,الأصناف!$A$2:$A$2000,0)),"كود غير موجود"))</f>
        <v/>
      </c>
      <c r="F669" s="4" t="n"/>
      <c r="G669">
        <f>IF(D669="","",IFERROR(INDEX(الأصناف!$C$2:$C$2000,MATCH(D669,الأصناف!$A$2:$A$2000,0)),0))</f>
        <v/>
      </c>
      <c r="H669">
        <f>IF(D669="","",F669*G669)</f>
        <v/>
      </c>
      <c r="I669">
        <f>IF(D669="","",H669-F669*IFERROR(INDEX(الأصناف!$D$2:$D$2000,MATCH(D669,الأصناف!$A$2:$A$2000,0)),0))</f>
        <v/>
      </c>
      <c r="J669" s="4" t="n"/>
      <c r="K669" s="7">
        <f>IF(OR(B669="",B669&lt;&gt;الإيصال!$C$3),"",COUNTIF(B$2:B669,الإيصال!$C$3))</f>
        <v/>
      </c>
    </row>
    <row r="670">
      <c r="A670" s="6" t="n"/>
      <c r="B670" s="4" t="n"/>
      <c r="C670" s="4" t="n"/>
      <c r="D670" s="4" t="n"/>
      <c r="E670">
        <f>IF(D670="","",IFERROR(INDEX(الأصناف!$B$2:$B$2000,MATCH(D670,الأصناف!$A$2:$A$2000,0)),"كود غير موجود"))</f>
        <v/>
      </c>
      <c r="F670" s="4" t="n"/>
      <c r="G670">
        <f>IF(D670="","",IFERROR(INDEX(الأصناف!$C$2:$C$2000,MATCH(D670,الأصناف!$A$2:$A$2000,0)),0))</f>
        <v/>
      </c>
      <c r="H670">
        <f>IF(D670="","",F670*G670)</f>
        <v/>
      </c>
      <c r="I670">
        <f>IF(D670="","",H670-F670*IFERROR(INDEX(الأصناف!$D$2:$D$2000,MATCH(D670,الأصناف!$A$2:$A$2000,0)),0))</f>
        <v/>
      </c>
      <c r="J670" s="4" t="n"/>
      <c r="K670" s="7">
        <f>IF(OR(B670="",B670&lt;&gt;الإيصال!$C$3),"",COUNTIF(B$2:B670,الإيصال!$C$3))</f>
        <v/>
      </c>
    </row>
    <row r="671">
      <c r="A671" s="6" t="n"/>
      <c r="B671" s="4" t="n"/>
      <c r="C671" s="4" t="n"/>
      <c r="D671" s="4" t="n"/>
      <c r="E671">
        <f>IF(D671="","",IFERROR(INDEX(الأصناف!$B$2:$B$2000,MATCH(D671,الأصناف!$A$2:$A$2000,0)),"كود غير موجود"))</f>
        <v/>
      </c>
      <c r="F671" s="4" t="n"/>
      <c r="G671">
        <f>IF(D671="","",IFERROR(INDEX(الأصناف!$C$2:$C$2000,MATCH(D671,الأصناف!$A$2:$A$2000,0)),0))</f>
        <v/>
      </c>
      <c r="H671">
        <f>IF(D671="","",F671*G671)</f>
        <v/>
      </c>
      <c r="I671">
        <f>IF(D671="","",H671-F671*IFERROR(INDEX(الأصناف!$D$2:$D$2000,MATCH(D671,الأصناف!$A$2:$A$2000,0)),0))</f>
        <v/>
      </c>
      <c r="J671" s="4" t="n"/>
      <c r="K671" s="7">
        <f>IF(OR(B671="",B671&lt;&gt;الإيصال!$C$3),"",COUNTIF(B$2:B671,الإيصال!$C$3))</f>
        <v/>
      </c>
    </row>
    <row r="672">
      <c r="A672" s="6" t="n"/>
      <c r="B672" s="4" t="n"/>
      <c r="C672" s="4" t="n"/>
      <c r="D672" s="4" t="n"/>
      <c r="E672">
        <f>IF(D672="","",IFERROR(INDEX(الأصناف!$B$2:$B$2000,MATCH(D672,الأصناف!$A$2:$A$2000,0)),"كود غير موجود"))</f>
        <v/>
      </c>
      <c r="F672" s="4" t="n"/>
      <c r="G672">
        <f>IF(D672="","",IFERROR(INDEX(الأصناف!$C$2:$C$2000,MATCH(D672,الأصناف!$A$2:$A$2000,0)),0))</f>
        <v/>
      </c>
      <c r="H672">
        <f>IF(D672="","",F672*G672)</f>
        <v/>
      </c>
      <c r="I672">
        <f>IF(D672="","",H672-F672*IFERROR(INDEX(الأصناف!$D$2:$D$2000,MATCH(D672,الأصناف!$A$2:$A$2000,0)),0))</f>
        <v/>
      </c>
      <c r="J672" s="4" t="n"/>
      <c r="K672" s="7">
        <f>IF(OR(B672="",B672&lt;&gt;الإيصال!$C$3),"",COUNTIF(B$2:B672,الإيصال!$C$3))</f>
        <v/>
      </c>
    </row>
    <row r="673">
      <c r="A673" s="6" t="n"/>
      <c r="B673" s="4" t="n"/>
      <c r="C673" s="4" t="n"/>
      <c r="D673" s="4" t="n"/>
      <c r="E673">
        <f>IF(D673="","",IFERROR(INDEX(الأصناف!$B$2:$B$2000,MATCH(D673,الأصناف!$A$2:$A$2000,0)),"كود غير موجود"))</f>
        <v/>
      </c>
      <c r="F673" s="4" t="n"/>
      <c r="G673">
        <f>IF(D673="","",IFERROR(INDEX(الأصناف!$C$2:$C$2000,MATCH(D673,الأصناف!$A$2:$A$2000,0)),0))</f>
        <v/>
      </c>
      <c r="H673">
        <f>IF(D673="","",F673*G673)</f>
        <v/>
      </c>
      <c r="I673">
        <f>IF(D673="","",H673-F673*IFERROR(INDEX(الأصناف!$D$2:$D$2000,MATCH(D673,الأصناف!$A$2:$A$2000,0)),0))</f>
        <v/>
      </c>
      <c r="J673" s="4" t="n"/>
      <c r="K673" s="7">
        <f>IF(OR(B673="",B673&lt;&gt;الإيصال!$C$3),"",COUNTIF(B$2:B673,الإيصال!$C$3))</f>
        <v/>
      </c>
    </row>
    <row r="674">
      <c r="A674" s="6" t="n"/>
      <c r="B674" s="4" t="n"/>
      <c r="C674" s="4" t="n"/>
      <c r="D674" s="4" t="n"/>
      <c r="E674">
        <f>IF(D674="","",IFERROR(INDEX(الأصناف!$B$2:$B$2000,MATCH(D674,الأصناف!$A$2:$A$2000,0)),"كود غير موجود"))</f>
        <v/>
      </c>
      <c r="F674" s="4" t="n"/>
      <c r="G674">
        <f>IF(D674="","",IFERROR(INDEX(الأصناف!$C$2:$C$2000,MATCH(D674,الأصناف!$A$2:$A$2000,0)),0))</f>
        <v/>
      </c>
      <c r="H674">
        <f>IF(D674="","",F674*G674)</f>
        <v/>
      </c>
      <c r="I674">
        <f>IF(D674="","",H674-F674*IFERROR(INDEX(الأصناف!$D$2:$D$2000,MATCH(D674,الأصناف!$A$2:$A$2000,0)),0))</f>
        <v/>
      </c>
      <c r="J674" s="4" t="n"/>
      <c r="K674" s="7">
        <f>IF(OR(B674="",B674&lt;&gt;الإيصال!$C$3),"",COUNTIF(B$2:B674,الإيصال!$C$3))</f>
        <v/>
      </c>
    </row>
    <row r="675">
      <c r="A675" s="6" t="n"/>
      <c r="B675" s="4" t="n"/>
      <c r="C675" s="4" t="n"/>
      <c r="D675" s="4" t="n"/>
      <c r="E675">
        <f>IF(D675="","",IFERROR(INDEX(الأصناف!$B$2:$B$2000,MATCH(D675,الأصناف!$A$2:$A$2000,0)),"كود غير موجود"))</f>
        <v/>
      </c>
      <c r="F675" s="4" t="n"/>
      <c r="G675">
        <f>IF(D675="","",IFERROR(INDEX(الأصناف!$C$2:$C$2000,MATCH(D675,الأصناف!$A$2:$A$2000,0)),0))</f>
        <v/>
      </c>
      <c r="H675">
        <f>IF(D675="","",F675*G675)</f>
        <v/>
      </c>
      <c r="I675">
        <f>IF(D675="","",H675-F675*IFERROR(INDEX(الأصناف!$D$2:$D$2000,MATCH(D675,الأصناف!$A$2:$A$2000,0)),0))</f>
        <v/>
      </c>
      <c r="J675" s="4" t="n"/>
      <c r="K675" s="7">
        <f>IF(OR(B675="",B675&lt;&gt;الإيصال!$C$3),"",COUNTIF(B$2:B675,الإيصال!$C$3))</f>
        <v/>
      </c>
    </row>
    <row r="676">
      <c r="A676" s="6" t="n"/>
      <c r="B676" s="4" t="n"/>
      <c r="C676" s="4" t="n"/>
      <c r="D676" s="4" t="n"/>
      <c r="E676">
        <f>IF(D676="","",IFERROR(INDEX(الأصناف!$B$2:$B$2000,MATCH(D676,الأصناف!$A$2:$A$2000,0)),"كود غير موجود"))</f>
        <v/>
      </c>
      <c r="F676" s="4" t="n"/>
      <c r="G676">
        <f>IF(D676="","",IFERROR(INDEX(الأصناف!$C$2:$C$2000,MATCH(D676,الأصناف!$A$2:$A$2000,0)),0))</f>
        <v/>
      </c>
      <c r="H676">
        <f>IF(D676="","",F676*G676)</f>
        <v/>
      </c>
      <c r="I676">
        <f>IF(D676="","",H676-F676*IFERROR(INDEX(الأصناف!$D$2:$D$2000,MATCH(D676,الأصناف!$A$2:$A$2000,0)),0))</f>
        <v/>
      </c>
      <c r="J676" s="4" t="n"/>
      <c r="K676" s="7">
        <f>IF(OR(B676="",B676&lt;&gt;الإيصال!$C$3),"",COUNTIF(B$2:B676,الإيصال!$C$3))</f>
        <v/>
      </c>
    </row>
    <row r="677">
      <c r="A677" s="6" t="n"/>
      <c r="B677" s="4" t="n"/>
      <c r="C677" s="4" t="n"/>
      <c r="D677" s="4" t="n"/>
      <c r="E677">
        <f>IF(D677="","",IFERROR(INDEX(الأصناف!$B$2:$B$2000,MATCH(D677,الأصناف!$A$2:$A$2000,0)),"كود غير موجود"))</f>
        <v/>
      </c>
      <c r="F677" s="4" t="n"/>
      <c r="G677">
        <f>IF(D677="","",IFERROR(INDEX(الأصناف!$C$2:$C$2000,MATCH(D677,الأصناف!$A$2:$A$2000,0)),0))</f>
        <v/>
      </c>
      <c r="H677">
        <f>IF(D677="","",F677*G677)</f>
        <v/>
      </c>
      <c r="I677">
        <f>IF(D677="","",H677-F677*IFERROR(INDEX(الأصناف!$D$2:$D$2000,MATCH(D677,الأصناف!$A$2:$A$2000,0)),0))</f>
        <v/>
      </c>
      <c r="J677" s="4" t="n"/>
      <c r="K677" s="7">
        <f>IF(OR(B677="",B677&lt;&gt;الإيصال!$C$3),"",COUNTIF(B$2:B677,الإيصال!$C$3))</f>
        <v/>
      </c>
    </row>
    <row r="678">
      <c r="A678" s="6" t="n"/>
      <c r="B678" s="4" t="n"/>
      <c r="C678" s="4" t="n"/>
      <c r="D678" s="4" t="n"/>
      <c r="E678">
        <f>IF(D678="","",IFERROR(INDEX(الأصناف!$B$2:$B$2000,MATCH(D678,الأصناف!$A$2:$A$2000,0)),"كود غير موجود"))</f>
        <v/>
      </c>
      <c r="F678" s="4" t="n"/>
      <c r="G678">
        <f>IF(D678="","",IFERROR(INDEX(الأصناف!$C$2:$C$2000,MATCH(D678,الأصناف!$A$2:$A$2000,0)),0))</f>
        <v/>
      </c>
      <c r="H678">
        <f>IF(D678="","",F678*G678)</f>
        <v/>
      </c>
      <c r="I678">
        <f>IF(D678="","",H678-F678*IFERROR(INDEX(الأصناف!$D$2:$D$2000,MATCH(D678,الأصناف!$A$2:$A$2000,0)),0))</f>
        <v/>
      </c>
      <c r="J678" s="4" t="n"/>
      <c r="K678" s="7">
        <f>IF(OR(B678="",B678&lt;&gt;الإيصال!$C$3),"",COUNTIF(B$2:B678,الإيصال!$C$3))</f>
        <v/>
      </c>
    </row>
    <row r="679">
      <c r="A679" s="6" t="n"/>
      <c r="B679" s="4" t="n"/>
      <c r="C679" s="4" t="n"/>
      <c r="D679" s="4" t="n"/>
      <c r="E679">
        <f>IF(D679="","",IFERROR(INDEX(الأصناف!$B$2:$B$2000,MATCH(D679,الأصناف!$A$2:$A$2000,0)),"كود غير موجود"))</f>
        <v/>
      </c>
      <c r="F679" s="4" t="n"/>
      <c r="G679">
        <f>IF(D679="","",IFERROR(INDEX(الأصناف!$C$2:$C$2000,MATCH(D679,الأصناف!$A$2:$A$2000,0)),0))</f>
        <v/>
      </c>
      <c r="H679">
        <f>IF(D679="","",F679*G679)</f>
        <v/>
      </c>
      <c r="I679">
        <f>IF(D679="","",H679-F679*IFERROR(INDEX(الأصناف!$D$2:$D$2000,MATCH(D679,الأصناف!$A$2:$A$2000,0)),0))</f>
        <v/>
      </c>
      <c r="J679" s="4" t="n"/>
      <c r="K679" s="7">
        <f>IF(OR(B679="",B679&lt;&gt;الإيصال!$C$3),"",COUNTIF(B$2:B679,الإيصال!$C$3))</f>
        <v/>
      </c>
    </row>
    <row r="680">
      <c r="A680" s="6" t="n"/>
      <c r="B680" s="4" t="n"/>
      <c r="C680" s="4" t="n"/>
      <c r="D680" s="4" t="n"/>
      <c r="E680">
        <f>IF(D680="","",IFERROR(INDEX(الأصناف!$B$2:$B$2000,MATCH(D680,الأصناف!$A$2:$A$2000,0)),"كود غير موجود"))</f>
        <v/>
      </c>
      <c r="F680" s="4" t="n"/>
      <c r="G680">
        <f>IF(D680="","",IFERROR(INDEX(الأصناف!$C$2:$C$2000,MATCH(D680,الأصناف!$A$2:$A$2000,0)),0))</f>
        <v/>
      </c>
      <c r="H680">
        <f>IF(D680="","",F680*G680)</f>
        <v/>
      </c>
      <c r="I680">
        <f>IF(D680="","",H680-F680*IFERROR(INDEX(الأصناف!$D$2:$D$2000,MATCH(D680,الأصناف!$A$2:$A$2000,0)),0))</f>
        <v/>
      </c>
      <c r="J680" s="4" t="n"/>
      <c r="K680" s="7">
        <f>IF(OR(B680="",B680&lt;&gt;الإيصال!$C$3),"",COUNTIF(B$2:B680,الإيصال!$C$3))</f>
        <v/>
      </c>
    </row>
    <row r="681">
      <c r="A681" s="6" t="n"/>
      <c r="B681" s="4" t="n"/>
      <c r="C681" s="4" t="n"/>
      <c r="D681" s="4" t="n"/>
      <c r="E681">
        <f>IF(D681="","",IFERROR(INDEX(الأصناف!$B$2:$B$2000,MATCH(D681,الأصناف!$A$2:$A$2000,0)),"كود غير موجود"))</f>
        <v/>
      </c>
      <c r="F681" s="4" t="n"/>
      <c r="G681">
        <f>IF(D681="","",IFERROR(INDEX(الأصناف!$C$2:$C$2000,MATCH(D681,الأصناف!$A$2:$A$2000,0)),0))</f>
        <v/>
      </c>
      <c r="H681">
        <f>IF(D681="","",F681*G681)</f>
        <v/>
      </c>
      <c r="I681">
        <f>IF(D681="","",H681-F681*IFERROR(INDEX(الأصناف!$D$2:$D$2000,MATCH(D681,الأصناف!$A$2:$A$2000,0)),0))</f>
        <v/>
      </c>
      <c r="J681" s="4" t="n"/>
      <c r="K681" s="7">
        <f>IF(OR(B681="",B681&lt;&gt;الإيصال!$C$3),"",COUNTIF(B$2:B681,الإيصال!$C$3))</f>
        <v/>
      </c>
    </row>
    <row r="682">
      <c r="A682" s="6" t="n"/>
      <c r="B682" s="4" t="n"/>
      <c r="C682" s="4" t="n"/>
      <c r="D682" s="4" t="n"/>
      <c r="E682">
        <f>IF(D682="","",IFERROR(INDEX(الأصناف!$B$2:$B$2000,MATCH(D682,الأصناف!$A$2:$A$2000,0)),"كود غير موجود"))</f>
        <v/>
      </c>
      <c r="F682" s="4" t="n"/>
      <c r="G682">
        <f>IF(D682="","",IFERROR(INDEX(الأصناف!$C$2:$C$2000,MATCH(D682,الأصناف!$A$2:$A$2000,0)),0))</f>
        <v/>
      </c>
      <c r="H682">
        <f>IF(D682="","",F682*G682)</f>
        <v/>
      </c>
      <c r="I682">
        <f>IF(D682="","",H682-F682*IFERROR(INDEX(الأصناف!$D$2:$D$2000,MATCH(D682,الأصناف!$A$2:$A$2000,0)),0))</f>
        <v/>
      </c>
      <c r="J682" s="4" t="n"/>
      <c r="K682" s="7">
        <f>IF(OR(B682="",B682&lt;&gt;الإيصال!$C$3),"",COUNTIF(B$2:B682,الإيصال!$C$3))</f>
        <v/>
      </c>
    </row>
    <row r="683">
      <c r="A683" s="6" t="n"/>
      <c r="B683" s="4" t="n"/>
      <c r="C683" s="4" t="n"/>
      <c r="D683" s="4" t="n"/>
      <c r="E683">
        <f>IF(D683="","",IFERROR(INDEX(الأصناف!$B$2:$B$2000,MATCH(D683,الأصناف!$A$2:$A$2000,0)),"كود غير موجود"))</f>
        <v/>
      </c>
      <c r="F683" s="4" t="n"/>
      <c r="G683">
        <f>IF(D683="","",IFERROR(INDEX(الأصناف!$C$2:$C$2000,MATCH(D683,الأصناف!$A$2:$A$2000,0)),0))</f>
        <v/>
      </c>
      <c r="H683">
        <f>IF(D683="","",F683*G683)</f>
        <v/>
      </c>
      <c r="I683">
        <f>IF(D683="","",H683-F683*IFERROR(INDEX(الأصناف!$D$2:$D$2000,MATCH(D683,الأصناف!$A$2:$A$2000,0)),0))</f>
        <v/>
      </c>
      <c r="J683" s="4" t="n"/>
      <c r="K683" s="7">
        <f>IF(OR(B683="",B683&lt;&gt;الإيصال!$C$3),"",COUNTIF(B$2:B683,الإيصال!$C$3))</f>
        <v/>
      </c>
    </row>
    <row r="684">
      <c r="A684" s="6" t="n"/>
      <c r="B684" s="4" t="n"/>
      <c r="C684" s="4" t="n"/>
      <c r="D684" s="4" t="n"/>
      <c r="E684">
        <f>IF(D684="","",IFERROR(INDEX(الأصناف!$B$2:$B$2000,MATCH(D684,الأصناف!$A$2:$A$2000,0)),"كود غير موجود"))</f>
        <v/>
      </c>
      <c r="F684" s="4" t="n"/>
      <c r="G684">
        <f>IF(D684="","",IFERROR(INDEX(الأصناف!$C$2:$C$2000,MATCH(D684,الأصناف!$A$2:$A$2000,0)),0))</f>
        <v/>
      </c>
      <c r="H684">
        <f>IF(D684="","",F684*G684)</f>
        <v/>
      </c>
      <c r="I684">
        <f>IF(D684="","",H684-F684*IFERROR(INDEX(الأصناف!$D$2:$D$2000,MATCH(D684,الأصناف!$A$2:$A$2000,0)),0))</f>
        <v/>
      </c>
      <c r="J684" s="4" t="n"/>
      <c r="K684" s="7">
        <f>IF(OR(B684="",B684&lt;&gt;الإيصال!$C$3),"",COUNTIF(B$2:B684,الإيصال!$C$3))</f>
        <v/>
      </c>
    </row>
    <row r="685">
      <c r="A685" s="6" t="n"/>
      <c r="B685" s="4" t="n"/>
      <c r="C685" s="4" t="n"/>
      <c r="D685" s="4" t="n"/>
      <c r="E685">
        <f>IF(D685="","",IFERROR(INDEX(الأصناف!$B$2:$B$2000,MATCH(D685,الأصناف!$A$2:$A$2000,0)),"كود غير موجود"))</f>
        <v/>
      </c>
      <c r="F685" s="4" t="n"/>
      <c r="G685">
        <f>IF(D685="","",IFERROR(INDEX(الأصناف!$C$2:$C$2000,MATCH(D685,الأصناف!$A$2:$A$2000,0)),0))</f>
        <v/>
      </c>
      <c r="H685">
        <f>IF(D685="","",F685*G685)</f>
        <v/>
      </c>
      <c r="I685">
        <f>IF(D685="","",H685-F685*IFERROR(INDEX(الأصناف!$D$2:$D$2000,MATCH(D685,الأصناف!$A$2:$A$2000,0)),0))</f>
        <v/>
      </c>
      <c r="J685" s="4" t="n"/>
      <c r="K685" s="7">
        <f>IF(OR(B685="",B685&lt;&gt;الإيصال!$C$3),"",COUNTIF(B$2:B685,الإيصال!$C$3))</f>
        <v/>
      </c>
    </row>
    <row r="686">
      <c r="A686" s="6" t="n"/>
      <c r="B686" s="4" t="n"/>
      <c r="C686" s="4" t="n"/>
      <c r="D686" s="4" t="n"/>
      <c r="E686">
        <f>IF(D686="","",IFERROR(INDEX(الأصناف!$B$2:$B$2000,MATCH(D686,الأصناف!$A$2:$A$2000,0)),"كود غير موجود"))</f>
        <v/>
      </c>
      <c r="F686" s="4" t="n"/>
      <c r="G686">
        <f>IF(D686="","",IFERROR(INDEX(الأصناف!$C$2:$C$2000,MATCH(D686,الأصناف!$A$2:$A$2000,0)),0))</f>
        <v/>
      </c>
      <c r="H686">
        <f>IF(D686="","",F686*G686)</f>
        <v/>
      </c>
      <c r="I686">
        <f>IF(D686="","",H686-F686*IFERROR(INDEX(الأصناف!$D$2:$D$2000,MATCH(D686,الأصناف!$A$2:$A$2000,0)),0))</f>
        <v/>
      </c>
      <c r="J686" s="4" t="n"/>
      <c r="K686" s="7">
        <f>IF(OR(B686="",B686&lt;&gt;الإيصال!$C$3),"",COUNTIF(B$2:B686,الإيصال!$C$3))</f>
        <v/>
      </c>
    </row>
    <row r="687">
      <c r="A687" s="6" t="n"/>
      <c r="B687" s="4" t="n"/>
      <c r="C687" s="4" t="n"/>
      <c r="D687" s="4" t="n"/>
      <c r="E687">
        <f>IF(D687="","",IFERROR(INDEX(الأصناف!$B$2:$B$2000,MATCH(D687,الأصناف!$A$2:$A$2000,0)),"كود غير موجود"))</f>
        <v/>
      </c>
      <c r="F687" s="4" t="n"/>
      <c r="G687">
        <f>IF(D687="","",IFERROR(INDEX(الأصناف!$C$2:$C$2000,MATCH(D687,الأصناف!$A$2:$A$2000,0)),0))</f>
        <v/>
      </c>
      <c r="H687">
        <f>IF(D687="","",F687*G687)</f>
        <v/>
      </c>
      <c r="I687">
        <f>IF(D687="","",H687-F687*IFERROR(INDEX(الأصناف!$D$2:$D$2000,MATCH(D687,الأصناف!$A$2:$A$2000,0)),0))</f>
        <v/>
      </c>
      <c r="J687" s="4" t="n"/>
      <c r="K687" s="7">
        <f>IF(OR(B687="",B687&lt;&gt;الإيصال!$C$3),"",COUNTIF(B$2:B687,الإيصال!$C$3))</f>
        <v/>
      </c>
    </row>
    <row r="688">
      <c r="A688" s="6" t="n"/>
      <c r="B688" s="4" t="n"/>
      <c r="C688" s="4" t="n"/>
      <c r="D688" s="4" t="n"/>
      <c r="E688">
        <f>IF(D688="","",IFERROR(INDEX(الأصناف!$B$2:$B$2000,MATCH(D688,الأصناف!$A$2:$A$2000,0)),"كود غير موجود"))</f>
        <v/>
      </c>
      <c r="F688" s="4" t="n"/>
      <c r="G688">
        <f>IF(D688="","",IFERROR(INDEX(الأصناف!$C$2:$C$2000,MATCH(D688,الأصناف!$A$2:$A$2000,0)),0))</f>
        <v/>
      </c>
      <c r="H688">
        <f>IF(D688="","",F688*G688)</f>
        <v/>
      </c>
      <c r="I688">
        <f>IF(D688="","",H688-F688*IFERROR(INDEX(الأصناف!$D$2:$D$2000,MATCH(D688,الأصناف!$A$2:$A$2000,0)),0))</f>
        <v/>
      </c>
      <c r="J688" s="4" t="n"/>
      <c r="K688" s="7">
        <f>IF(OR(B688="",B688&lt;&gt;الإيصال!$C$3),"",COUNTIF(B$2:B688,الإيصال!$C$3))</f>
        <v/>
      </c>
    </row>
    <row r="689">
      <c r="A689" s="6" t="n"/>
      <c r="B689" s="4" t="n"/>
      <c r="C689" s="4" t="n"/>
      <c r="D689" s="4" t="n"/>
      <c r="E689">
        <f>IF(D689="","",IFERROR(INDEX(الأصناف!$B$2:$B$2000,MATCH(D689,الأصناف!$A$2:$A$2000,0)),"كود غير موجود"))</f>
        <v/>
      </c>
      <c r="F689" s="4" t="n"/>
      <c r="G689">
        <f>IF(D689="","",IFERROR(INDEX(الأصناف!$C$2:$C$2000,MATCH(D689,الأصناف!$A$2:$A$2000,0)),0))</f>
        <v/>
      </c>
      <c r="H689">
        <f>IF(D689="","",F689*G689)</f>
        <v/>
      </c>
      <c r="I689">
        <f>IF(D689="","",H689-F689*IFERROR(INDEX(الأصناف!$D$2:$D$2000,MATCH(D689,الأصناف!$A$2:$A$2000,0)),0))</f>
        <v/>
      </c>
      <c r="J689" s="4" t="n"/>
      <c r="K689" s="7">
        <f>IF(OR(B689="",B689&lt;&gt;الإيصال!$C$3),"",COUNTIF(B$2:B689,الإيصال!$C$3))</f>
        <v/>
      </c>
    </row>
    <row r="690">
      <c r="A690" s="6" t="n"/>
      <c r="B690" s="4" t="n"/>
      <c r="C690" s="4" t="n"/>
      <c r="D690" s="4" t="n"/>
      <c r="E690">
        <f>IF(D690="","",IFERROR(INDEX(الأصناف!$B$2:$B$2000,MATCH(D690,الأصناف!$A$2:$A$2000,0)),"كود غير موجود"))</f>
        <v/>
      </c>
      <c r="F690" s="4" t="n"/>
      <c r="G690">
        <f>IF(D690="","",IFERROR(INDEX(الأصناف!$C$2:$C$2000,MATCH(D690,الأصناف!$A$2:$A$2000,0)),0))</f>
        <v/>
      </c>
      <c r="H690">
        <f>IF(D690="","",F690*G690)</f>
        <v/>
      </c>
      <c r="I690">
        <f>IF(D690="","",H690-F690*IFERROR(INDEX(الأصناف!$D$2:$D$2000,MATCH(D690,الأصناف!$A$2:$A$2000,0)),0))</f>
        <v/>
      </c>
      <c r="J690" s="4" t="n"/>
      <c r="K690" s="7">
        <f>IF(OR(B690="",B690&lt;&gt;الإيصال!$C$3),"",COUNTIF(B$2:B690,الإيصال!$C$3))</f>
        <v/>
      </c>
    </row>
    <row r="691">
      <c r="A691" s="6" t="n"/>
      <c r="B691" s="4" t="n"/>
      <c r="C691" s="4" t="n"/>
      <c r="D691" s="4" t="n"/>
      <c r="E691">
        <f>IF(D691="","",IFERROR(INDEX(الأصناف!$B$2:$B$2000,MATCH(D691,الأصناف!$A$2:$A$2000,0)),"كود غير موجود"))</f>
        <v/>
      </c>
      <c r="F691" s="4" t="n"/>
      <c r="G691">
        <f>IF(D691="","",IFERROR(INDEX(الأصناف!$C$2:$C$2000,MATCH(D691,الأصناف!$A$2:$A$2000,0)),0))</f>
        <v/>
      </c>
      <c r="H691">
        <f>IF(D691="","",F691*G691)</f>
        <v/>
      </c>
      <c r="I691">
        <f>IF(D691="","",H691-F691*IFERROR(INDEX(الأصناف!$D$2:$D$2000,MATCH(D691,الأصناف!$A$2:$A$2000,0)),0))</f>
        <v/>
      </c>
      <c r="J691" s="4" t="n"/>
      <c r="K691" s="7">
        <f>IF(OR(B691="",B691&lt;&gt;الإيصال!$C$3),"",COUNTIF(B$2:B691,الإيصال!$C$3))</f>
        <v/>
      </c>
    </row>
    <row r="692">
      <c r="A692" s="6" t="n"/>
      <c r="B692" s="4" t="n"/>
      <c r="C692" s="4" t="n"/>
      <c r="D692" s="4" t="n"/>
      <c r="E692">
        <f>IF(D692="","",IFERROR(INDEX(الأصناف!$B$2:$B$2000,MATCH(D692,الأصناف!$A$2:$A$2000,0)),"كود غير موجود"))</f>
        <v/>
      </c>
      <c r="F692" s="4" t="n"/>
      <c r="G692">
        <f>IF(D692="","",IFERROR(INDEX(الأصناف!$C$2:$C$2000,MATCH(D692,الأصناف!$A$2:$A$2000,0)),0))</f>
        <v/>
      </c>
      <c r="H692">
        <f>IF(D692="","",F692*G692)</f>
        <v/>
      </c>
      <c r="I692">
        <f>IF(D692="","",H692-F692*IFERROR(INDEX(الأصناف!$D$2:$D$2000,MATCH(D692,الأصناف!$A$2:$A$2000,0)),0))</f>
        <v/>
      </c>
      <c r="J692" s="4" t="n"/>
      <c r="K692" s="7">
        <f>IF(OR(B692="",B692&lt;&gt;الإيصال!$C$3),"",COUNTIF(B$2:B692,الإيصال!$C$3))</f>
        <v/>
      </c>
    </row>
    <row r="693">
      <c r="A693" s="6" t="n"/>
      <c r="B693" s="4" t="n"/>
      <c r="C693" s="4" t="n"/>
      <c r="D693" s="4" t="n"/>
      <c r="E693">
        <f>IF(D693="","",IFERROR(INDEX(الأصناف!$B$2:$B$2000,MATCH(D693,الأصناف!$A$2:$A$2000,0)),"كود غير موجود"))</f>
        <v/>
      </c>
      <c r="F693" s="4" t="n"/>
      <c r="G693">
        <f>IF(D693="","",IFERROR(INDEX(الأصناف!$C$2:$C$2000,MATCH(D693,الأصناف!$A$2:$A$2000,0)),0))</f>
        <v/>
      </c>
      <c r="H693">
        <f>IF(D693="","",F693*G693)</f>
        <v/>
      </c>
      <c r="I693">
        <f>IF(D693="","",H693-F693*IFERROR(INDEX(الأصناف!$D$2:$D$2000,MATCH(D693,الأصناف!$A$2:$A$2000,0)),0))</f>
        <v/>
      </c>
      <c r="J693" s="4" t="n"/>
      <c r="K693" s="7">
        <f>IF(OR(B693="",B693&lt;&gt;الإيصال!$C$3),"",COUNTIF(B$2:B693,الإيصال!$C$3))</f>
        <v/>
      </c>
    </row>
    <row r="694">
      <c r="A694" s="6" t="n"/>
      <c r="B694" s="4" t="n"/>
      <c r="C694" s="4" t="n"/>
      <c r="D694" s="4" t="n"/>
      <c r="E694">
        <f>IF(D694="","",IFERROR(INDEX(الأصناف!$B$2:$B$2000,MATCH(D694,الأصناف!$A$2:$A$2000,0)),"كود غير موجود"))</f>
        <v/>
      </c>
      <c r="F694" s="4" t="n"/>
      <c r="G694">
        <f>IF(D694="","",IFERROR(INDEX(الأصناف!$C$2:$C$2000,MATCH(D694,الأصناف!$A$2:$A$2000,0)),0))</f>
        <v/>
      </c>
      <c r="H694">
        <f>IF(D694="","",F694*G694)</f>
        <v/>
      </c>
      <c r="I694">
        <f>IF(D694="","",H694-F694*IFERROR(INDEX(الأصناف!$D$2:$D$2000,MATCH(D694,الأصناف!$A$2:$A$2000,0)),0))</f>
        <v/>
      </c>
      <c r="J694" s="4" t="n"/>
      <c r="K694" s="7">
        <f>IF(OR(B694="",B694&lt;&gt;الإيصال!$C$3),"",COUNTIF(B$2:B694,الإيصال!$C$3))</f>
        <v/>
      </c>
    </row>
    <row r="695">
      <c r="A695" s="6" t="n"/>
      <c r="B695" s="4" t="n"/>
      <c r="C695" s="4" t="n"/>
      <c r="D695" s="4" t="n"/>
      <c r="E695">
        <f>IF(D695="","",IFERROR(INDEX(الأصناف!$B$2:$B$2000,MATCH(D695,الأصناف!$A$2:$A$2000,0)),"كود غير موجود"))</f>
        <v/>
      </c>
      <c r="F695" s="4" t="n"/>
      <c r="G695">
        <f>IF(D695="","",IFERROR(INDEX(الأصناف!$C$2:$C$2000,MATCH(D695,الأصناف!$A$2:$A$2000,0)),0))</f>
        <v/>
      </c>
      <c r="H695">
        <f>IF(D695="","",F695*G695)</f>
        <v/>
      </c>
      <c r="I695">
        <f>IF(D695="","",H695-F695*IFERROR(INDEX(الأصناف!$D$2:$D$2000,MATCH(D695,الأصناف!$A$2:$A$2000,0)),0))</f>
        <v/>
      </c>
      <c r="J695" s="4" t="n"/>
      <c r="K695" s="7">
        <f>IF(OR(B695="",B695&lt;&gt;الإيصال!$C$3),"",COUNTIF(B$2:B695,الإيصال!$C$3))</f>
        <v/>
      </c>
    </row>
    <row r="696">
      <c r="A696" s="6" t="n"/>
      <c r="B696" s="4" t="n"/>
      <c r="C696" s="4" t="n"/>
      <c r="D696" s="4" t="n"/>
      <c r="E696">
        <f>IF(D696="","",IFERROR(INDEX(الأصناف!$B$2:$B$2000,MATCH(D696,الأصناف!$A$2:$A$2000,0)),"كود غير موجود"))</f>
        <v/>
      </c>
      <c r="F696" s="4" t="n"/>
      <c r="G696">
        <f>IF(D696="","",IFERROR(INDEX(الأصناف!$C$2:$C$2000,MATCH(D696,الأصناف!$A$2:$A$2000,0)),0))</f>
        <v/>
      </c>
      <c r="H696">
        <f>IF(D696="","",F696*G696)</f>
        <v/>
      </c>
      <c r="I696">
        <f>IF(D696="","",H696-F696*IFERROR(INDEX(الأصناف!$D$2:$D$2000,MATCH(D696,الأصناف!$A$2:$A$2000,0)),0))</f>
        <v/>
      </c>
      <c r="J696" s="4" t="n"/>
      <c r="K696" s="7">
        <f>IF(OR(B696="",B696&lt;&gt;الإيصال!$C$3),"",COUNTIF(B$2:B696,الإيصال!$C$3))</f>
        <v/>
      </c>
    </row>
    <row r="697">
      <c r="A697" s="6" t="n"/>
      <c r="B697" s="4" t="n"/>
      <c r="C697" s="4" t="n"/>
      <c r="D697" s="4" t="n"/>
      <c r="E697">
        <f>IF(D697="","",IFERROR(INDEX(الأصناف!$B$2:$B$2000,MATCH(D697,الأصناف!$A$2:$A$2000,0)),"كود غير موجود"))</f>
        <v/>
      </c>
      <c r="F697" s="4" t="n"/>
      <c r="G697">
        <f>IF(D697="","",IFERROR(INDEX(الأصناف!$C$2:$C$2000,MATCH(D697,الأصناف!$A$2:$A$2000,0)),0))</f>
        <v/>
      </c>
      <c r="H697">
        <f>IF(D697="","",F697*G697)</f>
        <v/>
      </c>
      <c r="I697">
        <f>IF(D697="","",H697-F697*IFERROR(INDEX(الأصناف!$D$2:$D$2000,MATCH(D697,الأصناف!$A$2:$A$2000,0)),0))</f>
        <v/>
      </c>
      <c r="J697" s="4" t="n"/>
      <c r="K697" s="7">
        <f>IF(OR(B697="",B697&lt;&gt;الإيصال!$C$3),"",COUNTIF(B$2:B697,الإيصال!$C$3))</f>
        <v/>
      </c>
    </row>
    <row r="698">
      <c r="A698" s="6" t="n"/>
      <c r="B698" s="4" t="n"/>
      <c r="C698" s="4" t="n"/>
      <c r="D698" s="4" t="n"/>
      <c r="E698">
        <f>IF(D698="","",IFERROR(INDEX(الأصناف!$B$2:$B$2000,MATCH(D698,الأصناف!$A$2:$A$2000,0)),"كود غير موجود"))</f>
        <v/>
      </c>
      <c r="F698" s="4" t="n"/>
      <c r="G698">
        <f>IF(D698="","",IFERROR(INDEX(الأصناف!$C$2:$C$2000,MATCH(D698,الأصناف!$A$2:$A$2000,0)),0))</f>
        <v/>
      </c>
      <c r="H698">
        <f>IF(D698="","",F698*G698)</f>
        <v/>
      </c>
      <c r="I698">
        <f>IF(D698="","",H698-F698*IFERROR(INDEX(الأصناف!$D$2:$D$2000,MATCH(D698,الأصناف!$A$2:$A$2000,0)),0))</f>
        <v/>
      </c>
      <c r="J698" s="4" t="n"/>
      <c r="K698" s="7">
        <f>IF(OR(B698="",B698&lt;&gt;الإيصال!$C$3),"",COUNTIF(B$2:B698,الإيصال!$C$3))</f>
        <v/>
      </c>
    </row>
    <row r="699">
      <c r="A699" s="6" t="n"/>
      <c r="B699" s="4" t="n"/>
      <c r="C699" s="4" t="n"/>
      <c r="D699" s="4" t="n"/>
      <c r="E699">
        <f>IF(D699="","",IFERROR(INDEX(الأصناف!$B$2:$B$2000,MATCH(D699,الأصناف!$A$2:$A$2000,0)),"كود غير موجود"))</f>
        <v/>
      </c>
      <c r="F699" s="4" t="n"/>
      <c r="G699">
        <f>IF(D699="","",IFERROR(INDEX(الأصناف!$C$2:$C$2000,MATCH(D699,الأصناف!$A$2:$A$2000,0)),0))</f>
        <v/>
      </c>
      <c r="H699">
        <f>IF(D699="","",F699*G699)</f>
        <v/>
      </c>
      <c r="I699">
        <f>IF(D699="","",H699-F699*IFERROR(INDEX(الأصناف!$D$2:$D$2000,MATCH(D699,الأصناف!$A$2:$A$2000,0)),0))</f>
        <v/>
      </c>
      <c r="J699" s="4" t="n"/>
      <c r="K699" s="7">
        <f>IF(OR(B699="",B699&lt;&gt;الإيصال!$C$3),"",COUNTIF(B$2:B699,الإيصال!$C$3))</f>
        <v/>
      </c>
    </row>
    <row r="700">
      <c r="A700" s="6" t="n"/>
      <c r="B700" s="4" t="n"/>
      <c r="C700" s="4" t="n"/>
      <c r="D700" s="4" t="n"/>
      <c r="E700">
        <f>IF(D700="","",IFERROR(INDEX(الأصناف!$B$2:$B$2000,MATCH(D700,الأصناف!$A$2:$A$2000,0)),"كود غير موجود"))</f>
        <v/>
      </c>
      <c r="F700" s="4" t="n"/>
      <c r="G700">
        <f>IF(D700="","",IFERROR(INDEX(الأصناف!$C$2:$C$2000,MATCH(D700,الأصناف!$A$2:$A$2000,0)),0))</f>
        <v/>
      </c>
      <c r="H700">
        <f>IF(D700="","",F700*G700)</f>
        <v/>
      </c>
      <c r="I700">
        <f>IF(D700="","",H700-F700*IFERROR(INDEX(الأصناف!$D$2:$D$2000,MATCH(D700,الأصناف!$A$2:$A$2000,0)),0))</f>
        <v/>
      </c>
      <c r="J700" s="4" t="n"/>
      <c r="K700" s="7">
        <f>IF(OR(B700="",B700&lt;&gt;الإيصال!$C$3),"",COUNTIF(B$2:B700,الإيصال!$C$3))</f>
        <v/>
      </c>
    </row>
    <row r="701">
      <c r="A701" s="6" t="n"/>
      <c r="B701" s="4" t="n"/>
      <c r="C701" s="4" t="n"/>
      <c r="D701" s="4" t="n"/>
      <c r="E701">
        <f>IF(D701="","",IFERROR(INDEX(الأصناف!$B$2:$B$2000,MATCH(D701,الأصناف!$A$2:$A$2000,0)),"كود غير موجود"))</f>
        <v/>
      </c>
      <c r="F701" s="4" t="n"/>
      <c r="G701">
        <f>IF(D701="","",IFERROR(INDEX(الأصناف!$C$2:$C$2000,MATCH(D701,الأصناف!$A$2:$A$2000,0)),0))</f>
        <v/>
      </c>
      <c r="H701">
        <f>IF(D701="","",F701*G701)</f>
        <v/>
      </c>
      <c r="I701">
        <f>IF(D701="","",H701-F701*IFERROR(INDEX(الأصناف!$D$2:$D$2000,MATCH(D701,الأصناف!$A$2:$A$2000,0)),0))</f>
        <v/>
      </c>
      <c r="J701" s="4" t="n"/>
      <c r="K701" s="7">
        <f>IF(OR(B701="",B701&lt;&gt;الإيصال!$C$3),"",COUNTIF(B$2:B701,الإيصال!$C$3))</f>
        <v/>
      </c>
    </row>
    <row r="702">
      <c r="A702" s="6" t="n"/>
      <c r="B702" s="4" t="n"/>
      <c r="C702" s="4" t="n"/>
      <c r="D702" s="4" t="n"/>
      <c r="E702">
        <f>IF(D702="","",IFERROR(INDEX(الأصناف!$B$2:$B$2000,MATCH(D702,الأصناف!$A$2:$A$2000,0)),"كود غير موجود"))</f>
        <v/>
      </c>
      <c r="F702" s="4" t="n"/>
      <c r="G702">
        <f>IF(D702="","",IFERROR(INDEX(الأصناف!$C$2:$C$2000,MATCH(D702,الأصناف!$A$2:$A$2000,0)),0))</f>
        <v/>
      </c>
      <c r="H702">
        <f>IF(D702="","",F702*G702)</f>
        <v/>
      </c>
      <c r="I702">
        <f>IF(D702="","",H702-F702*IFERROR(INDEX(الأصناف!$D$2:$D$2000,MATCH(D702,الأصناف!$A$2:$A$2000,0)),0))</f>
        <v/>
      </c>
      <c r="J702" s="4" t="n"/>
      <c r="K702" s="7">
        <f>IF(OR(B702="",B702&lt;&gt;الإيصال!$C$3),"",COUNTIF(B$2:B702,الإيصال!$C$3))</f>
        <v/>
      </c>
    </row>
    <row r="703">
      <c r="A703" s="6" t="n"/>
      <c r="B703" s="4" t="n"/>
      <c r="C703" s="4" t="n"/>
      <c r="D703" s="4" t="n"/>
      <c r="E703">
        <f>IF(D703="","",IFERROR(INDEX(الأصناف!$B$2:$B$2000,MATCH(D703,الأصناف!$A$2:$A$2000,0)),"كود غير موجود"))</f>
        <v/>
      </c>
      <c r="F703" s="4" t="n"/>
      <c r="G703">
        <f>IF(D703="","",IFERROR(INDEX(الأصناف!$C$2:$C$2000,MATCH(D703,الأصناف!$A$2:$A$2000,0)),0))</f>
        <v/>
      </c>
      <c r="H703">
        <f>IF(D703="","",F703*G703)</f>
        <v/>
      </c>
      <c r="I703">
        <f>IF(D703="","",H703-F703*IFERROR(INDEX(الأصناف!$D$2:$D$2000,MATCH(D703,الأصناف!$A$2:$A$2000,0)),0))</f>
        <v/>
      </c>
      <c r="J703" s="4" t="n"/>
      <c r="K703" s="7">
        <f>IF(OR(B703="",B703&lt;&gt;الإيصال!$C$3),"",COUNTIF(B$2:B703,الإيصال!$C$3))</f>
        <v/>
      </c>
    </row>
    <row r="704">
      <c r="A704" s="6" t="n"/>
      <c r="B704" s="4" t="n"/>
      <c r="C704" s="4" t="n"/>
      <c r="D704" s="4" t="n"/>
      <c r="E704">
        <f>IF(D704="","",IFERROR(INDEX(الأصناف!$B$2:$B$2000,MATCH(D704,الأصناف!$A$2:$A$2000,0)),"كود غير موجود"))</f>
        <v/>
      </c>
      <c r="F704" s="4" t="n"/>
      <c r="G704">
        <f>IF(D704="","",IFERROR(INDEX(الأصناف!$C$2:$C$2000,MATCH(D704,الأصناف!$A$2:$A$2000,0)),0))</f>
        <v/>
      </c>
      <c r="H704">
        <f>IF(D704="","",F704*G704)</f>
        <v/>
      </c>
      <c r="I704">
        <f>IF(D704="","",H704-F704*IFERROR(INDEX(الأصناف!$D$2:$D$2000,MATCH(D704,الأصناف!$A$2:$A$2000,0)),0))</f>
        <v/>
      </c>
      <c r="J704" s="4" t="n"/>
      <c r="K704" s="7">
        <f>IF(OR(B704="",B704&lt;&gt;الإيصال!$C$3),"",COUNTIF(B$2:B704,الإيصال!$C$3))</f>
        <v/>
      </c>
    </row>
    <row r="705">
      <c r="A705" s="6" t="n"/>
      <c r="B705" s="4" t="n"/>
      <c r="C705" s="4" t="n"/>
      <c r="D705" s="4" t="n"/>
      <c r="E705">
        <f>IF(D705="","",IFERROR(INDEX(الأصناف!$B$2:$B$2000,MATCH(D705,الأصناف!$A$2:$A$2000,0)),"كود غير موجود"))</f>
        <v/>
      </c>
      <c r="F705" s="4" t="n"/>
      <c r="G705">
        <f>IF(D705="","",IFERROR(INDEX(الأصناف!$C$2:$C$2000,MATCH(D705,الأصناف!$A$2:$A$2000,0)),0))</f>
        <v/>
      </c>
      <c r="H705">
        <f>IF(D705="","",F705*G705)</f>
        <v/>
      </c>
      <c r="I705">
        <f>IF(D705="","",H705-F705*IFERROR(INDEX(الأصناف!$D$2:$D$2000,MATCH(D705,الأصناف!$A$2:$A$2000,0)),0))</f>
        <v/>
      </c>
      <c r="J705" s="4" t="n"/>
      <c r="K705" s="7">
        <f>IF(OR(B705="",B705&lt;&gt;الإيصال!$C$3),"",COUNTIF(B$2:B705,الإيصال!$C$3))</f>
        <v/>
      </c>
    </row>
    <row r="706">
      <c r="A706" s="6" t="n"/>
      <c r="B706" s="4" t="n"/>
      <c r="C706" s="4" t="n"/>
      <c r="D706" s="4" t="n"/>
      <c r="E706">
        <f>IF(D706="","",IFERROR(INDEX(الأصناف!$B$2:$B$2000,MATCH(D706,الأصناف!$A$2:$A$2000,0)),"كود غير موجود"))</f>
        <v/>
      </c>
      <c r="F706" s="4" t="n"/>
      <c r="G706">
        <f>IF(D706="","",IFERROR(INDEX(الأصناف!$C$2:$C$2000,MATCH(D706,الأصناف!$A$2:$A$2000,0)),0))</f>
        <v/>
      </c>
      <c r="H706">
        <f>IF(D706="","",F706*G706)</f>
        <v/>
      </c>
      <c r="I706">
        <f>IF(D706="","",H706-F706*IFERROR(INDEX(الأصناف!$D$2:$D$2000,MATCH(D706,الأصناف!$A$2:$A$2000,0)),0))</f>
        <v/>
      </c>
      <c r="J706" s="4" t="n"/>
      <c r="K706" s="7">
        <f>IF(OR(B706="",B706&lt;&gt;الإيصال!$C$3),"",COUNTIF(B$2:B706,الإيصال!$C$3))</f>
        <v/>
      </c>
    </row>
    <row r="707">
      <c r="A707" s="6" t="n"/>
      <c r="B707" s="4" t="n"/>
      <c r="C707" s="4" t="n"/>
      <c r="D707" s="4" t="n"/>
      <c r="E707">
        <f>IF(D707="","",IFERROR(INDEX(الأصناف!$B$2:$B$2000,MATCH(D707,الأصناف!$A$2:$A$2000,0)),"كود غير موجود"))</f>
        <v/>
      </c>
      <c r="F707" s="4" t="n"/>
      <c r="G707">
        <f>IF(D707="","",IFERROR(INDEX(الأصناف!$C$2:$C$2000,MATCH(D707,الأصناف!$A$2:$A$2000,0)),0))</f>
        <v/>
      </c>
      <c r="H707">
        <f>IF(D707="","",F707*G707)</f>
        <v/>
      </c>
      <c r="I707">
        <f>IF(D707="","",H707-F707*IFERROR(INDEX(الأصناف!$D$2:$D$2000,MATCH(D707,الأصناف!$A$2:$A$2000,0)),0))</f>
        <v/>
      </c>
      <c r="J707" s="4" t="n"/>
      <c r="K707" s="7">
        <f>IF(OR(B707="",B707&lt;&gt;الإيصال!$C$3),"",COUNTIF(B$2:B707,الإيصال!$C$3))</f>
        <v/>
      </c>
    </row>
    <row r="708">
      <c r="A708" s="6" t="n"/>
      <c r="B708" s="4" t="n"/>
      <c r="C708" s="4" t="n"/>
      <c r="D708" s="4" t="n"/>
      <c r="E708">
        <f>IF(D708="","",IFERROR(INDEX(الأصناف!$B$2:$B$2000,MATCH(D708,الأصناف!$A$2:$A$2000,0)),"كود غير موجود"))</f>
        <v/>
      </c>
      <c r="F708" s="4" t="n"/>
      <c r="G708">
        <f>IF(D708="","",IFERROR(INDEX(الأصناف!$C$2:$C$2000,MATCH(D708,الأصناف!$A$2:$A$2000,0)),0))</f>
        <v/>
      </c>
      <c r="H708">
        <f>IF(D708="","",F708*G708)</f>
        <v/>
      </c>
      <c r="I708">
        <f>IF(D708="","",H708-F708*IFERROR(INDEX(الأصناف!$D$2:$D$2000,MATCH(D708,الأصناف!$A$2:$A$2000,0)),0))</f>
        <v/>
      </c>
      <c r="J708" s="4" t="n"/>
      <c r="K708" s="7">
        <f>IF(OR(B708="",B708&lt;&gt;الإيصال!$C$3),"",COUNTIF(B$2:B708,الإيصال!$C$3))</f>
        <v/>
      </c>
    </row>
    <row r="709">
      <c r="A709" s="6" t="n"/>
      <c r="B709" s="4" t="n"/>
      <c r="C709" s="4" t="n"/>
      <c r="D709" s="4" t="n"/>
      <c r="E709">
        <f>IF(D709="","",IFERROR(INDEX(الأصناف!$B$2:$B$2000,MATCH(D709,الأصناف!$A$2:$A$2000,0)),"كود غير موجود"))</f>
        <v/>
      </c>
      <c r="F709" s="4" t="n"/>
      <c r="G709">
        <f>IF(D709="","",IFERROR(INDEX(الأصناف!$C$2:$C$2000,MATCH(D709,الأصناف!$A$2:$A$2000,0)),0))</f>
        <v/>
      </c>
      <c r="H709">
        <f>IF(D709="","",F709*G709)</f>
        <v/>
      </c>
      <c r="I709">
        <f>IF(D709="","",H709-F709*IFERROR(INDEX(الأصناف!$D$2:$D$2000,MATCH(D709,الأصناف!$A$2:$A$2000,0)),0))</f>
        <v/>
      </c>
      <c r="J709" s="4" t="n"/>
      <c r="K709" s="7">
        <f>IF(OR(B709="",B709&lt;&gt;الإيصال!$C$3),"",COUNTIF(B$2:B709,الإيصال!$C$3))</f>
        <v/>
      </c>
    </row>
    <row r="710">
      <c r="A710" s="6" t="n"/>
      <c r="B710" s="4" t="n"/>
      <c r="C710" s="4" t="n"/>
      <c r="D710" s="4" t="n"/>
      <c r="E710">
        <f>IF(D710="","",IFERROR(INDEX(الأصناف!$B$2:$B$2000,MATCH(D710,الأصناف!$A$2:$A$2000,0)),"كود غير موجود"))</f>
        <v/>
      </c>
      <c r="F710" s="4" t="n"/>
      <c r="G710">
        <f>IF(D710="","",IFERROR(INDEX(الأصناف!$C$2:$C$2000,MATCH(D710,الأصناف!$A$2:$A$2000,0)),0))</f>
        <v/>
      </c>
      <c r="H710">
        <f>IF(D710="","",F710*G710)</f>
        <v/>
      </c>
      <c r="I710">
        <f>IF(D710="","",H710-F710*IFERROR(INDEX(الأصناف!$D$2:$D$2000,MATCH(D710,الأصناف!$A$2:$A$2000,0)),0))</f>
        <v/>
      </c>
      <c r="J710" s="4" t="n"/>
      <c r="K710" s="7">
        <f>IF(OR(B710="",B710&lt;&gt;الإيصال!$C$3),"",COUNTIF(B$2:B710,الإيصال!$C$3))</f>
        <v/>
      </c>
    </row>
    <row r="711">
      <c r="A711" s="6" t="n"/>
      <c r="B711" s="4" t="n"/>
      <c r="C711" s="4" t="n"/>
      <c r="D711" s="4" t="n"/>
      <c r="E711">
        <f>IF(D711="","",IFERROR(INDEX(الأصناف!$B$2:$B$2000,MATCH(D711,الأصناف!$A$2:$A$2000,0)),"كود غير موجود"))</f>
        <v/>
      </c>
      <c r="F711" s="4" t="n"/>
      <c r="G711">
        <f>IF(D711="","",IFERROR(INDEX(الأصناف!$C$2:$C$2000,MATCH(D711,الأصناف!$A$2:$A$2000,0)),0))</f>
        <v/>
      </c>
      <c r="H711">
        <f>IF(D711="","",F711*G711)</f>
        <v/>
      </c>
      <c r="I711">
        <f>IF(D711="","",H711-F711*IFERROR(INDEX(الأصناف!$D$2:$D$2000,MATCH(D711,الأصناف!$A$2:$A$2000,0)),0))</f>
        <v/>
      </c>
      <c r="J711" s="4" t="n"/>
      <c r="K711" s="7">
        <f>IF(OR(B711="",B711&lt;&gt;الإيصال!$C$3),"",COUNTIF(B$2:B711,الإيصال!$C$3))</f>
        <v/>
      </c>
    </row>
    <row r="712">
      <c r="A712" s="6" t="n"/>
      <c r="B712" s="4" t="n"/>
      <c r="C712" s="4" t="n"/>
      <c r="D712" s="4" t="n"/>
      <c r="E712">
        <f>IF(D712="","",IFERROR(INDEX(الأصناف!$B$2:$B$2000,MATCH(D712,الأصناف!$A$2:$A$2000,0)),"كود غير موجود"))</f>
        <v/>
      </c>
      <c r="F712" s="4" t="n"/>
      <c r="G712">
        <f>IF(D712="","",IFERROR(INDEX(الأصناف!$C$2:$C$2000,MATCH(D712,الأصناف!$A$2:$A$2000,0)),0))</f>
        <v/>
      </c>
      <c r="H712">
        <f>IF(D712="","",F712*G712)</f>
        <v/>
      </c>
      <c r="I712">
        <f>IF(D712="","",H712-F712*IFERROR(INDEX(الأصناف!$D$2:$D$2000,MATCH(D712,الأصناف!$A$2:$A$2000,0)),0))</f>
        <v/>
      </c>
      <c r="J712" s="4" t="n"/>
      <c r="K712" s="7">
        <f>IF(OR(B712="",B712&lt;&gt;الإيصال!$C$3),"",COUNTIF(B$2:B712,الإيصال!$C$3))</f>
        <v/>
      </c>
    </row>
    <row r="713">
      <c r="A713" s="6" t="n"/>
      <c r="B713" s="4" t="n"/>
      <c r="C713" s="4" t="n"/>
      <c r="D713" s="4" t="n"/>
      <c r="E713">
        <f>IF(D713="","",IFERROR(INDEX(الأصناف!$B$2:$B$2000,MATCH(D713,الأصناف!$A$2:$A$2000,0)),"كود غير موجود"))</f>
        <v/>
      </c>
      <c r="F713" s="4" t="n"/>
      <c r="G713">
        <f>IF(D713="","",IFERROR(INDEX(الأصناف!$C$2:$C$2000,MATCH(D713,الأصناف!$A$2:$A$2000,0)),0))</f>
        <v/>
      </c>
      <c r="H713">
        <f>IF(D713="","",F713*G713)</f>
        <v/>
      </c>
      <c r="I713">
        <f>IF(D713="","",H713-F713*IFERROR(INDEX(الأصناف!$D$2:$D$2000,MATCH(D713,الأصناف!$A$2:$A$2000,0)),0))</f>
        <v/>
      </c>
      <c r="J713" s="4" t="n"/>
      <c r="K713" s="7">
        <f>IF(OR(B713="",B713&lt;&gt;الإيصال!$C$3),"",COUNTIF(B$2:B713,الإيصال!$C$3))</f>
        <v/>
      </c>
    </row>
    <row r="714">
      <c r="A714" s="6" t="n"/>
      <c r="B714" s="4" t="n"/>
      <c r="C714" s="4" t="n"/>
      <c r="D714" s="4" t="n"/>
      <c r="E714">
        <f>IF(D714="","",IFERROR(INDEX(الأصناف!$B$2:$B$2000,MATCH(D714,الأصناف!$A$2:$A$2000,0)),"كود غير موجود"))</f>
        <v/>
      </c>
      <c r="F714" s="4" t="n"/>
      <c r="G714">
        <f>IF(D714="","",IFERROR(INDEX(الأصناف!$C$2:$C$2000,MATCH(D714,الأصناف!$A$2:$A$2000,0)),0))</f>
        <v/>
      </c>
      <c r="H714">
        <f>IF(D714="","",F714*G714)</f>
        <v/>
      </c>
      <c r="I714">
        <f>IF(D714="","",H714-F714*IFERROR(INDEX(الأصناف!$D$2:$D$2000,MATCH(D714,الأصناف!$A$2:$A$2000,0)),0))</f>
        <v/>
      </c>
      <c r="J714" s="4" t="n"/>
      <c r="K714" s="7">
        <f>IF(OR(B714="",B714&lt;&gt;الإيصال!$C$3),"",COUNTIF(B$2:B714,الإيصال!$C$3))</f>
        <v/>
      </c>
    </row>
    <row r="715">
      <c r="A715" s="6" t="n"/>
      <c r="B715" s="4" t="n"/>
      <c r="C715" s="4" t="n"/>
      <c r="D715" s="4" t="n"/>
      <c r="E715">
        <f>IF(D715="","",IFERROR(INDEX(الأصناف!$B$2:$B$2000,MATCH(D715,الأصناف!$A$2:$A$2000,0)),"كود غير موجود"))</f>
        <v/>
      </c>
      <c r="F715" s="4" t="n"/>
      <c r="G715">
        <f>IF(D715="","",IFERROR(INDEX(الأصناف!$C$2:$C$2000,MATCH(D715,الأصناف!$A$2:$A$2000,0)),0))</f>
        <v/>
      </c>
      <c r="H715">
        <f>IF(D715="","",F715*G715)</f>
        <v/>
      </c>
      <c r="I715">
        <f>IF(D715="","",H715-F715*IFERROR(INDEX(الأصناف!$D$2:$D$2000,MATCH(D715,الأصناف!$A$2:$A$2000,0)),0))</f>
        <v/>
      </c>
      <c r="J715" s="4" t="n"/>
      <c r="K715" s="7">
        <f>IF(OR(B715="",B715&lt;&gt;الإيصال!$C$3),"",COUNTIF(B$2:B715,الإيصال!$C$3))</f>
        <v/>
      </c>
    </row>
    <row r="716">
      <c r="A716" s="6" t="n"/>
      <c r="B716" s="4" t="n"/>
      <c r="C716" s="4" t="n"/>
      <c r="D716" s="4" t="n"/>
      <c r="E716">
        <f>IF(D716="","",IFERROR(INDEX(الأصناف!$B$2:$B$2000,MATCH(D716,الأصناف!$A$2:$A$2000,0)),"كود غير موجود"))</f>
        <v/>
      </c>
      <c r="F716" s="4" t="n"/>
      <c r="G716">
        <f>IF(D716="","",IFERROR(INDEX(الأصناف!$C$2:$C$2000,MATCH(D716,الأصناف!$A$2:$A$2000,0)),0))</f>
        <v/>
      </c>
      <c r="H716">
        <f>IF(D716="","",F716*G716)</f>
        <v/>
      </c>
      <c r="I716">
        <f>IF(D716="","",H716-F716*IFERROR(INDEX(الأصناف!$D$2:$D$2000,MATCH(D716,الأصناف!$A$2:$A$2000,0)),0))</f>
        <v/>
      </c>
      <c r="J716" s="4" t="n"/>
      <c r="K716" s="7">
        <f>IF(OR(B716="",B716&lt;&gt;الإيصال!$C$3),"",COUNTIF(B$2:B716,الإيصال!$C$3))</f>
        <v/>
      </c>
    </row>
    <row r="717">
      <c r="A717" s="6" t="n"/>
      <c r="B717" s="4" t="n"/>
      <c r="C717" s="4" t="n"/>
      <c r="D717" s="4" t="n"/>
      <c r="E717">
        <f>IF(D717="","",IFERROR(INDEX(الأصناف!$B$2:$B$2000,MATCH(D717,الأصناف!$A$2:$A$2000,0)),"كود غير موجود"))</f>
        <v/>
      </c>
      <c r="F717" s="4" t="n"/>
      <c r="G717">
        <f>IF(D717="","",IFERROR(INDEX(الأصناف!$C$2:$C$2000,MATCH(D717,الأصناف!$A$2:$A$2000,0)),0))</f>
        <v/>
      </c>
      <c r="H717">
        <f>IF(D717="","",F717*G717)</f>
        <v/>
      </c>
      <c r="I717">
        <f>IF(D717="","",H717-F717*IFERROR(INDEX(الأصناف!$D$2:$D$2000,MATCH(D717,الأصناف!$A$2:$A$2000,0)),0))</f>
        <v/>
      </c>
      <c r="J717" s="4" t="n"/>
      <c r="K717" s="7">
        <f>IF(OR(B717="",B717&lt;&gt;الإيصال!$C$3),"",COUNTIF(B$2:B717,الإيصال!$C$3))</f>
        <v/>
      </c>
    </row>
    <row r="718">
      <c r="A718" s="6" t="n"/>
      <c r="B718" s="4" t="n"/>
      <c r="C718" s="4" t="n"/>
      <c r="D718" s="4" t="n"/>
      <c r="E718">
        <f>IF(D718="","",IFERROR(INDEX(الأصناف!$B$2:$B$2000,MATCH(D718,الأصناف!$A$2:$A$2000,0)),"كود غير موجود"))</f>
        <v/>
      </c>
      <c r="F718" s="4" t="n"/>
      <c r="G718">
        <f>IF(D718="","",IFERROR(INDEX(الأصناف!$C$2:$C$2000,MATCH(D718,الأصناف!$A$2:$A$2000,0)),0))</f>
        <v/>
      </c>
      <c r="H718">
        <f>IF(D718="","",F718*G718)</f>
        <v/>
      </c>
      <c r="I718">
        <f>IF(D718="","",H718-F718*IFERROR(INDEX(الأصناف!$D$2:$D$2000,MATCH(D718,الأصناف!$A$2:$A$2000,0)),0))</f>
        <v/>
      </c>
      <c r="J718" s="4" t="n"/>
      <c r="K718" s="7">
        <f>IF(OR(B718="",B718&lt;&gt;الإيصال!$C$3),"",COUNTIF(B$2:B718,الإيصال!$C$3))</f>
        <v/>
      </c>
    </row>
    <row r="719">
      <c r="A719" s="6" t="n"/>
      <c r="B719" s="4" t="n"/>
      <c r="C719" s="4" t="n"/>
      <c r="D719" s="4" t="n"/>
      <c r="E719">
        <f>IF(D719="","",IFERROR(INDEX(الأصناف!$B$2:$B$2000,MATCH(D719,الأصناف!$A$2:$A$2000,0)),"كود غير موجود"))</f>
        <v/>
      </c>
      <c r="F719" s="4" t="n"/>
      <c r="G719">
        <f>IF(D719="","",IFERROR(INDEX(الأصناف!$C$2:$C$2000,MATCH(D719,الأصناف!$A$2:$A$2000,0)),0))</f>
        <v/>
      </c>
      <c r="H719">
        <f>IF(D719="","",F719*G719)</f>
        <v/>
      </c>
      <c r="I719">
        <f>IF(D719="","",H719-F719*IFERROR(INDEX(الأصناف!$D$2:$D$2000,MATCH(D719,الأصناف!$A$2:$A$2000,0)),0))</f>
        <v/>
      </c>
      <c r="J719" s="4" t="n"/>
      <c r="K719" s="7">
        <f>IF(OR(B719="",B719&lt;&gt;الإيصال!$C$3),"",COUNTIF(B$2:B719,الإيصال!$C$3))</f>
        <v/>
      </c>
    </row>
    <row r="720">
      <c r="A720" s="6" t="n"/>
      <c r="B720" s="4" t="n"/>
      <c r="C720" s="4" t="n"/>
      <c r="D720" s="4" t="n"/>
      <c r="E720">
        <f>IF(D720="","",IFERROR(INDEX(الأصناف!$B$2:$B$2000,MATCH(D720,الأصناف!$A$2:$A$2000,0)),"كود غير موجود"))</f>
        <v/>
      </c>
      <c r="F720" s="4" t="n"/>
      <c r="G720">
        <f>IF(D720="","",IFERROR(INDEX(الأصناف!$C$2:$C$2000,MATCH(D720,الأصناف!$A$2:$A$2000,0)),0))</f>
        <v/>
      </c>
      <c r="H720">
        <f>IF(D720="","",F720*G720)</f>
        <v/>
      </c>
      <c r="I720">
        <f>IF(D720="","",H720-F720*IFERROR(INDEX(الأصناف!$D$2:$D$2000,MATCH(D720,الأصناف!$A$2:$A$2000,0)),0))</f>
        <v/>
      </c>
      <c r="J720" s="4" t="n"/>
      <c r="K720" s="7">
        <f>IF(OR(B720="",B720&lt;&gt;الإيصال!$C$3),"",COUNTIF(B$2:B720,الإيصال!$C$3))</f>
        <v/>
      </c>
    </row>
    <row r="721">
      <c r="A721" s="6" t="n"/>
      <c r="B721" s="4" t="n"/>
      <c r="C721" s="4" t="n"/>
      <c r="D721" s="4" t="n"/>
      <c r="E721">
        <f>IF(D721="","",IFERROR(INDEX(الأصناف!$B$2:$B$2000,MATCH(D721,الأصناف!$A$2:$A$2000,0)),"كود غير موجود"))</f>
        <v/>
      </c>
      <c r="F721" s="4" t="n"/>
      <c r="G721">
        <f>IF(D721="","",IFERROR(INDEX(الأصناف!$C$2:$C$2000,MATCH(D721,الأصناف!$A$2:$A$2000,0)),0))</f>
        <v/>
      </c>
      <c r="H721">
        <f>IF(D721="","",F721*G721)</f>
        <v/>
      </c>
      <c r="I721">
        <f>IF(D721="","",H721-F721*IFERROR(INDEX(الأصناف!$D$2:$D$2000,MATCH(D721,الأصناف!$A$2:$A$2000,0)),0))</f>
        <v/>
      </c>
      <c r="J721" s="4" t="n"/>
      <c r="K721" s="7">
        <f>IF(OR(B721="",B721&lt;&gt;الإيصال!$C$3),"",COUNTIF(B$2:B721,الإيصال!$C$3))</f>
        <v/>
      </c>
    </row>
    <row r="722">
      <c r="A722" s="6" t="n"/>
      <c r="B722" s="4" t="n"/>
      <c r="C722" s="4" t="n"/>
      <c r="D722" s="4" t="n"/>
      <c r="E722">
        <f>IF(D722="","",IFERROR(INDEX(الأصناف!$B$2:$B$2000,MATCH(D722,الأصناف!$A$2:$A$2000,0)),"كود غير موجود"))</f>
        <v/>
      </c>
      <c r="F722" s="4" t="n"/>
      <c r="G722">
        <f>IF(D722="","",IFERROR(INDEX(الأصناف!$C$2:$C$2000,MATCH(D722,الأصناف!$A$2:$A$2000,0)),0))</f>
        <v/>
      </c>
      <c r="H722">
        <f>IF(D722="","",F722*G722)</f>
        <v/>
      </c>
      <c r="I722">
        <f>IF(D722="","",H722-F722*IFERROR(INDEX(الأصناف!$D$2:$D$2000,MATCH(D722,الأصناف!$A$2:$A$2000,0)),0))</f>
        <v/>
      </c>
      <c r="J722" s="4" t="n"/>
      <c r="K722" s="7">
        <f>IF(OR(B722="",B722&lt;&gt;الإيصال!$C$3),"",COUNTIF(B$2:B722,الإيصال!$C$3))</f>
        <v/>
      </c>
    </row>
    <row r="723">
      <c r="A723" s="6" t="n"/>
      <c r="B723" s="4" t="n"/>
      <c r="C723" s="4" t="n"/>
      <c r="D723" s="4" t="n"/>
      <c r="E723">
        <f>IF(D723="","",IFERROR(INDEX(الأصناف!$B$2:$B$2000,MATCH(D723,الأصناف!$A$2:$A$2000,0)),"كود غير موجود"))</f>
        <v/>
      </c>
      <c r="F723" s="4" t="n"/>
      <c r="G723">
        <f>IF(D723="","",IFERROR(INDEX(الأصناف!$C$2:$C$2000,MATCH(D723,الأصناف!$A$2:$A$2000,0)),0))</f>
        <v/>
      </c>
      <c r="H723">
        <f>IF(D723="","",F723*G723)</f>
        <v/>
      </c>
      <c r="I723">
        <f>IF(D723="","",H723-F723*IFERROR(INDEX(الأصناف!$D$2:$D$2000,MATCH(D723,الأصناف!$A$2:$A$2000,0)),0))</f>
        <v/>
      </c>
      <c r="J723" s="4" t="n"/>
      <c r="K723" s="7">
        <f>IF(OR(B723="",B723&lt;&gt;الإيصال!$C$3),"",COUNTIF(B$2:B723,الإيصال!$C$3))</f>
        <v/>
      </c>
    </row>
    <row r="724">
      <c r="A724" s="6" t="n"/>
      <c r="B724" s="4" t="n"/>
      <c r="C724" s="4" t="n"/>
      <c r="D724" s="4" t="n"/>
      <c r="E724">
        <f>IF(D724="","",IFERROR(INDEX(الأصناف!$B$2:$B$2000,MATCH(D724,الأصناف!$A$2:$A$2000,0)),"كود غير موجود"))</f>
        <v/>
      </c>
      <c r="F724" s="4" t="n"/>
      <c r="G724">
        <f>IF(D724="","",IFERROR(INDEX(الأصناف!$C$2:$C$2000,MATCH(D724,الأصناف!$A$2:$A$2000,0)),0))</f>
        <v/>
      </c>
      <c r="H724">
        <f>IF(D724="","",F724*G724)</f>
        <v/>
      </c>
      <c r="I724">
        <f>IF(D724="","",H724-F724*IFERROR(INDEX(الأصناف!$D$2:$D$2000,MATCH(D724,الأصناف!$A$2:$A$2000,0)),0))</f>
        <v/>
      </c>
      <c r="J724" s="4" t="n"/>
      <c r="K724" s="7">
        <f>IF(OR(B724="",B724&lt;&gt;الإيصال!$C$3),"",COUNTIF(B$2:B724,الإيصال!$C$3))</f>
        <v/>
      </c>
    </row>
    <row r="725">
      <c r="A725" s="6" t="n"/>
      <c r="B725" s="4" t="n"/>
      <c r="C725" s="4" t="n"/>
      <c r="D725" s="4" t="n"/>
      <c r="E725">
        <f>IF(D725="","",IFERROR(INDEX(الأصناف!$B$2:$B$2000,MATCH(D725,الأصناف!$A$2:$A$2000,0)),"كود غير موجود"))</f>
        <v/>
      </c>
      <c r="F725" s="4" t="n"/>
      <c r="G725">
        <f>IF(D725="","",IFERROR(INDEX(الأصناف!$C$2:$C$2000,MATCH(D725,الأصناف!$A$2:$A$2000,0)),0))</f>
        <v/>
      </c>
      <c r="H725">
        <f>IF(D725="","",F725*G725)</f>
        <v/>
      </c>
      <c r="I725">
        <f>IF(D725="","",H725-F725*IFERROR(INDEX(الأصناف!$D$2:$D$2000,MATCH(D725,الأصناف!$A$2:$A$2000,0)),0))</f>
        <v/>
      </c>
      <c r="J725" s="4" t="n"/>
      <c r="K725" s="7">
        <f>IF(OR(B725="",B725&lt;&gt;الإيصال!$C$3),"",COUNTIF(B$2:B725,الإيصال!$C$3))</f>
        <v/>
      </c>
    </row>
    <row r="726">
      <c r="A726" s="6" t="n"/>
      <c r="B726" s="4" t="n"/>
      <c r="C726" s="4" t="n"/>
      <c r="D726" s="4" t="n"/>
      <c r="E726">
        <f>IF(D726="","",IFERROR(INDEX(الأصناف!$B$2:$B$2000,MATCH(D726,الأصناف!$A$2:$A$2000,0)),"كود غير موجود"))</f>
        <v/>
      </c>
      <c r="F726" s="4" t="n"/>
      <c r="G726">
        <f>IF(D726="","",IFERROR(INDEX(الأصناف!$C$2:$C$2000,MATCH(D726,الأصناف!$A$2:$A$2000,0)),0))</f>
        <v/>
      </c>
      <c r="H726">
        <f>IF(D726="","",F726*G726)</f>
        <v/>
      </c>
      <c r="I726">
        <f>IF(D726="","",H726-F726*IFERROR(INDEX(الأصناف!$D$2:$D$2000,MATCH(D726,الأصناف!$A$2:$A$2000,0)),0))</f>
        <v/>
      </c>
      <c r="J726" s="4" t="n"/>
      <c r="K726" s="7">
        <f>IF(OR(B726="",B726&lt;&gt;الإيصال!$C$3),"",COUNTIF(B$2:B726,الإيصال!$C$3))</f>
        <v/>
      </c>
    </row>
    <row r="727">
      <c r="A727" s="6" t="n"/>
      <c r="B727" s="4" t="n"/>
      <c r="C727" s="4" t="n"/>
      <c r="D727" s="4" t="n"/>
      <c r="E727">
        <f>IF(D727="","",IFERROR(INDEX(الأصناف!$B$2:$B$2000,MATCH(D727,الأصناف!$A$2:$A$2000,0)),"كود غير موجود"))</f>
        <v/>
      </c>
      <c r="F727" s="4" t="n"/>
      <c r="G727">
        <f>IF(D727="","",IFERROR(INDEX(الأصناف!$C$2:$C$2000,MATCH(D727,الأصناف!$A$2:$A$2000,0)),0))</f>
        <v/>
      </c>
      <c r="H727">
        <f>IF(D727="","",F727*G727)</f>
        <v/>
      </c>
      <c r="I727">
        <f>IF(D727="","",H727-F727*IFERROR(INDEX(الأصناف!$D$2:$D$2000,MATCH(D727,الأصناف!$A$2:$A$2000,0)),0))</f>
        <v/>
      </c>
      <c r="J727" s="4" t="n"/>
      <c r="K727" s="7">
        <f>IF(OR(B727="",B727&lt;&gt;الإيصال!$C$3),"",COUNTIF(B$2:B727,الإيصال!$C$3))</f>
        <v/>
      </c>
    </row>
    <row r="728">
      <c r="A728" s="6" t="n"/>
      <c r="B728" s="4" t="n"/>
      <c r="C728" s="4" t="n"/>
      <c r="D728" s="4" t="n"/>
      <c r="E728">
        <f>IF(D728="","",IFERROR(INDEX(الأصناف!$B$2:$B$2000,MATCH(D728,الأصناف!$A$2:$A$2000,0)),"كود غير موجود"))</f>
        <v/>
      </c>
      <c r="F728" s="4" t="n"/>
      <c r="G728">
        <f>IF(D728="","",IFERROR(INDEX(الأصناف!$C$2:$C$2000,MATCH(D728,الأصناف!$A$2:$A$2000,0)),0))</f>
        <v/>
      </c>
      <c r="H728">
        <f>IF(D728="","",F728*G728)</f>
        <v/>
      </c>
      <c r="I728">
        <f>IF(D728="","",H728-F728*IFERROR(INDEX(الأصناف!$D$2:$D$2000,MATCH(D728,الأصناف!$A$2:$A$2000,0)),0))</f>
        <v/>
      </c>
      <c r="J728" s="4" t="n"/>
      <c r="K728" s="7">
        <f>IF(OR(B728="",B728&lt;&gt;الإيصال!$C$3),"",COUNTIF(B$2:B728,الإيصال!$C$3))</f>
        <v/>
      </c>
    </row>
    <row r="729">
      <c r="A729" s="6" t="n"/>
      <c r="B729" s="4" t="n"/>
      <c r="C729" s="4" t="n"/>
      <c r="D729" s="4" t="n"/>
      <c r="E729">
        <f>IF(D729="","",IFERROR(INDEX(الأصناف!$B$2:$B$2000,MATCH(D729,الأصناف!$A$2:$A$2000,0)),"كود غير موجود"))</f>
        <v/>
      </c>
      <c r="F729" s="4" t="n"/>
      <c r="G729">
        <f>IF(D729="","",IFERROR(INDEX(الأصناف!$C$2:$C$2000,MATCH(D729,الأصناف!$A$2:$A$2000,0)),0))</f>
        <v/>
      </c>
      <c r="H729">
        <f>IF(D729="","",F729*G729)</f>
        <v/>
      </c>
      <c r="I729">
        <f>IF(D729="","",H729-F729*IFERROR(INDEX(الأصناف!$D$2:$D$2000,MATCH(D729,الأصناف!$A$2:$A$2000,0)),0))</f>
        <v/>
      </c>
      <c r="J729" s="4" t="n"/>
      <c r="K729" s="7">
        <f>IF(OR(B729="",B729&lt;&gt;الإيصال!$C$3),"",COUNTIF(B$2:B729,الإيصال!$C$3))</f>
        <v/>
      </c>
    </row>
    <row r="730">
      <c r="A730" s="6" t="n"/>
      <c r="B730" s="4" t="n"/>
      <c r="C730" s="4" t="n"/>
      <c r="D730" s="4" t="n"/>
      <c r="E730">
        <f>IF(D730="","",IFERROR(INDEX(الأصناف!$B$2:$B$2000,MATCH(D730,الأصناف!$A$2:$A$2000,0)),"كود غير موجود"))</f>
        <v/>
      </c>
      <c r="F730" s="4" t="n"/>
      <c r="G730">
        <f>IF(D730="","",IFERROR(INDEX(الأصناف!$C$2:$C$2000,MATCH(D730,الأصناف!$A$2:$A$2000,0)),0))</f>
        <v/>
      </c>
      <c r="H730">
        <f>IF(D730="","",F730*G730)</f>
        <v/>
      </c>
      <c r="I730">
        <f>IF(D730="","",H730-F730*IFERROR(INDEX(الأصناف!$D$2:$D$2000,MATCH(D730,الأصناف!$A$2:$A$2000,0)),0))</f>
        <v/>
      </c>
      <c r="J730" s="4" t="n"/>
      <c r="K730" s="7">
        <f>IF(OR(B730="",B730&lt;&gt;الإيصال!$C$3),"",COUNTIF(B$2:B730,الإيصال!$C$3))</f>
        <v/>
      </c>
    </row>
    <row r="731">
      <c r="A731" s="6" t="n"/>
      <c r="B731" s="4" t="n"/>
      <c r="C731" s="4" t="n"/>
      <c r="D731" s="4" t="n"/>
      <c r="E731">
        <f>IF(D731="","",IFERROR(INDEX(الأصناف!$B$2:$B$2000,MATCH(D731,الأصناف!$A$2:$A$2000,0)),"كود غير موجود"))</f>
        <v/>
      </c>
      <c r="F731" s="4" t="n"/>
      <c r="G731">
        <f>IF(D731="","",IFERROR(INDEX(الأصناف!$C$2:$C$2000,MATCH(D731,الأصناف!$A$2:$A$2000,0)),0))</f>
        <v/>
      </c>
      <c r="H731">
        <f>IF(D731="","",F731*G731)</f>
        <v/>
      </c>
      <c r="I731">
        <f>IF(D731="","",H731-F731*IFERROR(INDEX(الأصناف!$D$2:$D$2000,MATCH(D731,الأصناف!$A$2:$A$2000,0)),0))</f>
        <v/>
      </c>
      <c r="J731" s="4" t="n"/>
      <c r="K731" s="7">
        <f>IF(OR(B731="",B731&lt;&gt;الإيصال!$C$3),"",COUNTIF(B$2:B731,الإيصال!$C$3))</f>
        <v/>
      </c>
    </row>
    <row r="732">
      <c r="A732" s="6" t="n"/>
      <c r="B732" s="4" t="n"/>
      <c r="C732" s="4" t="n"/>
      <c r="D732" s="4" t="n"/>
      <c r="E732">
        <f>IF(D732="","",IFERROR(INDEX(الأصناف!$B$2:$B$2000,MATCH(D732,الأصناف!$A$2:$A$2000,0)),"كود غير موجود"))</f>
        <v/>
      </c>
      <c r="F732" s="4" t="n"/>
      <c r="G732">
        <f>IF(D732="","",IFERROR(INDEX(الأصناف!$C$2:$C$2000,MATCH(D732,الأصناف!$A$2:$A$2000,0)),0))</f>
        <v/>
      </c>
      <c r="H732">
        <f>IF(D732="","",F732*G732)</f>
        <v/>
      </c>
      <c r="I732">
        <f>IF(D732="","",H732-F732*IFERROR(INDEX(الأصناف!$D$2:$D$2000,MATCH(D732,الأصناف!$A$2:$A$2000,0)),0))</f>
        <v/>
      </c>
      <c r="J732" s="4" t="n"/>
      <c r="K732" s="7">
        <f>IF(OR(B732="",B732&lt;&gt;الإيصال!$C$3),"",COUNTIF(B$2:B732,الإيصال!$C$3))</f>
        <v/>
      </c>
    </row>
    <row r="733">
      <c r="A733" s="6" t="n"/>
      <c r="B733" s="4" t="n"/>
      <c r="C733" s="4" t="n"/>
      <c r="D733" s="4" t="n"/>
      <c r="E733">
        <f>IF(D733="","",IFERROR(INDEX(الأصناف!$B$2:$B$2000,MATCH(D733,الأصناف!$A$2:$A$2000,0)),"كود غير موجود"))</f>
        <v/>
      </c>
      <c r="F733" s="4" t="n"/>
      <c r="G733">
        <f>IF(D733="","",IFERROR(INDEX(الأصناف!$C$2:$C$2000,MATCH(D733,الأصناف!$A$2:$A$2000,0)),0))</f>
        <v/>
      </c>
      <c r="H733">
        <f>IF(D733="","",F733*G733)</f>
        <v/>
      </c>
      <c r="I733">
        <f>IF(D733="","",H733-F733*IFERROR(INDEX(الأصناف!$D$2:$D$2000,MATCH(D733,الأصناف!$A$2:$A$2000,0)),0))</f>
        <v/>
      </c>
      <c r="J733" s="4" t="n"/>
      <c r="K733" s="7">
        <f>IF(OR(B733="",B733&lt;&gt;الإيصال!$C$3),"",COUNTIF(B$2:B733,الإيصال!$C$3))</f>
        <v/>
      </c>
    </row>
    <row r="734">
      <c r="A734" s="6" t="n"/>
      <c r="B734" s="4" t="n"/>
      <c r="C734" s="4" t="n"/>
      <c r="D734" s="4" t="n"/>
      <c r="E734">
        <f>IF(D734="","",IFERROR(INDEX(الأصناف!$B$2:$B$2000,MATCH(D734,الأصناف!$A$2:$A$2000,0)),"كود غير موجود"))</f>
        <v/>
      </c>
      <c r="F734" s="4" t="n"/>
      <c r="G734">
        <f>IF(D734="","",IFERROR(INDEX(الأصناف!$C$2:$C$2000,MATCH(D734,الأصناف!$A$2:$A$2000,0)),0))</f>
        <v/>
      </c>
      <c r="H734">
        <f>IF(D734="","",F734*G734)</f>
        <v/>
      </c>
      <c r="I734">
        <f>IF(D734="","",H734-F734*IFERROR(INDEX(الأصناف!$D$2:$D$2000,MATCH(D734,الأصناف!$A$2:$A$2000,0)),0))</f>
        <v/>
      </c>
      <c r="J734" s="4" t="n"/>
      <c r="K734" s="7">
        <f>IF(OR(B734="",B734&lt;&gt;الإيصال!$C$3),"",COUNTIF(B$2:B734,الإيصال!$C$3))</f>
        <v/>
      </c>
    </row>
    <row r="735">
      <c r="A735" s="6" t="n"/>
      <c r="B735" s="4" t="n"/>
      <c r="C735" s="4" t="n"/>
      <c r="D735" s="4" t="n"/>
      <c r="E735">
        <f>IF(D735="","",IFERROR(INDEX(الأصناف!$B$2:$B$2000,MATCH(D735,الأصناف!$A$2:$A$2000,0)),"كود غير موجود"))</f>
        <v/>
      </c>
      <c r="F735" s="4" t="n"/>
      <c r="G735">
        <f>IF(D735="","",IFERROR(INDEX(الأصناف!$C$2:$C$2000,MATCH(D735,الأصناف!$A$2:$A$2000,0)),0))</f>
        <v/>
      </c>
      <c r="H735">
        <f>IF(D735="","",F735*G735)</f>
        <v/>
      </c>
      <c r="I735">
        <f>IF(D735="","",H735-F735*IFERROR(INDEX(الأصناف!$D$2:$D$2000,MATCH(D735,الأصناف!$A$2:$A$2000,0)),0))</f>
        <v/>
      </c>
      <c r="J735" s="4" t="n"/>
      <c r="K735" s="7">
        <f>IF(OR(B735="",B735&lt;&gt;الإيصال!$C$3),"",COUNTIF(B$2:B735,الإيصال!$C$3))</f>
        <v/>
      </c>
    </row>
    <row r="736">
      <c r="A736" s="6" t="n"/>
      <c r="B736" s="4" t="n"/>
      <c r="C736" s="4" t="n"/>
      <c r="D736" s="4" t="n"/>
      <c r="E736">
        <f>IF(D736="","",IFERROR(INDEX(الأصناف!$B$2:$B$2000,MATCH(D736,الأصناف!$A$2:$A$2000,0)),"كود غير موجود"))</f>
        <v/>
      </c>
      <c r="F736" s="4" t="n"/>
      <c r="G736">
        <f>IF(D736="","",IFERROR(INDEX(الأصناف!$C$2:$C$2000,MATCH(D736,الأصناف!$A$2:$A$2000,0)),0))</f>
        <v/>
      </c>
      <c r="H736">
        <f>IF(D736="","",F736*G736)</f>
        <v/>
      </c>
      <c r="I736">
        <f>IF(D736="","",H736-F736*IFERROR(INDEX(الأصناف!$D$2:$D$2000,MATCH(D736,الأصناف!$A$2:$A$2000,0)),0))</f>
        <v/>
      </c>
      <c r="J736" s="4" t="n"/>
      <c r="K736" s="7">
        <f>IF(OR(B736="",B736&lt;&gt;الإيصال!$C$3),"",COUNTIF(B$2:B736,الإيصال!$C$3))</f>
        <v/>
      </c>
    </row>
    <row r="737">
      <c r="A737" s="6" t="n"/>
      <c r="B737" s="4" t="n"/>
      <c r="C737" s="4" t="n"/>
      <c r="D737" s="4" t="n"/>
      <c r="E737">
        <f>IF(D737="","",IFERROR(INDEX(الأصناف!$B$2:$B$2000,MATCH(D737,الأصناف!$A$2:$A$2000,0)),"كود غير موجود"))</f>
        <v/>
      </c>
      <c r="F737" s="4" t="n"/>
      <c r="G737">
        <f>IF(D737="","",IFERROR(INDEX(الأصناف!$C$2:$C$2000,MATCH(D737,الأصناف!$A$2:$A$2000,0)),0))</f>
        <v/>
      </c>
      <c r="H737">
        <f>IF(D737="","",F737*G737)</f>
        <v/>
      </c>
      <c r="I737">
        <f>IF(D737="","",H737-F737*IFERROR(INDEX(الأصناف!$D$2:$D$2000,MATCH(D737,الأصناف!$A$2:$A$2000,0)),0))</f>
        <v/>
      </c>
      <c r="J737" s="4" t="n"/>
      <c r="K737" s="7">
        <f>IF(OR(B737="",B737&lt;&gt;الإيصال!$C$3),"",COUNTIF(B$2:B737,الإيصال!$C$3))</f>
        <v/>
      </c>
    </row>
    <row r="738">
      <c r="A738" s="6" t="n"/>
      <c r="B738" s="4" t="n"/>
      <c r="C738" s="4" t="n"/>
      <c r="D738" s="4" t="n"/>
      <c r="E738">
        <f>IF(D738="","",IFERROR(INDEX(الأصناف!$B$2:$B$2000,MATCH(D738,الأصناف!$A$2:$A$2000,0)),"كود غير موجود"))</f>
        <v/>
      </c>
      <c r="F738" s="4" t="n"/>
      <c r="G738">
        <f>IF(D738="","",IFERROR(INDEX(الأصناف!$C$2:$C$2000,MATCH(D738,الأصناف!$A$2:$A$2000,0)),0))</f>
        <v/>
      </c>
      <c r="H738">
        <f>IF(D738="","",F738*G738)</f>
        <v/>
      </c>
      <c r="I738">
        <f>IF(D738="","",H738-F738*IFERROR(INDEX(الأصناف!$D$2:$D$2000,MATCH(D738,الأصناف!$A$2:$A$2000,0)),0))</f>
        <v/>
      </c>
      <c r="J738" s="4" t="n"/>
      <c r="K738" s="7">
        <f>IF(OR(B738="",B738&lt;&gt;الإيصال!$C$3),"",COUNTIF(B$2:B738,الإيصال!$C$3))</f>
        <v/>
      </c>
    </row>
    <row r="739">
      <c r="A739" s="6" t="n"/>
      <c r="B739" s="4" t="n"/>
      <c r="C739" s="4" t="n"/>
      <c r="D739" s="4" t="n"/>
      <c r="E739">
        <f>IF(D739="","",IFERROR(INDEX(الأصناف!$B$2:$B$2000,MATCH(D739,الأصناف!$A$2:$A$2000,0)),"كود غير موجود"))</f>
        <v/>
      </c>
      <c r="F739" s="4" t="n"/>
      <c r="G739">
        <f>IF(D739="","",IFERROR(INDEX(الأصناف!$C$2:$C$2000,MATCH(D739,الأصناف!$A$2:$A$2000,0)),0))</f>
        <v/>
      </c>
      <c r="H739">
        <f>IF(D739="","",F739*G739)</f>
        <v/>
      </c>
      <c r="I739">
        <f>IF(D739="","",H739-F739*IFERROR(INDEX(الأصناف!$D$2:$D$2000,MATCH(D739,الأصناف!$A$2:$A$2000,0)),0))</f>
        <v/>
      </c>
      <c r="J739" s="4" t="n"/>
      <c r="K739" s="7">
        <f>IF(OR(B739="",B739&lt;&gt;الإيصال!$C$3),"",COUNTIF(B$2:B739,الإيصال!$C$3))</f>
        <v/>
      </c>
    </row>
    <row r="740">
      <c r="A740" s="6" t="n"/>
      <c r="B740" s="4" t="n"/>
      <c r="C740" s="4" t="n"/>
      <c r="D740" s="4" t="n"/>
      <c r="E740">
        <f>IF(D740="","",IFERROR(INDEX(الأصناف!$B$2:$B$2000,MATCH(D740,الأصناف!$A$2:$A$2000,0)),"كود غير موجود"))</f>
        <v/>
      </c>
      <c r="F740" s="4" t="n"/>
      <c r="G740">
        <f>IF(D740="","",IFERROR(INDEX(الأصناف!$C$2:$C$2000,MATCH(D740,الأصناف!$A$2:$A$2000,0)),0))</f>
        <v/>
      </c>
      <c r="H740">
        <f>IF(D740="","",F740*G740)</f>
        <v/>
      </c>
      <c r="I740">
        <f>IF(D740="","",H740-F740*IFERROR(INDEX(الأصناف!$D$2:$D$2000,MATCH(D740,الأصناف!$A$2:$A$2000,0)),0))</f>
        <v/>
      </c>
      <c r="J740" s="4" t="n"/>
      <c r="K740" s="7">
        <f>IF(OR(B740="",B740&lt;&gt;الإيصال!$C$3),"",COUNTIF(B$2:B740,الإيصال!$C$3))</f>
        <v/>
      </c>
    </row>
    <row r="741">
      <c r="A741" s="6" t="n"/>
      <c r="B741" s="4" t="n"/>
      <c r="C741" s="4" t="n"/>
      <c r="D741" s="4" t="n"/>
      <c r="E741">
        <f>IF(D741="","",IFERROR(INDEX(الأصناف!$B$2:$B$2000,MATCH(D741,الأصناف!$A$2:$A$2000,0)),"كود غير موجود"))</f>
        <v/>
      </c>
      <c r="F741" s="4" t="n"/>
      <c r="G741">
        <f>IF(D741="","",IFERROR(INDEX(الأصناف!$C$2:$C$2000,MATCH(D741,الأصناف!$A$2:$A$2000,0)),0))</f>
        <v/>
      </c>
      <c r="H741">
        <f>IF(D741="","",F741*G741)</f>
        <v/>
      </c>
      <c r="I741">
        <f>IF(D741="","",H741-F741*IFERROR(INDEX(الأصناف!$D$2:$D$2000,MATCH(D741,الأصناف!$A$2:$A$2000,0)),0))</f>
        <v/>
      </c>
      <c r="J741" s="4" t="n"/>
      <c r="K741" s="7">
        <f>IF(OR(B741="",B741&lt;&gt;الإيصال!$C$3),"",COUNTIF(B$2:B741,الإيصال!$C$3))</f>
        <v/>
      </c>
    </row>
    <row r="742">
      <c r="A742" s="6" t="n"/>
      <c r="B742" s="4" t="n"/>
      <c r="C742" s="4" t="n"/>
      <c r="D742" s="4" t="n"/>
      <c r="E742">
        <f>IF(D742="","",IFERROR(INDEX(الأصناف!$B$2:$B$2000,MATCH(D742,الأصناف!$A$2:$A$2000,0)),"كود غير موجود"))</f>
        <v/>
      </c>
      <c r="F742" s="4" t="n"/>
      <c r="G742">
        <f>IF(D742="","",IFERROR(INDEX(الأصناف!$C$2:$C$2000,MATCH(D742,الأصناف!$A$2:$A$2000,0)),0))</f>
        <v/>
      </c>
      <c r="H742">
        <f>IF(D742="","",F742*G742)</f>
        <v/>
      </c>
      <c r="I742">
        <f>IF(D742="","",H742-F742*IFERROR(INDEX(الأصناف!$D$2:$D$2000,MATCH(D742,الأصناف!$A$2:$A$2000,0)),0))</f>
        <v/>
      </c>
      <c r="J742" s="4" t="n"/>
      <c r="K742" s="7">
        <f>IF(OR(B742="",B742&lt;&gt;الإيصال!$C$3),"",COUNTIF(B$2:B742,الإيصال!$C$3))</f>
        <v/>
      </c>
    </row>
    <row r="743">
      <c r="A743" s="6" t="n"/>
      <c r="B743" s="4" t="n"/>
      <c r="C743" s="4" t="n"/>
      <c r="D743" s="4" t="n"/>
      <c r="E743">
        <f>IF(D743="","",IFERROR(INDEX(الأصناف!$B$2:$B$2000,MATCH(D743,الأصناف!$A$2:$A$2000,0)),"كود غير موجود"))</f>
        <v/>
      </c>
      <c r="F743" s="4" t="n"/>
      <c r="G743">
        <f>IF(D743="","",IFERROR(INDEX(الأصناف!$C$2:$C$2000,MATCH(D743,الأصناف!$A$2:$A$2000,0)),0))</f>
        <v/>
      </c>
      <c r="H743">
        <f>IF(D743="","",F743*G743)</f>
        <v/>
      </c>
      <c r="I743">
        <f>IF(D743="","",H743-F743*IFERROR(INDEX(الأصناف!$D$2:$D$2000,MATCH(D743,الأصناف!$A$2:$A$2000,0)),0))</f>
        <v/>
      </c>
      <c r="J743" s="4" t="n"/>
      <c r="K743" s="7">
        <f>IF(OR(B743="",B743&lt;&gt;الإيصال!$C$3),"",COUNTIF(B$2:B743,الإيصال!$C$3))</f>
        <v/>
      </c>
    </row>
    <row r="744">
      <c r="A744" s="6" t="n"/>
      <c r="B744" s="4" t="n"/>
      <c r="C744" s="4" t="n"/>
      <c r="D744" s="4" t="n"/>
      <c r="E744">
        <f>IF(D744="","",IFERROR(INDEX(الأصناف!$B$2:$B$2000,MATCH(D744,الأصناف!$A$2:$A$2000,0)),"كود غير موجود"))</f>
        <v/>
      </c>
      <c r="F744" s="4" t="n"/>
      <c r="G744">
        <f>IF(D744="","",IFERROR(INDEX(الأصناف!$C$2:$C$2000,MATCH(D744,الأصناف!$A$2:$A$2000,0)),0))</f>
        <v/>
      </c>
      <c r="H744">
        <f>IF(D744="","",F744*G744)</f>
        <v/>
      </c>
      <c r="I744">
        <f>IF(D744="","",H744-F744*IFERROR(INDEX(الأصناف!$D$2:$D$2000,MATCH(D744,الأصناف!$A$2:$A$2000,0)),0))</f>
        <v/>
      </c>
      <c r="J744" s="4" t="n"/>
      <c r="K744" s="7">
        <f>IF(OR(B744="",B744&lt;&gt;الإيصال!$C$3),"",COUNTIF(B$2:B744,الإيصال!$C$3))</f>
        <v/>
      </c>
    </row>
    <row r="745">
      <c r="A745" s="6" t="n"/>
      <c r="B745" s="4" t="n"/>
      <c r="C745" s="4" t="n"/>
      <c r="D745" s="4" t="n"/>
      <c r="E745">
        <f>IF(D745="","",IFERROR(INDEX(الأصناف!$B$2:$B$2000,MATCH(D745,الأصناف!$A$2:$A$2000,0)),"كود غير موجود"))</f>
        <v/>
      </c>
      <c r="F745" s="4" t="n"/>
      <c r="G745">
        <f>IF(D745="","",IFERROR(INDEX(الأصناف!$C$2:$C$2000,MATCH(D745,الأصناف!$A$2:$A$2000,0)),0))</f>
        <v/>
      </c>
      <c r="H745">
        <f>IF(D745="","",F745*G745)</f>
        <v/>
      </c>
      <c r="I745">
        <f>IF(D745="","",H745-F745*IFERROR(INDEX(الأصناف!$D$2:$D$2000,MATCH(D745,الأصناف!$A$2:$A$2000,0)),0))</f>
        <v/>
      </c>
      <c r="J745" s="4" t="n"/>
      <c r="K745" s="7">
        <f>IF(OR(B745="",B745&lt;&gt;الإيصال!$C$3),"",COUNTIF(B$2:B745,الإيصال!$C$3))</f>
        <v/>
      </c>
    </row>
    <row r="746">
      <c r="A746" s="6" t="n"/>
      <c r="B746" s="4" t="n"/>
      <c r="C746" s="4" t="n"/>
      <c r="D746" s="4" t="n"/>
      <c r="E746">
        <f>IF(D746="","",IFERROR(INDEX(الأصناف!$B$2:$B$2000,MATCH(D746,الأصناف!$A$2:$A$2000,0)),"كود غير موجود"))</f>
        <v/>
      </c>
      <c r="F746" s="4" t="n"/>
      <c r="G746">
        <f>IF(D746="","",IFERROR(INDEX(الأصناف!$C$2:$C$2000,MATCH(D746,الأصناف!$A$2:$A$2000,0)),0))</f>
        <v/>
      </c>
      <c r="H746">
        <f>IF(D746="","",F746*G746)</f>
        <v/>
      </c>
      <c r="I746">
        <f>IF(D746="","",H746-F746*IFERROR(INDEX(الأصناف!$D$2:$D$2000,MATCH(D746,الأصناف!$A$2:$A$2000,0)),0))</f>
        <v/>
      </c>
      <c r="J746" s="4" t="n"/>
      <c r="K746" s="7">
        <f>IF(OR(B746="",B746&lt;&gt;الإيصال!$C$3),"",COUNTIF(B$2:B746,الإيصال!$C$3))</f>
        <v/>
      </c>
    </row>
    <row r="747">
      <c r="A747" s="6" t="n"/>
      <c r="B747" s="4" t="n"/>
      <c r="C747" s="4" t="n"/>
      <c r="D747" s="4" t="n"/>
      <c r="E747">
        <f>IF(D747="","",IFERROR(INDEX(الأصناف!$B$2:$B$2000,MATCH(D747,الأصناف!$A$2:$A$2000,0)),"كود غير موجود"))</f>
        <v/>
      </c>
      <c r="F747" s="4" t="n"/>
      <c r="G747">
        <f>IF(D747="","",IFERROR(INDEX(الأصناف!$C$2:$C$2000,MATCH(D747,الأصناف!$A$2:$A$2000,0)),0))</f>
        <v/>
      </c>
      <c r="H747">
        <f>IF(D747="","",F747*G747)</f>
        <v/>
      </c>
      <c r="I747">
        <f>IF(D747="","",H747-F747*IFERROR(INDEX(الأصناف!$D$2:$D$2000,MATCH(D747,الأصناف!$A$2:$A$2000,0)),0))</f>
        <v/>
      </c>
      <c r="J747" s="4" t="n"/>
      <c r="K747" s="7">
        <f>IF(OR(B747="",B747&lt;&gt;الإيصال!$C$3),"",COUNTIF(B$2:B747,الإيصال!$C$3))</f>
        <v/>
      </c>
    </row>
    <row r="748">
      <c r="A748" s="6" t="n"/>
      <c r="B748" s="4" t="n"/>
      <c r="C748" s="4" t="n"/>
      <c r="D748" s="4" t="n"/>
      <c r="E748">
        <f>IF(D748="","",IFERROR(INDEX(الأصناف!$B$2:$B$2000,MATCH(D748,الأصناف!$A$2:$A$2000,0)),"كود غير موجود"))</f>
        <v/>
      </c>
      <c r="F748" s="4" t="n"/>
      <c r="G748">
        <f>IF(D748="","",IFERROR(INDEX(الأصناف!$C$2:$C$2000,MATCH(D748,الأصناف!$A$2:$A$2000,0)),0))</f>
        <v/>
      </c>
      <c r="H748">
        <f>IF(D748="","",F748*G748)</f>
        <v/>
      </c>
      <c r="I748">
        <f>IF(D748="","",H748-F748*IFERROR(INDEX(الأصناف!$D$2:$D$2000,MATCH(D748,الأصناف!$A$2:$A$2000,0)),0))</f>
        <v/>
      </c>
      <c r="J748" s="4" t="n"/>
      <c r="K748" s="7">
        <f>IF(OR(B748="",B748&lt;&gt;الإيصال!$C$3),"",COUNTIF(B$2:B748,الإيصال!$C$3))</f>
        <v/>
      </c>
    </row>
    <row r="749">
      <c r="A749" s="6" t="n"/>
      <c r="B749" s="4" t="n"/>
      <c r="C749" s="4" t="n"/>
      <c r="D749" s="4" t="n"/>
      <c r="E749">
        <f>IF(D749="","",IFERROR(INDEX(الأصناف!$B$2:$B$2000,MATCH(D749,الأصناف!$A$2:$A$2000,0)),"كود غير موجود"))</f>
        <v/>
      </c>
      <c r="F749" s="4" t="n"/>
      <c r="G749">
        <f>IF(D749="","",IFERROR(INDEX(الأصناف!$C$2:$C$2000,MATCH(D749,الأصناف!$A$2:$A$2000,0)),0))</f>
        <v/>
      </c>
      <c r="H749">
        <f>IF(D749="","",F749*G749)</f>
        <v/>
      </c>
      <c r="I749">
        <f>IF(D749="","",H749-F749*IFERROR(INDEX(الأصناف!$D$2:$D$2000,MATCH(D749,الأصناف!$A$2:$A$2000,0)),0))</f>
        <v/>
      </c>
      <c r="J749" s="4" t="n"/>
      <c r="K749" s="7">
        <f>IF(OR(B749="",B749&lt;&gt;الإيصال!$C$3),"",COUNTIF(B$2:B749,الإيصال!$C$3))</f>
        <v/>
      </c>
    </row>
    <row r="750">
      <c r="A750" s="6" t="n"/>
      <c r="B750" s="4" t="n"/>
      <c r="C750" s="4" t="n"/>
      <c r="D750" s="4" t="n"/>
      <c r="E750">
        <f>IF(D750="","",IFERROR(INDEX(الأصناف!$B$2:$B$2000,MATCH(D750,الأصناف!$A$2:$A$2000,0)),"كود غير موجود"))</f>
        <v/>
      </c>
      <c r="F750" s="4" t="n"/>
      <c r="G750">
        <f>IF(D750="","",IFERROR(INDEX(الأصناف!$C$2:$C$2000,MATCH(D750,الأصناف!$A$2:$A$2000,0)),0))</f>
        <v/>
      </c>
      <c r="H750">
        <f>IF(D750="","",F750*G750)</f>
        <v/>
      </c>
      <c r="I750">
        <f>IF(D750="","",H750-F750*IFERROR(INDEX(الأصناف!$D$2:$D$2000,MATCH(D750,الأصناف!$A$2:$A$2000,0)),0))</f>
        <v/>
      </c>
      <c r="J750" s="4" t="n"/>
      <c r="K750" s="7">
        <f>IF(OR(B750="",B750&lt;&gt;الإيصال!$C$3),"",COUNTIF(B$2:B750,الإيصال!$C$3))</f>
        <v/>
      </c>
    </row>
    <row r="751">
      <c r="A751" s="6" t="n"/>
      <c r="B751" s="4" t="n"/>
      <c r="C751" s="4" t="n"/>
      <c r="D751" s="4" t="n"/>
      <c r="E751">
        <f>IF(D751="","",IFERROR(INDEX(الأصناف!$B$2:$B$2000,MATCH(D751,الأصناف!$A$2:$A$2000,0)),"كود غير موجود"))</f>
        <v/>
      </c>
      <c r="F751" s="4" t="n"/>
      <c r="G751">
        <f>IF(D751="","",IFERROR(INDEX(الأصناف!$C$2:$C$2000,MATCH(D751,الأصناف!$A$2:$A$2000,0)),0))</f>
        <v/>
      </c>
      <c r="H751">
        <f>IF(D751="","",F751*G751)</f>
        <v/>
      </c>
      <c r="I751">
        <f>IF(D751="","",H751-F751*IFERROR(INDEX(الأصناف!$D$2:$D$2000,MATCH(D751,الأصناف!$A$2:$A$2000,0)),0))</f>
        <v/>
      </c>
      <c r="J751" s="4" t="n"/>
      <c r="K751" s="7">
        <f>IF(OR(B751="",B751&lt;&gt;الإيصال!$C$3),"",COUNTIF(B$2:B751,الإيصال!$C$3))</f>
        <v/>
      </c>
    </row>
    <row r="752">
      <c r="A752" s="6" t="n"/>
      <c r="B752" s="4" t="n"/>
      <c r="C752" s="4" t="n"/>
      <c r="D752" s="4" t="n"/>
      <c r="E752">
        <f>IF(D752="","",IFERROR(INDEX(الأصناف!$B$2:$B$2000,MATCH(D752,الأصناف!$A$2:$A$2000,0)),"كود غير موجود"))</f>
        <v/>
      </c>
      <c r="F752" s="4" t="n"/>
      <c r="G752">
        <f>IF(D752="","",IFERROR(INDEX(الأصناف!$C$2:$C$2000,MATCH(D752,الأصناف!$A$2:$A$2000,0)),0))</f>
        <v/>
      </c>
      <c r="H752">
        <f>IF(D752="","",F752*G752)</f>
        <v/>
      </c>
      <c r="I752">
        <f>IF(D752="","",H752-F752*IFERROR(INDEX(الأصناف!$D$2:$D$2000,MATCH(D752,الأصناف!$A$2:$A$2000,0)),0))</f>
        <v/>
      </c>
      <c r="J752" s="4" t="n"/>
      <c r="K752" s="7">
        <f>IF(OR(B752="",B752&lt;&gt;الإيصال!$C$3),"",COUNTIF(B$2:B752,الإيصال!$C$3))</f>
        <v/>
      </c>
    </row>
    <row r="753">
      <c r="A753" s="6" t="n"/>
      <c r="B753" s="4" t="n"/>
      <c r="C753" s="4" t="n"/>
      <c r="D753" s="4" t="n"/>
      <c r="E753">
        <f>IF(D753="","",IFERROR(INDEX(الأصناف!$B$2:$B$2000,MATCH(D753,الأصناف!$A$2:$A$2000,0)),"كود غير موجود"))</f>
        <v/>
      </c>
      <c r="F753" s="4" t="n"/>
      <c r="G753">
        <f>IF(D753="","",IFERROR(INDEX(الأصناف!$C$2:$C$2000,MATCH(D753,الأصناف!$A$2:$A$2000,0)),0))</f>
        <v/>
      </c>
      <c r="H753">
        <f>IF(D753="","",F753*G753)</f>
        <v/>
      </c>
      <c r="I753">
        <f>IF(D753="","",H753-F753*IFERROR(INDEX(الأصناف!$D$2:$D$2000,MATCH(D753,الأصناف!$A$2:$A$2000,0)),0))</f>
        <v/>
      </c>
      <c r="J753" s="4" t="n"/>
      <c r="K753" s="7">
        <f>IF(OR(B753="",B753&lt;&gt;الإيصال!$C$3),"",COUNTIF(B$2:B753,الإيصال!$C$3))</f>
        <v/>
      </c>
    </row>
    <row r="754">
      <c r="A754" s="6" t="n"/>
      <c r="B754" s="4" t="n"/>
      <c r="C754" s="4" t="n"/>
      <c r="D754" s="4" t="n"/>
      <c r="E754">
        <f>IF(D754="","",IFERROR(INDEX(الأصناف!$B$2:$B$2000,MATCH(D754,الأصناف!$A$2:$A$2000,0)),"كود غير موجود"))</f>
        <v/>
      </c>
      <c r="F754" s="4" t="n"/>
      <c r="G754">
        <f>IF(D754="","",IFERROR(INDEX(الأصناف!$C$2:$C$2000,MATCH(D754,الأصناف!$A$2:$A$2000,0)),0))</f>
        <v/>
      </c>
      <c r="H754">
        <f>IF(D754="","",F754*G754)</f>
        <v/>
      </c>
      <c r="I754">
        <f>IF(D754="","",H754-F754*IFERROR(INDEX(الأصناف!$D$2:$D$2000,MATCH(D754,الأصناف!$A$2:$A$2000,0)),0))</f>
        <v/>
      </c>
      <c r="J754" s="4" t="n"/>
      <c r="K754" s="7">
        <f>IF(OR(B754="",B754&lt;&gt;الإيصال!$C$3),"",COUNTIF(B$2:B754,الإيصال!$C$3))</f>
        <v/>
      </c>
    </row>
    <row r="755">
      <c r="A755" s="6" t="n"/>
      <c r="B755" s="4" t="n"/>
      <c r="C755" s="4" t="n"/>
      <c r="D755" s="4" t="n"/>
      <c r="E755">
        <f>IF(D755="","",IFERROR(INDEX(الأصناف!$B$2:$B$2000,MATCH(D755,الأصناف!$A$2:$A$2000,0)),"كود غير موجود"))</f>
        <v/>
      </c>
      <c r="F755" s="4" t="n"/>
      <c r="G755">
        <f>IF(D755="","",IFERROR(INDEX(الأصناف!$C$2:$C$2000,MATCH(D755,الأصناف!$A$2:$A$2000,0)),0))</f>
        <v/>
      </c>
      <c r="H755">
        <f>IF(D755="","",F755*G755)</f>
        <v/>
      </c>
      <c r="I755">
        <f>IF(D755="","",H755-F755*IFERROR(INDEX(الأصناف!$D$2:$D$2000,MATCH(D755,الأصناف!$A$2:$A$2000,0)),0))</f>
        <v/>
      </c>
      <c r="J755" s="4" t="n"/>
      <c r="K755" s="7">
        <f>IF(OR(B755="",B755&lt;&gt;الإيصال!$C$3),"",COUNTIF(B$2:B755,الإيصال!$C$3))</f>
        <v/>
      </c>
    </row>
    <row r="756">
      <c r="A756" s="6" t="n"/>
      <c r="B756" s="4" t="n"/>
      <c r="C756" s="4" t="n"/>
      <c r="D756" s="4" t="n"/>
      <c r="E756">
        <f>IF(D756="","",IFERROR(INDEX(الأصناف!$B$2:$B$2000,MATCH(D756,الأصناف!$A$2:$A$2000,0)),"كود غير موجود"))</f>
        <v/>
      </c>
      <c r="F756" s="4" t="n"/>
      <c r="G756">
        <f>IF(D756="","",IFERROR(INDEX(الأصناف!$C$2:$C$2000,MATCH(D756,الأصناف!$A$2:$A$2000,0)),0))</f>
        <v/>
      </c>
      <c r="H756">
        <f>IF(D756="","",F756*G756)</f>
        <v/>
      </c>
      <c r="I756">
        <f>IF(D756="","",H756-F756*IFERROR(INDEX(الأصناف!$D$2:$D$2000,MATCH(D756,الأصناف!$A$2:$A$2000,0)),0))</f>
        <v/>
      </c>
      <c r="J756" s="4" t="n"/>
      <c r="K756" s="7">
        <f>IF(OR(B756="",B756&lt;&gt;الإيصال!$C$3),"",COUNTIF(B$2:B756,الإيصال!$C$3))</f>
        <v/>
      </c>
    </row>
    <row r="757">
      <c r="A757" s="6" t="n"/>
      <c r="B757" s="4" t="n"/>
      <c r="C757" s="4" t="n"/>
      <c r="D757" s="4" t="n"/>
      <c r="E757">
        <f>IF(D757="","",IFERROR(INDEX(الأصناف!$B$2:$B$2000,MATCH(D757,الأصناف!$A$2:$A$2000,0)),"كود غير موجود"))</f>
        <v/>
      </c>
      <c r="F757" s="4" t="n"/>
      <c r="G757">
        <f>IF(D757="","",IFERROR(INDEX(الأصناف!$C$2:$C$2000,MATCH(D757,الأصناف!$A$2:$A$2000,0)),0))</f>
        <v/>
      </c>
      <c r="H757">
        <f>IF(D757="","",F757*G757)</f>
        <v/>
      </c>
      <c r="I757">
        <f>IF(D757="","",H757-F757*IFERROR(INDEX(الأصناف!$D$2:$D$2000,MATCH(D757,الأصناف!$A$2:$A$2000,0)),0))</f>
        <v/>
      </c>
      <c r="J757" s="4" t="n"/>
      <c r="K757" s="7">
        <f>IF(OR(B757="",B757&lt;&gt;الإيصال!$C$3),"",COUNTIF(B$2:B757,الإيصال!$C$3))</f>
        <v/>
      </c>
    </row>
    <row r="758">
      <c r="A758" s="6" t="n"/>
      <c r="B758" s="4" t="n"/>
      <c r="C758" s="4" t="n"/>
      <c r="D758" s="4" t="n"/>
      <c r="E758">
        <f>IF(D758="","",IFERROR(INDEX(الأصناف!$B$2:$B$2000,MATCH(D758,الأصناف!$A$2:$A$2000,0)),"كود غير موجود"))</f>
        <v/>
      </c>
      <c r="F758" s="4" t="n"/>
      <c r="G758">
        <f>IF(D758="","",IFERROR(INDEX(الأصناف!$C$2:$C$2000,MATCH(D758,الأصناف!$A$2:$A$2000,0)),0))</f>
        <v/>
      </c>
      <c r="H758">
        <f>IF(D758="","",F758*G758)</f>
        <v/>
      </c>
      <c r="I758">
        <f>IF(D758="","",H758-F758*IFERROR(INDEX(الأصناف!$D$2:$D$2000,MATCH(D758,الأصناف!$A$2:$A$2000,0)),0))</f>
        <v/>
      </c>
      <c r="J758" s="4" t="n"/>
      <c r="K758" s="7">
        <f>IF(OR(B758="",B758&lt;&gt;الإيصال!$C$3),"",COUNTIF(B$2:B758,الإيصال!$C$3))</f>
        <v/>
      </c>
    </row>
    <row r="759">
      <c r="A759" s="6" t="n"/>
      <c r="B759" s="4" t="n"/>
      <c r="C759" s="4" t="n"/>
      <c r="D759" s="4" t="n"/>
      <c r="E759">
        <f>IF(D759="","",IFERROR(INDEX(الأصناف!$B$2:$B$2000,MATCH(D759,الأصناف!$A$2:$A$2000,0)),"كود غير موجود"))</f>
        <v/>
      </c>
      <c r="F759" s="4" t="n"/>
      <c r="G759">
        <f>IF(D759="","",IFERROR(INDEX(الأصناف!$C$2:$C$2000,MATCH(D759,الأصناف!$A$2:$A$2000,0)),0))</f>
        <v/>
      </c>
      <c r="H759">
        <f>IF(D759="","",F759*G759)</f>
        <v/>
      </c>
      <c r="I759">
        <f>IF(D759="","",H759-F759*IFERROR(INDEX(الأصناف!$D$2:$D$2000,MATCH(D759,الأصناف!$A$2:$A$2000,0)),0))</f>
        <v/>
      </c>
      <c r="J759" s="4" t="n"/>
      <c r="K759" s="7">
        <f>IF(OR(B759="",B759&lt;&gt;الإيصال!$C$3),"",COUNTIF(B$2:B759,الإيصال!$C$3))</f>
        <v/>
      </c>
    </row>
    <row r="760">
      <c r="A760" s="6" t="n"/>
      <c r="B760" s="4" t="n"/>
      <c r="C760" s="4" t="n"/>
      <c r="D760" s="4" t="n"/>
      <c r="E760">
        <f>IF(D760="","",IFERROR(INDEX(الأصناف!$B$2:$B$2000,MATCH(D760,الأصناف!$A$2:$A$2000,0)),"كود غير موجود"))</f>
        <v/>
      </c>
      <c r="F760" s="4" t="n"/>
      <c r="G760">
        <f>IF(D760="","",IFERROR(INDEX(الأصناف!$C$2:$C$2000,MATCH(D760,الأصناف!$A$2:$A$2000,0)),0))</f>
        <v/>
      </c>
      <c r="H760">
        <f>IF(D760="","",F760*G760)</f>
        <v/>
      </c>
      <c r="I760">
        <f>IF(D760="","",H760-F760*IFERROR(INDEX(الأصناف!$D$2:$D$2000,MATCH(D760,الأصناف!$A$2:$A$2000,0)),0))</f>
        <v/>
      </c>
      <c r="J760" s="4" t="n"/>
      <c r="K760" s="7">
        <f>IF(OR(B760="",B760&lt;&gt;الإيصال!$C$3),"",COUNTIF(B$2:B760,الإيصال!$C$3))</f>
        <v/>
      </c>
    </row>
    <row r="761">
      <c r="A761" s="6" t="n"/>
      <c r="B761" s="4" t="n"/>
      <c r="C761" s="4" t="n"/>
      <c r="D761" s="4" t="n"/>
      <c r="E761">
        <f>IF(D761="","",IFERROR(INDEX(الأصناف!$B$2:$B$2000,MATCH(D761,الأصناف!$A$2:$A$2000,0)),"كود غير موجود"))</f>
        <v/>
      </c>
      <c r="F761" s="4" t="n"/>
      <c r="G761">
        <f>IF(D761="","",IFERROR(INDEX(الأصناف!$C$2:$C$2000,MATCH(D761,الأصناف!$A$2:$A$2000,0)),0))</f>
        <v/>
      </c>
      <c r="H761">
        <f>IF(D761="","",F761*G761)</f>
        <v/>
      </c>
      <c r="I761">
        <f>IF(D761="","",H761-F761*IFERROR(INDEX(الأصناف!$D$2:$D$2000,MATCH(D761,الأصناف!$A$2:$A$2000,0)),0))</f>
        <v/>
      </c>
      <c r="J761" s="4" t="n"/>
      <c r="K761" s="7">
        <f>IF(OR(B761="",B761&lt;&gt;الإيصال!$C$3),"",COUNTIF(B$2:B761,الإيصال!$C$3))</f>
        <v/>
      </c>
    </row>
    <row r="762">
      <c r="A762" s="6" t="n"/>
      <c r="B762" s="4" t="n"/>
      <c r="C762" s="4" t="n"/>
      <c r="D762" s="4" t="n"/>
      <c r="E762">
        <f>IF(D762="","",IFERROR(INDEX(الأصناف!$B$2:$B$2000,MATCH(D762,الأصناف!$A$2:$A$2000,0)),"كود غير موجود"))</f>
        <v/>
      </c>
      <c r="F762" s="4" t="n"/>
      <c r="G762">
        <f>IF(D762="","",IFERROR(INDEX(الأصناف!$C$2:$C$2000,MATCH(D762,الأصناف!$A$2:$A$2000,0)),0))</f>
        <v/>
      </c>
      <c r="H762">
        <f>IF(D762="","",F762*G762)</f>
        <v/>
      </c>
      <c r="I762">
        <f>IF(D762="","",H762-F762*IFERROR(INDEX(الأصناف!$D$2:$D$2000,MATCH(D762,الأصناف!$A$2:$A$2000,0)),0))</f>
        <v/>
      </c>
      <c r="J762" s="4" t="n"/>
      <c r="K762" s="7">
        <f>IF(OR(B762="",B762&lt;&gt;الإيصال!$C$3),"",COUNTIF(B$2:B762,الإيصال!$C$3))</f>
        <v/>
      </c>
    </row>
    <row r="763">
      <c r="A763" s="6" t="n"/>
      <c r="B763" s="4" t="n"/>
      <c r="C763" s="4" t="n"/>
      <c r="D763" s="4" t="n"/>
      <c r="E763">
        <f>IF(D763="","",IFERROR(INDEX(الأصناف!$B$2:$B$2000,MATCH(D763,الأصناف!$A$2:$A$2000,0)),"كود غير موجود"))</f>
        <v/>
      </c>
      <c r="F763" s="4" t="n"/>
      <c r="G763">
        <f>IF(D763="","",IFERROR(INDEX(الأصناف!$C$2:$C$2000,MATCH(D763,الأصناف!$A$2:$A$2000,0)),0))</f>
        <v/>
      </c>
      <c r="H763">
        <f>IF(D763="","",F763*G763)</f>
        <v/>
      </c>
      <c r="I763">
        <f>IF(D763="","",H763-F763*IFERROR(INDEX(الأصناف!$D$2:$D$2000,MATCH(D763,الأصناف!$A$2:$A$2000,0)),0))</f>
        <v/>
      </c>
      <c r="J763" s="4" t="n"/>
      <c r="K763" s="7">
        <f>IF(OR(B763="",B763&lt;&gt;الإيصال!$C$3),"",COUNTIF(B$2:B763,الإيصال!$C$3))</f>
        <v/>
      </c>
    </row>
    <row r="764">
      <c r="A764" s="6" t="n"/>
      <c r="B764" s="4" t="n"/>
      <c r="C764" s="4" t="n"/>
      <c r="D764" s="4" t="n"/>
      <c r="E764">
        <f>IF(D764="","",IFERROR(INDEX(الأصناف!$B$2:$B$2000,MATCH(D764,الأصناف!$A$2:$A$2000,0)),"كود غير موجود"))</f>
        <v/>
      </c>
      <c r="F764" s="4" t="n"/>
      <c r="G764">
        <f>IF(D764="","",IFERROR(INDEX(الأصناف!$C$2:$C$2000,MATCH(D764,الأصناف!$A$2:$A$2000,0)),0))</f>
        <v/>
      </c>
      <c r="H764">
        <f>IF(D764="","",F764*G764)</f>
        <v/>
      </c>
      <c r="I764">
        <f>IF(D764="","",H764-F764*IFERROR(INDEX(الأصناف!$D$2:$D$2000,MATCH(D764,الأصناف!$A$2:$A$2000,0)),0))</f>
        <v/>
      </c>
      <c r="J764" s="4" t="n"/>
      <c r="K764" s="7">
        <f>IF(OR(B764="",B764&lt;&gt;الإيصال!$C$3),"",COUNTIF(B$2:B764,الإيصال!$C$3))</f>
        <v/>
      </c>
    </row>
    <row r="765">
      <c r="A765" s="6" t="n"/>
      <c r="B765" s="4" t="n"/>
      <c r="C765" s="4" t="n"/>
      <c r="D765" s="4" t="n"/>
      <c r="E765">
        <f>IF(D765="","",IFERROR(INDEX(الأصناف!$B$2:$B$2000,MATCH(D765,الأصناف!$A$2:$A$2000,0)),"كود غير موجود"))</f>
        <v/>
      </c>
      <c r="F765" s="4" t="n"/>
      <c r="G765">
        <f>IF(D765="","",IFERROR(INDEX(الأصناف!$C$2:$C$2000,MATCH(D765,الأصناف!$A$2:$A$2000,0)),0))</f>
        <v/>
      </c>
      <c r="H765">
        <f>IF(D765="","",F765*G765)</f>
        <v/>
      </c>
      <c r="I765">
        <f>IF(D765="","",H765-F765*IFERROR(INDEX(الأصناف!$D$2:$D$2000,MATCH(D765,الأصناف!$A$2:$A$2000,0)),0))</f>
        <v/>
      </c>
      <c r="J765" s="4" t="n"/>
      <c r="K765" s="7">
        <f>IF(OR(B765="",B765&lt;&gt;الإيصال!$C$3),"",COUNTIF(B$2:B765,الإيصال!$C$3))</f>
        <v/>
      </c>
    </row>
    <row r="766">
      <c r="A766" s="6" t="n"/>
      <c r="B766" s="4" t="n"/>
      <c r="C766" s="4" t="n"/>
      <c r="D766" s="4" t="n"/>
      <c r="E766">
        <f>IF(D766="","",IFERROR(INDEX(الأصناف!$B$2:$B$2000,MATCH(D766,الأصناف!$A$2:$A$2000,0)),"كود غير موجود"))</f>
        <v/>
      </c>
      <c r="F766" s="4" t="n"/>
      <c r="G766">
        <f>IF(D766="","",IFERROR(INDEX(الأصناف!$C$2:$C$2000,MATCH(D766,الأصناف!$A$2:$A$2000,0)),0))</f>
        <v/>
      </c>
      <c r="H766">
        <f>IF(D766="","",F766*G766)</f>
        <v/>
      </c>
      <c r="I766">
        <f>IF(D766="","",H766-F766*IFERROR(INDEX(الأصناف!$D$2:$D$2000,MATCH(D766,الأصناف!$A$2:$A$2000,0)),0))</f>
        <v/>
      </c>
      <c r="J766" s="4" t="n"/>
      <c r="K766" s="7">
        <f>IF(OR(B766="",B766&lt;&gt;الإيصال!$C$3),"",COUNTIF(B$2:B766,الإيصال!$C$3))</f>
        <v/>
      </c>
    </row>
    <row r="767">
      <c r="A767" s="6" t="n"/>
      <c r="B767" s="4" t="n"/>
      <c r="C767" s="4" t="n"/>
      <c r="D767" s="4" t="n"/>
      <c r="E767">
        <f>IF(D767="","",IFERROR(INDEX(الأصناف!$B$2:$B$2000,MATCH(D767,الأصناف!$A$2:$A$2000,0)),"كود غير موجود"))</f>
        <v/>
      </c>
      <c r="F767" s="4" t="n"/>
      <c r="G767">
        <f>IF(D767="","",IFERROR(INDEX(الأصناف!$C$2:$C$2000,MATCH(D767,الأصناف!$A$2:$A$2000,0)),0))</f>
        <v/>
      </c>
      <c r="H767">
        <f>IF(D767="","",F767*G767)</f>
        <v/>
      </c>
      <c r="I767">
        <f>IF(D767="","",H767-F767*IFERROR(INDEX(الأصناف!$D$2:$D$2000,MATCH(D767,الأصناف!$A$2:$A$2000,0)),0))</f>
        <v/>
      </c>
      <c r="J767" s="4" t="n"/>
      <c r="K767" s="7">
        <f>IF(OR(B767="",B767&lt;&gt;الإيصال!$C$3),"",COUNTIF(B$2:B767,الإيصال!$C$3))</f>
        <v/>
      </c>
    </row>
    <row r="768">
      <c r="A768" s="6" t="n"/>
      <c r="B768" s="4" t="n"/>
      <c r="C768" s="4" t="n"/>
      <c r="D768" s="4" t="n"/>
      <c r="E768">
        <f>IF(D768="","",IFERROR(INDEX(الأصناف!$B$2:$B$2000,MATCH(D768,الأصناف!$A$2:$A$2000,0)),"كود غير موجود"))</f>
        <v/>
      </c>
      <c r="F768" s="4" t="n"/>
      <c r="G768">
        <f>IF(D768="","",IFERROR(INDEX(الأصناف!$C$2:$C$2000,MATCH(D768,الأصناف!$A$2:$A$2000,0)),0))</f>
        <v/>
      </c>
      <c r="H768">
        <f>IF(D768="","",F768*G768)</f>
        <v/>
      </c>
      <c r="I768">
        <f>IF(D768="","",H768-F768*IFERROR(INDEX(الأصناف!$D$2:$D$2000,MATCH(D768,الأصناف!$A$2:$A$2000,0)),0))</f>
        <v/>
      </c>
      <c r="J768" s="4" t="n"/>
      <c r="K768" s="7">
        <f>IF(OR(B768="",B768&lt;&gt;الإيصال!$C$3),"",COUNTIF(B$2:B768,الإيصال!$C$3))</f>
        <v/>
      </c>
    </row>
    <row r="769">
      <c r="A769" s="6" t="n"/>
      <c r="B769" s="4" t="n"/>
      <c r="C769" s="4" t="n"/>
      <c r="D769" s="4" t="n"/>
      <c r="E769">
        <f>IF(D769="","",IFERROR(INDEX(الأصناف!$B$2:$B$2000,MATCH(D769,الأصناف!$A$2:$A$2000,0)),"كود غير موجود"))</f>
        <v/>
      </c>
      <c r="F769" s="4" t="n"/>
      <c r="G769">
        <f>IF(D769="","",IFERROR(INDEX(الأصناف!$C$2:$C$2000,MATCH(D769,الأصناف!$A$2:$A$2000,0)),0))</f>
        <v/>
      </c>
      <c r="H769">
        <f>IF(D769="","",F769*G769)</f>
        <v/>
      </c>
      <c r="I769">
        <f>IF(D769="","",H769-F769*IFERROR(INDEX(الأصناف!$D$2:$D$2000,MATCH(D769,الأصناف!$A$2:$A$2000,0)),0))</f>
        <v/>
      </c>
      <c r="J769" s="4" t="n"/>
      <c r="K769" s="7">
        <f>IF(OR(B769="",B769&lt;&gt;الإيصال!$C$3),"",COUNTIF(B$2:B769,الإيصال!$C$3))</f>
        <v/>
      </c>
    </row>
    <row r="770">
      <c r="A770" s="6" t="n"/>
      <c r="B770" s="4" t="n"/>
      <c r="C770" s="4" t="n"/>
      <c r="D770" s="4" t="n"/>
      <c r="E770">
        <f>IF(D770="","",IFERROR(INDEX(الأصناف!$B$2:$B$2000,MATCH(D770,الأصناف!$A$2:$A$2000,0)),"كود غير موجود"))</f>
        <v/>
      </c>
      <c r="F770" s="4" t="n"/>
      <c r="G770">
        <f>IF(D770="","",IFERROR(INDEX(الأصناف!$C$2:$C$2000,MATCH(D770,الأصناف!$A$2:$A$2000,0)),0))</f>
        <v/>
      </c>
      <c r="H770">
        <f>IF(D770="","",F770*G770)</f>
        <v/>
      </c>
      <c r="I770">
        <f>IF(D770="","",H770-F770*IFERROR(INDEX(الأصناف!$D$2:$D$2000,MATCH(D770,الأصناف!$A$2:$A$2000,0)),0))</f>
        <v/>
      </c>
      <c r="J770" s="4" t="n"/>
      <c r="K770" s="7">
        <f>IF(OR(B770="",B770&lt;&gt;الإيصال!$C$3),"",COUNTIF(B$2:B770,الإيصال!$C$3))</f>
        <v/>
      </c>
    </row>
    <row r="771">
      <c r="A771" s="6" t="n"/>
      <c r="B771" s="4" t="n"/>
      <c r="C771" s="4" t="n"/>
      <c r="D771" s="4" t="n"/>
      <c r="E771">
        <f>IF(D771="","",IFERROR(INDEX(الأصناف!$B$2:$B$2000,MATCH(D771,الأصناف!$A$2:$A$2000,0)),"كود غير موجود"))</f>
        <v/>
      </c>
      <c r="F771" s="4" t="n"/>
      <c r="G771">
        <f>IF(D771="","",IFERROR(INDEX(الأصناف!$C$2:$C$2000,MATCH(D771,الأصناف!$A$2:$A$2000,0)),0))</f>
        <v/>
      </c>
      <c r="H771">
        <f>IF(D771="","",F771*G771)</f>
        <v/>
      </c>
      <c r="I771">
        <f>IF(D771="","",H771-F771*IFERROR(INDEX(الأصناف!$D$2:$D$2000,MATCH(D771,الأصناف!$A$2:$A$2000,0)),0))</f>
        <v/>
      </c>
      <c r="J771" s="4" t="n"/>
      <c r="K771" s="7">
        <f>IF(OR(B771="",B771&lt;&gt;الإيصال!$C$3),"",COUNTIF(B$2:B771,الإيصال!$C$3))</f>
        <v/>
      </c>
    </row>
    <row r="772">
      <c r="A772" s="6" t="n"/>
      <c r="B772" s="4" t="n"/>
      <c r="C772" s="4" t="n"/>
      <c r="D772" s="4" t="n"/>
      <c r="E772">
        <f>IF(D772="","",IFERROR(INDEX(الأصناف!$B$2:$B$2000,MATCH(D772,الأصناف!$A$2:$A$2000,0)),"كود غير موجود"))</f>
        <v/>
      </c>
      <c r="F772" s="4" t="n"/>
      <c r="G772">
        <f>IF(D772="","",IFERROR(INDEX(الأصناف!$C$2:$C$2000,MATCH(D772,الأصناف!$A$2:$A$2000,0)),0))</f>
        <v/>
      </c>
      <c r="H772">
        <f>IF(D772="","",F772*G772)</f>
        <v/>
      </c>
      <c r="I772">
        <f>IF(D772="","",H772-F772*IFERROR(INDEX(الأصناف!$D$2:$D$2000,MATCH(D772,الأصناف!$A$2:$A$2000,0)),0))</f>
        <v/>
      </c>
      <c r="J772" s="4" t="n"/>
      <c r="K772" s="7">
        <f>IF(OR(B772="",B772&lt;&gt;الإيصال!$C$3),"",COUNTIF(B$2:B772,الإيصال!$C$3))</f>
        <v/>
      </c>
    </row>
    <row r="773">
      <c r="A773" s="6" t="n"/>
      <c r="B773" s="4" t="n"/>
      <c r="C773" s="4" t="n"/>
      <c r="D773" s="4" t="n"/>
      <c r="E773">
        <f>IF(D773="","",IFERROR(INDEX(الأصناف!$B$2:$B$2000,MATCH(D773,الأصناف!$A$2:$A$2000,0)),"كود غير موجود"))</f>
        <v/>
      </c>
      <c r="F773" s="4" t="n"/>
      <c r="G773">
        <f>IF(D773="","",IFERROR(INDEX(الأصناف!$C$2:$C$2000,MATCH(D773,الأصناف!$A$2:$A$2000,0)),0))</f>
        <v/>
      </c>
      <c r="H773">
        <f>IF(D773="","",F773*G773)</f>
        <v/>
      </c>
      <c r="I773">
        <f>IF(D773="","",H773-F773*IFERROR(INDEX(الأصناف!$D$2:$D$2000,MATCH(D773,الأصناف!$A$2:$A$2000,0)),0))</f>
        <v/>
      </c>
      <c r="J773" s="4" t="n"/>
      <c r="K773" s="7">
        <f>IF(OR(B773="",B773&lt;&gt;الإيصال!$C$3),"",COUNTIF(B$2:B773,الإيصال!$C$3))</f>
        <v/>
      </c>
    </row>
    <row r="774">
      <c r="A774" s="6" t="n"/>
      <c r="B774" s="4" t="n"/>
      <c r="C774" s="4" t="n"/>
      <c r="D774" s="4" t="n"/>
      <c r="E774">
        <f>IF(D774="","",IFERROR(INDEX(الأصناف!$B$2:$B$2000,MATCH(D774,الأصناف!$A$2:$A$2000,0)),"كود غير موجود"))</f>
        <v/>
      </c>
      <c r="F774" s="4" t="n"/>
      <c r="G774">
        <f>IF(D774="","",IFERROR(INDEX(الأصناف!$C$2:$C$2000,MATCH(D774,الأصناف!$A$2:$A$2000,0)),0))</f>
        <v/>
      </c>
      <c r="H774">
        <f>IF(D774="","",F774*G774)</f>
        <v/>
      </c>
      <c r="I774">
        <f>IF(D774="","",H774-F774*IFERROR(INDEX(الأصناف!$D$2:$D$2000,MATCH(D774,الأصناف!$A$2:$A$2000,0)),0))</f>
        <v/>
      </c>
      <c r="J774" s="4" t="n"/>
      <c r="K774" s="7">
        <f>IF(OR(B774="",B774&lt;&gt;الإيصال!$C$3),"",COUNTIF(B$2:B774,الإيصال!$C$3))</f>
        <v/>
      </c>
    </row>
    <row r="775">
      <c r="A775" s="6" t="n"/>
      <c r="B775" s="4" t="n"/>
      <c r="C775" s="4" t="n"/>
      <c r="D775" s="4" t="n"/>
      <c r="E775">
        <f>IF(D775="","",IFERROR(INDEX(الأصناف!$B$2:$B$2000,MATCH(D775,الأصناف!$A$2:$A$2000,0)),"كود غير موجود"))</f>
        <v/>
      </c>
      <c r="F775" s="4" t="n"/>
      <c r="G775">
        <f>IF(D775="","",IFERROR(INDEX(الأصناف!$C$2:$C$2000,MATCH(D775,الأصناف!$A$2:$A$2000,0)),0))</f>
        <v/>
      </c>
      <c r="H775">
        <f>IF(D775="","",F775*G775)</f>
        <v/>
      </c>
      <c r="I775">
        <f>IF(D775="","",H775-F775*IFERROR(INDEX(الأصناف!$D$2:$D$2000,MATCH(D775,الأصناف!$A$2:$A$2000,0)),0))</f>
        <v/>
      </c>
      <c r="J775" s="4" t="n"/>
      <c r="K775" s="7">
        <f>IF(OR(B775="",B775&lt;&gt;الإيصال!$C$3),"",COUNTIF(B$2:B775,الإيصال!$C$3))</f>
        <v/>
      </c>
    </row>
    <row r="776">
      <c r="A776" s="6" t="n"/>
      <c r="B776" s="4" t="n"/>
      <c r="C776" s="4" t="n"/>
      <c r="D776" s="4" t="n"/>
      <c r="E776">
        <f>IF(D776="","",IFERROR(INDEX(الأصناف!$B$2:$B$2000,MATCH(D776,الأصناف!$A$2:$A$2000,0)),"كود غير موجود"))</f>
        <v/>
      </c>
      <c r="F776" s="4" t="n"/>
      <c r="G776">
        <f>IF(D776="","",IFERROR(INDEX(الأصناف!$C$2:$C$2000,MATCH(D776,الأصناف!$A$2:$A$2000,0)),0))</f>
        <v/>
      </c>
      <c r="H776">
        <f>IF(D776="","",F776*G776)</f>
        <v/>
      </c>
      <c r="I776">
        <f>IF(D776="","",H776-F776*IFERROR(INDEX(الأصناف!$D$2:$D$2000,MATCH(D776,الأصناف!$A$2:$A$2000,0)),0))</f>
        <v/>
      </c>
      <c r="J776" s="4" t="n"/>
      <c r="K776" s="7">
        <f>IF(OR(B776="",B776&lt;&gt;الإيصال!$C$3),"",COUNTIF(B$2:B776,الإيصال!$C$3))</f>
        <v/>
      </c>
    </row>
    <row r="777">
      <c r="A777" s="6" t="n"/>
      <c r="B777" s="4" t="n"/>
      <c r="C777" s="4" t="n"/>
      <c r="D777" s="4" t="n"/>
      <c r="E777">
        <f>IF(D777="","",IFERROR(INDEX(الأصناف!$B$2:$B$2000,MATCH(D777,الأصناف!$A$2:$A$2000,0)),"كود غير موجود"))</f>
        <v/>
      </c>
      <c r="F777" s="4" t="n"/>
      <c r="G777">
        <f>IF(D777="","",IFERROR(INDEX(الأصناف!$C$2:$C$2000,MATCH(D777,الأصناف!$A$2:$A$2000,0)),0))</f>
        <v/>
      </c>
      <c r="H777">
        <f>IF(D777="","",F777*G777)</f>
        <v/>
      </c>
      <c r="I777">
        <f>IF(D777="","",H777-F777*IFERROR(INDEX(الأصناف!$D$2:$D$2000,MATCH(D777,الأصناف!$A$2:$A$2000,0)),0))</f>
        <v/>
      </c>
      <c r="J777" s="4" t="n"/>
      <c r="K777" s="7">
        <f>IF(OR(B777="",B777&lt;&gt;الإيصال!$C$3),"",COUNTIF(B$2:B777,الإيصال!$C$3))</f>
        <v/>
      </c>
    </row>
    <row r="778">
      <c r="A778" s="6" t="n"/>
      <c r="B778" s="4" t="n"/>
      <c r="C778" s="4" t="n"/>
      <c r="D778" s="4" t="n"/>
      <c r="E778">
        <f>IF(D778="","",IFERROR(INDEX(الأصناف!$B$2:$B$2000,MATCH(D778,الأصناف!$A$2:$A$2000,0)),"كود غير موجود"))</f>
        <v/>
      </c>
      <c r="F778" s="4" t="n"/>
      <c r="G778">
        <f>IF(D778="","",IFERROR(INDEX(الأصناف!$C$2:$C$2000,MATCH(D778,الأصناف!$A$2:$A$2000,0)),0))</f>
        <v/>
      </c>
      <c r="H778">
        <f>IF(D778="","",F778*G778)</f>
        <v/>
      </c>
      <c r="I778">
        <f>IF(D778="","",H778-F778*IFERROR(INDEX(الأصناف!$D$2:$D$2000,MATCH(D778,الأصناف!$A$2:$A$2000,0)),0))</f>
        <v/>
      </c>
      <c r="J778" s="4" t="n"/>
      <c r="K778" s="7">
        <f>IF(OR(B778="",B778&lt;&gt;الإيصال!$C$3),"",COUNTIF(B$2:B778,الإيصال!$C$3))</f>
        <v/>
      </c>
    </row>
    <row r="779">
      <c r="A779" s="6" t="n"/>
      <c r="B779" s="4" t="n"/>
      <c r="C779" s="4" t="n"/>
      <c r="D779" s="4" t="n"/>
      <c r="E779">
        <f>IF(D779="","",IFERROR(INDEX(الأصناف!$B$2:$B$2000,MATCH(D779,الأصناف!$A$2:$A$2000,0)),"كود غير موجود"))</f>
        <v/>
      </c>
      <c r="F779" s="4" t="n"/>
      <c r="G779">
        <f>IF(D779="","",IFERROR(INDEX(الأصناف!$C$2:$C$2000,MATCH(D779,الأصناف!$A$2:$A$2000,0)),0))</f>
        <v/>
      </c>
      <c r="H779">
        <f>IF(D779="","",F779*G779)</f>
        <v/>
      </c>
      <c r="I779">
        <f>IF(D779="","",H779-F779*IFERROR(INDEX(الأصناف!$D$2:$D$2000,MATCH(D779,الأصناف!$A$2:$A$2000,0)),0))</f>
        <v/>
      </c>
      <c r="J779" s="4" t="n"/>
      <c r="K779" s="7">
        <f>IF(OR(B779="",B779&lt;&gt;الإيصال!$C$3),"",COUNTIF(B$2:B779,الإيصال!$C$3))</f>
        <v/>
      </c>
    </row>
    <row r="780">
      <c r="A780" s="6" t="n"/>
      <c r="B780" s="4" t="n"/>
      <c r="C780" s="4" t="n"/>
      <c r="D780" s="4" t="n"/>
      <c r="E780">
        <f>IF(D780="","",IFERROR(INDEX(الأصناف!$B$2:$B$2000,MATCH(D780,الأصناف!$A$2:$A$2000,0)),"كود غير موجود"))</f>
        <v/>
      </c>
      <c r="F780" s="4" t="n"/>
      <c r="G780">
        <f>IF(D780="","",IFERROR(INDEX(الأصناف!$C$2:$C$2000,MATCH(D780,الأصناف!$A$2:$A$2000,0)),0))</f>
        <v/>
      </c>
      <c r="H780">
        <f>IF(D780="","",F780*G780)</f>
        <v/>
      </c>
      <c r="I780">
        <f>IF(D780="","",H780-F780*IFERROR(INDEX(الأصناف!$D$2:$D$2000,MATCH(D780,الأصناف!$A$2:$A$2000,0)),0))</f>
        <v/>
      </c>
      <c r="J780" s="4" t="n"/>
      <c r="K780" s="7">
        <f>IF(OR(B780="",B780&lt;&gt;الإيصال!$C$3),"",COUNTIF(B$2:B780,الإيصال!$C$3))</f>
        <v/>
      </c>
    </row>
    <row r="781">
      <c r="A781" s="6" t="n"/>
      <c r="B781" s="4" t="n"/>
      <c r="C781" s="4" t="n"/>
      <c r="D781" s="4" t="n"/>
      <c r="E781">
        <f>IF(D781="","",IFERROR(INDEX(الأصناف!$B$2:$B$2000,MATCH(D781,الأصناف!$A$2:$A$2000,0)),"كود غير موجود"))</f>
        <v/>
      </c>
      <c r="F781" s="4" t="n"/>
      <c r="G781">
        <f>IF(D781="","",IFERROR(INDEX(الأصناف!$C$2:$C$2000,MATCH(D781,الأصناف!$A$2:$A$2000,0)),0))</f>
        <v/>
      </c>
      <c r="H781">
        <f>IF(D781="","",F781*G781)</f>
        <v/>
      </c>
      <c r="I781">
        <f>IF(D781="","",H781-F781*IFERROR(INDEX(الأصناف!$D$2:$D$2000,MATCH(D781,الأصناف!$A$2:$A$2000,0)),0))</f>
        <v/>
      </c>
      <c r="J781" s="4" t="n"/>
      <c r="K781" s="7">
        <f>IF(OR(B781="",B781&lt;&gt;الإيصال!$C$3),"",COUNTIF(B$2:B781,الإيصال!$C$3))</f>
        <v/>
      </c>
    </row>
    <row r="782">
      <c r="A782" s="6" t="n"/>
      <c r="B782" s="4" t="n"/>
      <c r="C782" s="4" t="n"/>
      <c r="D782" s="4" t="n"/>
      <c r="E782">
        <f>IF(D782="","",IFERROR(INDEX(الأصناف!$B$2:$B$2000,MATCH(D782,الأصناف!$A$2:$A$2000,0)),"كود غير موجود"))</f>
        <v/>
      </c>
      <c r="F782" s="4" t="n"/>
      <c r="G782">
        <f>IF(D782="","",IFERROR(INDEX(الأصناف!$C$2:$C$2000,MATCH(D782,الأصناف!$A$2:$A$2000,0)),0))</f>
        <v/>
      </c>
      <c r="H782">
        <f>IF(D782="","",F782*G782)</f>
        <v/>
      </c>
      <c r="I782">
        <f>IF(D782="","",H782-F782*IFERROR(INDEX(الأصناف!$D$2:$D$2000,MATCH(D782,الأصناف!$A$2:$A$2000,0)),0))</f>
        <v/>
      </c>
      <c r="J782" s="4" t="n"/>
      <c r="K782" s="7">
        <f>IF(OR(B782="",B782&lt;&gt;الإيصال!$C$3),"",COUNTIF(B$2:B782,الإيصال!$C$3))</f>
        <v/>
      </c>
    </row>
    <row r="783">
      <c r="A783" s="6" t="n"/>
      <c r="B783" s="4" t="n"/>
      <c r="C783" s="4" t="n"/>
      <c r="D783" s="4" t="n"/>
      <c r="E783">
        <f>IF(D783="","",IFERROR(INDEX(الأصناف!$B$2:$B$2000,MATCH(D783,الأصناف!$A$2:$A$2000,0)),"كود غير موجود"))</f>
        <v/>
      </c>
      <c r="F783" s="4" t="n"/>
      <c r="G783">
        <f>IF(D783="","",IFERROR(INDEX(الأصناف!$C$2:$C$2000,MATCH(D783,الأصناف!$A$2:$A$2000,0)),0))</f>
        <v/>
      </c>
      <c r="H783">
        <f>IF(D783="","",F783*G783)</f>
        <v/>
      </c>
      <c r="I783">
        <f>IF(D783="","",H783-F783*IFERROR(INDEX(الأصناف!$D$2:$D$2000,MATCH(D783,الأصناف!$A$2:$A$2000,0)),0))</f>
        <v/>
      </c>
      <c r="J783" s="4" t="n"/>
      <c r="K783" s="7">
        <f>IF(OR(B783="",B783&lt;&gt;الإيصال!$C$3),"",COUNTIF(B$2:B783,الإيصال!$C$3))</f>
        <v/>
      </c>
    </row>
    <row r="784">
      <c r="A784" s="6" t="n"/>
      <c r="B784" s="4" t="n"/>
      <c r="C784" s="4" t="n"/>
      <c r="D784" s="4" t="n"/>
      <c r="E784">
        <f>IF(D784="","",IFERROR(INDEX(الأصناف!$B$2:$B$2000,MATCH(D784,الأصناف!$A$2:$A$2000,0)),"كود غير موجود"))</f>
        <v/>
      </c>
      <c r="F784" s="4" t="n"/>
      <c r="G784">
        <f>IF(D784="","",IFERROR(INDEX(الأصناف!$C$2:$C$2000,MATCH(D784,الأصناف!$A$2:$A$2000,0)),0))</f>
        <v/>
      </c>
      <c r="H784">
        <f>IF(D784="","",F784*G784)</f>
        <v/>
      </c>
      <c r="I784">
        <f>IF(D784="","",H784-F784*IFERROR(INDEX(الأصناف!$D$2:$D$2000,MATCH(D784,الأصناف!$A$2:$A$2000,0)),0))</f>
        <v/>
      </c>
      <c r="J784" s="4" t="n"/>
      <c r="K784" s="7">
        <f>IF(OR(B784="",B784&lt;&gt;الإيصال!$C$3),"",COUNTIF(B$2:B784,الإيصال!$C$3))</f>
        <v/>
      </c>
    </row>
    <row r="785">
      <c r="A785" s="6" t="n"/>
      <c r="B785" s="4" t="n"/>
      <c r="C785" s="4" t="n"/>
      <c r="D785" s="4" t="n"/>
      <c r="E785">
        <f>IF(D785="","",IFERROR(INDEX(الأصناف!$B$2:$B$2000,MATCH(D785,الأصناف!$A$2:$A$2000,0)),"كود غير موجود"))</f>
        <v/>
      </c>
      <c r="F785" s="4" t="n"/>
      <c r="G785">
        <f>IF(D785="","",IFERROR(INDEX(الأصناف!$C$2:$C$2000,MATCH(D785,الأصناف!$A$2:$A$2000,0)),0))</f>
        <v/>
      </c>
      <c r="H785">
        <f>IF(D785="","",F785*G785)</f>
        <v/>
      </c>
      <c r="I785">
        <f>IF(D785="","",H785-F785*IFERROR(INDEX(الأصناف!$D$2:$D$2000,MATCH(D785,الأصناف!$A$2:$A$2000,0)),0))</f>
        <v/>
      </c>
      <c r="J785" s="4" t="n"/>
      <c r="K785" s="7">
        <f>IF(OR(B785="",B785&lt;&gt;الإيصال!$C$3),"",COUNTIF(B$2:B785,الإيصال!$C$3))</f>
        <v/>
      </c>
    </row>
    <row r="786">
      <c r="A786" s="6" t="n"/>
      <c r="B786" s="4" t="n"/>
      <c r="C786" s="4" t="n"/>
      <c r="D786" s="4" t="n"/>
      <c r="E786">
        <f>IF(D786="","",IFERROR(INDEX(الأصناف!$B$2:$B$2000,MATCH(D786,الأصناف!$A$2:$A$2000,0)),"كود غير موجود"))</f>
        <v/>
      </c>
      <c r="F786" s="4" t="n"/>
      <c r="G786">
        <f>IF(D786="","",IFERROR(INDEX(الأصناف!$C$2:$C$2000,MATCH(D786,الأصناف!$A$2:$A$2000,0)),0))</f>
        <v/>
      </c>
      <c r="H786">
        <f>IF(D786="","",F786*G786)</f>
        <v/>
      </c>
      <c r="I786">
        <f>IF(D786="","",H786-F786*IFERROR(INDEX(الأصناف!$D$2:$D$2000,MATCH(D786,الأصناف!$A$2:$A$2000,0)),0))</f>
        <v/>
      </c>
      <c r="J786" s="4" t="n"/>
      <c r="K786" s="7">
        <f>IF(OR(B786="",B786&lt;&gt;الإيصال!$C$3),"",COUNTIF(B$2:B786,الإيصال!$C$3))</f>
        <v/>
      </c>
    </row>
    <row r="787">
      <c r="A787" s="6" t="n"/>
      <c r="B787" s="4" t="n"/>
      <c r="C787" s="4" t="n"/>
      <c r="D787" s="4" t="n"/>
      <c r="E787">
        <f>IF(D787="","",IFERROR(INDEX(الأصناف!$B$2:$B$2000,MATCH(D787,الأصناف!$A$2:$A$2000,0)),"كود غير موجود"))</f>
        <v/>
      </c>
      <c r="F787" s="4" t="n"/>
      <c r="G787">
        <f>IF(D787="","",IFERROR(INDEX(الأصناف!$C$2:$C$2000,MATCH(D787,الأصناف!$A$2:$A$2000,0)),0))</f>
        <v/>
      </c>
      <c r="H787">
        <f>IF(D787="","",F787*G787)</f>
        <v/>
      </c>
      <c r="I787">
        <f>IF(D787="","",H787-F787*IFERROR(INDEX(الأصناف!$D$2:$D$2000,MATCH(D787,الأصناف!$A$2:$A$2000,0)),0))</f>
        <v/>
      </c>
      <c r="J787" s="4" t="n"/>
      <c r="K787" s="7">
        <f>IF(OR(B787="",B787&lt;&gt;الإيصال!$C$3),"",COUNTIF(B$2:B787,الإيصال!$C$3))</f>
        <v/>
      </c>
    </row>
    <row r="788">
      <c r="A788" s="6" t="n"/>
      <c r="B788" s="4" t="n"/>
      <c r="C788" s="4" t="n"/>
      <c r="D788" s="4" t="n"/>
      <c r="E788">
        <f>IF(D788="","",IFERROR(INDEX(الأصناف!$B$2:$B$2000,MATCH(D788,الأصناف!$A$2:$A$2000,0)),"كود غير موجود"))</f>
        <v/>
      </c>
      <c r="F788" s="4" t="n"/>
      <c r="G788">
        <f>IF(D788="","",IFERROR(INDEX(الأصناف!$C$2:$C$2000,MATCH(D788,الأصناف!$A$2:$A$2000,0)),0))</f>
        <v/>
      </c>
      <c r="H788">
        <f>IF(D788="","",F788*G788)</f>
        <v/>
      </c>
      <c r="I788">
        <f>IF(D788="","",H788-F788*IFERROR(INDEX(الأصناف!$D$2:$D$2000,MATCH(D788,الأصناف!$A$2:$A$2000,0)),0))</f>
        <v/>
      </c>
      <c r="J788" s="4" t="n"/>
      <c r="K788" s="7">
        <f>IF(OR(B788="",B788&lt;&gt;الإيصال!$C$3),"",COUNTIF(B$2:B788,الإيصال!$C$3))</f>
        <v/>
      </c>
    </row>
    <row r="789">
      <c r="A789" s="6" t="n"/>
      <c r="B789" s="4" t="n"/>
      <c r="C789" s="4" t="n"/>
      <c r="D789" s="4" t="n"/>
      <c r="E789">
        <f>IF(D789="","",IFERROR(INDEX(الأصناف!$B$2:$B$2000,MATCH(D789,الأصناف!$A$2:$A$2000,0)),"كود غير موجود"))</f>
        <v/>
      </c>
      <c r="F789" s="4" t="n"/>
      <c r="G789">
        <f>IF(D789="","",IFERROR(INDEX(الأصناف!$C$2:$C$2000,MATCH(D789,الأصناف!$A$2:$A$2000,0)),0))</f>
        <v/>
      </c>
      <c r="H789">
        <f>IF(D789="","",F789*G789)</f>
        <v/>
      </c>
      <c r="I789">
        <f>IF(D789="","",H789-F789*IFERROR(INDEX(الأصناف!$D$2:$D$2000,MATCH(D789,الأصناف!$A$2:$A$2000,0)),0))</f>
        <v/>
      </c>
      <c r="J789" s="4" t="n"/>
      <c r="K789" s="7">
        <f>IF(OR(B789="",B789&lt;&gt;الإيصال!$C$3),"",COUNTIF(B$2:B789,الإيصال!$C$3))</f>
        <v/>
      </c>
    </row>
    <row r="790">
      <c r="A790" s="6" t="n"/>
      <c r="B790" s="4" t="n"/>
      <c r="C790" s="4" t="n"/>
      <c r="D790" s="4" t="n"/>
      <c r="E790">
        <f>IF(D790="","",IFERROR(INDEX(الأصناف!$B$2:$B$2000,MATCH(D790,الأصناف!$A$2:$A$2000,0)),"كود غير موجود"))</f>
        <v/>
      </c>
      <c r="F790" s="4" t="n"/>
      <c r="G790">
        <f>IF(D790="","",IFERROR(INDEX(الأصناف!$C$2:$C$2000,MATCH(D790,الأصناف!$A$2:$A$2000,0)),0))</f>
        <v/>
      </c>
      <c r="H790">
        <f>IF(D790="","",F790*G790)</f>
        <v/>
      </c>
      <c r="I790">
        <f>IF(D790="","",H790-F790*IFERROR(INDEX(الأصناف!$D$2:$D$2000,MATCH(D790,الأصناف!$A$2:$A$2000,0)),0))</f>
        <v/>
      </c>
      <c r="J790" s="4" t="n"/>
      <c r="K790" s="7">
        <f>IF(OR(B790="",B790&lt;&gt;الإيصال!$C$3),"",COUNTIF(B$2:B790,الإيصال!$C$3))</f>
        <v/>
      </c>
    </row>
    <row r="791">
      <c r="A791" s="6" t="n"/>
      <c r="B791" s="4" t="n"/>
      <c r="C791" s="4" t="n"/>
      <c r="D791" s="4" t="n"/>
      <c r="E791">
        <f>IF(D791="","",IFERROR(INDEX(الأصناف!$B$2:$B$2000,MATCH(D791,الأصناف!$A$2:$A$2000,0)),"كود غير موجود"))</f>
        <v/>
      </c>
      <c r="F791" s="4" t="n"/>
      <c r="G791">
        <f>IF(D791="","",IFERROR(INDEX(الأصناف!$C$2:$C$2000,MATCH(D791,الأصناف!$A$2:$A$2000,0)),0))</f>
        <v/>
      </c>
      <c r="H791">
        <f>IF(D791="","",F791*G791)</f>
        <v/>
      </c>
      <c r="I791">
        <f>IF(D791="","",H791-F791*IFERROR(INDEX(الأصناف!$D$2:$D$2000,MATCH(D791,الأصناف!$A$2:$A$2000,0)),0))</f>
        <v/>
      </c>
      <c r="J791" s="4" t="n"/>
      <c r="K791" s="7">
        <f>IF(OR(B791="",B791&lt;&gt;الإيصال!$C$3),"",COUNTIF(B$2:B791,الإيصال!$C$3))</f>
        <v/>
      </c>
    </row>
    <row r="792">
      <c r="A792" s="6" t="n"/>
      <c r="B792" s="4" t="n"/>
      <c r="C792" s="4" t="n"/>
      <c r="D792" s="4" t="n"/>
      <c r="E792">
        <f>IF(D792="","",IFERROR(INDEX(الأصناف!$B$2:$B$2000,MATCH(D792,الأصناف!$A$2:$A$2000,0)),"كود غير موجود"))</f>
        <v/>
      </c>
      <c r="F792" s="4" t="n"/>
      <c r="G792">
        <f>IF(D792="","",IFERROR(INDEX(الأصناف!$C$2:$C$2000,MATCH(D792,الأصناف!$A$2:$A$2000,0)),0))</f>
        <v/>
      </c>
      <c r="H792">
        <f>IF(D792="","",F792*G792)</f>
        <v/>
      </c>
      <c r="I792">
        <f>IF(D792="","",H792-F792*IFERROR(INDEX(الأصناف!$D$2:$D$2000,MATCH(D792,الأصناف!$A$2:$A$2000,0)),0))</f>
        <v/>
      </c>
      <c r="J792" s="4" t="n"/>
      <c r="K792" s="7">
        <f>IF(OR(B792="",B792&lt;&gt;الإيصال!$C$3),"",COUNTIF(B$2:B792,الإيصال!$C$3))</f>
        <v/>
      </c>
    </row>
    <row r="793">
      <c r="A793" s="6" t="n"/>
      <c r="B793" s="4" t="n"/>
      <c r="C793" s="4" t="n"/>
      <c r="D793" s="4" t="n"/>
      <c r="E793">
        <f>IF(D793="","",IFERROR(INDEX(الأصناف!$B$2:$B$2000,MATCH(D793,الأصناف!$A$2:$A$2000,0)),"كود غير موجود"))</f>
        <v/>
      </c>
      <c r="F793" s="4" t="n"/>
      <c r="G793">
        <f>IF(D793="","",IFERROR(INDEX(الأصناف!$C$2:$C$2000,MATCH(D793,الأصناف!$A$2:$A$2000,0)),0))</f>
        <v/>
      </c>
      <c r="H793">
        <f>IF(D793="","",F793*G793)</f>
        <v/>
      </c>
      <c r="I793">
        <f>IF(D793="","",H793-F793*IFERROR(INDEX(الأصناف!$D$2:$D$2000,MATCH(D793,الأصناف!$A$2:$A$2000,0)),0))</f>
        <v/>
      </c>
      <c r="J793" s="4" t="n"/>
      <c r="K793" s="7">
        <f>IF(OR(B793="",B793&lt;&gt;الإيصال!$C$3),"",COUNTIF(B$2:B793,الإيصال!$C$3))</f>
        <v/>
      </c>
    </row>
    <row r="794">
      <c r="A794" s="6" t="n"/>
      <c r="B794" s="4" t="n"/>
      <c r="C794" s="4" t="n"/>
      <c r="D794" s="4" t="n"/>
      <c r="E794">
        <f>IF(D794="","",IFERROR(INDEX(الأصناف!$B$2:$B$2000,MATCH(D794,الأصناف!$A$2:$A$2000,0)),"كود غير موجود"))</f>
        <v/>
      </c>
      <c r="F794" s="4" t="n"/>
      <c r="G794">
        <f>IF(D794="","",IFERROR(INDEX(الأصناف!$C$2:$C$2000,MATCH(D794,الأصناف!$A$2:$A$2000,0)),0))</f>
        <v/>
      </c>
      <c r="H794">
        <f>IF(D794="","",F794*G794)</f>
        <v/>
      </c>
      <c r="I794">
        <f>IF(D794="","",H794-F794*IFERROR(INDEX(الأصناف!$D$2:$D$2000,MATCH(D794,الأصناف!$A$2:$A$2000,0)),0))</f>
        <v/>
      </c>
      <c r="J794" s="4" t="n"/>
      <c r="K794" s="7">
        <f>IF(OR(B794="",B794&lt;&gt;الإيصال!$C$3),"",COUNTIF(B$2:B794,الإيصال!$C$3))</f>
        <v/>
      </c>
    </row>
    <row r="795">
      <c r="A795" s="6" t="n"/>
      <c r="B795" s="4" t="n"/>
      <c r="C795" s="4" t="n"/>
      <c r="D795" s="4" t="n"/>
      <c r="E795">
        <f>IF(D795="","",IFERROR(INDEX(الأصناف!$B$2:$B$2000,MATCH(D795,الأصناف!$A$2:$A$2000,0)),"كود غير موجود"))</f>
        <v/>
      </c>
      <c r="F795" s="4" t="n"/>
      <c r="G795">
        <f>IF(D795="","",IFERROR(INDEX(الأصناف!$C$2:$C$2000,MATCH(D795,الأصناف!$A$2:$A$2000,0)),0))</f>
        <v/>
      </c>
      <c r="H795">
        <f>IF(D795="","",F795*G795)</f>
        <v/>
      </c>
      <c r="I795">
        <f>IF(D795="","",H795-F795*IFERROR(INDEX(الأصناف!$D$2:$D$2000,MATCH(D795,الأصناف!$A$2:$A$2000,0)),0))</f>
        <v/>
      </c>
      <c r="J795" s="4" t="n"/>
      <c r="K795" s="7">
        <f>IF(OR(B795="",B795&lt;&gt;الإيصال!$C$3),"",COUNTIF(B$2:B795,الإيصال!$C$3))</f>
        <v/>
      </c>
    </row>
    <row r="796">
      <c r="A796" s="6" t="n"/>
      <c r="B796" s="4" t="n"/>
      <c r="C796" s="4" t="n"/>
      <c r="D796" s="4" t="n"/>
      <c r="E796">
        <f>IF(D796="","",IFERROR(INDEX(الأصناف!$B$2:$B$2000,MATCH(D796,الأصناف!$A$2:$A$2000,0)),"كود غير موجود"))</f>
        <v/>
      </c>
      <c r="F796" s="4" t="n"/>
      <c r="G796">
        <f>IF(D796="","",IFERROR(INDEX(الأصناف!$C$2:$C$2000,MATCH(D796,الأصناف!$A$2:$A$2000,0)),0))</f>
        <v/>
      </c>
      <c r="H796">
        <f>IF(D796="","",F796*G796)</f>
        <v/>
      </c>
      <c r="I796">
        <f>IF(D796="","",H796-F796*IFERROR(INDEX(الأصناف!$D$2:$D$2000,MATCH(D796,الأصناف!$A$2:$A$2000,0)),0))</f>
        <v/>
      </c>
      <c r="J796" s="4" t="n"/>
      <c r="K796" s="7">
        <f>IF(OR(B796="",B796&lt;&gt;الإيصال!$C$3),"",COUNTIF(B$2:B796,الإيصال!$C$3))</f>
        <v/>
      </c>
    </row>
    <row r="797">
      <c r="A797" s="6" t="n"/>
      <c r="B797" s="4" t="n"/>
      <c r="C797" s="4" t="n"/>
      <c r="D797" s="4" t="n"/>
      <c r="E797">
        <f>IF(D797="","",IFERROR(INDEX(الأصناف!$B$2:$B$2000,MATCH(D797,الأصناف!$A$2:$A$2000,0)),"كود غير موجود"))</f>
        <v/>
      </c>
      <c r="F797" s="4" t="n"/>
      <c r="G797">
        <f>IF(D797="","",IFERROR(INDEX(الأصناف!$C$2:$C$2000,MATCH(D797,الأصناف!$A$2:$A$2000,0)),0))</f>
        <v/>
      </c>
      <c r="H797">
        <f>IF(D797="","",F797*G797)</f>
        <v/>
      </c>
      <c r="I797">
        <f>IF(D797="","",H797-F797*IFERROR(INDEX(الأصناف!$D$2:$D$2000,MATCH(D797,الأصناف!$A$2:$A$2000,0)),0))</f>
        <v/>
      </c>
      <c r="J797" s="4" t="n"/>
      <c r="K797" s="7">
        <f>IF(OR(B797="",B797&lt;&gt;الإيصال!$C$3),"",COUNTIF(B$2:B797,الإيصال!$C$3))</f>
        <v/>
      </c>
    </row>
    <row r="798">
      <c r="A798" s="6" t="n"/>
      <c r="B798" s="4" t="n"/>
      <c r="C798" s="4" t="n"/>
      <c r="D798" s="4" t="n"/>
      <c r="E798">
        <f>IF(D798="","",IFERROR(INDEX(الأصناف!$B$2:$B$2000,MATCH(D798,الأصناف!$A$2:$A$2000,0)),"كود غير موجود"))</f>
        <v/>
      </c>
      <c r="F798" s="4" t="n"/>
      <c r="G798">
        <f>IF(D798="","",IFERROR(INDEX(الأصناف!$C$2:$C$2000,MATCH(D798,الأصناف!$A$2:$A$2000,0)),0))</f>
        <v/>
      </c>
      <c r="H798">
        <f>IF(D798="","",F798*G798)</f>
        <v/>
      </c>
      <c r="I798">
        <f>IF(D798="","",H798-F798*IFERROR(INDEX(الأصناف!$D$2:$D$2000,MATCH(D798,الأصناف!$A$2:$A$2000,0)),0))</f>
        <v/>
      </c>
      <c r="J798" s="4" t="n"/>
      <c r="K798" s="7">
        <f>IF(OR(B798="",B798&lt;&gt;الإيصال!$C$3),"",COUNTIF(B$2:B798,الإيصال!$C$3))</f>
        <v/>
      </c>
    </row>
    <row r="799">
      <c r="A799" s="6" t="n"/>
      <c r="B799" s="4" t="n"/>
      <c r="C799" s="4" t="n"/>
      <c r="D799" s="4" t="n"/>
      <c r="E799">
        <f>IF(D799="","",IFERROR(INDEX(الأصناف!$B$2:$B$2000,MATCH(D799,الأصناف!$A$2:$A$2000,0)),"كود غير موجود"))</f>
        <v/>
      </c>
      <c r="F799" s="4" t="n"/>
      <c r="G799">
        <f>IF(D799="","",IFERROR(INDEX(الأصناف!$C$2:$C$2000,MATCH(D799,الأصناف!$A$2:$A$2000,0)),0))</f>
        <v/>
      </c>
      <c r="H799">
        <f>IF(D799="","",F799*G799)</f>
        <v/>
      </c>
      <c r="I799">
        <f>IF(D799="","",H799-F799*IFERROR(INDEX(الأصناف!$D$2:$D$2000,MATCH(D799,الأصناف!$A$2:$A$2000,0)),0))</f>
        <v/>
      </c>
      <c r="J799" s="4" t="n"/>
      <c r="K799" s="7">
        <f>IF(OR(B799="",B799&lt;&gt;الإيصال!$C$3),"",COUNTIF(B$2:B799,الإيصال!$C$3))</f>
        <v/>
      </c>
    </row>
    <row r="800">
      <c r="A800" s="6" t="n"/>
      <c r="B800" s="4" t="n"/>
      <c r="C800" s="4" t="n"/>
      <c r="D800" s="4" t="n"/>
      <c r="E800">
        <f>IF(D800="","",IFERROR(INDEX(الأصناف!$B$2:$B$2000,MATCH(D800,الأصناف!$A$2:$A$2000,0)),"كود غير موجود"))</f>
        <v/>
      </c>
      <c r="F800" s="4" t="n"/>
      <c r="G800">
        <f>IF(D800="","",IFERROR(INDEX(الأصناف!$C$2:$C$2000,MATCH(D800,الأصناف!$A$2:$A$2000,0)),0))</f>
        <v/>
      </c>
      <c r="H800">
        <f>IF(D800="","",F800*G800)</f>
        <v/>
      </c>
      <c r="I800">
        <f>IF(D800="","",H800-F800*IFERROR(INDEX(الأصناف!$D$2:$D$2000,MATCH(D800,الأصناف!$A$2:$A$2000,0)),0))</f>
        <v/>
      </c>
      <c r="J800" s="4" t="n"/>
      <c r="K800" s="7">
        <f>IF(OR(B800="",B800&lt;&gt;الإيصال!$C$3),"",COUNTIF(B$2:B800,الإيصال!$C$3))</f>
        <v/>
      </c>
    </row>
    <row r="801">
      <c r="A801" s="6" t="n"/>
      <c r="B801" s="4" t="n"/>
      <c r="C801" s="4" t="n"/>
      <c r="D801" s="4" t="n"/>
      <c r="E801">
        <f>IF(D801="","",IFERROR(INDEX(الأصناف!$B$2:$B$2000,MATCH(D801,الأصناف!$A$2:$A$2000,0)),"كود غير موجود"))</f>
        <v/>
      </c>
      <c r="F801" s="4" t="n"/>
      <c r="G801">
        <f>IF(D801="","",IFERROR(INDEX(الأصناف!$C$2:$C$2000,MATCH(D801,الأصناف!$A$2:$A$2000,0)),0))</f>
        <v/>
      </c>
      <c r="H801">
        <f>IF(D801="","",F801*G801)</f>
        <v/>
      </c>
      <c r="I801">
        <f>IF(D801="","",H801-F801*IFERROR(INDEX(الأصناف!$D$2:$D$2000,MATCH(D801,الأصناف!$A$2:$A$2000,0)),0))</f>
        <v/>
      </c>
      <c r="J801" s="4" t="n"/>
      <c r="K801" s="7">
        <f>IF(OR(B801="",B801&lt;&gt;الإيصال!$C$3),"",COUNTIF(B$2:B801,الإيصال!$C$3))</f>
        <v/>
      </c>
    </row>
    <row r="802">
      <c r="A802" s="6" t="n"/>
      <c r="B802" s="4" t="n"/>
      <c r="C802" s="4" t="n"/>
      <c r="D802" s="4" t="n"/>
      <c r="E802">
        <f>IF(D802="","",IFERROR(INDEX(الأصناف!$B$2:$B$2000,MATCH(D802,الأصناف!$A$2:$A$2000,0)),"كود غير موجود"))</f>
        <v/>
      </c>
      <c r="F802" s="4" t="n"/>
      <c r="G802">
        <f>IF(D802="","",IFERROR(INDEX(الأصناف!$C$2:$C$2000,MATCH(D802,الأصناف!$A$2:$A$2000,0)),0))</f>
        <v/>
      </c>
      <c r="H802">
        <f>IF(D802="","",F802*G802)</f>
        <v/>
      </c>
      <c r="I802">
        <f>IF(D802="","",H802-F802*IFERROR(INDEX(الأصناف!$D$2:$D$2000,MATCH(D802,الأصناف!$A$2:$A$2000,0)),0))</f>
        <v/>
      </c>
      <c r="J802" s="4" t="n"/>
      <c r="K802" s="7">
        <f>IF(OR(B802="",B802&lt;&gt;الإيصال!$C$3),"",COUNTIF(B$2:B802,الإيصال!$C$3))</f>
        <v/>
      </c>
    </row>
    <row r="803">
      <c r="A803" s="6" t="n"/>
      <c r="B803" s="4" t="n"/>
      <c r="C803" s="4" t="n"/>
      <c r="D803" s="4" t="n"/>
      <c r="E803">
        <f>IF(D803="","",IFERROR(INDEX(الأصناف!$B$2:$B$2000,MATCH(D803,الأصناف!$A$2:$A$2000,0)),"كود غير موجود"))</f>
        <v/>
      </c>
      <c r="F803" s="4" t="n"/>
      <c r="G803">
        <f>IF(D803="","",IFERROR(INDEX(الأصناف!$C$2:$C$2000,MATCH(D803,الأصناف!$A$2:$A$2000,0)),0))</f>
        <v/>
      </c>
      <c r="H803">
        <f>IF(D803="","",F803*G803)</f>
        <v/>
      </c>
      <c r="I803">
        <f>IF(D803="","",H803-F803*IFERROR(INDEX(الأصناف!$D$2:$D$2000,MATCH(D803,الأصناف!$A$2:$A$2000,0)),0))</f>
        <v/>
      </c>
      <c r="J803" s="4" t="n"/>
      <c r="K803" s="7">
        <f>IF(OR(B803="",B803&lt;&gt;الإيصال!$C$3),"",COUNTIF(B$2:B803,الإيصال!$C$3))</f>
        <v/>
      </c>
    </row>
    <row r="804">
      <c r="A804" s="6" t="n"/>
      <c r="B804" s="4" t="n"/>
      <c r="C804" s="4" t="n"/>
      <c r="D804" s="4" t="n"/>
      <c r="E804">
        <f>IF(D804="","",IFERROR(INDEX(الأصناف!$B$2:$B$2000,MATCH(D804,الأصناف!$A$2:$A$2000,0)),"كود غير موجود"))</f>
        <v/>
      </c>
      <c r="F804" s="4" t="n"/>
      <c r="G804">
        <f>IF(D804="","",IFERROR(INDEX(الأصناف!$C$2:$C$2000,MATCH(D804,الأصناف!$A$2:$A$2000,0)),0))</f>
        <v/>
      </c>
      <c r="H804">
        <f>IF(D804="","",F804*G804)</f>
        <v/>
      </c>
      <c r="I804">
        <f>IF(D804="","",H804-F804*IFERROR(INDEX(الأصناف!$D$2:$D$2000,MATCH(D804,الأصناف!$A$2:$A$2000,0)),0))</f>
        <v/>
      </c>
      <c r="J804" s="4" t="n"/>
      <c r="K804" s="7">
        <f>IF(OR(B804="",B804&lt;&gt;الإيصال!$C$3),"",COUNTIF(B$2:B804,الإيصال!$C$3))</f>
        <v/>
      </c>
    </row>
    <row r="805">
      <c r="A805" s="6" t="n"/>
      <c r="B805" s="4" t="n"/>
      <c r="C805" s="4" t="n"/>
      <c r="D805" s="4" t="n"/>
      <c r="E805">
        <f>IF(D805="","",IFERROR(INDEX(الأصناف!$B$2:$B$2000,MATCH(D805,الأصناف!$A$2:$A$2000,0)),"كود غير موجود"))</f>
        <v/>
      </c>
      <c r="F805" s="4" t="n"/>
      <c r="G805">
        <f>IF(D805="","",IFERROR(INDEX(الأصناف!$C$2:$C$2000,MATCH(D805,الأصناف!$A$2:$A$2000,0)),0))</f>
        <v/>
      </c>
      <c r="H805">
        <f>IF(D805="","",F805*G805)</f>
        <v/>
      </c>
      <c r="I805">
        <f>IF(D805="","",H805-F805*IFERROR(INDEX(الأصناف!$D$2:$D$2000,MATCH(D805,الأصناف!$A$2:$A$2000,0)),0))</f>
        <v/>
      </c>
      <c r="J805" s="4" t="n"/>
      <c r="K805" s="7">
        <f>IF(OR(B805="",B805&lt;&gt;الإيصال!$C$3),"",COUNTIF(B$2:B805,الإيصال!$C$3))</f>
        <v/>
      </c>
    </row>
    <row r="806">
      <c r="A806" s="6" t="n"/>
      <c r="B806" s="4" t="n"/>
      <c r="C806" s="4" t="n"/>
      <c r="D806" s="4" t="n"/>
      <c r="E806">
        <f>IF(D806="","",IFERROR(INDEX(الأصناف!$B$2:$B$2000,MATCH(D806,الأصناف!$A$2:$A$2000,0)),"كود غير موجود"))</f>
        <v/>
      </c>
      <c r="F806" s="4" t="n"/>
      <c r="G806">
        <f>IF(D806="","",IFERROR(INDEX(الأصناف!$C$2:$C$2000,MATCH(D806,الأصناف!$A$2:$A$2000,0)),0))</f>
        <v/>
      </c>
      <c r="H806">
        <f>IF(D806="","",F806*G806)</f>
        <v/>
      </c>
      <c r="I806">
        <f>IF(D806="","",H806-F806*IFERROR(INDEX(الأصناف!$D$2:$D$2000,MATCH(D806,الأصناف!$A$2:$A$2000,0)),0))</f>
        <v/>
      </c>
      <c r="J806" s="4" t="n"/>
      <c r="K806" s="7">
        <f>IF(OR(B806="",B806&lt;&gt;الإيصال!$C$3),"",COUNTIF(B$2:B806,الإيصال!$C$3))</f>
        <v/>
      </c>
    </row>
    <row r="807">
      <c r="A807" s="6" t="n"/>
      <c r="B807" s="4" t="n"/>
      <c r="C807" s="4" t="n"/>
      <c r="D807" s="4" t="n"/>
      <c r="E807">
        <f>IF(D807="","",IFERROR(INDEX(الأصناف!$B$2:$B$2000,MATCH(D807,الأصناف!$A$2:$A$2000,0)),"كود غير موجود"))</f>
        <v/>
      </c>
      <c r="F807" s="4" t="n"/>
      <c r="G807">
        <f>IF(D807="","",IFERROR(INDEX(الأصناف!$C$2:$C$2000,MATCH(D807,الأصناف!$A$2:$A$2000,0)),0))</f>
        <v/>
      </c>
      <c r="H807">
        <f>IF(D807="","",F807*G807)</f>
        <v/>
      </c>
      <c r="I807">
        <f>IF(D807="","",H807-F807*IFERROR(INDEX(الأصناف!$D$2:$D$2000,MATCH(D807,الأصناف!$A$2:$A$2000,0)),0))</f>
        <v/>
      </c>
      <c r="J807" s="4" t="n"/>
      <c r="K807" s="7">
        <f>IF(OR(B807="",B807&lt;&gt;الإيصال!$C$3),"",COUNTIF(B$2:B807,الإيصال!$C$3))</f>
        <v/>
      </c>
    </row>
    <row r="808">
      <c r="A808" s="6" t="n"/>
      <c r="B808" s="4" t="n"/>
      <c r="C808" s="4" t="n"/>
      <c r="D808" s="4" t="n"/>
      <c r="E808">
        <f>IF(D808="","",IFERROR(INDEX(الأصناف!$B$2:$B$2000,MATCH(D808,الأصناف!$A$2:$A$2000,0)),"كود غير موجود"))</f>
        <v/>
      </c>
      <c r="F808" s="4" t="n"/>
      <c r="G808">
        <f>IF(D808="","",IFERROR(INDEX(الأصناف!$C$2:$C$2000,MATCH(D808,الأصناف!$A$2:$A$2000,0)),0))</f>
        <v/>
      </c>
      <c r="H808">
        <f>IF(D808="","",F808*G808)</f>
        <v/>
      </c>
      <c r="I808">
        <f>IF(D808="","",H808-F808*IFERROR(INDEX(الأصناف!$D$2:$D$2000,MATCH(D808,الأصناف!$A$2:$A$2000,0)),0))</f>
        <v/>
      </c>
      <c r="J808" s="4" t="n"/>
      <c r="K808" s="7">
        <f>IF(OR(B808="",B808&lt;&gt;الإيصال!$C$3),"",COUNTIF(B$2:B808,الإيصال!$C$3))</f>
        <v/>
      </c>
    </row>
    <row r="809">
      <c r="A809" s="6" t="n"/>
      <c r="B809" s="4" t="n"/>
      <c r="C809" s="4" t="n"/>
      <c r="D809" s="4" t="n"/>
      <c r="E809">
        <f>IF(D809="","",IFERROR(INDEX(الأصناف!$B$2:$B$2000,MATCH(D809,الأصناف!$A$2:$A$2000,0)),"كود غير موجود"))</f>
        <v/>
      </c>
      <c r="F809" s="4" t="n"/>
      <c r="G809">
        <f>IF(D809="","",IFERROR(INDEX(الأصناف!$C$2:$C$2000,MATCH(D809,الأصناف!$A$2:$A$2000,0)),0))</f>
        <v/>
      </c>
      <c r="H809">
        <f>IF(D809="","",F809*G809)</f>
        <v/>
      </c>
      <c r="I809">
        <f>IF(D809="","",H809-F809*IFERROR(INDEX(الأصناف!$D$2:$D$2000,MATCH(D809,الأصناف!$A$2:$A$2000,0)),0))</f>
        <v/>
      </c>
      <c r="J809" s="4" t="n"/>
      <c r="K809" s="7">
        <f>IF(OR(B809="",B809&lt;&gt;الإيصال!$C$3),"",COUNTIF(B$2:B809,الإيصال!$C$3))</f>
        <v/>
      </c>
    </row>
    <row r="810">
      <c r="A810" s="6" t="n"/>
      <c r="B810" s="4" t="n"/>
      <c r="C810" s="4" t="n"/>
      <c r="D810" s="4" t="n"/>
      <c r="E810">
        <f>IF(D810="","",IFERROR(INDEX(الأصناف!$B$2:$B$2000,MATCH(D810,الأصناف!$A$2:$A$2000,0)),"كود غير موجود"))</f>
        <v/>
      </c>
      <c r="F810" s="4" t="n"/>
      <c r="G810">
        <f>IF(D810="","",IFERROR(INDEX(الأصناف!$C$2:$C$2000,MATCH(D810,الأصناف!$A$2:$A$2000,0)),0))</f>
        <v/>
      </c>
      <c r="H810">
        <f>IF(D810="","",F810*G810)</f>
        <v/>
      </c>
      <c r="I810">
        <f>IF(D810="","",H810-F810*IFERROR(INDEX(الأصناف!$D$2:$D$2000,MATCH(D810,الأصناف!$A$2:$A$2000,0)),0))</f>
        <v/>
      </c>
      <c r="J810" s="4" t="n"/>
      <c r="K810" s="7">
        <f>IF(OR(B810="",B810&lt;&gt;الإيصال!$C$3),"",COUNTIF(B$2:B810,الإيصال!$C$3))</f>
        <v/>
      </c>
    </row>
    <row r="811">
      <c r="A811" s="6" t="n"/>
      <c r="B811" s="4" t="n"/>
      <c r="C811" s="4" t="n"/>
      <c r="D811" s="4" t="n"/>
      <c r="E811">
        <f>IF(D811="","",IFERROR(INDEX(الأصناف!$B$2:$B$2000,MATCH(D811,الأصناف!$A$2:$A$2000,0)),"كود غير موجود"))</f>
        <v/>
      </c>
      <c r="F811" s="4" t="n"/>
      <c r="G811">
        <f>IF(D811="","",IFERROR(INDEX(الأصناف!$C$2:$C$2000,MATCH(D811,الأصناف!$A$2:$A$2000,0)),0))</f>
        <v/>
      </c>
      <c r="H811">
        <f>IF(D811="","",F811*G811)</f>
        <v/>
      </c>
      <c r="I811">
        <f>IF(D811="","",H811-F811*IFERROR(INDEX(الأصناف!$D$2:$D$2000,MATCH(D811,الأصناف!$A$2:$A$2000,0)),0))</f>
        <v/>
      </c>
      <c r="J811" s="4" t="n"/>
      <c r="K811" s="7">
        <f>IF(OR(B811="",B811&lt;&gt;الإيصال!$C$3),"",COUNTIF(B$2:B811,الإيصال!$C$3))</f>
        <v/>
      </c>
    </row>
    <row r="812">
      <c r="A812" s="6" t="n"/>
      <c r="B812" s="4" t="n"/>
      <c r="C812" s="4" t="n"/>
      <c r="D812" s="4" t="n"/>
      <c r="E812">
        <f>IF(D812="","",IFERROR(INDEX(الأصناف!$B$2:$B$2000,MATCH(D812,الأصناف!$A$2:$A$2000,0)),"كود غير موجود"))</f>
        <v/>
      </c>
      <c r="F812" s="4" t="n"/>
      <c r="G812">
        <f>IF(D812="","",IFERROR(INDEX(الأصناف!$C$2:$C$2000,MATCH(D812,الأصناف!$A$2:$A$2000,0)),0))</f>
        <v/>
      </c>
      <c r="H812">
        <f>IF(D812="","",F812*G812)</f>
        <v/>
      </c>
      <c r="I812">
        <f>IF(D812="","",H812-F812*IFERROR(INDEX(الأصناف!$D$2:$D$2000,MATCH(D812,الأصناف!$A$2:$A$2000,0)),0))</f>
        <v/>
      </c>
      <c r="J812" s="4" t="n"/>
      <c r="K812" s="7">
        <f>IF(OR(B812="",B812&lt;&gt;الإيصال!$C$3),"",COUNTIF(B$2:B812,الإيصال!$C$3))</f>
        <v/>
      </c>
    </row>
    <row r="813">
      <c r="A813" s="6" t="n"/>
      <c r="B813" s="4" t="n"/>
      <c r="C813" s="4" t="n"/>
      <c r="D813" s="4" t="n"/>
      <c r="E813">
        <f>IF(D813="","",IFERROR(INDEX(الأصناف!$B$2:$B$2000,MATCH(D813,الأصناف!$A$2:$A$2000,0)),"كود غير موجود"))</f>
        <v/>
      </c>
      <c r="F813" s="4" t="n"/>
      <c r="G813">
        <f>IF(D813="","",IFERROR(INDEX(الأصناف!$C$2:$C$2000,MATCH(D813,الأصناف!$A$2:$A$2000,0)),0))</f>
        <v/>
      </c>
      <c r="H813">
        <f>IF(D813="","",F813*G813)</f>
        <v/>
      </c>
      <c r="I813">
        <f>IF(D813="","",H813-F813*IFERROR(INDEX(الأصناف!$D$2:$D$2000,MATCH(D813,الأصناف!$A$2:$A$2000,0)),0))</f>
        <v/>
      </c>
      <c r="J813" s="4" t="n"/>
      <c r="K813" s="7">
        <f>IF(OR(B813="",B813&lt;&gt;الإيصال!$C$3),"",COUNTIF(B$2:B813,الإيصال!$C$3))</f>
        <v/>
      </c>
    </row>
    <row r="814">
      <c r="A814" s="6" t="n"/>
      <c r="B814" s="4" t="n"/>
      <c r="C814" s="4" t="n"/>
      <c r="D814" s="4" t="n"/>
      <c r="E814">
        <f>IF(D814="","",IFERROR(INDEX(الأصناف!$B$2:$B$2000,MATCH(D814,الأصناف!$A$2:$A$2000,0)),"كود غير موجود"))</f>
        <v/>
      </c>
      <c r="F814" s="4" t="n"/>
      <c r="G814">
        <f>IF(D814="","",IFERROR(INDEX(الأصناف!$C$2:$C$2000,MATCH(D814,الأصناف!$A$2:$A$2000,0)),0))</f>
        <v/>
      </c>
      <c r="H814">
        <f>IF(D814="","",F814*G814)</f>
        <v/>
      </c>
      <c r="I814">
        <f>IF(D814="","",H814-F814*IFERROR(INDEX(الأصناف!$D$2:$D$2000,MATCH(D814,الأصناف!$A$2:$A$2000,0)),0))</f>
        <v/>
      </c>
      <c r="J814" s="4" t="n"/>
      <c r="K814" s="7">
        <f>IF(OR(B814="",B814&lt;&gt;الإيصال!$C$3),"",COUNTIF(B$2:B814,الإيصال!$C$3))</f>
        <v/>
      </c>
    </row>
    <row r="815">
      <c r="A815" s="6" t="n"/>
      <c r="B815" s="4" t="n"/>
      <c r="C815" s="4" t="n"/>
      <c r="D815" s="4" t="n"/>
      <c r="E815">
        <f>IF(D815="","",IFERROR(INDEX(الأصناف!$B$2:$B$2000,MATCH(D815,الأصناف!$A$2:$A$2000,0)),"كود غير موجود"))</f>
        <v/>
      </c>
      <c r="F815" s="4" t="n"/>
      <c r="G815">
        <f>IF(D815="","",IFERROR(INDEX(الأصناف!$C$2:$C$2000,MATCH(D815,الأصناف!$A$2:$A$2000,0)),0))</f>
        <v/>
      </c>
      <c r="H815">
        <f>IF(D815="","",F815*G815)</f>
        <v/>
      </c>
      <c r="I815">
        <f>IF(D815="","",H815-F815*IFERROR(INDEX(الأصناف!$D$2:$D$2000,MATCH(D815,الأصناف!$A$2:$A$2000,0)),0))</f>
        <v/>
      </c>
      <c r="J815" s="4" t="n"/>
      <c r="K815" s="7">
        <f>IF(OR(B815="",B815&lt;&gt;الإيصال!$C$3),"",COUNTIF(B$2:B815,الإيصال!$C$3))</f>
        <v/>
      </c>
    </row>
    <row r="816">
      <c r="A816" s="6" t="n"/>
      <c r="B816" s="4" t="n"/>
      <c r="C816" s="4" t="n"/>
      <c r="D816" s="4" t="n"/>
      <c r="E816">
        <f>IF(D816="","",IFERROR(INDEX(الأصناف!$B$2:$B$2000,MATCH(D816,الأصناف!$A$2:$A$2000,0)),"كود غير موجود"))</f>
        <v/>
      </c>
      <c r="F816" s="4" t="n"/>
      <c r="G816">
        <f>IF(D816="","",IFERROR(INDEX(الأصناف!$C$2:$C$2000,MATCH(D816,الأصناف!$A$2:$A$2000,0)),0))</f>
        <v/>
      </c>
      <c r="H816">
        <f>IF(D816="","",F816*G816)</f>
        <v/>
      </c>
      <c r="I816">
        <f>IF(D816="","",H816-F816*IFERROR(INDEX(الأصناف!$D$2:$D$2000,MATCH(D816,الأصناف!$A$2:$A$2000,0)),0))</f>
        <v/>
      </c>
      <c r="J816" s="4" t="n"/>
      <c r="K816" s="7">
        <f>IF(OR(B816="",B816&lt;&gt;الإيصال!$C$3),"",COUNTIF(B$2:B816,الإيصال!$C$3))</f>
        <v/>
      </c>
    </row>
    <row r="817">
      <c r="A817" s="6" t="n"/>
      <c r="B817" s="4" t="n"/>
      <c r="C817" s="4" t="n"/>
      <c r="D817" s="4" t="n"/>
      <c r="E817">
        <f>IF(D817="","",IFERROR(INDEX(الأصناف!$B$2:$B$2000,MATCH(D817,الأصناف!$A$2:$A$2000,0)),"كود غير موجود"))</f>
        <v/>
      </c>
      <c r="F817" s="4" t="n"/>
      <c r="G817">
        <f>IF(D817="","",IFERROR(INDEX(الأصناف!$C$2:$C$2000,MATCH(D817,الأصناف!$A$2:$A$2000,0)),0))</f>
        <v/>
      </c>
      <c r="H817">
        <f>IF(D817="","",F817*G817)</f>
        <v/>
      </c>
      <c r="I817">
        <f>IF(D817="","",H817-F817*IFERROR(INDEX(الأصناف!$D$2:$D$2000,MATCH(D817,الأصناف!$A$2:$A$2000,0)),0))</f>
        <v/>
      </c>
      <c r="J817" s="4" t="n"/>
      <c r="K817" s="7">
        <f>IF(OR(B817="",B817&lt;&gt;الإيصال!$C$3),"",COUNTIF(B$2:B817,الإيصال!$C$3))</f>
        <v/>
      </c>
    </row>
    <row r="818">
      <c r="A818" s="6" t="n"/>
      <c r="B818" s="4" t="n"/>
      <c r="C818" s="4" t="n"/>
      <c r="D818" s="4" t="n"/>
      <c r="E818">
        <f>IF(D818="","",IFERROR(INDEX(الأصناف!$B$2:$B$2000,MATCH(D818,الأصناف!$A$2:$A$2000,0)),"كود غير موجود"))</f>
        <v/>
      </c>
      <c r="F818" s="4" t="n"/>
      <c r="G818">
        <f>IF(D818="","",IFERROR(INDEX(الأصناف!$C$2:$C$2000,MATCH(D818,الأصناف!$A$2:$A$2000,0)),0))</f>
        <v/>
      </c>
      <c r="H818">
        <f>IF(D818="","",F818*G818)</f>
        <v/>
      </c>
      <c r="I818">
        <f>IF(D818="","",H818-F818*IFERROR(INDEX(الأصناف!$D$2:$D$2000,MATCH(D818,الأصناف!$A$2:$A$2000,0)),0))</f>
        <v/>
      </c>
      <c r="J818" s="4" t="n"/>
      <c r="K818" s="7">
        <f>IF(OR(B818="",B818&lt;&gt;الإيصال!$C$3),"",COUNTIF(B$2:B818,الإيصال!$C$3))</f>
        <v/>
      </c>
    </row>
    <row r="819">
      <c r="A819" s="6" t="n"/>
      <c r="B819" s="4" t="n"/>
      <c r="C819" s="4" t="n"/>
      <c r="D819" s="4" t="n"/>
      <c r="E819">
        <f>IF(D819="","",IFERROR(INDEX(الأصناف!$B$2:$B$2000,MATCH(D819,الأصناف!$A$2:$A$2000,0)),"كود غير موجود"))</f>
        <v/>
      </c>
      <c r="F819" s="4" t="n"/>
      <c r="G819">
        <f>IF(D819="","",IFERROR(INDEX(الأصناف!$C$2:$C$2000,MATCH(D819,الأصناف!$A$2:$A$2000,0)),0))</f>
        <v/>
      </c>
      <c r="H819">
        <f>IF(D819="","",F819*G819)</f>
        <v/>
      </c>
      <c r="I819">
        <f>IF(D819="","",H819-F819*IFERROR(INDEX(الأصناف!$D$2:$D$2000,MATCH(D819,الأصناف!$A$2:$A$2000,0)),0))</f>
        <v/>
      </c>
      <c r="J819" s="4" t="n"/>
      <c r="K819" s="7">
        <f>IF(OR(B819="",B819&lt;&gt;الإيصال!$C$3),"",COUNTIF(B$2:B819,الإيصال!$C$3))</f>
        <v/>
      </c>
    </row>
    <row r="820">
      <c r="A820" s="6" t="n"/>
      <c r="B820" s="4" t="n"/>
      <c r="C820" s="4" t="n"/>
      <c r="D820" s="4" t="n"/>
      <c r="E820">
        <f>IF(D820="","",IFERROR(INDEX(الأصناف!$B$2:$B$2000,MATCH(D820,الأصناف!$A$2:$A$2000,0)),"كود غير موجود"))</f>
        <v/>
      </c>
      <c r="F820" s="4" t="n"/>
      <c r="G820">
        <f>IF(D820="","",IFERROR(INDEX(الأصناف!$C$2:$C$2000,MATCH(D820,الأصناف!$A$2:$A$2000,0)),0))</f>
        <v/>
      </c>
      <c r="H820">
        <f>IF(D820="","",F820*G820)</f>
        <v/>
      </c>
      <c r="I820">
        <f>IF(D820="","",H820-F820*IFERROR(INDEX(الأصناف!$D$2:$D$2000,MATCH(D820,الأصناف!$A$2:$A$2000,0)),0))</f>
        <v/>
      </c>
      <c r="J820" s="4" t="n"/>
      <c r="K820" s="7">
        <f>IF(OR(B820="",B820&lt;&gt;الإيصال!$C$3),"",COUNTIF(B$2:B820,الإيصال!$C$3))</f>
        <v/>
      </c>
    </row>
    <row r="821">
      <c r="A821" s="6" t="n"/>
      <c r="B821" s="4" t="n"/>
      <c r="C821" s="4" t="n"/>
      <c r="D821" s="4" t="n"/>
      <c r="E821">
        <f>IF(D821="","",IFERROR(INDEX(الأصناف!$B$2:$B$2000,MATCH(D821,الأصناف!$A$2:$A$2000,0)),"كود غير موجود"))</f>
        <v/>
      </c>
      <c r="F821" s="4" t="n"/>
      <c r="G821">
        <f>IF(D821="","",IFERROR(INDEX(الأصناف!$C$2:$C$2000,MATCH(D821,الأصناف!$A$2:$A$2000,0)),0))</f>
        <v/>
      </c>
      <c r="H821">
        <f>IF(D821="","",F821*G821)</f>
        <v/>
      </c>
      <c r="I821">
        <f>IF(D821="","",H821-F821*IFERROR(INDEX(الأصناف!$D$2:$D$2000,MATCH(D821,الأصناف!$A$2:$A$2000,0)),0))</f>
        <v/>
      </c>
      <c r="J821" s="4" t="n"/>
      <c r="K821" s="7">
        <f>IF(OR(B821="",B821&lt;&gt;الإيصال!$C$3),"",COUNTIF(B$2:B821,الإيصال!$C$3))</f>
        <v/>
      </c>
    </row>
    <row r="822">
      <c r="A822" s="6" t="n"/>
      <c r="B822" s="4" t="n"/>
      <c r="C822" s="4" t="n"/>
      <c r="D822" s="4" t="n"/>
      <c r="E822">
        <f>IF(D822="","",IFERROR(INDEX(الأصناف!$B$2:$B$2000,MATCH(D822,الأصناف!$A$2:$A$2000,0)),"كود غير موجود"))</f>
        <v/>
      </c>
      <c r="F822" s="4" t="n"/>
      <c r="G822">
        <f>IF(D822="","",IFERROR(INDEX(الأصناف!$C$2:$C$2000,MATCH(D822,الأصناف!$A$2:$A$2000,0)),0))</f>
        <v/>
      </c>
      <c r="H822">
        <f>IF(D822="","",F822*G822)</f>
        <v/>
      </c>
      <c r="I822">
        <f>IF(D822="","",H822-F822*IFERROR(INDEX(الأصناف!$D$2:$D$2000,MATCH(D822,الأصناف!$A$2:$A$2000,0)),0))</f>
        <v/>
      </c>
      <c r="J822" s="4" t="n"/>
      <c r="K822" s="7">
        <f>IF(OR(B822="",B822&lt;&gt;الإيصال!$C$3),"",COUNTIF(B$2:B822,الإيصال!$C$3))</f>
        <v/>
      </c>
    </row>
    <row r="823">
      <c r="A823" s="6" t="n"/>
      <c r="B823" s="4" t="n"/>
      <c r="C823" s="4" t="n"/>
      <c r="D823" s="4" t="n"/>
      <c r="E823">
        <f>IF(D823="","",IFERROR(INDEX(الأصناف!$B$2:$B$2000,MATCH(D823,الأصناف!$A$2:$A$2000,0)),"كود غير موجود"))</f>
        <v/>
      </c>
      <c r="F823" s="4" t="n"/>
      <c r="G823">
        <f>IF(D823="","",IFERROR(INDEX(الأصناف!$C$2:$C$2000,MATCH(D823,الأصناف!$A$2:$A$2000,0)),0))</f>
        <v/>
      </c>
      <c r="H823">
        <f>IF(D823="","",F823*G823)</f>
        <v/>
      </c>
      <c r="I823">
        <f>IF(D823="","",H823-F823*IFERROR(INDEX(الأصناف!$D$2:$D$2000,MATCH(D823,الأصناف!$A$2:$A$2000,0)),0))</f>
        <v/>
      </c>
      <c r="J823" s="4" t="n"/>
      <c r="K823" s="7">
        <f>IF(OR(B823="",B823&lt;&gt;الإيصال!$C$3),"",COUNTIF(B$2:B823,الإيصال!$C$3))</f>
        <v/>
      </c>
    </row>
    <row r="824">
      <c r="A824" s="6" t="n"/>
      <c r="B824" s="4" t="n"/>
      <c r="C824" s="4" t="n"/>
      <c r="D824" s="4" t="n"/>
      <c r="E824">
        <f>IF(D824="","",IFERROR(INDEX(الأصناف!$B$2:$B$2000,MATCH(D824,الأصناف!$A$2:$A$2000,0)),"كود غير موجود"))</f>
        <v/>
      </c>
      <c r="F824" s="4" t="n"/>
      <c r="G824">
        <f>IF(D824="","",IFERROR(INDEX(الأصناف!$C$2:$C$2000,MATCH(D824,الأصناف!$A$2:$A$2000,0)),0))</f>
        <v/>
      </c>
      <c r="H824">
        <f>IF(D824="","",F824*G824)</f>
        <v/>
      </c>
      <c r="I824">
        <f>IF(D824="","",H824-F824*IFERROR(INDEX(الأصناف!$D$2:$D$2000,MATCH(D824,الأصناف!$A$2:$A$2000,0)),0))</f>
        <v/>
      </c>
      <c r="J824" s="4" t="n"/>
      <c r="K824" s="7">
        <f>IF(OR(B824="",B824&lt;&gt;الإيصال!$C$3),"",COUNTIF(B$2:B824,الإيصال!$C$3))</f>
        <v/>
      </c>
    </row>
    <row r="825">
      <c r="A825" s="6" t="n"/>
      <c r="B825" s="4" t="n"/>
      <c r="C825" s="4" t="n"/>
      <c r="D825" s="4" t="n"/>
      <c r="E825">
        <f>IF(D825="","",IFERROR(INDEX(الأصناف!$B$2:$B$2000,MATCH(D825,الأصناف!$A$2:$A$2000,0)),"كود غير موجود"))</f>
        <v/>
      </c>
      <c r="F825" s="4" t="n"/>
      <c r="G825">
        <f>IF(D825="","",IFERROR(INDEX(الأصناف!$C$2:$C$2000,MATCH(D825,الأصناف!$A$2:$A$2000,0)),0))</f>
        <v/>
      </c>
      <c r="H825">
        <f>IF(D825="","",F825*G825)</f>
        <v/>
      </c>
      <c r="I825">
        <f>IF(D825="","",H825-F825*IFERROR(INDEX(الأصناف!$D$2:$D$2000,MATCH(D825,الأصناف!$A$2:$A$2000,0)),0))</f>
        <v/>
      </c>
      <c r="J825" s="4" t="n"/>
      <c r="K825" s="7">
        <f>IF(OR(B825="",B825&lt;&gt;الإيصال!$C$3),"",COUNTIF(B$2:B825,الإيصال!$C$3))</f>
        <v/>
      </c>
    </row>
    <row r="826">
      <c r="A826" s="6" t="n"/>
      <c r="B826" s="4" t="n"/>
      <c r="C826" s="4" t="n"/>
      <c r="D826" s="4" t="n"/>
      <c r="E826">
        <f>IF(D826="","",IFERROR(INDEX(الأصناف!$B$2:$B$2000,MATCH(D826,الأصناف!$A$2:$A$2000,0)),"كود غير موجود"))</f>
        <v/>
      </c>
      <c r="F826" s="4" t="n"/>
      <c r="G826">
        <f>IF(D826="","",IFERROR(INDEX(الأصناف!$C$2:$C$2000,MATCH(D826,الأصناف!$A$2:$A$2000,0)),0))</f>
        <v/>
      </c>
      <c r="H826">
        <f>IF(D826="","",F826*G826)</f>
        <v/>
      </c>
      <c r="I826">
        <f>IF(D826="","",H826-F826*IFERROR(INDEX(الأصناف!$D$2:$D$2000,MATCH(D826,الأصناف!$A$2:$A$2000,0)),0))</f>
        <v/>
      </c>
      <c r="J826" s="4" t="n"/>
      <c r="K826" s="7">
        <f>IF(OR(B826="",B826&lt;&gt;الإيصال!$C$3),"",COUNTIF(B$2:B826,الإيصال!$C$3))</f>
        <v/>
      </c>
    </row>
    <row r="827">
      <c r="A827" s="6" t="n"/>
      <c r="B827" s="4" t="n"/>
      <c r="C827" s="4" t="n"/>
      <c r="D827" s="4" t="n"/>
      <c r="E827">
        <f>IF(D827="","",IFERROR(INDEX(الأصناف!$B$2:$B$2000,MATCH(D827,الأصناف!$A$2:$A$2000,0)),"كود غير موجود"))</f>
        <v/>
      </c>
      <c r="F827" s="4" t="n"/>
      <c r="G827">
        <f>IF(D827="","",IFERROR(INDEX(الأصناف!$C$2:$C$2000,MATCH(D827,الأصناف!$A$2:$A$2000,0)),0))</f>
        <v/>
      </c>
      <c r="H827">
        <f>IF(D827="","",F827*G827)</f>
        <v/>
      </c>
      <c r="I827">
        <f>IF(D827="","",H827-F827*IFERROR(INDEX(الأصناف!$D$2:$D$2000,MATCH(D827,الأصناف!$A$2:$A$2000,0)),0))</f>
        <v/>
      </c>
      <c r="J827" s="4" t="n"/>
      <c r="K827" s="7">
        <f>IF(OR(B827="",B827&lt;&gt;الإيصال!$C$3),"",COUNTIF(B$2:B827,الإيصال!$C$3))</f>
        <v/>
      </c>
    </row>
    <row r="828">
      <c r="A828" s="6" t="n"/>
      <c r="B828" s="4" t="n"/>
      <c r="C828" s="4" t="n"/>
      <c r="D828" s="4" t="n"/>
      <c r="E828">
        <f>IF(D828="","",IFERROR(INDEX(الأصناف!$B$2:$B$2000,MATCH(D828,الأصناف!$A$2:$A$2000,0)),"كود غير موجود"))</f>
        <v/>
      </c>
      <c r="F828" s="4" t="n"/>
      <c r="G828">
        <f>IF(D828="","",IFERROR(INDEX(الأصناف!$C$2:$C$2000,MATCH(D828,الأصناف!$A$2:$A$2000,0)),0))</f>
        <v/>
      </c>
      <c r="H828">
        <f>IF(D828="","",F828*G828)</f>
        <v/>
      </c>
      <c r="I828">
        <f>IF(D828="","",H828-F828*IFERROR(INDEX(الأصناف!$D$2:$D$2000,MATCH(D828,الأصناف!$A$2:$A$2000,0)),0))</f>
        <v/>
      </c>
      <c r="J828" s="4" t="n"/>
      <c r="K828" s="7">
        <f>IF(OR(B828="",B828&lt;&gt;الإيصال!$C$3),"",COUNTIF(B$2:B828,الإيصال!$C$3))</f>
        <v/>
      </c>
    </row>
    <row r="829">
      <c r="A829" s="6" t="n"/>
      <c r="B829" s="4" t="n"/>
      <c r="C829" s="4" t="n"/>
      <c r="D829" s="4" t="n"/>
      <c r="E829">
        <f>IF(D829="","",IFERROR(INDEX(الأصناف!$B$2:$B$2000,MATCH(D829,الأصناف!$A$2:$A$2000,0)),"كود غير موجود"))</f>
        <v/>
      </c>
      <c r="F829" s="4" t="n"/>
      <c r="G829">
        <f>IF(D829="","",IFERROR(INDEX(الأصناف!$C$2:$C$2000,MATCH(D829,الأصناف!$A$2:$A$2000,0)),0))</f>
        <v/>
      </c>
      <c r="H829">
        <f>IF(D829="","",F829*G829)</f>
        <v/>
      </c>
      <c r="I829">
        <f>IF(D829="","",H829-F829*IFERROR(INDEX(الأصناف!$D$2:$D$2000,MATCH(D829,الأصناف!$A$2:$A$2000,0)),0))</f>
        <v/>
      </c>
      <c r="J829" s="4" t="n"/>
      <c r="K829" s="7">
        <f>IF(OR(B829="",B829&lt;&gt;الإيصال!$C$3),"",COUNTIF(B$2:B829,الإيصال!$C$3))</f>
        <v/>
      </c>
    </row>
    <row r="830">
      <c r="A830" s="6" t="n"/>
      <c r="B830" s="4" t="n"/>
      <c r="C830" s="4" t="n"/>
      <c r="D830" s="4" t="n"/>
      <c r="E830">
        <f>IF(D830="","",IFERROR(INDEX(الأصناف!$B$2:$B$2000,MATCH(D830,الأصناف!$A$2:$A$2000,0)),"كود غير موجود"))</f>
        <v/>
      </c>
      <c r="F830" s="4" t="n"/>
      <c r="G830">
        <f>IF(D830="","",IFERROR(INDEX(الأصناف!$C$2:$C$2000,MATCH(D830,الأصناف!$A$2:$A$2000,0)),0))</f>
        <v/>
      </c>
      <c r="H830">
        <f>IF(D830="","",F830*G830)</f>
        <v/>
      </c>
      <c r="I830">
        <f>IF(D830="","",H830-F830*IFERROR(INDEX(الأصناف!$D$2:$D$2000,MATCH(D830,الأصناف!$A$2:$A$2000,0)),0))</f>
        <v/>
      </c>
      <c r="J830" s="4" t="n"/>
      <c r="K830" s="7">
        <f>IF(OR(B830="",B830&lt;&gt;الإيصال!$C$3),"",COUNTIF(B$2:B830,الإيصال!$C$3))</f>
        <v/>
      </c>
    </row>
    <row r="831">
      <c r="A831" s="6" t="n"/>
      <c r="B831" s="4" t="n"/>
      <c r="C831" s="4" t="n"/>
      <c r="D831" s="4" t="n"/>
      <c r="E831">
        <f>IF(D831="","",IFERROR(INDEX(الأصناف!$B$2:$B$2000,MATCH(D831,الأصناف!$A$2:$A$2000,0)),"كود غير موجود"))</f>
        <v/>
      </c>
      <c r="F831" s="4" t="n"/>
      <c r="G831">
        <f>IF(D831="","",IFERROR(INDEX(الأصناف!$C$2:$C$2000,MATCH(D831,الأصناف!$A$2:$A$2000,0)),0))</f>
        <v/>
      </c>
      <c r="H831">
        <f>IF(D831="","",F831*G831)</f>
        <v/>
      </c>
      <c r="I831">
        <f>IF(D831="","",H831-F831*IFERROR(INDEX(الأصناف!$D$2:$D$2000,MATCH(D831,الأصناف!$A$2:$A$2000,0)),0))</f>
        <v/>
      </c>
      <c r="J831" s="4" t="n"/>
      <c r="K831" s="7">
        <f>IF(OR(B831="",B831&lt;&gt;الإيصال!$C$3),"",COUNTIF(B$2:B831,الإيصال!$C$3))</f>
        <v/>
      </c>
    </row>
    <row r="832">
      <c r="A832" s="6" t="n"/>
      <c r="B832" s="4" t="n"/>
      <c r="C832" s="4" t="n"/>
      <c r="D832" s="4" t="n"/>
      <c r="E832">
        <f>IF(D832="","",IFERROR(INDEX(الأصناف!$B$2:$B$2000,MATCH(D832,الأصناف!$A$2:$A$2000,0)),"كود غير موجود"))</f>
        <v/>
      </c>
      <c r="F832" s="4" t="n"/>
      <c r="G832">
        <f>IF(D832="","",IFERROR(INDEX(الأصناف!$C$2:$C$2000,MATCH(D832,الأصناف!$A$2:$A$2000,0)),0))</f>
        <v/>
      </c>
      <c r="H832">
        <f>IF(D832="","",F832*G832)</f>
        <v/>
      </c>
      <c r="I832">
        <f>IF(D832="","",H832-F832*IFERROR(INDEX(الأصناف!$D$2:$D$2000,MATCH(D832,الأصناف!$A$2:$A$2000,0)),0))</f>
        <v/>
      </c>
      <c r="J832" s="4" t="n"/>
      <c r="K832" s="7">
        <f>IF(OR(B832="",B832&lt;&gt;الإيصال!$C$3),"",COUNTIF(B$2:B832,الإيصال!$C$3))</f>
        <v/>
      </c>
    </row>
    <row r="833">
      <c r="A833" s="6" t="n"/>
      <c r="B833" s="4" t="n"/>
      <c r="C833" s="4" t="n"/>
      <c r="D833" s="4" t="n"/>
      <c r="E833">
        <f>IF(D833="","",IFERROR(INDEX(الأصناف!$B$2:$B$2000,MATCH(D833,الأصناف!$A$2:$A$2000,0)),"كود غير موجود"))</f>
        <v/>
      </c>
      <c r="F833" s="4" t="n"/>
      <c r="G833">
        <f>IF(D833="","",IFERROR(INDEX(الأصناف!$C$2:$C$2000,MATCH(D833,الأصناف!$A$2:$A$2000,0)),0))</f>
        <v/>
      </c>
      <c r="H833">
        <f>IF(D833="","",F833*G833)</f>
        <v/>
      </c>
      <c r="I833">
        <f>IF(D833="","",H833-F833*IFERROR(INDEX(الأصناف!$D$2:$D$2000,MATCH(D833,الأصناف!$A$2:$A$2000,0)),0))</f>
        <v/>
      </c>
      <c r="J833" s="4" t="n"/>
      <c r="K833" s="7">
        <f>IF(OR(B833="",B833&lt;&gt;الإيصال!$C$3),"",COUNTIF(B$2:B833,الإيصال!$C$3))</f>
        <v/>
      </c>
    </row>
    <row r="834">
      <c r="A834" s="6" t="n"/>
      <c r="B834" s="4" t="n"/>
      <c r="C834" s="4" t="n"/>
      <c r="D834" s="4" t="n"/>
      <c r="E834">
        <f>IF(D834="","",IFERROR(INDEX(الأصناف!$B$2:$B$2000,MATCH(D834,الأصناف!$A$2:$A$2000,0)),"كود غير موجود"))</f>
        <v/>
      </c>
      <c r="F834" s="4" t="n"/>
      <c r="G834">
        <f>IF(D834="","",IFERROR(INDEX(الأصناف!$C$2:$C$2000,MATCH(D834,الأصناف!$A$2:$A$2000,0)),0))</f>
        <v/>
      </c>
      <c r="H834">
        <f>IF(D834="","",F834*G834)</f>
        <v/>
      </c>
      <c r="I834">
        <f>IF(D834="","",H834-F834*IFERROR(INDEX(الأصناف!$D$2:$D$2000,MATCH(D834,الأصناف!$A$2:$A$2000,0)),0))</f>
        <v/>
      </c>
      <c r="J834" s="4" t="n"/>
      <c r="K834" s="7">
        <f>IF(OR(B834="",B834&lt;&gt;الإيصال!$C$3),"",COUNTIF(B$2:B834,الإيصال!$C$3))</f>
        <v/>
      </c>
    </row>
    <row r="835">
      <c r="A835" s="6" t="n"/>
      <c r="B835" s="4" t="n"/>
      <c r="C835" s="4" t="n"/>
      <c r="D835" s="4" t="n"/>
      <c r="E835">
        <f>IF(D835="","",IFERROR(INDEX(الأصناف!$B$2:$B$2000,MATCH(D835,الأصناف!$A$2:$A$2000,0)),"كود غير موجود"))</f>
        <v/>
      </c>
      <c r="F835" s="4" t="n"/>
      <c r="G835">
        <f>IF(D835="","",IFERROR(INDEX(الأصناف!$C$2:$C$2000,MATCH(D835,الأصناف!$A$2:$A$2000,0)),0))</f>
        <v/>
      </c>
      <c r="H835">
        <f>IF(D835="","",F835*G835)</f>
        <v/>
      </c>
      <c r="I835">
        <f>IF(D835="","",H835-F835*IFERROR(INDEX(الأصناف!$D$2:$D$2000,MATCH(D835,الأصناف!$A$2:$A$2000,0)),0))</f>
        <v/>
      </c>
      <c r="J835" s="4" t="n"/>
      <c r="K835" s="7">
        <f>IF(OR(B835="",B835&lt;&gt;الإيصال!$C$3),"",COUNTIF(B$2:B835,الإيصال!$C$3))</f>
        <v/>
      </c>
    </row>
    <row r="836">
      <c r="A836" s="6" t="n"/>
      <c r="B836" s="4" t="n"/>
      <c r="C836" s="4" t="n"/>
      <c r="D836" s="4" t="n"/>
      <c r="E836">
        <f>IF(D836="","",IFERROR(INDEX(الأصناف!$B$2:$B$2000,MATCH(D836,الأصناف!$A$2:$A$2000,0)),"كود غير موجود"))</f>
        <v/>
      </c>
      <c r="F836" s="4" t="n"/>
      <c r="G836">
        <f>IF(D836="","",IFERROR(INDEX(الأصناف!$C$2:$C$2000,MATCH(D836,الأصناف!$A$2:$A$2000,0)),0))</f>
        <v/>
      </c>
      <c r="H836">
        <f>IF(D836="","",F836*G836)</f>
        <v/>
      </c>
      <c r="I836">
        <f>IF(D836="","",H836-F836*IFERROR(INDEX(الأصناف!$D$2:$D$2000,MATCH(D836,الأصناف!$A$2:$A$2000,0)),0))</f>
        <v/>
      </c>
      <c r="J836" s="4" t="n"/>
      <c r="K836" s="7">
        <f>IF(OR(B836="",B836&lt;&gt;الإيصال!$C$3),"",COUNTIF(B$2:B836,الإيصال!$C$3))</f>
        <v/>
      </c>
    </row>
    <row r="837">
      <c r="A837" s="6" t="n"/>
      <c r="B837" s="4" t="n"/>
      <c r="C837" s="4" t="n"/>
      <c r="D837" s="4" t="n"/>
      <c r="E837">
        <f>IF(D837="","",IFERROR(INDEX(الأصناف!$B$2:$B$2000,MATCH(D837,الأصناف!$A$2:$A$2000,0)),"كود غير موجود"))</f>
        <v/>
      </c>
      <c r="F837" s="4" t="n"/>
      <c r="G837">
        <f>IF(D837="","",IFERROR(INDEX(الأصناف!$C$2:$C$2000,MATCH(D837,الأصناف!$A$2:$A$2000,0)),0))</f>
        <v/>
      </c>
      <c r="H837">
        <f>IF(D837="","",F837*G837)</f>
        <v/>
      </c>
      <c r="I837">
        <f>IF(D837="","",H837-F837*IFERROR(INDEX(الأصناف!$D$2:$D$2000,MATCH(D837,الأصناف!$A$2:$A$2000,0)),0))</f>
        <v/>
      </c>
      <c r="J837" s="4" t="n"/>
      <c r="K837" s="7">
        <f>IF(OR(B837="",B837&lt;&gt;الإيصال!$C$3),"",COUNTIF(B$2:B837,الإيصال!$C$3))</f>
        <v/>
      </c>
    </row>
    <row r="838">
      <c r="A838" s="6" t="n"/>
      <c r="B838" s="4" t="n"/>
      <c r="C838" s="4" t="n"/>
      <c r="D838" s="4" t="n"/>
      <c r="E838">
        <f>IF(D838="","",IFERROR(INDEX(الأصناف!$B$2:$B$2000,MATCH(D838,الأصناف!$A$2:$A$2000,0)),"كود غير موجود"))</f>
        <v/>
      </c>
      <c r="F838" s="4" t="n"/>
      <c r="G838">
        <f>IF(D838="","",IFERROR(INDEX(الأصناف!$C$2:$C$2000,MATCH(D838,الأصناف!$A$2:$A$2000,0)),0))</f>
        <v/>
      </c>
      <c r="H838">
        <f>IF(D838="","",F838*G838)</f>
        <v/>
      </c>
      <c r="I838">
        <f>IF(D838="","",H838-F838*IFERROR(INDEX(الأصناف!$D$2:$D$2000,MATCH(D838,الأصناف!$A$2:$A$2000,0)),0))</f>
        <v/>
      </c>
      <c r="J838" s="4" t="n"/>
      <c r="K838" s="7">
        <f>IF(OR(B838="",B838&lt;&gt;الإيصال!$C$3),"",COUNTIF(B$2:B838,الإيصال!$C$3))</f>
        <v/>
      </c>
    </row>
    <row r="839">
      <c r="A839" s="6" t="n"/>
      <c r="B839" s="4" t="n"/>
      <c r="C839" s="4" t="n"/>
      <c r="D839" s="4" t="n"/>
      <c r="E839">
        <f>IF(D839="","",IFERROR(INDEX(الأصناف!$B$2:$B$2000,MATCH(D839,الأصناف!$A$2:$A$2000,0)),"كود غير موجود"))</f>
        <v/>
      </c>
      <c r="F839" s="4" t="n"/>
      <c r="G839">
        <f>IF(D839="","",IFERROR(INDEX(الأصناف!$C$2:$C$2000,MATCH(D839,الأصناف!$A$2:$A$2000,0)),0))</f>
        <v/>
      </c>
      <c r="H839">
        <f>IF(D839="","",F839*G839)</f>
        <v/>
      </c>
      <c r="I839">
        <f>IF(D839="","",H839-F839*IFERROR(INDEX(الأصناف!$D$2:$D$2000,MATCH(D839,الأصناف!$A$2:$A$2000,0)),0))</f>
        <v/>
      </c>
      <c r="J839" s="4" t="n"/>
      <c r="K839" s="7">
        <f>IF(OR(B839="",B839&lt;&gt;الإيصال!$C$3),"",COUNTIF(B$2:B839,الإيصال!$C$3))</f>
        <v/>
      </c>
    </row>
    <row r="840">
      <c r="A840" s="6" t="n"/>
      <c r="B840" s="4" t="n"/>
      <c r="C840" s="4" t="n"/>
      <c r="D840" s="4" t="n"/>
      <c r="E840">
        <f>IF(D840="","",IFERROR(INDEX(الأصناف!$B$2:$B$2000,MATCH(D840,الأصناف!$A$2:$A$2000,0)),"كود غير موجود"))</f>
        <v/>
      </c>
      <c r="F840" s="4" t="n"/>
      <c r="G840">
        <f>IF(D840="","",IFERROR(INDEX(الأصناف!$C$2:$C$2000,MATCH(D840,الأصناف!$A$2:$A$2000,0)),0))</f>
        <v/>
      </c>
      <c r="H840">
        <f>IF(D840="","",F840*G840)</f>
        <v/>
      </c>
      <c r="I840">
        <f>IF(D840="","",H840-F840*IFERROR(INDEX(الأصناف!$D$2:$D$2000,MATCH(D840,الأصناف!$A$2:$A$2000,0)),0))</f>
        <v/>
      </c>
      <c r="J840" s="4" t="n"/>
      <c r="K840" s="7">
        <f>IF(OR(B840="",B840&lt;&gt;الإيصال!$C$3),"",COUNTIF(B$2:B840,الإيصال!$C$3))</f>
        <v/>
      </c>
    </row>
    <row r="841">
      <c r="A841" s="6" t="n"/>
      <c r="B841" s="4" t="n"/>
      <c r="C841" s="4" t="n"/>
      <c r="D841" s="4" t="n"/>
      <c r="E841">
        <f>IF(D841="","",IFERROR(INDEX(الأصناف!$B$2:$B$2000,MATCH(D841,الأصناف!$A$2:$A$2000,0)),"كود غير موجود"))</f>
        <v/>
      </c>
      <c r="F841" s="4" t="n"/>
      <c r="G841">
        <f>IF(D841="","",IFERROR(INDEX(الأصناف!$C$2:$C$2000,MATCH(D841,الأصناف!$A$2:$A$2000,0)),0))</f>
        <v/>
      </c>
      <c r="H841">
        <f>IF(D841="","",F841*G841)</f>
        <v/>
      </c>
      <c r="I841">
        <f>IF(D841="","",H841-F841*IFERROR(INDEX(الأصناف!$D$2:$D$2000,MATCH(D841,الأصناف!$A$2:$A$2000,0)),0))</f>
        <v/>
      </c>
      <c r="J841" s="4" t="n"/>
      <c r="K841" s="7">
        <f>IF(OR(B841="",B841&lt;&gt;الإيصال!$C$3),"",COUNTIF(B$2:B841,الإيصال!$C$3))</f>
        <v/>
      </c>
    </row>
    <row r="842">
      <c r="A842" s="6" t="n"/>
      <c r="B842" s="4" t="n"/>
      <c r="C842" s="4" t="n"/>
      <c r="D842" s="4" t="n"/>
      <c r="E842">
        <f>IF(D842="","",IFERROR(INDEX(الأصناف!$B$2:$B$2000,MATCH(D842,الأصناف!$A$2:$A$2000,0)),"كود غير موجود"))</f>
        <v/>
      </c>
      <c r="F842" s="4" t="n"/>
      <c r="G842">
        <f>IF(D842="","",IFERROR(INDEX(الأصناف!$C$2:$C$2000,MATCH(D842,الأصناف!$A$2:$A$2000,0)),0))</f>
        <v/>
      </c>
      <c r="H842">
        <f>IF(D842="","",F842*G842)</f>
        <v/>
      </c>
      <c r="I842">
        <f>IF(D842="","",H842-F842*IFERROR(INDEX(الأصناف!$D$2:$D$2000,MATCH(D842,الأصناف!$A$2:$A$2000,0)),0))</f>
        <v/>
      </c>
      <c r="J842" s="4" t="n"/>
      <c r="K842" s="7">
        <f>IF(OR(B842="",B842&lt;&gt;الإيصال!$C$3),"",COUNTIF(B$2:B842,الإيصال!$C$3))</f>
        <v/>
      </c>
    </row>
    <row r="843">
      <c r="A843" s="6" t="n"/>
      <c r="B843" s="4" t="n"/>
      <c r="C843" s="4" t="n"/>
      <c r="D843" s="4" t="n"/>
      <c r="E843">
        <f>IF(D843="","",IFERROR(INDEX(الأصناف!$B$2:$B$2000,MATCH(D843,الأصناف!$A$2:$A$2000,0)),"كود غير موجود"))</f>
        <v/>
      </c>
      <c r="F843" s="4" t="n"/>
      <c r="G843">
        <f>IF(D843="","",IFERROR(INDEX(الأصناف!$C$2:$C$2000,MATCH(D843,الأصناف!$A$2:$A$2000,0)),0))</f>
        <v/>
      </c>
      <c r="H843">
        <f>IF(D843="","",F843*G843)</f>
        <v/>
      </c>
      <c r="I843">
        <f>IF(D843="","",H843-F843*IFERROR(INDEX(الأصناف!$D$2:$D$2000,MATCH(D843,الأصناف!$A$2:$A$2000,0)),0))</f>
        <v/>
      </c>
      <c r="J843" s="4" t="n"/>
      <c r="K843" s="7">
        <f>IF(OR(B843="",B843&lt;&gt;الإيصال!$C$3),"",COUNTIF(B$2:B843,الإيصال!$C$3))</f>
        <v/>
      </c>
    </row>
    <row r="844">
      <c r="A844" s="6" t="n"/>
      <c r="B844" s="4" t="n"/>
      <c r="C844" s="4" t="n"/>
      <c r="D844" s="4" t="n"/>
      <c r="E844">
        <f>IF(D844="","",IFERROR(INDEX(الأصناف!$B$2:$B$2000,MATCH(D844,الأصناف!$A$2:$A$2000,0)),"كود غير موجود"))</f>
        <v/>
      </c>
      <c r="F844" s="4" t="n"/>
      <c r="G844">
        <f>IF(D844="","",IFERROR(INDEX(الأصناف!$C$2:$C$2000,MATCH(D844,الأصناف!$A$2:$A$2000,0)),0))</f>
        <v/>
      </c>
      <c r="H844">
        <f>IF(D844="","",F844*G844)</f>
        <v/>
      </c>
      <c r="I844">
        <f>IF(D844="","",H844-F844*IFERROR(INDEX(الأصناف!$D$2:$D$2000,MATCH(D844,الأصناف!$A$2:$A$2000,0)),0))</f>
        <v/>
      </c>
      <c r="J844" s="4" t="n"/>
      <c r="K844" s="7">
        <f>IF(OR(B844="",B844&lt;&gt;الإيصال!$C$3),"",COUNTIF(B$2:B844,الإيصال!$C$3))</f>
        <v/>
      </c>
    </row>
    <row r="845">
      <c r="A845" s="6" t="n"/>
      <c r="B845" s="4" t="n"/>
      <c r="C845" s="4" t="n"/>
      <c r="D845" s="4" t="n"/>
      <c r="E845">
        <f>IF(D845="","",IFERROR(INDEX(الأصناف!$B$2:$B$2000,MATCH(D845,الأصناف!$A$2:$A$2000,0)),"كود غير موجود"))</f>
        <v/>
      </c>
      <c r="F845" s="4" t="n"/>
      <c r="G845">
        <f>IF(D845="","",IFERROR(INDEX(الأصناف!$C$2:$C$2000,MATCH(D845,الأصناف!$A$2:$A$2000,0)),0))</f>
        <v/>
      </c>
      <c r="H845">
        <f>IF(D845="","",F845*G845)</f>
        <v/>
      </c>
      <c r="I845">
        <f>IF(D845="","",H845-F845*IFERROR(INDEX(الأصناف!$D$2:$D$2000,MATCH(D845,الأصناف!$A$2:$A$2000,0)),0))</f>
        <v/>
      </c>
      <c r="J845" s="4" t="n"/>
      <c r="K845" s="7">
        <f>IF(OR(B845="",B845&lt;&gt;الإيصال!$C$3),"",COUNTIF(B$2:B845,الإيصال!$C$3))</f>
        <v/>
      </c>
    </row>
    <row r="846">
      <c r="A846" s="6" t="n"/>
      <c r="B846" s="4" t="n"/>
      <c r="C846" s="4" t="n"/>
      <c r="D846" s="4" t="n"/>
      <c r="E846">
        <f>IF(D846="","",IFERROR(INDEX(الأصناف!$B$2:$B$2000,MATCH(D846,الأصناف!$A$2:$A$2000,0)),"كود غير موجود"))</f>
        <v/>
      </c>
      <c r="F846" s="4" t="n"/>
      <c r="G846">
        <f>IF(D846="","",IFERROR(INDEX(الأصناف!$C$2:$C$2000,MATCH(D846,الأصناف!$A$2:$A$2000,0)),0))</f>
        <v/>
      </c>
      <c r="H846">
        <f>IF(D846="","",F846*G846)</f>
        <v/>
      </c>
      <c r="I846">
        <f>IF(D846="","",H846-F846*IFERROR(INDEX(الأصناف!$D$2:$D$2000,MATCH(D846,الأصناف!$A$2:$A$2000,0)),0))</f>
        <v/>
      </c>
      <c r="J846" s="4" t="n"/>
      <c r="K846" s="7">
        <f>IF(OR(B846="",B846&lt;&gt;الإيصال!$C$3),"",COUNTIF(B$2:B846,الإيصال!$C$3))</f>
        <v/>
      </c>
    </row>
    <row r="847">
      <c r="A847" s="6" t="n"/>
      <c r="B847" s="4" t="n"/>
      <c r="C847" s="4" t="n"/>
      <c r="D847" s="4" t="n"/>
      <c r="E847">
        <f>IF(D847="","",IFERROR(INDEX(الأصناف!$B$2:$B$2000,MATCH(D847,الأصناف!$A$2:$A$2000,0)),"كود غير موجود"))</f>
        <v/>
      </c>
      <c r="F847" s="4" t="n"/>
      <c r="G847">
        <f>IF(D847="","",IFERROR(INDEX(الأصناف!$C$2:$C$2000,MATCH(D847,الأصناف!$A$2:$A$2000,0)),0))</f>
        <v/>
      </c>
      <c r="H847">
        <f>IF(D847="","",F847*G847)</f>
        <v/>
      </c>
      <c r="I847">
        <f>IF(D847="","",H847-F847*IFERROR(INDEX(الأصناف!$D$2:$D$2000,MATCH(D847,الأصناف!$A$2:$A$2000,0)),0))</f>
        <v/>
      </c>
      <c r="J847" s="4" t="n"/>
      <c r="K847" s="7">
        <f>IF(OR(B847="",B847&lt;&gt;الإيصال!$C$3),"",COUNTIF(B$2:B847,الإيصال!$C$3))</f>
        <v/>
      </c>
    </row>
    <row r="848">
      <c r="A848" s="6" t="n"/>
      <c r="B848" s="4" t="n"/>
      <c r="C848" s="4" t="n"/>
      <c r="D848" s="4" t="n"/>
      <c r="E848">
        <f>IF(D848="","",IFERROR(INDEX(الأصناف!$B$2:$B$2000,MATCH(D848,الأصناف!$A$2:$A$2000,0)),"كود غير موجود"))</f>
        <v/>
      </c>
      <c r="F848" s="4" t="n"/>
      <c r="G848">
        <f>IF(D848="","",IFERROR(INDEX(الأصناف!$C$2:$C$2000,MATCH(D848,الأصناف!$A$2:$A$2000,0)),0))</f>
        <v/>
      </c>
      <c r="H848">
        <f>IF(D848="","",F848*G848)</f>
        <v/>
      </c>
      <c r="I848">
        <f>IF(D848="","",H848-F848*IFERROR(INDEX(الأصناف!$D$2:$D$2000,MATCH(D848,الأصناف!$A$2:$A$2000,0)),0))</f>
        <v/>
      </c>
      <c r="J848" s="4" t="n"/>
      <c r="K848" s="7">
        <f>IF(OR(B848="",B848&lt;&gt;الإيصال!$C$3),"",COUNTIF(B$2:B848,الإيصال!$C$3))</f>
        <v/>
      </c>
    </row>
    <row r="849">
      <c r="A849" s="6" t="n"/>
      <c r="B849" s="4" t="n"/>
      <c r="C849" s="4" t="n"/>
      <c r="D849" s="4" t="n"/>
      <c r="E849">
        <f>IF(D849="","",IFERROR(INDEX(الأصناف!$B$2:$B$2000,MATCH(D849,الأصناف!$A$2:$A$2000,0)),"كود غير موجود"))</f>
        <v/>
      </c>
      <c r="F849" s="4" t="n"/>
      <c r="G849">
        <f>IF(D849="","",IFERROR(INDEX(الأصناف!$C$2:$C$2000,MATCH(D849,الأصناف!$A$2:$A$2000,0)),0))</f>
        <v/>
      </c>
      <c r="H849">
        <f>IF(D849="","",F849*G849)</f>
        <v/>
      </c>
      <c r="I849">
        <f>IF(D849="","",H849-F849*IFERROR(INDEX(الأصناف!$D$2:$D$2000,MATCH(D849,الأصناف!$A$2:$A$2000,0)),0))</f>
        <v/>
      </c>
      <c r="J849" s="4" t="n"/>
      <c r="K849" s="7">
        <f>IF(OR(B849="",B849&lt;&gt;الإيصال!$C$3),"",COUNTIF(B$2:B849,الإيصال!$C$3))</f>
        <v/>
      </c>
    </row>
    <row r="850">
      <c r="A850" s="6" t="n"/>
      <c r="B850" s="4" t="n"/>
      <c r="C850" s="4" t="n"/>
      <c r="D850" s="4" t="n"/>
      <c r="E850">
        <f>IF(D850="","",IFERROR(INDEX(الأصناف!$B$2:$B$2000,MATCH(D850,الأصناف!$A$2:$A$2000,0)),"كود غير موجود"))</f>
        <v/>
      </c>
      <c r="F850" s="4" t="n"/>
      <c r="G850">
        <f>IF(D850="","",IFERROR(INDEX(الأصناف!$C$2:$C$2000,MATCH(D850,الأصناف!$A$2:$A$2000,0)),0))</f>
        <v/>
      </c>
      <c r="H850">
        <f>IF(D850="","",F850*G850)</f>
        <v/>
      </c>
      <c r="I850">
        <f>IF(D850="","",H850-F850*IFERROR(INDEX(الأصناف!$D$2:$D$2000,MATCH(D850,الأصناف!$A$2:$A$2000,0)),0))</f>
        <v/>
      </c>
      <c r="J850" s="4" t="n"/>
      <c r="K850" s="7">
        <f>IF(OR(B850="",B850&lt;&gt;الإيصال!$C$3),"",COUNTIF(B$2:B850,الإيصال!$C$3))</f>
        <v/>
      </c>
    </row>
    <row r="851">
      <c r="A851" s="6" t="n"/>
      <c r="B851" s="4" t="n"/>
      <c r="C851" s="4" t="n"/>
      <c r="D851" s="4" t="n"/>
      <c r="E851">
        <f>IF(D851="","",IFERROR(INDEX(الأصناف!$B$2:$B$2000,MATCH(D851,الأصناف!$A$2:$A$2000,0)),"كود غير موجود"))</f>
        <v/>
      </c>
      <c r="F851" s="4" t="n"/>
      <c r="G851">
        <f>IF(D851="","",IFERROR(INDEX(الأصناف!$C$2:$C$2000,MATCH(D851,الأصناف!$A$2:$A$2000,0)),0))</f>
        <v/>
      </c>
      <c r="H851">
        <f>IF(D851="","",F851*G851)</f>
        <v/>
      </c>
      <c r="I851">
        <f>IF(D851="","",H851-F851*IFERROR(INDEX(الأصناف!$D$2:$D$2000,MATCH(D851,الأصناف!$A$2:$A$2000,0)),0))</f>
        <v/>
      </c>
      <c r="J851" s="4" t="n"/>
      <c r="K851" s="7">
        <f>IF(OR(B851="",B851&lt;&gt;الإيصال!$C$3),"",COUNTIF(B$2:B851,الإيصال!$C$3))</f>
        <v/>
      </c>
    </row>
    <row r="852">
      <c r="A852" s="6" t="n"/>
      <c r="B852" s="4" t="n"/>
      <c r="C852" s="4" t="n"/>
      <c r="D852" s="4" t="n"/>
      <c r="E852">
        <f>IF(D852="","",IFERROR(INDEX(الأصناف!$B$2:$B$2000,MATCH(D852,الأصناف!$A$2:$A$2000,0)),"كود غير موجود"))</f>
        <v/>
      </c>
      <c r="F852" s="4" t="n"/>
      <c r="G852">
        <f>IF(D852="","",IFERROR(INDEX(الأصناف!$C$2:$C$2000,MATCH(D852,الأصناف!$A$2:$A$2000,0)),0))</f>
        <v/>
      </c>
      <c r="H852">
        <f>IF(D852="","",F852*G852)</f>
        <v/>
      </c>
      <c r="I852">
        <f>IF(D852="","",H852-F852*IFERROR(INDEX(الأصناف!$D$2:$D$2000,MATCH(D852,الأصناف!$A$2:$A$2000,0)),0))</f>
        <v/>
      </c>
      <c r="J852" s="4" t="n"/>
      <c r="K852" s="7">
        <f>IF(OR(B852="",B852&lt;&gt;الإيصال!$C$3),"",COUNTIF(B$2:B852,الإيصال!$C$3))</f>
        <v/>
      </c>
    </row>
    <row r="853">
      <c r="A853" s="6" t="n"/>
      <c r="B853" s="4" t="n"/>
      <c r="C853" s="4" t="n"/>
      <c r="D853" s="4" t="n"/>
      <c r="E853">
        <f>IF(D853="","",IFERROR(INDEX(الأصناف!$B$2:$B$2000,MATCH(D853,الأصناف!$A$2:$A$2000,0)),"كود غير موجود"))</f>
        <v/>
      </c>
      <c r="F853" s="4" t="n"/>
      <c r="G853">
        <f>IF(D853="","",IFERROR(INDEX(الأصناف!$C$2:$C$2000,MATCH(D853,الأصناف!$A$2:$A$2000,0)),0))</f>
        <v/>
      </c>
      <c r="H853">
        <f>IF(D853="","",F853*G853)</f>
        <v/>
      </c>
      <c r="I853">
        <f>IF(D853="","",H853-F853*IFERROR(INDEX(الأصناف!$D$2:$D$2000,MATCH(D853,الأصناف!$A$2:$A$2000,0)),0))</f>
        <v/>
      </c>
      <c r="J853" s="4" t="n"/>
      <c r="K853" s="7">
        <f>IF(OR(B853="",B853&lt;&gt;الإيصال!$C$3),"",COUNTIF(B$2:B853,الإيصال!$C$3))</f>
        <v/>
      </c>
    </row>
    <row r="854">
      <c r="A854" s="6" t="n"/>
      <c r="B854" s="4" t="n"/>
      <c r="C854" s="4" t="n"/>
      <c r="D854" s="4" t="n"/>
      <c r="E854">
        <f>IF(D854="","",IFERROR(INDEX(الأصناف!$B$2:$B$2000,MATCH(D854,الأصناف!$A$2:$A$2000,0)),"كود غير موجود"))</f>
        <v/>
      </c>
      <c r="F854" s="4" t="n"/>
      <c r="G854">
        <f>IF(D854="","",IFERROR(INDEX(الأصناف!$C$2:$C$2000,MATCH(D854,الأصناف!$A$2:$A$2000,0)),0))</f>
        <v/>
      </c>
      <c r="H854">
        <f>IF(D854="","",F854*G854)</f>
        <v/>
      </c>
      <c r="I854">
        <f>IF(D854="","",H854-F854*IFERROR(INDEX(الأصناف!$D$2:$D$2000,MATCH(D854,الأصناف!$A$2:$A$2000,0)),0))</f>
        <v/>
      </c>
      <c r="J854" s="4" t="n"/>
      <c r="K854" s="7">
        <f>IF(OR(B854="",B854&lt;&gt;الإيصال!$C$3),"",COUNTIF(B$2:B854,الإيصال!$C$3))</f>
        <v/>
      </c>
    </row>
    <row r="855">
      <c r="A855" s="6" t="n"/>
      <c r="B855" s="4" t="n"/>
      <c r="C855" s="4" t="n"/>
      <c r="D855" s="4" t="n"/>
      <c r="E855">
        <f>IF(D855="","",IFERROR(INDEX(الأصناف!$B$2:$B$2000,MATCH(D855,الأصناف!$A$2:$A$2000,0)),"كود غير موجود"))</f>
        <v/>
      </c>
      <c r="F855" s="4" t="n"/>
      <c r="G855">
        <f>IF(D855="","",IFERROR(INDEX(الأصناف!$C$2:$C$2000,MATCH(D855,الأصناف!$A$2:$A$2000,0)),0))</f>
        <v/>
      </c>
      <c r="H855">
        <f>IF(D855="","",F855*G855)</f>
        <v/>
      </c>
      <c r="I855">
        <f>IF(D855="","",H855-F855*IFERROR(INDEX(الأصناف!$D$2:$D$2000,MATCH(D855,الأصناف!$A$2:$A$2000,0)),0))</f>
        <v/>
      </c>
      <c r="J855" s="4" t="n"/>
      <c r="K855" s="7">
        <f>IF(OR(B855="",B855&lt;&gt;الإيصال!$C$3),"",COUNTIF(B$2:B855,الإيصال!$C$3))</f>
        <v/>
      </c>
    </row>
    <row r="856">
      <c r="A856" s="6" t="n"/>
      <c r="B856" s="4" t="n"/>
      <c r="C856" s="4" t="n"/>
      <c r="D856" s="4" t="n"/>
      <c r="E856">
        <f>IF(D856="","",IFERROR(INDEX(الأصناف!$B$2:$B$2000,MATCH(D856,الأصناف!$A$2:$A$2000,0)),"كود غير موجود"))</f>
        <v/>
      </c>
      <c r="F856" s="4" t="n"/>
      <c r="G856">
        <f>IF(D856="","",IFERROR(INDEX(الأصناف!$C$2:$C$2000,MATCH(D856,الأصناف!$A$2:$A$2000,0)),0))</f>
        <v/>
      </c>
      <c r="H856">
        <f>IF(D856="","",F856*G856)</f>
        <v/>
      </c>
      <c r="I856">
        <f>IF(D856="","",H856-F856*IFERROR(INDEX(الأصناف!$D$2:$D$2000,MATCH(D856,الأصناف!$A$2:$A$2000,0)),0))</f>
        <v/>
      </c>
      <c r="J856" s="4" t="n"/>
      <c r="K856" s="7">
        <f>IF(OR(B856="",B856&lt;&gt;الإيصال!$C$3),"",COUNTIF(B$2:B856,الإيصال!$C$3))</f>
        <v/>
      </c>
    </row>
    <row r="857">
      <c r="A857" s="6" t="n"/>
      <c r="B857" s="4" t="n"/>
      <c r="C857" s="4" t="n"/>
      <c r="D857" s="4" t="n"/>
      <c r="E857">
        <f>IF(D857="","",IFERROR(INDEX(الأصناف!$B$2:$B$2000,MATCH(D857,الأصناف!$A$2:$A$2000,0)),"كود غير موجود"))</f>
        <v/>
      </c>
      <c r="F857" s="4" t="n"/>
      <c r="G857">
        <f>IF(D857="","",IFERROR(INDEX(الأصناف!$C$2:$C$2000,MATCH(D857,الأصناف!$A$2:$A$2000,0)),0))</f>
        <v/>
      </c>
      <c r="H857">
        <f>IF(D857="","",F857*G857)</f>
        <v/>
      </c>
      <c r="I857">
        <f>IF(D857="","",H857-F857*IFERROR(INDEX(الأصناف!$D$2:$D$2000,MATCH(D857,الأصناف!$A$2:$A$2000,0)),0))</f>
        <v/>
      </c>
      <c r="J857" s="4" t="n"/>
      <c r="K857" s="7">
        <f>IF(OR(B857="",B857&lt;&gt;الإيصال!$C$3),"",COUNTIF(B$2:B857,الإيصال!$C$3))</f>
        <v/>
      </c>
    </row>
    <row r="858">
      <c r="A858" s="6" t="n"/>
      <c r="B858" s="4" t="n"/>
      <c r="C858" s="4" t="n"/>
      <c r="D858" s="4" t="n"/>
      <c r="E858">
        <f>IF(D858="","",IFERROR(INDEX(الأصناف!$B$2:$B$2000,MATCH(D858,الأصناف!$A$2:$A$2000,0)),"كود غير موجود"))</f>
        <v/>
      </c>
      <c r="F858" s="4" t="n"/>
      <c r="G858">
        <f>IF(D858="","",IFERROR(INDEX(الأصناف!$C$2:$C$2000,MATCH(D858,الأصناف!$A$2:$A$2000,0)),0))</f>
        <v/>
      </c>
      <c r="H858">
        <f>IF(D858="","",F858*G858)</f>
        <v/>
      </c>
      <c r="I858">
        <f>IF(D858="","",H858-F858*IFERROR(INDEX(الأصناف!$D$2:$D$2000,MATCH(D858,الأصناف!$A$2:$A$2000,0)),0))</f>
        <v/>
      </c>
      <c r="J858" s="4" t="n"/>
      <c r="K858" s="7">
        <f>IF(OR(B858="",B858&lt;&gt;الإيصال!$C$3),"",COUNTIF(B$2:B858,الإيصال!$C$3))</f>
        <v/>
      </c>
    </row>
    <row r="859">
      <c r="A859" s="6" t="n"/>
      <c r="B859" s="4" t="n"/>
      <c r="C859" s="4" t="n"/>
      <c r="D859" s="4" t="n"/>
      <c r="E859">
        <f>IF(D859="","",IFERROR(INDEX(الأصناف!$B$2:$B$2000,MATCH(D859,الأصناف!$A$2:$A$2000,0)),"كود غير موجود"))</f>
        <v/>
      </c>
      <c r="F859" s="4" t="n"/>
      <c r="G859">
        <f>IF(D859="","",IFERROR(INDEX(الأصناف!$C$2:$C$2000,MATCH(D859,الأصناف!$A$2:$A$2000,0)),0))</f>
        <v/>
      </c>
      <c r="H859">
        <f>IF(D859="","",F859*G859)</f>
        <v/>
      </c>
      <c r="I859">
        <f>IF(D859="","",H859-F859*IFERROR(INDEX(الأصناف!$D$2:$D$2000,MATCH(D859,الأصناف!$A$2:$A$2000,0)),0))</f>
        <v/>
      </c>
      <c r="J859" s="4" t="n"/>
      <c r="K859" s="7">
        <f>IF(OR(B859="",B859&lt;&gt;الإيصال!$C$3),"",COUNTIF(B$2:B859,الإيصال!$C$3))</f>
        <v/>
      </c>
    </row>
    <row r="860">
      <c r="A860" s="6" t="n"/>
      <c r="B860" s="4" t="n"/>
      <c r="C860" s="4" t="n"/>
      <c r="D860" s="4" t="n"/>
      <c r="E860">
        <f>IF(D860="","",IFERROR(INDEX(الأصناف!$B$2:$B$2000,MATCH(D860,الأصناف!$A$2:$A$2000,0)),"كود غير موجود"))</f>
        <v/>
      </c>
      <c r="F860" s="4" t="n"/>
      <c r="G860">
        <f>IF(D860="","",IFERROR(INDEX(الأصناف!$C$2:$C$2000,MATCH(D860,الأصناف!$A$2:$A$2000,0)),0))</f>
        <v/>
      </c>
      <c r="H860">
        <f>IF(D860="","",F860*G860)</f>
        <v/>
      </c>
      <c r="I860">
        <f>IF(D860="","",H860-F860*IFERROR(INDEX(الأصناف!$D$2:$D$2000,MATCH(D860,الأصناف!$A$2:$A$2000,0)),0))</f>
        <v/>
      </c>
      <c r="J860" s="4" t="n"/>
      <c r="K860" s="7">
        <f>IF(OR(B860="",B860&lt;&gt;الإيصال!$C$3),"",COUNTIF(B$2:B860,الإيصال!$C$3))</f>
        <v/>
      </c>
    </row>
    <row r="861">
      <c r="A861" s="6" t="n"/>
      <c r="B861" s="4" t="n"/>
      <c r="C861" s="4" t="n"/>
      <c r="D861" s="4" t="n"/>
      <c r="E861">
        <f>IF(D861="","",IFERROR(INDEX(الأصناف!$B$2:$B$2000,MATCH(D861,الأصناف!$A$2:$A$2000,0)),"كود غير موجود"))</f>
        <v/>
      </c>
      <c r="F861" s="4" t="n"/>
      <c r="G861">
        <f>IF(D861="","",IFERROR(INDEX(الأصناف!$C$2:$C$2000,MATCH(D861,الأصناف!$A$2:$A$2000,0)),0))</f>
        <v/>
      </c>
      <c r="H861">
        <f>IF(D861="","",F861*G861)</f>
        <v/>
      </c>
      <c r="I861">
        <f>IF(D861="","",H861-F861*IFERROR(INDEX(الأصناف!$D$2:$D$2000,MATCH(D861,الأصناف!$A$2:$A$2000,0)),0))</f>
        <v/>
      </c>
      <c r="J861" s="4" t="n"/>
      <c r="K861" s="7">
        <f>IF(OR(B861="",B861&lt;&gt;الإيصال!$C$3),"",COUNTIF(B$2:B861,الإيصال!$C$3))</f>
        <v/>
      </c>
    </row>
    <row r="862">
      <c r="A862" s="6" t="n"/>
      <c r="B862" s="4" t="n"/>
      <c r="C862" s="4" t="n"/>
      <c r="D862" s="4" t="n"/>
      <c r="E862">
        <f>IF(D862="","",IFERROR(INDEX(الأصناف!$B$2:$B$2000,MATCH(D862,الأصناف!$A$2:$A$2000,0)),"كود غير موجود"))</f>
        <v/>
      </c>
      <c r="F862" s="4" t="n"/>
      <c r="G862">
        <f>IF(D862="","",IFERROR(INDEX(الأصناف!$C$2:$C$2000,MATCH(D862,الأصناف!$A$2:$A$2000,0)),0))</f>
        <v/>
      </c>
      <c r="H862">
        <f>IF(D862="","",F862*G862)</f>
        <v/>
      </c>
      <c r="I862">
        <f>IF(D862="","",H862-F862*IFERROR(INDEX(الأصناف!$D$2:$D$2000,MATCH(D862,الأصناف!$A$2:$A$2000,0)),0))</f>
        <v/>
      </c>
      <c r="J862" s="4" t="n"/>
      <c r="K862" s="7">
        <f>IF(OR(B862="",B862&lt;&gt;الإيصال!$C$3),"",COUNTIF(B$2:B862,الإيصال!$C$3))</f>
        <v/>
      </c>
    </row>
    <row r="863">
      <c r="A863" s="6" t="n"/>
      <c r="B863" s="4" t="n"/>
      <c r="C863" s="4" t="n"/>
      <c r="D863" s="4" t="n"/>
      <c r="E863">
        <f>IF(D863="","",IFERROR(INDEX(الأصناف!$B$2:$B$2000,MATCH(D863,الأصناف!$A$2:$A$2000,0)),"كود غير موجود"))</f>
        <v/>
      </c>
      <c r="F863" s="4" t="n"/>
      <c r="G863">
        <f>IF(D863="","",IFERROR(INDEX(الأصناف!$C$2:$C$2000,MATCH(D863,الأصناف!$A$2:$A$2000,0)),0))</f>
        <v/>
      </c>
      <c r="H863">
        <f>IF(D863="","",F863*G863)</f>
        <v/>
      </c>
      <c r="I863">
        <f>IF(D863="","",H863-F863*IFERROR(INDEX(الأصناف!$D$2:$D$2000,MATCH(D863,الأصناف!$A$2:$A$2000,0)),0))</f>
        <v/>
      </c>
      <c r="J863" s="4" t="n"/>
      <c r="K863" s="7">
        <f>IF(OR(B863="",B863&lt;&gt;الإيصال!$C$3),"",COUNTIF(B$2:B863,الإيصال!$C$3))</f>
        <v/>
      </c>
    </row>
    <row r="864">
      <c r="A864" s="6" t="n"/>
      <c r="B864" s="4" t="n"/>
      <c r="C864" s="4" t="n"/>
      <c r="D864" s="4" t="n"/>
      <c r="E864">
        <f>IF(D864="","",IFERROR(INDEX(الأصناف!$B$2:$B$2000,MATCH(D864,الأصناف!$A$2:$A$2000,0)),"كود غير موجود"))</f>
        <v/>
      </c>
      <c r="F864" s="4" t="n"/>
      <c r="G864">
        <f>IF(D864="","",IFERROR(INDEX(الأصناف!$C$2:$C$2000,MATCH(D864,الأصناف!$A$2:$A$2000,0)),0))</f>
        <v/>
      </c>
      <c r="H864">
        <f>IF(D864="","",F864*G864)</f>
        <v/>
      </c>
      <c r="I864">
        <f>IF(D864="","",H864-F864*IFERROR(INDEX(الأصناف!$D$2:$D$2000,MATCH(D864,الأصناف!$A$2:$A$2000,0)),0))</f>
        <v/>
      </c>
      <c r="J864" s="4" t="n"/>
      <c r="K864" s="7">
        <f>IF(OR(B864="",B864&lt;&gt;الإيصال!$C$3),"",COUNTIF(B$2:B864,الإيصال!$C$3))</f>
        <v/>
      </c>
    </row>
    <row r="865">
      <c r="A865" s="6" t="n"/>
      <c r="B865" s="4" t="n"/>
      <c r="C865" s="4" t="n"/>
      <c r="D865" s="4" t="n"/>
      <c r="E865">
        <f>IF(D865="","",IFERROR(INDEX(الأصناف!$B$2:$B$2000,MATCH(D865,الأصناف!$A$2:$A$2000,0)),"كود غير موجود"))</f>
        <v/>
      </c>
      <c r="F865" s="4" t="n"/>
      <c r="G865">
        <f>IF(D865="","",IFERROR(INDEX(الأصناف!$C$2:$C$2000,MATCH(D865,الأصناف!$A$2:$A$2000,0)),0))</f>
        <v/>
      </c>
      <c r="H865">
        <f>IF(D865="","",F865*G865)</f>
        <v/>
      </c>
      <c r="I865">
        <f>IF(D865="","",H865-F865*IFERROR(INDEX(الأصناف!$D$2:$D$2000,MATCH(D865,الأصناف!$A$2:$A$2000,0)),0))</f>
        <v/>
      </c>
      <c r="J865" s="4" t="n"/>
      <c r="K865" s="7">
        <f>IF(OR(B865="",B865&lt;&gt;الإيصال!$C$3),"",COUNTIF(B$2:B865,الإيصال!$C$3))</f>
        <v/>
      </c>
    </row>
    <row r="866">
      <c r="A866" s="6" t="n"/>
      <c r="B866" s="4" t="n"/>
      <c r="C866" s="4" t="n"/>
      <c r="D866" s="4" t="n"/>
      <c r="E866">
        <f>IF(D866="","",IFERROR(INDEX(الأصناف!$B$2:$B$2000,MATCH(D866,الأصناف!$A$2:$A$2000,0)),"كود غير موجود"))</f>
        <v/>
      </c>
      <c r="F866" s="4" t="n"/>
      <c r="G866">
        <f>IF(D866="","",IFERROR(INDEX(الأصناف!$C$2:$C$2000,MATCH(D866,الأصناف!$A$2:$A$2000,0)),0))</f>
        <v/>
      </c>
      <c r="H866">
        <f>IF(D866="","",F866*G866)</f>
        <v/>
      </c>
      <c r="I866">
        <f>IF(D866="","",H866-F866*IFERROR(INDEX(الأصناف!$D$2:$D$2000,MATCH(D866,الأصناف!$A$2:$A$2000,0)),0))</f>
        <v/>
      </c>
      <c r="J866" s="4" t="n"/>
      <c r="K866" s="7">
        <f>IF(OR(B866="",B866&lt;&gt;الإيصال!$C$3),"",COUNTIF(B$2:B866,الإيصال!$C$3))</f>
        <v/>
      </c>
    </row>
    <row r="867">
      <c r="A867" s="6" t="n"/>
      <c r="B867" s="4" t="n"/>
      <c r="C867" s="4" t="n"/>
      <c r="D867" s="4" t="n"/>
      <c r="E867">
        <f>IF(D867="","",IFERROR(INDEX(الأصناف!$B$2:$B$2000,MATCH(D867,الأصناف!$A$2:$A$2000,0)),"كود غير موجود"))</f>
        <v/>
      </c>
      <c r="F867" s="4" t="n"/>
      <c r="G867">
        <f>IF(D867="","",IFERROR(INDEX(الأصناف!$C$2:$C$2000,MATCH(D867,الأصناف!$A$2:$A$2000,0)),0))</f>
        <v/>
      </c>
      <c r="H867">
        <f>IF(D867="","",F867*G867)</f>
        <v/>
      </c>
      <c r="I867">
        <f>IF(D867="","",H867-F867*IFERROR(INDEX(الأصناف!$D$2:$D$2000,MATCH(D867,الأصناف!$A$2:$A$2000,0)),0))</f>
        <v/>
      </c>
      <c r="J867" s="4" t="n"/>
      <c r="K867" s="7">
        <f>IF(OR(B867="",B867&lt;&gt;الإيصال!$C$3),"",COUNTIF(B$2:B867,الإيصال!$C$3))</f>
        <v/>
      </c>
    </row>
    <row r="868">
      <c r="A868" s="6" t="n"/>
      <c r="B868" s="4" t="n"/>
      <c r="C868" s="4" t="n"/>
      <c r="D868" s="4" t="n"/>
      <c r="E868">
        <f>IF(D868="","",IFERROR(INDEX(الأصناف!$B$2:$B$2000,MATCH(D868,الأصناف!$A$2:$A$2000,0)),"كود غير موجود"))</f>
        <v/>
      </c>
      <c r="F868" s="4" t="n"/>
      <c r="G868">
        <f>IF(D868="","",IFERROR(INDEX(الأصناف!$C$2:$C$2000,MATCH(D868,الأصناف!$A$2:$A$2000,0)),0))</f>
        <v/>
      </c>
      <c r="H868">
        <f>IF(D868="","",F868*G868)</f>
        <v/>
      </c>
      <c r="I868">
        <f>IF(D868="","",H868-F868*IFERROR(INDEX(الأصناف!$D$2:$D$2000,MATCH(D868,الأصناف!$A$2:$A$2000,0)),0))</f>
        <v/>
      </c>
      <c r="J868" s="4" t="n"/>
      <c r="K868" s="7">
        <f>IF(OR(B868="",B868&lt;&gt;الإيصال!$C$3),"",COUNTIF(B$2:B868,الإيصال!$C$3))</f>
        <v/>
      </c>
    </row>
    <row r="869">
      <c r="A869" s="6" t="n"/>
      <c r="B869" s="4" t="n"/>
      <c r="C869" s="4" t="n"/>
      <c r="D869" s="4" t="n"/>
      <c r="E869">
        <f>IF(D869="","",IFERROR(INDEX(الأصناف!$B$2:$B$2000,MATCH(D869,الأصناف!$A$2:$A$2000,0)),"كود غير موجود"))</f>
        <v/>
      </c>
      <c r="F869" s="4" t="n"/>
      <c r="G869">
        <f>IF(D869="","",IFERROR(INDEX(الأصناف!$C$2:$C$2000,MATCH(D869,الأصناف!$A$2:$A$2000,0)),0))</f>
        <v/>
      </c>
      <c r="H869">
        <f>IF(D869="","",F869*G869)</f>
        <v/>
      </c>
      <c r="I869">
        <f>IF(D869="","",H869-F869*IFERROR(INDEX(الأصناف!$D$2:$D$2000,MATCH(D869,الأصناف!$A$2:$A$2000,0)),0))</f>
        <v/>
      </c>
      <c r="J869" s="4" t="n"/>
      <c r="K869" s="7">
        <f>IF(OR(B869="",B869&lt;&gt;الإيصال!$C$3),"",COUNTIF(B$2:B869,الإيصال!$C$3))</f>
        <v/>
      </c>
    </row>
    <row r="870">
      <c r="A870" s="6" t="n"/>
      <c r="B870" s="4" t="n"/>
      <c r="C870" s="4" t="n"/>
      <c r="D870" s="4" t="n"/>
      <c r="E870">
        <f>IF(D870="","",IFERROR(INDEX(الأصناف!$B$2:$B$2000,MATCH(D870,الأصناف!$A$2:$A$2000,0)),"كود غير موجود"))</f>
        <v/>
      </c>
      <c r="F870" s="4" t="n"/>
      <c r="G870">
        <f>IF(D870="","",IFERROR(INDEX(الأصناف!$C$2:$C$2000,MATCH(D870,الأصناف!$A$2:$A$2000,0)),0))</f>
        <v/>
      </c>
      <c r="H870">
        <f>IF(D870="","",F870*G870)</f>
        <v/>
      </c>
      <c r="I870">
        <f>IF(D870="","",H870-F870*IFERROR(INDEX(الأصناف!$D$2:$D$2000,MATCH(D870,الأصناف!$A$2:$A$2000,0)),0))</f>
        <v/>
      </c>
      <c r="J870" s="4" t="n"/>
      <c r="K870" s="7">
        <f>IF(OR(B870="",B870&lt;&gt;الإيصال!$C$3),"",COUNTIF(B$2:B870,الإيصال!$C$3))</f>
        <v/>
      </c>
    </row>
    <row r="871">
      <c r="A871" s="6" t="n"/>
      <c r="B871" s="4" t="n"/>
      <c r="C871" s="4" t="n"/>
      <c r="D871" s="4" t="n"/>
      <c r="E871">
        <f>IF(D871="","",IFERROR(INDEX(الأصناف!$B$2:$B$2000,MATCH(D871,الأصناف!$A$2:$A$2000,0)),"كود غير موجود"))</f>
        <v/>
      </c>
      <c r="F871" s="4" t="n"/>
      <c r="G871">
        <f>IF(D871="","",IFERROR(INDEX(الأصناف!$C$2:$C$2000,MATCH(D871,الأصناف!$A$2:$A$2000,0)),0))</f>
        <v/>
      </c>
      <c r="H871">
        <f>IF(D871="","",F871*G871)</f>
        <v/>
      </c>
      <c r="I871">
        <f>IF(D871="","",H871-F871*IFERROR(INDEX(الأصناف!$D$2:$D$2000,MATCH(D871,الأصناف!$A$2:$A$2000,0)),0))</f>
        <v/>
      </c>
      <c r="J871" s="4" t="n"/>
      <c r="K871" s="7">
        <f>IF(OR(B871="",B871&lt;&gt;الإيصال!$C$3),"",COUNTIF(B$2:B871,الإيصال!$C$3))</f>
        <v/>
      </c>
    </row>
    <row r="872">
      <c r="A872" s="6" t="n"/>
      <c r="B872" s="4" t="n"/>
      <c r="C872" s="4" t="n"/>
      <c r="D872" s="4" t="n"/>
      <c r="E872">
        <f>IF(D872="","",IFERROR(INDEX(الأصناف!$B$2:$B$2000,MATCH(D872,الأصناف!$A$2:$A$2000,0)),"كود غير موجود"))</f>
        <v/>
      </c>
      <c r="F872" s="4" t="n"/>
      <c r="G872">
        <f>IF(D872="","",IFERROR(INDEX(الأصناف!$C$2:$C$2000,MATCH(D872,الأصناف!$A$2:$A$2000,0)),0))</f>
        <v/>
      </c>
      <c r="H872">
        <f>IF(D872="","",F872*G872)</f>
        <v/>
      </c>
      <c r="I872">
        <f>IF(D872="","",H872-F872*IFERROR(INDEX(الأصناف!$D$2:$D$2000,MATCH(D872,الأصناف!$A$2:$A$2000,0)),0))</f>
        <v/>
      </c>
      <c r="J872" s="4" t="n"/>
      <c r="K872" s="7">
        <f>IF(OR(B872="",B872&lt;&gt;الإيصال!$C$3),"",COUNTIF(B$2:B872,الإيصال!$C$3))</f>
        <v/>
      </c>
    </row>
    <row r="873">
      <c r="A873" s="6" t="n"/>
      <c r="B873" s="4" t="n"/>
      <c r="C873" s="4" t="n"/>
      <c r="D873" s="4" t="n"/>
      <c r="E873">
        <f>IF(D873="","",IFERROR(INDEX(الأصناف!$B$2:$B$2000,MATCH(D873,الأصناف!$A$2:$A$2000,0)),"كود غير موجود"))</f>
        <v/>
      </c>
      <c r="F873" s="4" t="n"/>
      <c r="G873">
        <f>IF(D873="","",IFERROR(INDEX(الأصناف!$C$2:$C$2000,MATCH(D873,الأصناف!$A$2:$A$2000,0)),0))</f>
        <v/>
      </c>
      <c r="H873">
        <f>IF(D873="","",F873*G873)</f>
        <v/>
      </c>
      <c r="I873">
        <f>IF(D873="","",H873-F873*IFERROR(INDEX(الأصناف!$D$2:$D$2000,MATCH(D873,الأصناف!$A$2:$A$2000,0)),0))</f>
        <v/>
      </c>
      <c r="J873" s="4" t="n"/>
      <c r="K873" s="7">
        <f>IF(OR(B873="",B873&lt;&gt;الإيصال!$C$3),"",COUNTIF(B$2:B873,الإيصال!$C$3))</f>
        <v/>
      </c>
    </row>
    <row r="874">
      <c r="A874" s="6" t="n"/>
      <c r="B874" s="4" t="n"/>
      <c r="C874" s="4" t="n"/>
      <c r="D874" s="4" t="n"/>
      <c r="E874">
        <f>IF(D874="","",IFERROR(INDEX(الأصناف!$B$2:$B$2000,MATCH(D874,الأصناف!$A$2:$A$2000,0)),"كود غير موجود"))</f>
        <v/>
      </c>
      <c r="F874" s="4" t="n"/>
      <c r="G874">
        <f>IF(D874="","",IFERROR(INDEX(الأصناف!$C$2:$C$2000,MATCH(D874,الأصناف!$A$2:$A$2000,0)),0))</f>
        <v/>
      </c>
      <c r="H874">
        <f>IF(D874="","",F874*G874)</f>
        <v/>
      </c>
      <c r="I874">
        <f>IF(D874="","",H874-F874*IFERROR(INDEX(الأصناف!$D$2:$D$2000,MATCH(D874,الأصناف!$A$2:$A$2000,0)),0))</f>
        <v/>
      </c>
      <c r="J874" s="4" t="n"/>
      <c r="K874" s="7">
        <f>IF(OR(B874="",B874&lt;&gt;الإيصال!$C$3),"",COUNTIF(B$2:B874,الإيصال!$C$3))</f>
        <v/>
      </c>
    </row>
    <row r="875">
      <c r="A875" s="6" t="n"/>
      <c r="B875" s="4" t="n"/>
      <c r="C875" s="4" t="n"/>
      <c r="D875" s="4" t="n"/>
      <c r="E875">
        <f>IF(D875="","",IFERROR(INDEX(الأصناف!$B$2:$B$2000,MATCH(D875,الأصناف!$A$2:$A$2000,0)),"كود غير موجود"))</f>
        <v/>
      </c>
      <c r="F875" s="4" t="n"/>
      <c r="G875">
        <f>IF(D875="","",IFERROR(INDEX(الأصناف!$C$2:$C$2000,MATCH(D875,الأصناف!$A$2:$A$2000,0)),0))</f>
        <v/>
      </c>
      <c r="H875">
        <f>IF(D875="","",F875*G875)</f>
        <v/>
      </c>
      <c r="I875">
        <f>IF(D875="","",H875-F875*IFERROR(INDEX(الأصناف!$D$2:$D$2000,MATCH(D875,الأصناف!$A$2:$A$2000,0)),0))</f>
        <v/>
      </c>
      <c r="J875" s="4" t="n"/>
      <c r="K875" s="7">
        <f>IF(OR(B875="",B875&lt;&gt;الإيصال!$C$3),"",COUNTIF(B$2:B875,الإيصال!$C$3))</f>
        <v/>
      </c>
    </row>
    <row r="876">
      <c r="A876" s="6" t="n"/>
      <c r="B876" s="4" t="n"/>
      <c r="C876" s="4" t="n"/>
      <c r="D876" s="4" t="n"/>
      <c r="E876">
        <f>IF(D876="","",IFERROR(INDEX(الأصناف!$B$2:$B$2000,MATCH(D876,الأصناف!$A$2:$A$2000,0)),"كود غير موجود"))</f>
        <v/>
      </c>
      <c r="F876" s="4" t="n"/>
      <c r="G876">
        <f>IF(D876="","",IFERROR(INDEX(الأصناف!$C$2:$C$2000,MATCH(D876,الأصناف!$A$2:$A$2000,0)),0))</f>
        <v/>
      </c>
      <c r="H876">
        <f>IF(D876="","",F876*G876)</f>
        <v/>
      </c>
      <c r="I876">
        <f>IF(D876="","",H876-F876*IFERROR(INDEX(الأصناف!$D$2:$D$2000,MATCH(D876,الأصناف!$A$2:$A$2000,0)),0))</f>
        <v/>
      </c>
      <c r="J876" s="4" t="n"/>
      <c r="K876" s="7">
        <f>IF(OR(B876="",B876&lt;&gt;الإيصال!$C$3),"",COUNTIF(B$2:B876,الإيصال!$C$3))</f>
        <v/>
      </c>
    </row>
    <row r="877">
      <c r="A877" s="6" t="n"/>
      <c r="B877" s="4" t="n"/>
      <c r="C877" s="4" t="n"/>
      <c r="D877" s="4" t="n"/>
      <c r="E877">
        <f>IF(D877="","",IFERROR(INDEX(الأصناف!$B$2:$B$2000,MATCH(D877,الأصناف!$A$2:$A$2000,0)),"كود غير موجود"))</f>
        <v/>
      </c>
      <c r="F877" s="4" t="n"/>
      <c r="G877">
        <f>IF(D877="","",IFERROR(INDEX(الأصناف!$C$2:$C$2000,MATCH(D877,الأصناف!$A$2:$A$2000,0)),0))</f>
        <v/>
      </c>
      <c r="H877">
        <f>IF(D877="","",F877*G877)</f>
        <v/>
      </c>
      <c r="I877">
        <f>IF(D877="","",H877-F877*IFERROR(INDEX(الأصناف!$D$2:$D$2000,MATCH(D877,الأصناف!$A$2:$A$2000,0)),0))</f>
        <v/>
      </c>
      <c r="J877" s="4" t="n"/>
      <c r="K877" s="7">
        <f>IF(OR(B877="",B877&lt;&gt;الإيصال!$C$3),"",COUNTIF(B$2:B877,الإيصال!$C$3))</f>
        <v/>
      </c>
    </row>
    <row r="878">
      <c r="A878" s="6" t="n"/>
      <c r="B878" s="4" t="n"/>
      <c r="C878" s="4" t="n"/>
      <c r="D878" s="4" t="n"/>
      <c r="E878">
        <f>IF(D878="","",IFERROR(INDEX(الأصناف!$B$2:$B$2000,MATCH(D878,الأصناف!$A$2:$A$2000,0)),"كود غير موجود"))</f>
        <v/>
      </c>
      <c r="F878" s="4" t="n"/>
      <c r="G878">
        <f>IF(D878="","",IFERROR(INDEX(الأصناف!$C$2:$C$2000,MATCH(D878,الأصناف!$A$2:$A$2000,0)),0))</f>
        <v/>
      </c>
      <c r="H878">
        <f>IF(D878="","",F878*G878)</f>
        <v/>
      </c>
      <c r="I878">
        <f>IF(D878="","",H878-F878*IFERROR(INDEX(الأصناف!$D$2:$D$2000,MATCH(D878,الأصناف!$A$2:$A$2000,0)),0))</f>
        <v/>
      </c>
      <c r="J878" s="4" t="n"/>
      <c r="K878" s="7">
        <f>IF(OR(B878="",B878&lt;&gt;الإيصال!$C$3),"",COUNTIF(B$2:B878,الإيصال!$C$3))</f>
        <v/>
      </c>
    </row>
    <row r="879">
      <c r="A879" s="6" t="n"/>
      <c r="B879" s="4" t="n"/>
      <c r="C879" s="4" t="n"/>
      <c r="D879" s="4" t="n"/>
      <c r="E879">
        <f>IF(D879="","",IFERROR(INDEX(الأصناف!$B$2:$B$2000,MATCH(D879,الأصناف!$A$2:$A$2000,0)),"كود غير موجود"))</f>
        <v/>
      </c>
      <c r="F879" s="4" t="n"/>
      <c r="G879">
        <f>IF(D879="","",IFERROR(INDEX(الأصناف!$C$2:$C$2000,MATCH(D879,الأصناف!$A$2:$A$2000,0)),0))</f>
        <v/>
      </c>
      <c r="H879">
        <f>IF(D879="","",F879*G879)</f>
        <v/>
      </c>
      <c r="I879">
        <f>IF(D879="","",H879-F879*IFERROR(INDEX(الأصناف!$D$2:$D$2000,MATCH(D879,الأصناف!$A$2:$A$2000,0)),0))</f>
        <v/>
      </c>
      <c r="J879" s="4" t="n"/>
      <c r="K879" s="7">
        <f>IF(OR(B879="",B879&lt;&gt;الإيصال!$C$3),"",COUNTIF(B$2:B879,الإيصال!$C$3))</f>
        <v/>
      </c>
    </row>
    <row r="880">
      <c r="A880" s="6" t="n"/>
      <c r="B880" s="4" t="n"/>
      <c r="C880" s="4" t="n"/>
      <c r="D880" s="4" t="n"/>
      <c r="E880">
        <f>IF(D880="","",IFERROR(INDEX(الأصناف!$B$2:$B$2000,MATCH(D880,الأصناف!$A$2:$A$2000,0)),"كود غير موجود"))</f>
        <v/>
      </c>
      <c r="F880" s="4" t="n"/>
      <c r="G880">
        <f>IF(D880="","",IFERROR(INDEX(الأصناف!$C$2:$C$2000,MATCH(D880,الأصناف!$A$2:$A$2000,0)),0))</f>
        <v/>
      </c>
      <c r="H880">
        <f>IF(D880="","",F880*G880)</f>
        <v/>
      </c>
      <c r="I880">
        <f>IF(D880="","",H880-F880*IFERROR(INDEX(الأصناف!$D$2:$D$2000,MATCH(D880,الأصناف!$A$2:$A$2000,0)),0))</f>
        <v/>
      </c>
      <c r="J880" s="4" t="n"/>
      <c r="K880" s="7">
        <f>IF(OR(B880="",B880&lt;&gt;الإيصال!$C$3),"",COUNTIF(B$2:B880,الإيصال!$C$3))</f>
        <v/>
      </c>
    </row>
    <row r="881">
      <c r="A881" s="6" t="n"/>
      <c r="B881" s="4" t="n"/>
      <c r="C881" s="4" t="n"/>
      <c r="D881" s="4" t="n"/>
      <c r="E881">
        <f>IF(D881="","",IFERROR(INDEX(الأصناف!$B$2:$B$2000,MATCH(D881,الأصناف!$A$2:$A$2000,0)),"كود غير موجود"))</f>
        <v/>
      </c>
      <c r="F881" s="4" t="n"/>
      <c r="G881">
        <f>IF(D881="","",IFERROR(INDEX(الأصناف!$C$2:$C$2000,MATCH(D881,الأصناف!$A$2:$A$2000,0)),0))</f>
        <v/>
      </c>
      <c r="H881">
        <f>IF(D881="","",F881*G881)</f>
        <v/>
      </c>
      <c r="I881">
        <f>IF(D881="","",H881-F881*IFERROR(INDEX(الأصناف!$D$2:$D$2000,MATCH(D881,الأصناف!$A$2:$A$2000,0)),0))</f>
        <v/>
      </c>
      <c r="J881" s="4" t="n"/>
      <c r="K881" s="7">
        <f>IF(OR(B881="",B881&lt;&gt;الإيصال!$C$3),"",COUNTIF(B$2:B881,الإيصال!$C$3))</f>
        <v/>
      </c>
    </row>
    <row r="882">
      <c r="A882" s="6" t="n"/>
      <c r="B882" s="4" t="n"/>
      <c r="C882" s="4" t="n"/>
      <c r="D882" s="4" t="n"/>
      <c r="E882">
        <f>IF(D882="","",IFERROR(INDEX(الأصناف!$B$2:$B$2000,MATCH(D882,الأصناف!$A$2:$A$2000,0)),"كود غير موجود"))</f>
        <v/>
      </c>
      <c r="F882" s="4" t="n"/>
      <c r="G882">
        <f>IF(D882="","",IFERROR(INDEX(الأصناف!$C$2:$C$2000,MATCH(D882,الأصناف!$A$2:$A$2000,0)),0))</f>
        <v/>
      </c>
      <c r="H882">
        <f>IF(D882="","",F882*G882)</f>
        <v/>
      </c>
      <c r="I882">
        <f>IF(D882="","",H882-F882*IFERROR(INDEX(الأصناف!$D$2:$D$2000,MATCH(D882,الأصناف!$A$2:$A$2000,0)),0))</f>
        <v/>
      </c>
      <c r="J882" s="4" t="n"/>
      <c r="K882" s="7">
        <f>IF(OR(B882="",B882&lt;&gt;الإيصال!$C$3),"",COUNTIF(B$2:B882,الإيصال!$C$3))</f>
        <v/>
      </c>
    </row>
    <row r="883">
      <c r="A883" s="6" t="n"/>
      <c r="B883" s="4" t="n"/>
      <c r="C883" s="4" t="n"/>
      <c r="D883" s="4" t="n"/>
      <c r="E883">
        <f>IF(D883="","",IFERROR(INDEX(الأصناف!$B$2:$B$2000,MATCH(D883,الأصناف!$A$2:$A$2000,0)),"كود غير موجود"))</f>
        <v/>
      </c>
      <c r="F883" s="4" t="n"/>
      <c r="G883">
        <f>IF(D883="","",IFERROR(INDEX(الأصناف!$C$2:$C$2000,MATCH(D883,الأصناف!$A$2:$A$2000,0)),0))</f>
        <v/>
      </c>
      <c r="H883">
        <f>IF(D883="","",F883*G883)</f>
        <v/>
      </c>
      <c r="I883">
        <f>IF(D883="","",H883-F883*IFERROR(INDEX(الأصناف!$D$2:$D$2000,MATCH(D883,الأصناف!$A$2:$A$2000,0)),0))</f>
        <v/>
      </c>
      <c r="J883" s="4" t="n"/>
      <c r="K883" s="7">
        <f>IF(OR(B883="",B883&lt;&gt;الإيصال!$C$3),"",COUNTIF(B$2:B883,الإيصال!$C$3))</f>
        <v/>
      </c>
    </row>
    <row r="884">
      <c r="A884" s="6" t="n"/>
      <c r="B884" s="4" t="n"/>
      <c r="C884" s="4" t="n"/>
      <c r="D884" s="4" t="n"/>
      <c r="E884">
        <f>IF(D884="","",IFERROR(INDEX(الأصناف!$B$2:$B$2000,MATCH(D884,الأصناف!$A$2:$A$2000,0)),"كود غير موجود"))</f>
        <v/>
      </c>
      <c r="F884" s="4" t="n"/>
      <c r="G884">
        <f>IF(D884="","",IFERROR(INDEX(الأصناف!$C$2:$C$2000,MATCH(D884,الأصناف!$A$2:$A$2000,0)),0))</f>
        <v/>
      </c>
      <c r="H884">
        <f>IF(D884="","",F884*G884)</f>
        <v/>
      </c>
      <c r="I884">
        <f>IF(D884="","",H884-F884*IFERROR(INDEX(الأصناف!$D$2:$D$2000,MATCH(D884,الأصناف!$A$2:$A$2000,0)),0))</f>
        <v/>
      </c>
      <c r="J884" s="4" t="n"/>
      <c r="K884" s="7">
        <f>IF(OR(B884="",B884&lt;&gt;الإيصال!$C$3),"",COUNTIF(B$2:B884,الإيصال!$C$3))</f>
        <v/>
      </c>
    </row>
    <row r="885">
      <c r="A885" s="6" t="n"/>
      <c r="B885" s="4" t="n"/>
      <c r="C885" s="4" t="n"/>
      <c r="D885" s="4" t="n"/>
      <c r="E885">
        <f>IF(D885="","",IFERROR(INDEX(الأصناف!$B$2:$B$2000,MATCH(D885,الأصناف!$A$2:$A$2000,0)),"كود غير موجود"))</f>
        <v/>
      </c>
      <c r="F885" s="4" t="n"/>
      <c r="G885">
        <f>IF(D885="","",IFERROR(INDEX(الأصناف!$C$2:$C$2000,MATCH(D885,الأصناف!$A$2:$A$2000,0)),0))</f>
        <v/>
      </c>
      <c r="H885">
        <f>IF(D885="","",F885*G885)</f>
        <v/>
      </c>
      <c r="I885">
        <f>IF(D885="","",H885-F885*IFERROR(INDEX(الأصناف!$D$2:$D$2000,MATCH(D885,الأصناف!$A$2:$A$2000,0)),0))</f>
        <v/>
      </c>
      <c r="J885" s="4" t="n"/>
      <c r="K885" s="7">
        <f>IF(OR(B885="",B885&lt;&gt;الإيصال!$C$3),"",COUNTIF(B$2:B885,الإيصال!$C$3))</f>
        <v/>
      </c>
    </row>
    <row r="886">
      <c r="A886" s="6" t="n"/>
      <c r="B886" s="4" t="n"/>
      <c r="C886" s="4" t="n"/>
      <c r="D886" s="4" t="n"/>
      <c r="E886">
        <f>IF(D886="","",IFERROR(INDEX(الأصناف!$B$2:$B$2000,MATCH(D886,الأصناف!$A$2:$A$2000,0)),"كود غير موجود"))</f>
        <v/>
      </c>
      <c r="F886" s="4" t="n"/>
      <c r="G886">
        <f>IF(D886="","",IFERROR(INDEX(الأصناف!$C$2:$C$2000,MATCH(D886,الأصناف!$A$2:$A$2000,0)),0))</f>
        <v/>
      </c>
      <c r="H886">
        <f>IF(D886="","",F886*G886)</f>
        <v/>
      </c>
      <c r="I886">
        <f>IF(D886="","",H886-F886*IFERROR(INDEX(الأصناف!$D$2:$D$2000,MATCH(D886,الأصناف!$A$2:$A$2000,0)),0))</f>
        <v/>
      </c>
      <c r="J886" s="4" t="n"/>
      <c r="K886" s="7">
        <f>IF(OR(B886="",B886&lt;&gt;الإيصال!$C$3),"",COUNTIF(B$2:B886,الإيصال!$C$3))</f>
        <v/>
      </c>
    </row>
    <row r="887">
      <c r="A887" s="6" t="n"/>
      <c r="B887" s="4" t="n"/>
      <c r="C887" s="4" t="n"/>
      <c r="D887" s="4" t="n"/>
      <c r="E887">
        <f>IF(D887="","",IFERROR(INDEX(الأصناف!$B$2:$B$2000,MATCH(D887,الأصناف!$A$2:$A$2000,0)),"كود غير موجود"))</f>
        <v/>
      </c>
      <c r="F887" s="4" t="n"/>
      <c r="G887">
        <f>IF(D887="","",IFERROR(INDEX(الأصناف!$C$2:$C$2000,MATCH(D887,الأصناف!$A$2:$A$2000,0)),0))</f>
        <v/>
      </c>
      <c r="H887">
        <f>IF(D887="","",F887*G887)</f>
        <v/>
      </c>
      <c r="I887">
        <f>IF(D887="","",H887-F887*IFERROR(INDEX(الأصناف!$D$2:$D$2000,MATCH(D887,الأصناف!$A$2:$A$2000,0)),0))</f>
        <v/>
      </c>
      <c r="J887" s="4" t="n"/>
      <c r="K887" s="7">
        <f>IF(OR(B887="",B887&lt;&gt;الإيصال!$C$3),"",COUNTIF(B$2:B887,الإيصال!$C$3))</f>
        <v/>
      </c>
    </row>
    <row r="888">
      <c r="A888" s="6" t="n"/>
      <c r="B888" s="4" t="n"/>
      <c r="C888" s="4" t="n"/>
      <c r="D888" s="4" t="n"/>
      <c r="E888">
        <f>IF(D888="","",IFERROR(INDEX(الأصناف!$B$2:$B$2000,MATCH(D888,الأصناف!$A$2:$A$2000,0)),"كود غير موجود"))</f>
        <v/>
      </c>
      <c r="F888" s="4" t="n"/>
      <c r="G888">
        <f>IF(D888="","",IFERROR(INDEX(الأصناف!$C$2:$C$2000,MATCH(D888,الأصناف!$A$2:$A$2000,0)),0))</f>
        <v/>
      </c>
      <c r="H888">
        <f>IF(D888="","",F888*G888)</f>
        <v/>
      </c>
      <c r="I888">
        <f>IF(D888="","",H888-F888*IFERROR(INDEX(الأصناف!$D$2:$D$2000,MATCH(D888,الأصناف!$A$2:$A$2000,0)),0))</f>
        <v/>
      </c>
      <c r="J888" s="4" t="n"/>
      <c r="K888" s="7">
        <f>IF(OR(B888="",B888&lt;&gt;الإيصال!$C$3),"",COUNTIF(B$2:B888,الإيصال!$C$3))</f>
        <v/>
      </c>
    </row>
    <row r="889">
      <c r="A889" s="6" t="n"/>
      <c r="B889" s="4" t="n"/>
      <c r="C889" s="4" t="n"/>
      <c r="D889" s="4" t="n"/>
      <c r="E889">
        <f>IF(D889="","",IFERROR(INDEX(الأصناف!$B$2:$B$2000,MATCH(D889,الأصناف!$A$2:$A$2000,0)),"كود غير موجود"))</f>
        <v/>
      </c>
      <c r="F889" s="4" t="n"/>
      <c r="G889">
        <f>IF(D889="","",IFERROR(INDEX(الأصناف!$C$2:$C$2000,MATCH(D889,الأصناف!$A$2:$A$2000,0)),0))</f>
        <v/>
      </c>
      <c r="H889">
        <f>IF(D889="","",F889*G889)</f>
        <v/>
      </c>
      <c r="I889">
        <f>IF(D889="","",H889-F889*IFERROR(INDEX(الأصناف!$D$2:$D$2000,MATCH(D889,الأصناف!$A$2:$A$2000,0)),0))</f>
        <v/>
      </c>
      <c r="J889" s="4" t="n"/>
      <c r="K889" s="7">
        <f>IF(OR(B889="",B889&lt;&gt;الإيصال!$C$3),"",COUNTIF(B$2:B889,الإيصال!$C$3))</f>
        <v/>
      </c>
    </row>
    <row r="890">
      <c r="A890" s="6" t="n"/>
      <c r="B890" s="4" t="n"/>
      <c r="C890" s="4" t="n"/>
      <c r="D890" s="4" t="n"/>
      <c r="E890">
        <f>IF(D890="","",IFERROR(INDEX(الأصناف!$B$2:$B$2000,MATCH(D890,الأصناف!$A$2:$A$2000,0)),"كود غير موجود"))</f>
        <v/>
      </c>
      <c r="F890" s="4" t="n"/>
      <c r="G890">
        <f>IF(D890="","",IFERROR(INDEX(الأصناف!$C$2:$C$2000,MATCH(D890,الأصناف!$A$2:$A$2000,0)),0))</f>
        <v/>
      </c>
      <c r="H890">
        <f>IF(D890="","",F890*G890)</f>
        <v/>
      </c>
      <c r="I890">
        <f>IF(D890="","",H890-F890*IFERROR(INDEX(الأصناف!$D$2:$D$2000,MATCH(D890,الأصناف!$A$2:$A$2000,0)),0))</f>
        <v/>
      </c>
      <c r="J890" s="4" t="n"/>
      <c r="K890" s="7">
        <f>IF(OR(B890="",B890&lt;&gt;الإيصال!$C$3),"",COUNTIF(B$2:B890,الإيصال!$C$3))</f>
        <v/>
      </c>
    </row>
    <row r="891">
      <c r="A891" s="6" t="n"/>
      <c r="B891" s="4" t="n"/>
      <c r="C891" s="4" t="n"/>
      <c r="D891" s="4" t="n"/>
      <c r="E891">
        <f>IF(D891="","",IFERROR(INDEX(الأصناف!$B$2:$B$2000,MATCH(D891,الأصناف!$A$2:$A$2000,0)),"كود غير موجود"))</f>
        <v/>
      </c>
      <c r="F891" s="4" t="n"/>
      <c r="G891">
        <f>IF(D891="","",IFERROR(INDEX(الأصناف!$C$2:$C$2000,MATCH(D891,الأصناف!$A$2:$A$2000,0)),0))</f>
        <v/>
      </c>
      <c r="H891">
        <f>IF(D891="","",F891*G891)</f>
        <v/>
      </c>
      <c r="I891">
        <f>IF(D891="","",H891-F891*IFERROR(INDEX(الأصناف!$D$2:$D$2000,MATCH(D891,الأصناف!$A$2:$A$2000,0)),0))</f>
        <v/>
      </c>
      <c r="J891" s="4" t="n"/>
      <c r="K891" s="7">
        <f>IF(OR(B891="",B891&lt;&gt;الإيصال!$C$3),"",COUNTIF(B$2:B891,الإيصال!$C$3))</f>
        <v/>
      </c>
    </row>
    <row r="892">
      <c r="A892" s="6" t="n"/>
      <c r="B892" s="4" t="n"/>
      <c r="C892" s="4" t="n"/>
      <c r="D892" s="4" t="n"/>
      <c r="E892">
        <f>IF(D892="","",IFERROR(INDEX(الأصناف!$B$2:$B$2000,MATCH(D892,الأصناف!$A$2:$A$2000,0)),"كود غير موجود"))</f>
        <v/>
      </c>
      <c r="F892" s="4" t="n"/>
      <c r="G892">
        <f>IF(D892="","",IFERROR(INDEX(الأصناف!$C$2:$C$2000,MATCH(D892,الأصناف!$A$2:$A$2000,0)),0))</f>
        <v/>
      </c>
      <c r="H892">
        <f>IF(D892="","",F892*G892)</f>
        <v/>
      </c>
      <c r="I892">
        <f>IF(D892="","",H892-F892*IFERROR(INDEX(الأصناف!$D$2:$D$2000,MATCH(D892,الأصناف!$A$2:$A$2000,0)),0))</f>
        <v/>
      </c>
      <c r="J892" s="4" t="n"/>
      <c r="K892" s="7">
        <f>IF(OR(B892="",B892&lt;&gt;الإيصال!$C$3),"",COUNTIF(B$2:B892,الإيصال!$C$3))</f>
        <v/>
      </c>
    </row>
    <row r="893">
      <c r="A893" s="6" t="n"/>
      <c r="B893" s="4" t="n"/>
      <c r="C893" s="4" t="n"/>
      <c r="D893" s="4" t="n"/>
      <c r="E893">
        <f>IF(D893="","",IFERROR(INDEX(الأصناف!$B$2:$B$2000,MATCH(D893,الأصناف!$A$2:$A$2000,0)),"كود غير موجود"))</f>
        <v/>
      </c>
      <c r="F893" s="4" t="n"/>
      <c r="G893">
        <f>IF(D893="","",IFERROR(INDEX(الأصناف!$C$2:$C$2000,MATCH(D893,الأصناف!$A$2:$A$2000,0)),0))</f>
        <v/>
      </c>
      <c r="H893">
        <f>IF(D893="","",F893*G893)</f>
        <v/>
      </c>
      <c r="I893">
        <f>IF(D893="","",H893-F893*IFERROR(INDEX(الأصناف!$D$2:$D$2000,MATCH(D893,الأصناف!$A$2:$A$2000,0)),0))</f>
        <v/>
      </c>
      <c r="J893" s="4" t="n"/>
      <c r="K893" s="7">
        <f>IF(OR(B893="",B893&lt;&gt;الإيصال!$C$3),"",COUNTIF(B$2:B893,الإيصال!$C$3))</f>
        <v/>
      </c>
    </row>
    <row r="894">
      <c r="A894" s="6" t="n"/>
      <c r="B894" s="4" t="n"/>
      <c r="C894" s="4" t="n"/>
      <c r="D894" s="4" t="n"/>
      <c r="E894">
        <f>IF(D894="","",IFERROR(INDEX(الأصناف!$B$2:$B$2000,MATCH(D894,الأصناف!$A$2:$A$2000,0)),"كود غير موجود"))</f>
        <v/>
      </c>
      <c r="F894" s="4" t="n"/>
      <c r="G894">
        <f>IF(D894="","",IFERROR(INDEX(الأصناف!$C$2:$C$2000,MATCH(D894,الأصناف!$A$2:$A$2000,0)),0))</f>
        <v/>
      </c>
      <c r="H894">
        <f>IF(D894="","",F894*G894)</f>
        <v/>
      </c>
      <c r="I894">
        <f>IF(D894="","",H894-F894*IFERROR(INDEX(الأصناف!$D$2:$D$2000,MATCH(D894,الأصناف!$A$2:$A$2000,0)),0))</f>
        <v/>
      </c>
      <c r="J894" s="4" t="n"/>
      <c r="K894" s="7">
        <f>IF(OR(B894="",B894&lt;&gt;الإيصال!$C$3),"",COUNTIF(B$2:B894,الإيصال!$C$3))</f>
        <v/>
      </c>
    </row>
    <row r="895">
      <c r="A895" s="6" t="n"/>
      <c r="B895" s="4" t="n"/>
      <c r="C895" s="4" t="n"/>
      <c r="D895" s="4" t="n"/>
      <c r="E895">
        <f>IF(D895="","",IFERROR(INDEX(الأصناف!$B$2:$B$2000,MATCH(D895,الأصناف!$A$2:$A$2000,0)),"كود غير موجود"))</f>
        <v/>
      </c>
      <c r="F895" s="4" t="n"/>
      <c r="G895">
        <f>IF(D895="","",IFERROR(INDEX(الأصناف!$C$2:$C$2000,MATCH(D895,الأصناف!$A$2:$A$2000,0)),0))</f>
        <v/>
      </c>
      <c r="H895">
        <f>IF(D895="","",F895*G895)</f>
        <v/>
      </c>
      <c r="I895">
        <f>IF(D895="","",H895-F895*IFERROR(INDEX(الأصناف!$D$2:$D$2000,MATCH(D895,الأصناف!$A$2:$A$2000,0)),0))</f>
        <v/>
      </c>
      <c r="J895" s="4" t="n"/>
      <c r="K895" s="7">
        <f>IF(OR(B895="",B895&lt;&gt;الإيصال!$C$3),"",COUNTIF(B$2:B895,الإيصال!$C$3))</f>
        <v/>
      </c>
    </row>
    <row r="896">
      <c r="A896" s="6" t="n"/>
      <c r="B896" s="4" t="n"/>
      <c r="C896" s="4" t="n"/>
      <c r="D896" s="4" t="n"/>
      <c r="E896">
        <f>IF(D896="","",IFERROR(INDEX(الأصناف!$B$2:$B$2000,MATCH(D896,الأصناف!$A$2:$A$2000,0)),"كود غير موجود"))</f>
        <v/>
      </c>
      <c r="F896" s="4" t="n"/>
      <c r="G896">
        <f>IF(D896="","",IFERROR(INDEX(الأصناف!$C$2:$C$2000,MATCH(D896,الأصناف!$A$2:$A$2000,0)),0))</f>
        <v/>
      </c>
      <c r="H896">
        <f>IF(D896="","",F896*G896)</f>
        <v/>
      </c>
      <c r="I896">
        <f>IF(D896="","",H896-F896*IFERROR(INDEX(الأصناف!$D$2:$D$2000,MATCH(D896,الأصناف!$A$2:$A$2000,0)),0))</f>
        <v/>
      </c>
      <c r="J896" s="4" t="n"/>
      <c r="K896" s="7">
        <f>IF(OR(B896="",B896&lt;&gt;الإيصال!$C$3),"",COUNTIF(B$2:B896,الإيصال!$C$3))</f>
        <v/>
      </c>
    </row>
    <row r="897">
      <c r="A897" s="6" t="n"/>
      <c r="B897" s="4" t="n"/>
      <c r="C897" s="4" t="n"/>
      <c r="D897" s="4" t="n"/>
      <c r="E897">
        <f>IF(D897="","",IFERROR(INDEX(الأصناف!$B$2:$B$2000,MATCH(D897,الأصناف!$A$2:$A$2000,0)),"كود غير موجود"))</f>
        <v/>
      </c>
      <c r="F897" s="4" t="n"/>
      <c r="G897">
        <f>IF(D897="","",IFERROR(INDEX(الأصناف!$C$2:$C$2000,MATCH(D897,الأصناف!$A$2:$A$2000,0)),0))</f>
        <v/>
      </c>
      <c r="H897">
        <f>IF(D897="","",F897*G897)</f>
        <v/>
      </c>
      <c r="I897">
        <f>IF(D897="","",H897-F897*IFERROR(INDEX(الأصناف!$D$2:$D$2000,MATCH(D897,الأصناف!$A$2:$A$2000,0)),0))</f>
        <v/>
      </c>
      <c r="J897" s="4" t="n"/>
      <c r="K897" s="7">
        <f>IF(OR(B897="",B897&lt;&gt;الإيصال!$C$3),"",COUNTIF(B$2:B897,الإيصال!$C$3))</f>
        <v/>
      </c>
    </row>
    <row r="898">
      <c r="A898" s="6" t="n"/>
      <c r="B898" s="4" t="n"/>
      <c r="C898" s="4" t="n"/>
      <c r="D898" s="4" t="n"/>
      <c r="E898">
        <f>IF(D898="","",IFERROR(INDEX(الأصناف!$B$2:$B$2000,MATCH(D898,الأصناف!$A$2:$A$2000,0)),"كود غير موجود"))</f>
        <v/>
      </c>
      <c r="F898" s="4" t="n"/>
      <c r="G898">
        <f>IF(D898="","",IFERROR(INDEX(الأصناف!$C$2:$C$2000,MATCH(D898,الأصناف!$A$2:$A$2000,0)),0))</f>
        <v/>
      </c>
      <c r="H898">
        <f>IF(D898="","",F898*G898)</f>
        <v/>
      </c>
      <c r="I898">
        <f>IF(D898="","",H898-F898*IFERROR(INDEX(الأصناف!$D$2:$D$2000,MATCH(D898,الأصناف!$A$2:$A$2000,0)),0))</f>
        <v/>
      </c>
      <c r="J898" s="4" t="n"/>
      <c r="K898" s="7">
        <f>IF(OR(B898="",B898&lt;&gt;الإيصال!$C$3),"",COUNTIF(B$2:B898,الإيصال!$C$3))</f>
        <v/>
      </c>
    </row>
    <row r="899">
      <c r="A899" s="6" t="n"/>
      <c r="B899" s="4" t="n"/>
      <c r="C899" s="4" t="n"/>
      <c r="D899" s="4" t="n"/>
      <c r="E899">
        <f>IF(D899="","",IFERROR(INDEX(الأصناف!$B$2:$B$2000,MATCH(D899,الأصناف!$A$2:$A$2000,0)),"كود غير موجود"))</f>
        <v/>
      </c>
      <c r="F899" s="4" t="n"/>
      <c r="G899">
        <f>IF(D899="","",IFERROR(INDEX(الأصناف!$C$2:$C$2000,MATCH(D899,الأصناف!$A$2:$A$2000,0)),0))</f>
        <v/>
      </c>
      <c r="H899">
        <f>IF(D899="","",F899*G899)</f>
        <v/>
      </c>
      <c r="I899">
        <f>IF(D899="","",H899-F899*IFERROR(INDEX(الأصناف!$D$2:$D$2000,MATCH(D899,الأصناف!$A$2:$A$2000,0)),0))</f>
        <v/>
      </c>
      <c r="J899" s="4" t="n"/>
      <c r="K899" s="7">
        <f>IF(OR(B899="",B899&lt;&gt;الإيصال!$C$3),"",COUNTIF(B$2:B899,الإيصال!$C$3))</f>
        <v/>
      </c>
    </row>
    <row r="900">
      <c r="A900" s="6" t="n"/>
      <c r="B900" s="4" t="n"/>
      <c r="C900" s="4" t="n"/>
      <c r="D900" s="4" t="n"/>
      <c r="E900">
        <f>IF(D900="","",IFERROR(INDEX(الأصناف!$B$2:$B$2000,MATCH(D900,الأصناف!$A$2:$A$2000,0)),"كود غير موجود"))</f>
        <v/>
      </c>
      <c r="F900" s="4" t="n"/>
      <c r="G900">
        <f>IF(D900="","",IFERROR(INDEX(الأصناف!$C$2:$C$2000,MATCH(D900,الأصناف!$A$2:$A$2000,0)),0))</f>
        <v/>
      </c>
      <c r="H900">
        <f>IF(D900="","",F900*G900)</f>
        <v/>
      </c>
      <c r="I900">
        <f>IF(D900="","",H900-F900*IFERROR(INDEX(الأصناف!$D$2:$D$2000,MATCH(D900,الأصناف!$A$2:$A$2000,0)),0))</f>
        <v/>
      </c>
      <c r="J900" s="4" t="n"/>
      <c r="K900" s="7">
        <f>IF(OR(B900="",B900&lt;&gt;الإيصال!$C$3),"",COUNTIF(B$2:B900,الإيصال!$C$3))</f>
        <v/>
      </c>
    </row>
    <row r="901">
      <c r="A901" s="6" t="n"/>
      <c r="B901" s="4" t="n"/>
      <c r="C901" s="4" t="n"/>
      <c r="D901" s="4" t="n"/>
      <c r="E901">
        <f>IF(D901="","",IFERROR(INDEX(الأصناف!$B$2:$B$2000,MATCH(D901,الأصناف!$A$2:$A$2000,0)),"كود غير موجود"))</f>
        <v/>
      </c>
      <c r="F901" s="4" t="n"/>
      <c r="G901">
        <f>IF(D901="","",IFERROR(INDEX(الأصناف!$C$2:$C$2000,MATCH(D901,الأصناف!$A$2:$A$2000,0)),0))</f>
        <v/>
      </c>
      <c r="H901">
        <f>IF(D901="","",F901*G901)</f>
        <v/>
      </c>
      <c r="I901">
        <f>IF(D901="","",H901-F901*IFERROR(INDEX(الأصناف!$D$2:$D$2000,MATCH(D901,الأصناف!$A$2:$A$2000,0)),0))</f>
        <v/>
      </c>
      <c r="J901" s="4" t="n"/>
      <c r="K901" s="7">
        <f>IF(OR(B901="",B901&lt;&gt;الإيصال!$C$3),"",COUNTIF(B$2:B901,الإيصال!$C$3))</f>
        <v/>
      </c>
    </row>
    <row r="902">
      <c r="A902" s="6" t="n"/>
      <c r="B902" s="4" t="n"/>
      <c r="C902" s="4" t="n"/>
      <c r="D902" s="4" t="n"/>
      <c r="E902">
        <f>IF(D902="","",IFERROR(INDEX(الأصناف!$B$2:$B$2000,MATCH(D902,الأصناف!$A$2:$A$2000,0)),"كود غير موجود"))</f>
        <v/>
      </c>
      <c r="F902" s="4" t="n"/>
      <c r="G902">
        <f>IF(D902="","",IFERROR(INDEX(الأصناف!$C$2:$C$2000,MATCH(D902,الأصناف!$A$2:$A$2000,0)),0))</f>
        <v/>
      </c>
      <c r="H902">
        <f>IF(D902="","",F902*G902)</f>
        <v/>
      </c>
      <c r="I902">
        <f>IF(D902="","",H902-F902*IFERROR(INDEX(الأصناف!$D$2:$D$2000,MATCH(D902,الأصناف!$A$2:$A$2000,0)),0))</f>
        <v/>
      </c>
      <c r="J902" s="4" t="n"/>
      <c r="K902" s="7">
        <f>IF(OR(B902="",B902&lt;&gt;الإيصال!$C$3),"",COUNTIF(B$2:B902,الإيصال!$C$3))</f>
        <v/>
      </c>
    </row>
    <row r="903">
      <c r="A903" s="6" t="n"/>
      <c r="B903" s="4" t="n"/>
      <c r="C903" s="4" t="n"/>
      <c r="D903" s="4" t="n"/>
      <c r="E903">
        <f>IF(D903="","",IFERROR(INDEX(الأصناف!$B$2:$B$2000,MATCH(D903,الأصناف!$A$2:$A$2000,0)),"كود غير موجود"))</f>
        <v/>
      </c>
      <c r="F903" s="4" t="n"/>
      <c r="G903">
        <f>IF(D903="","",IFERROR(INDEX(الأصناف!$C$2:$C$2000,MATCH(D903,الأصناف!$A$2:$A$2000,0)),0))</f>
        <v/>
      </c>
      <c r="H903">
        <f>IF(D903="","",F903*G903)</f>
        <v/>
      </c>
      <c r="I903">
        <f>IF(D903="","",H903-F903*IFERROR(INDEX(الأصناف!$D$2:$D$2000,MATCH(D903,الأصناف!$A$2:$A$2000,0)),0))</f>
        <v/>
      </c>
      <c r="J903" s="4" t="n"/>
      <c r="K903" s="7">
        <f>IF(OR(B903="",B903&lt;&gt;الإيصال!$C$3),"",COUNTIF(B$2:B903,الإيصال!$C$3))</f>
        <v/>
      </c>
    </row>
    <row r="904">
      <c r="A904" s="6" t="n"/>
      <c r="B904" s="4" t="n"/>
      <c r="C904" s="4" t="n"/>
      <c r="D904" s="4" t="n"/>
      <c r="E904">
        <f>IF(D904="","",IFERROR(INDEX(الأصناف!$B$2:$B$2000,MATCH(D904,الأصناف!$A$2:$A$2000,0)),"كود غير موجود"))</f>
        <v/>
      </c>
      <c r="F904" s="4" t="n"/>
      <c r="G904">
        <f>IF(D904="","",IFERROR(INDEX(الأصناف!$C$2:$C$2000,MATCH(D904,الأصناف!$A$2:$A$2000,0)),0))</f>
        <v/>
      </c>
      <c r="H904">
        <f>IF(D904="","",F904*G904)</f>
        <v/>
      </c>
      <c r="I904">
        <f>IF(D904="","",H904-F904*IFERROR(INDEX(الأصناف!$D$2:$D$2000,MATCH(D904,الأصناف!$A$2:$A$2000,0)),0))</f>
        <v/>
      </c>
      <c r="J904" s="4" t="n"/>
      <c r="K904" s="7">
        <f>IF(OR(B904="",B904&lt;&gt;الإيصال!$C$3),"",COUNTIF(B$2:B904,الإيصال!$C$3))</f>
        <v/>
      </c>
    </row>
    <row r="905">
      <c r="A905" s="6" t="n"/>
      <c r="B905" s="4" t="n"/>
      <c r="C905" s="4" t="n"/>
      <c r="D905" s="4" t="n"/>
      <c r="E905">
        <f>IF(D905="","",IFERROR(INDEX(الأصناف!$B$2:$B$2000,MATCH(D905,الأصناف!$A$2:$A$2000,0)),"كود غير موجود"))</f>
        <v/>
      </c>
      <c r="F905" s="4" t="n"/>
      <c r="G905">
        <f>IF(D905="","",IFERROR(INDEX(الأصناف!$C$2:$C$2000,MATCH(D905,الأصناف!$A$2:$A$2000,0)),0))</f>
        <v/>
      </c>
      <c r="H905">
        <f>IF(D905="","",F905*G905)</f>
        <v/>
      </c>
      <c r="I905">
        <f>IF(D905="","",H905-F905*IFERROR(INDEX(الأصناف!$D$2:$D$2000,MATCH(D905,الأصناف!$A$2:$A$2000,0)),0))</f>
        <v/>
      </c>
      <c r="J905" s="4" t="n"/>
      <c r="K905" s="7">
        <f>IF(OR(B905="",B905&lt;&gt;الإيصال!$C$3),"",COUNTIF(B$2:B905,الإيصال!$C$3))</f>
        <v/>
      </c>
    </row>
    <row r="906">
      <c r="A906" s="6" t="n"/>
      <c r="B906" s="4" t="n"/>
      <c r="C906" s="4" t="n"/>
      <c r="D906" s="4" t="n"/>
      <c r="E906">
        <f>IF(D906="","",IFERROR(INDEX(الأصناف!$B$2:$B$2000,MATCH(D906,الأصناف!$A$2:$A$2000,0)),"كود غير موجود"))</f>
        <v/>
      </c>
      <c r="F906" s="4" t="n"/>
      <c r="G906">
        <f>IF(D906="","",IFERROR(INDEX(الأصناف!$C$2:$C$2000,MATCH(D906,الأصناف!$A$2:$A$2000,0)),0))</f>
        <v/>
      </c>
      <c r="H906">
        <f>IF(D906="","",F906*G906)</f>
        <v/>
      </c>
      <c r="I906">
        <f>IF(D906="","",H906-F906*IFERROR(INDEX(الأصناف!$D$2:$D$2000,MATCH(D906,الأصناف!$A$2:$A$2000,0)),0))</f>
        <v/>
      </c>
      <c r="J906" s="4" t="n"/>
      <c r="K906" s="7">
        <f>IF(OR(B906="",B906&lt;&gt;الإيصال!$C$3),"",COUNTIF(B$2:B906,الإيصال!$C$3))</f>
        <v/>
      </c>
    </row>
    <row r="907">
      <c r="A907" s="6" t="n"/>
      <c r="B907" s="4" t="n"/>
      <c r="C907" s="4" t="n"/>
      <c r="D907" s="4" t="n"/>
      <c r="E907">
        <f>IF(D907="","",IFERROR(INDEX(الأصناف!$B$2:$B$2000,MATCH(D907,الأصناف!$A$2:$A$2000,0)),"كود غير موجود"))</f>
        <v/>
      </c>
      <c r="F907" s="4" t="n"/>
      <c r="G907">
        <f>IF(D907="","",IFERROR(INDEX(الأصناف!$C$2:$C$2000,MATCH(D907,الأصناف!$A$2:$A$2000,0)),0))</f>
        <v/>
      </c>
      <c r="H907">
        <f>IF(D907="","",F907*G907)</f>
        <v/>
      </c>
      <c r="I907">
        <f>IF(D907="","",H907-F907*IFERROR(INDEX(الأصناف!$D$2:$D$2000,MATCH(D907,الأصناف!$A$2:$A$2000,0)),0))</f>
        <v/>
      </c>
      <c r="J907" s="4" t="n"/>
      <c r="K907" s="7">
        <f>IF(OR(B907="",B907&lt;&gt;الإيصال!$C$3),"",COUNTIF(B$2:B907,الإيصال!$C$3))</f>
        <v/>
      </c>
    </row>
    <row r="908">
      <c r="A908" s="6" t="n"/>
      <c r="B908" s="4" t="n"/>
      <c r="C908" s="4" t="n"/>
      <c r="D908" s="4" t="n"/>
      <c r="E908">
        <f>IF(D908="","",IFERROR(INDEX(الأصناف!$B$2:$B$2000,MATCH(D908,الأصناف!$A$2:$A$2000,0)),"كود غير موجود"))</f>
        <v/>
      </c>
      <c r="F908" s="4" t="n"/>
      <c r="G908">
        <f>IF(D908="","",IFERROR(INDEX(الأصناف!$C$2:$C$2000,MATCH(D908,الأصناف!$A$2:$A$2000,0)),0))</f>
        <v/>
      </c>
      <c r="H908">
        <f>IF(D908="","",F908*G908)</f>
        <v/>
      </c>
      <c r="I908">
        <f>IF(D908="","",H908-F908*IFERROR(INDEX(الأصناف!$D$2:$D$2000,MATCH(D908,الأصناف!$A$2:$A$2000,0)),0))</f>
        <v/>
      </c>
      <c r="J908" s="4" t="n"/>
      <c r="K908" s="7">
        <f>IF(OR(B908="",B908&lt;&gt;الإيصال!$C$3),"",COUNTIF(B$2:B908,الإيصال!$C$3))</f>
        <v/>
      </c>
    </row>
    <row r="909">
      <c r="A909" s="6" t="n"/>
      <c r="B909" s="4" t="n"/>
      <c r="C909" s="4" t="n"/>
      <c r="D909" s="4" t="n"/>
      <c r="E909">
        <f>IF(D909="","",IFERROR(INDEX(الأصناف!$B$2:$B$2000,MATCH(D909,الأصناف!$A$2:$A$2000,0)),"كود غير موجود"))</f>
        <v/>
      </c>
      <c r="F909" s="4" t="n"/>
      <c r="G909">
        <f>IF(D909="","",IFERROR(INDEX(الأصناف!$C$2:$C$2000,MATCH(D909,الأصناف!$A$2:$A$2000,0)),0))</f>
        <v/>
      </c>
      <c r="H909">
        <f>IF(D909="","",F909*G909)</f>
        <v/>
      </c>
      <c r="I909">
        <f>IF(D909="","",H909-F909*IFERROR(INDEX(الأصناف!$D$2:$D$2000,MATCH(D909,الأصناف!$A$2:$A$2000,0)),0))</f>
        <v/>
      </c>
      <c r="J909" s="4" t="n"/>
      <c r="K909" s="7">
        <f>IF(OR(B909="",B909&lt;&gt;الإيصال!$C$3),"",COUNTIF(B$2:B909,الإيصال!$C$3))</f>
        <v/>
      </c>
    </row>
    <row r="910">
      <c r="A910" s="6" t="n"/>
      <c r="B910" s="4" t="n"/>
      <c r="C910" s="4" t="n"/>
      <c r="D910" s="4" t="n"/>
      <c r="E910">
        <f>IF(D910="","",IFERROR(INDEX(الأصناف!$B$2:$B$2000,MATCH(D910,الأصناف!$A$2:$A$2000,0)),"كود غير موجود"))</f>
        <v/>
      </c>
      <c r="F910" s="4" t="n"/>
      <c r="G910">
        <f>IF(D910="","",IFERROR(INDEX(الأصناف!$C$2:$C$2000,MATCH(D910,الأصناف!$A$2:$A$2000,0)),0))</f>
        <v/>
      </c>
      <c r="H910">
        <f>IF(D910="","",F910*G910)</f>
        <v/>
      </c>
      <c r="I910">
        <f>IF(D910="","",H910-F910*IFERROR(INDEX(الأصناف!$D$2:$D$2000,MATCH(D910,الأصناف!$A$2:$A$2000,0)),0))</f>
        <v/>
      </c>
      <c r="J910" s="4" t="n"/>
      <c r="K910" s="7">
        <f>IF(OR(B910="",B910&lt;&gt;الإيصال!$C$3),"",COUNTIF(B$2:B910,الإيصال!$C$3))</f>
        <v/>
      </c>
    </row>
    <row r="911">
      <c r="A911" s="6" t="n"/>
      <c r="B911" s="4" t="n"/>
      <c r="C911" s="4" t="n"/>
      <c r="D911" s="4" t="n"/>
      <c r="E911">
        <f>IF(D911="","",IFERROR(INDEX(الأصناف!$B$2:$B$2000,MATCH(D911,الأصناف!$A$2:$A$2000,0)),"كود غير موجود"))</f>
        <v/>
      </c>
      <c r="F911" s="4" t="n"/>
      <c r="G911">
        <f>IF(D911="","",IFERROR(INDEX(الأصناف!$C$2:$C$2000,MATCH(D911,الأصناف!$A$2:$A$2000,0)),0))</f>
        <v/>
      </c>
      <c r="H911">
        <f>IF(D911="","",F911*G911)</f>
        <v/>
      </c>
      <c r="I911">
        <f>IF(D911="","",H911-F911*IFERROR(INDEX(الأصناف!$D$2:$D$2000,MATCH(D911,الأصناف!$A$2:$A$2000,0)),0))</f>
        <v/>
      </c>
      <c r="J911" s="4" t="n"/>
      <c r="K911" s="7">
        <f>IF(OR(B911="",B911&lt;&gt;الإيصال!$C$3),"",COUNTIF(B$2:B911,الإيصال!$C$3))</f>
        <v/>
      </c>
    </row>
    <row r="912">
      <c r="A912" s="6" t="n"/>
      <c r="B912" s="4" t="n"/>
      <c r="C912" s="4" t="n"/>
      <c r="D912" s="4" t="n"/>
      <c r="E912">
        <f>IF(D912="","",IFERROR(INDEX(الأصناف!$B$2:$B$2000,MATCH(D912,الأصناف!$A$2:$A$2000,0)),"كود غير موجود"))</f>
        <v/>
      </c>
      <c r="F912" s="4" t="n"/>
      <c r="G912">
        <f>IF(D912="","",IFERROR(INDEX(الأصناف!$C$2:$C$2000,MATCH(D912,الأصناف!$A$2:$A$2000,0)),0))</f>
        <v/>
      </c>
      <c r="H912">
        <f>IF(D912="","",F912*G912)</f>
        <v/>
      </c>
      <c r="I912">
        <f>IF(D912="","",H912-F912*IFERROR(INDEX(الأصناف!$D$2:$D$2000,MATCH(D912,الأصناف!$A$2:$A$2000,0)),0))</f>
        <v/>
      </c>
      <c r="J912" s="4" t="n"/>
      <c r="K912" s="7">
        <f>IF(OR(B912="",B912&lt;&gt;الإيصال!$C$3),"",COUNTIF(B$2:B912,الإيصال!$C$3))</f>
        <v/>
      </c>
    </row>
    <row r="913">
      <c r="A913" s="6" t="n"/>
      <c r="B913" s="4" t="n"/>
      <c r="C913" s="4" t="n"/>
      <c r="D913" s="4" t="n"/>
      <c r="E913">
        <f>IF(D913="","",IFERROR(INDEX(الأصناف!$B$2:$B$2000,MATCH(D913,الأصناف!$A$2:$A$2000,0)),"كود غير موجود"))</f>
        <v/>
      </c>
      <c r="F913" s="4" t="n"/>
      <c r="G913">
        <f>IF(D913="","",IFERROR(INDEX(الأصناف!$C$2:$C$2000,MATCH(D913,الأصناف!$A$2:$A$2000,0)),0))</f>
        <v/>
      </c>
      <c r="H913">
        <f>IF(D913="","",F913*G913)</f>
        <v/>
      </c>
      <c r="I913">
        <f>IF(D913="","",H913-F913*IFERROR(INDEX(الأصناف!$D$2:$D$2000,MATCH(D913,الأصناف!$A$2:$A$2000,0)),0))</f>
        <v/>
      </c>
      <c r="J913" s="4" t="n"/>
      <c r="K913" s="7">
        <f>IF(OR(B913="",B913&lt;&gt;الإيصال!$C$3),"",COUNTIF(B$2:B913,الإيصال!$C$3))</f>
        <v/>
      </c>
    </row>
    <row r="914">
      <c r="A914" s="6" t="n"/>
      <c r="B914" s="4" t="n"/>
      <c r="C914" s="4" t="n"/>
      <c r="D914" s="4" t="n"/>
      <c r="E914">
        <f>IF(D914="","",IFERROR(INDEX(الأصناف!$B$2:$B$2000,MATCH(D914,الأصناف!$A$2:$A$2000,0)),"كود غير موجود"))</f>
        <v/>
      </c>
      <c r="F914" s="4" t="n"/>
      <c r="G914">
        <f>IF(D914="","",IFERROR(INDEX(الأصناف!$C$2:$C$2000,MATCH(D914,الأصناف!$A$2:$A$2000,0)),0))</f>
        <v/>
      </c>
      <c r="H914">
        <f>IF(D914="","",F914*G914)</f>
        <v/>
      </c>
      <c r="I914">
        <f>IF(D914="","",H914-F914*IFERROR(INDEX(الأصناف!$D$2:$D$2000,MATCH(D914,الأصناف!$A$2:$A$2000,0)),0))</f>
        <v/>
      </c>
      <c r="J914" s="4" t="n"/>
      <c r="K914" s="7">
        <f>IF(OR(B914="",B914&lt;&gt;الإيصال!$C$3),"",COUNTIF(B$2:B914,الإيصال!$C$3))</f>
        <v/>
      </c>
    </row>
    <row r="915">
      <c r="A915" s="6" t="n"/>
      <c r="B915" s="4" t="n"/>
      <c r="C915" s="4" t="n"/>
      <c r="D915" s="4" t="n"/>
      <c r="E915">
        <f>IF(D915="","",IFERROR(INDEX(الأصناف!$B$2:$B$2000,MATCH(D915,الأصناف!$A$2:$A$2000,0)),"كود غير موجود"))</f>
        <v/>
      </c>
      <c r="F915" s="4" t="n"/>
      <c r="G915">
        <f>IF(D915="","",IFERROR(INDEX(الأصناف!$C$2:$C$2000,MATCH(D915,الأصناف!$A$2:$A$2000,0)),0))</f>
        <v/>
      </c>
      <c r="H915">
        <f>IF(D915="","",F915*G915)</f>
        <v/>
      </c>
      <c r="I915">
        <f>IF(D915="","",H915-F915*IFERROR(INDEX(الأصناف!$D$2:$D$2000,MATCH(D915,الأصناف!$A$2:$A$2000,0)),0))</f>
        <v/>
      </c>
      <c r="J915" s="4" t="n"/>
      <c r="K915" s="7">
        <f>IF(OR(B915="",B915&lt;&gt;الإيصال!$C$3),"",COUNTIF(B$2:B915,الإيصال!$C$3))</f>
        <v/>
      </c>
    </row>
    <row r="916">
      <c r="A916" s="6" t="n"/>
      <c r="B916" s="4" t="n"/>
      <c r="C916" s="4" t="n"/>
      <c r="D916" s="4" t="n"/>
      <c r="E916">
        <f>IF(D916="","",IFERROR(INDEX(الأصناف!$B$2:$B$2000,MATCH(D916,الأصناف!$A$2:$A$2000,0)),"كود غير موجود"))</f>
        <v/>
      </c>
      <c r="F916" s="4" t="n"/>
      <c r="G916">
        <f>IF(D916="","",IFERROR(INDEX(الأصناف!$C$2:$C$2000,MATCH(D916,الأصناف!$A$2:$A$2000,0)),0))</f>
        <v/>
      </c>
      <c r="H916">
        <f>IF(D916="","",F916*G916)</f>
        <v/>
      </c>
      <c r="I916">
        <f>IF(D916="","",H916-F916*IFERROR(INDEX(الأصناف!$D$2:$D$2000,MATCH(D916,الأصناف!$A$2:$A$2000,0)),0))</f>
        <v/>
      </c>
      <c r="J916" s="4" t="n"/>
      <c r="K916" s="7">
        <f>IF(OR(B916="",B916&lt;&gt;الإيصال!$C$3),"",COUNTIF(B$2:B916,الإيصال!$C$3))</f>
        <v/>
      </c>
    </row>
    <row r="917">
      <c r="A917" s="6" t="n"/>
      <c r="B917" s="4" t="n"/>
      <c r="C917" s="4" t="n"/>
      <c r="D917" s="4" t="n"/>
      <c r="E917">
        <f>IF(D917="","",IFERROR(INDEX(الأصناف!$B$2:$B$2000,MATCH(D917,الأصناف!$A$2:$A$2000,0)),"كود غير موجود"))</f>
        <v/>
      </c>
      <c r="F917" s="4" t="n"/>
      <c r="G917">
        <f>IF(D917="","",IFERROR(INDEX(الأصناف!$C$2:$C$2000,MATCH(D917,الأصناف!$A$2:$A$2000,0)),0))</f>
        <v/>
      </c>
      <c r="H917">
        <f>IF(D917="","",F917*G917)</f>
        <v/>
      </c>
      <c r="I917">
        <f>IF(D917="","",H917-F917*IFERROR(INDEX(الأصناف!$D$2:$D$2000,MATCH(D917,الأصناف!$A$2:$A$2000,0)),0))</f>
        <v/>
      </c>
      <c r="J917" s="4" t="n"/>
      <c r="K917" s="7">
        <f>IF(OR(B917="",B917&lt;&gt;الإيصال!$C$3),"",COUNTIF(B$2:B917,الإيصال!$C$3))</f>
        <v/>
      </c>
    </row>
    <row r="918">
      <c r="A918" s="6" t="n"/>
      <c r="B918" s="4" t="n"/>
      <c r="C918" s="4" t="n"/>
      <c r="D918" s="4" t="n"/>
      <c r="E918">
        <f>IF(D918="","",IFERROR(INDEX(الأصناف!$B$2:$B$2000,MATCH(D918,الأصناف!$A$2:$A$2000,0)),"كود غير موجود"))</f>
        <v/>
      </c>
      <c r="F918" s="4" t="n"/>
      <c r="G918">
        <f>IF(D918="","",IFERROR(INDEX(الأصناف!$C$2:$C$2000,MATCH(D918,الأصناف!$A$2:$A$2000,0)),0))</f>
        <v/>
      </c>
      <c r="H918">
        <f>IF(D918="","",F918*G918)</f>
        <v/>
      </c>
      <c r="I918">
        <f>IF(D918="","",H918-F918*IFERROR(INDEX(الأصناف!$D$2:$D$2000,MATCH(D918,الأصناف!$A$2:$A$2000,0)),0))</f>
        <v/>
      </c>
      <c r="J918" s="4" t="n"/>
      <c r="K918" s="7">
        <f>IF(OR(B918="",B918&lt;&gt;الإيصال!$C$3),"",COUNTIF(B$2:B918,الإيصال!$C$3))</f>
        <v/>
      </c>
    </row>
    <row r="919">
      <c r="A919" s="6" t="n"/>
      <c r="B919" s="4" t="n"/>
      <c r="C919" s="4" t="n"/>
      <c r="D919" s="4" t="n"/>
      <c r="E919">
        <f>IF(D919="","",IFERROR(INDEX(الأصناف!$B$2:$B$2000,MATCH(D919,الأصناف!$A$2:$A$2000,0)),"كود غير موجود"))</f>
        <v/>
      </c>
      <c r="F919" s="4" t="n"/>
      <c r="G919">
        <f>IF(D919="","",IFERROR(INDEX(الأصناف!$C$2:$C$2000,MATCH(D919,الأصناف!$A$2:$A$2000,0)),0))</f>
        <v/>
      </c>
      <c r="H919">
        <f>IF(D919="","",F919*G919)</f>
        <v/>
      </c>
      <c r="I919">
        <f>IF(D919="","",H919-F919*IFERROR(INDEX(الأصناف!$D$2:$D$2000,MATCH(D919,الأصناف!$A$2:$A$2000,0)),0))</f>
        <v/>
      </c>
      <c r="J919" s="4" t="n"/>
      <c r="K919" s="7">
        <f>IF(OR(B919="",B919&lt;&gt;الإيصال!$C$3),"",COUNTIF(B$2:B919,الإيصال!$C$3))</f>
        <v/>
      </c>
    </row>
    <row r="920">
      <c r="A920" s="6" t="n"/>
      <c r="B920" s="4" t="n"/>
      <c r="C920" s="4" t="n"/>
      <c r="D920" s="4" t="n"/>
      <c r="E920">
        <f>IF(D920="","",IFERROR(INDEX(الأصناف!$B$2:$B$2000,MATCH(D920,الأصناف!$A$2:$A$2000,0)),"كود غير موجود"))</f>
        <v/>
      </c>
      <c r="F920" s="4" t="n"/>
      <c r="G920">
        <f>IF(D920="","",IFERROR(INDEX(الأصناف!$C$2:$C$2000,MATCH(D920,الأصناف!$A$2:$A$2000,0)),0))</f>
        <v/>
      </c>
      <c r="H920">
        <f>IF(D920="","",F920*G920)</f>
        <v/>
      </c>
      <c r="I920">
        <f>IF(D920="","",H920-F920*IFERROR(INDEX(الأصناف!$D$2:$D$2000,MATCH(D920,الأصناف!$A$2:$A$2000,0)),0))</f>
        <v/>
      </c>
      <c r="J920" s="4" t="n"/>
      <c r="K920" s="7">
        <f>IF(OR(B920="",B920&lt;&gt;الإيصال!$C$3),"",COUNTIF(B$2:B920,الإيصال!$C$3))</f>
        <v/>
      </c>
    </row>
    <row r="921">
      <c r="A921" s="6" t="n"/>
      <c r="B921" s="4" t="n"/>
      <c r="C921" s="4" t="n"/>
      <c r="D921" s="4" t="n"/>
      <c r="E921">
        <f>IF(D921="","",IFERROR(INDEX(الأصناف!$B$2:$B$2000,MATCH(D921,الأصناف!$A$2:$A$2000,0)),"كود غير موجود"))</f>
        <v/>
      </c>
      <c r="F921" s="4" t="n"/>
      <c r="G921">
        <f>IF(D921="","",IFERROR(INDEX(الأصناف!$C$2:$C$2000,MATCH(D921,الأصناف!$A$2:$A$2000,0)),0))</f>
        <v/>
      </c>
      <c r="H921">
        <f>IF(D921="","",F921*G921)</f>
        <v/>
      </c>
      <c r="I921">
        <f>IF(D921="","",H921-F921*IFERROR(INDEX(الأصناف!$D$2:$D$2000,MATCH(D921,الأصناف!$A$2:$A$2000,0)),0))</f>
        <v/>
      </c>
      <c r="J921" s="4" t="n"/>
      <c r="K921" s="7">
        <f>IF(OR(B921="",B921&lt;&gt;الإيصال!$C$3),"",COUNTIF(B$2:B921,الإيصال!$C$3))</f>
        <v/>
      </c>
    </row>
    <row r="922">
      <c r="A922" s="6" t="n"/>
      <c r="B922" s="4" t="n"/>
      <c r="C922" s="4" t="n"/>
      <c r="D922" s="4" t="n"/>
      <c r="E922">
        <f>IF(D922="","",IFERROR(INDEX(الأصناف!$B$2:$B$2000,MATCH(D922,الأصناف!$A$2:$A$2000,0)),"كود غير موجود"))</f>
        <v/>
      </c>
      <c r="F922" s="4" t="n"/>
      <c r="G922">
        <f>IF(D922="","",IFERROR(INDEX(الأصناف!$C$2:$C$2000,MATCH(D922,الأصناف!$A$2:$A$2000,0)),0))</f>
        <v/>
      </c>
      <c r="H922">
        <f>IF(D922="","",F922*G922)</f>
        <v/>
      </c>
      <c r="I922">
        <f>IF(D922="","",H922-F922*IFERROR(INDEX(الأصناف!$D$2:$D$2000,MATCH(D922,الأصناف!$A$2:$A$2000,0)),0))</f>
        <v/>
      </c>
      <c r="J922" s="4" t="n"/>
      <c r="K922" s="7">
        <f>IF(OR(B922="",B922&lt;&gt;الإيصال!$C$3),"",COUNTIF(B$2:B922,الإيصال!$C$3))</f>
        <v/>
      </c>
    </row>
    <row r="923">
      <c r="A923" s="6" t="n"/>
      <c r="B923" s="4" t="n"/>
      <c r="C923" s="4" t="n"/>
      <c r="D923" s="4" t="n"/>
      <c r="E923">
        <f>IF(D923="","",IFERROR(INDEX(الأصناف!$B$2:$B$2000,MATCH(D923,الأصناف!$A$2:$A$2000,0)),"كود غير موجود"))</f>
        <v/>
      </c>
      <c r="F923" s="4" t="n"/>
      <c r="G923">
        <f>IF(D923="","",IFERROR(INDEX(الأصناف!$C$2:$C$2000,MATCH(D923,الأصناف!$A$2:$A$2000,0)),0))</f>
        <v/>
      </c>
      <c r="H923">
        <f>IF(D923="","",F923*G923)</f>
        <v/>
      </c>
      <c r="I923">
        <f>IF(D923="","",H923-F923*IFERROR(INDEX(الأصناف!$D$2:$D$2000,MATCH(D923,الأصناف!$A$2:$A$2000,0)),0))</f>
        <v/>
      </c>
      <c r="J923" s="4" t="n"/>
      <c r="K923" s="7">
        <f>IF(OR(B923="",B923&lt;&gt;الإيصال!$C$3),"",COUNTIF(B$2:B923,الإيصال!$C$3))</f>
        <v/>
      </c>
    </row>
    <row r="924">
      <c r="A924" s="6" t="n"/>
      <c r="B924" s="4" t="n"/>
      <c r="C924" s="4" t="n"/>
      <c r="D924" s="4" t="n"/>
      <c r="E924">
        <f>IF(D924="","",IFERROR(INDEX(الأصناف!$B$2:$B$2000,MATCH(D924,الأصناف!$A$2:$A$2000,0)),"كود غير موجود"))</f>
        <v/>
      </c>
      <c r="F924" s="4" t="n"/>
      <c r="G924">
        <f>IF(D924="","",IFERROR(INDEX(الأصناف!$C$2:$C$2000,MATCH(D924,الأصناف!$A$2:$A$2000,0)),0))</f>
        <v/>
      </c>
      <c r="H924">
        <f>IF(D924="","",F924*G924)</f>
        <v/>
      </c>
      <c r="I924">
        <f>IF(D924="","",H924-F924*IFERROR(INDEX(الأصناف!$D$2:$D$2000,MATCH(D924,الأصناف!$A$2:$A$2000,0)),0))</f>
        <v/>
      </c>
      <c r="J924" s="4" t="n"/>
      <c r="K924" s="7">
        <f>IF(OR(B924="",B924&lt;&gt;الإيصال!$C$3),"",COUNTIF(B$2:B924,الإيصال!$C$3))</f>
        <v/>
      </c>
    </row>
    <row r="925">
      <c r="A925" s="6" t="n"/>
      <c r="B925" s="4" t="n"/>
      <c r="C925" s="4" t="n"/>
      <c r="D925" s="4" t="n"/>
      <c r="E925">
        <f>IF(D925="","",IFERROR(INDEX(الأصناف!$B$2:$B$2000,MATCH(D925,الأصناف!$A$2:$A$2000,0)),"كود غير موجود"))</f>
        <v/>
      </c>
      <c r="F925" s="4" t="n"/>
      <c r="G925">
        <f>IF(D925="","",IFERROR(INDEX(الأصناف!$C$2:$C$2000,MATCH(D925,الأصناف!$A$2:$A$2000,0)),0))</f>
        <v/>
      </c>
      <c r="H925">
        <f>IF(D925="","",F925*G925)</f>
        <v/>
      </c>
      <c r="I925">
        <f>IF(D925="","",H925-F925*IFERROR(INDEX(الأصناف!$D$2:$D$2000,MATCH(D925,الأصناف!$A$2:$A$2000,0)),0))</f>
        <v/>
      </c>
      <c r="J925" s="4" t="n"/>
      <c r="K925" s="7">
        <f>IF(OR(B925="",B925&lt;&gt;الإيصال!$C$3),"",COUNTIF(B$2:B925,الإيصال!$C$3))</f>
        <v/>
      </c>
    </row>
    <row r="926">
      <c r="A926" s="6" t="n"/>
      <c r="B926" s="4" t="n"/>
      <c r="C926" s="4" t="n"/>
      <c r="D926" s="4" t="n"/>
      <c r="E926">
        <f>IF(D926="","",IFERROR(INDEX(الأصناف!$B$2:$B$2000,MATCH(D926,الأصناف!$A$2:$A$2000,0)),"كود غير موجود"))</f>
        <v/>
      </c>
      <c r="F926" s="4" t="n"/>
      <c r="G926">
        <f>IF(D926="","",IFERROR(INDEX(الأصناف!$C$2:$C$2000,MATCH(D926,الأصناف!$A$2:$A$2000,0)),0))</f>
        <v/>
      </c>
      <c r="H926">
        <f>IF(D926="","",F926*G926)</f>
        <v/>
      </c>
      <c r="I926">
        <f>IF(D926="","",H926-F926*IFERROR(INDEX(الأصناف!$D$2:$D$2000,MATCH(D926,الأصناف!$A$2:$A$2000,0)),0))</f>
        <v/>
      </c>
      <c r="J926" s="4" t="n"/>
      <c r="K926" s="7">
        <f>IF(OR(B926="",B926&lt;&gt;الإيصال!$C$3),"",COUNTIF(B$2:B926,الإيصال!$C$3))</f>
        <v/>
      </c>
    </row>
    <row r="927">
      <c r="A927" s="6" t="n"/>
      <c r="B927" s="4" t="n"/>
      <c r="C927" s="4" t="n"/>
      <c r="D927" s="4" t="n"/>
      <c r="E927">
        <f>IF(D927="","",IFERROR(INDEX(الأصناف!$B$2:$B$2000,MATCH(D927,الأصناف!$A$2:$A$2000,0)),"كود غير موجود"))</f>
        <v/>
      </c>
      <c r="F927" s="4" t="n"/>
      <c r="G927">
        <f>IF(D927="","",IFERROR(INDEX(الأصناف!$C$2:$C$2000,MATCH(D927,الأصناف!$A$2:$A$2000,0)),0))</f>
        <v/>
      </c>
      <c r="H927">
        <f>IF(D927="","",F927*G927)</f>
        <v/>
      </c>
      <c r="I927">
        <f>IF(D927="","",H927-F927*IFERROR(INDEX(الأصناف!$D$2:$D$2000,MATCH(D927,الأصناف!$A$2:$A$2000,0)),0))</f>
        <v/>
      </c>
      <c r="J927" s="4" t="n"/>
      <c r="K927" s="7">
        <f>IF(OR(B927="",B927&lt;&gt;الإيصال!$C$3),"",COUNTIF(B$2:B927,الإيصال!$C$3))</f>
        <v/>
      </c>
    </row>
    <row r="928">
      <c r="A928" s="6" t="n"/>
      <c r="B928" s="4" t="n"/>
      <c r="C928" s="4" t="n"/>
      <c r="D928" s="4" t="n"/>
      <c r="E928">
        <f>IF(D928="","",IFERROR(INDEX(الأصناف!$B$2:$B$2000,MATCH(D928,الأصناف!$A$2:$A$2000,0)),"كود غير موجود"))</f>
        <v/>
      </c>
      <c r="F928" s="4" t="n"/>
      <c r="G928">
        <f>IF(D928="","",IFERROR(INDEX(الأصناف!$C$2:$C$2000,MATCH(D928,الأصناف!$A$2:$A$2000,0)),0))</f>
        <v/>
      </c>
      <c r="H928">
        <f>IF(D928="","",F928*G928)</f>
        <v/>
      </c>
      <c r="I928">
        <f>IF(D928="","",H928-F928*IFERROR(INDEX(الأصناف!$D$2:$D$2000,MATCH(D928,الأصناف!$A$2:$A$2000,0)),0))</f>
        <v/>
      </c>
      <c r="J928" s="4" t="n"/>
      <c r="K928" s="7">
        <f>IF(OR(B928="",B928&lt;&gt;الإيصال!$C$3),"",COUNTIF(B$2:B928,الإيصال!$C$3))</f>
        <v/>
      </c>
    </row>
    <row r="929">
      <c r="A929" s="6" t="n"/>
      <c r="B929" s="4" t="n"/>
      <c r="C929" s="4" t="n"/>
      <c r="D929" s="4" t="n"/>
      <c r="E929">
        <f>IF(D929="","",IFERROR(INDEX(الأصناف!$B$2:$B$2000,MATCH(D929,الأصناف!$A$2:$A$2000,0)),"كود غير موجود"))</f>
        <v/>
      </c>
      <c r="F929" s="4" t="n"/>
      <c r="G929">
        <f>IF(D929="","",IFERROR(INDEX(الأصناف!$C$2:$C$2000,MATCH(D929,الأصناف!$A$2:$A$2000,0)),0))</f>
        <v/>
      </c>
      <c r="H929">
        <f>IF(D929="","",F929*G929)</f>
        <v/>
      </c>
      <c r="I929">
        <f>IF(D929="","",H929-F929*IFERROR(INDEX(الأصناف!$D$2:$D$2000,MATCH(D929,الأصناف!$A$2:$A$2000,0)),0))</f>
        <v/>
      </c>
      <c r="J929" s="4" t="n"/>
      <c r="K929" s="7">
        <f>IF(OR(B929="",B929&lt;&gt;الإيصال!$C$3),"",COUNTIF(B$2:B929,الإيصال!$C$3))</f>
        <v/>
      </c>
    </row>
    <row r="930">
      <c r="A930" s="6" t="n"/>
      <c r="B930" s="4" t="n"/>
      <c r="C930" s="4" t="n"/>
      <c r="D930" s="4" t="n"/>
      <c r="E930">
        <f>IF(D930="","",IFERROR(INDEX(الأصناف!$B$2:$B$2000,MATCH(D930,الأصناف!$A$2:$A$2000,0)),"كود غير موجود"))</f>
        <v/>
      </c>
      <c r="F930" s="4" t="n"/>
      <c r="G930">
        <f>IF(D930="","",IFERROR(INDEX(الأصناف!$C$2:$C$2000,MATCH(D930,الأصناف!$A$2:$A$2000,0)),0))</f>
        <v/>
      </c>
      <c r="H930">
        <f>IF(D930="","",F930*G930)</f>
        <v/>
      </c>
      <c r="I930">
        <f>IF(D930="","",H930-F930*IFERROR(INDEX(الأصناف!$D$2:$D$2000,MATCH(D930,الأصناف!$A$2:$A$2000,0)),0))</f>
        <v/>
      </c>
      <c r="J930" s="4" t="n"/>
      <c r="K930" s="7">
        <f>IF(OR(B930="",B930&lt;&gt;الإيصال!$C$3),"",COUNTIF(B$2:B930,الإيصال!$C$3))</f>
        <v/>
      </c>
    </row>
    <row r="931">
      <c r="A931" s="6" t="n"/>
      <c r="B931" s="4" t="n"/>
      <c r="C931" s="4" t="n"/>
      <c r="D931" s="4" t="n"/>
      <c r="E931">
        <f>IF(D931="","",IFERROR(INDEX(الأصناف!$B$2:$B$2000,MATCH(D931,الأصناف!$A$2:$A$2000,0)),"كود غير موجود"))</f>
        <v/>
      </c>
      <c r="F931" s="4" t="n"/>
      <c r="G931">
        <f>IF(D931="","",IFERROR(INDEX(الأصناف!$C$2:$C$2000,MATCH(D931,الأصناف!$A$2:$A$2000,0)),0))</f>
        <v/>
      </c>
      <c r="H931">
        <f>IF(D931="","",F931*G931)</f>
        <v/>
      </c>
      <c r="I931">
        <f>IF(D931="","",H931-F931*IFERROR(INDEX(الأصناف!$D$2:$D$2000,MATCH(D931,الأصناف!$A$2:$A$2000,0)),0))</f>
        <v/>
      </c>
      <c r="J931" s="4" t="n"/>
      <c r="K931" s="7">
        <f>IF(OR(B931="",B931&lt;&gt;الإيصال!$C$3),"",COUNTIF(B$2:B931,الإيصال!$C$3))</f>
        <v/>
      </c>
    </row>
    <row r="932">
      <c r="A932" s="6" t="n"/>
      <c r="B932" s="4" t="n"/>
      <c r="C932" s="4" t="n"/>
      <c r="D932" s="4" t="n"/>
      <c r="E932">
        <f>IF(D932="","",IFERROR(INDEX(الأصناف!$B$2:$B$2000,MATCH(D932,الأصناف!$A$2:$A$2000,0)),"كود غير موجود"))</f>
        <v/>
      </c>
      <c r="F932" s="4" t="n"/>
      <c r="G932">
        <f>IF(D932="","",IFERROR(INDEX(الأصناف!$C$2:$C$2000,MATCH(D932,الأصناف!$A$2:$A$2000,0)),0))</f>
        <v/>
      </c>
      <c r="H932">
        <f>IF(D932="","",F932*G932)</f>
        <v/>
      </c>
      <c r="I932">
        <f>IF(D932="","",H932-F932*IFERROR(INDEX(الأصناف!$D$2:$D$2000,MATCH(D932,الأصناف!$A$2:$A$2000,0)),0))</f>
        <v/>
      </c>
      <c r="J932" s="4" t="n"/>
      <c r="K932" s="7">
        <f>IF(OR(B932="",B932&lt;&gt;الإيصال!$C$3),"",COUNTIF(B$2:B932,الإيصال!$C$3))</f>
        <v/>
      </c>
    </row>
    <row r="933">
      <c r="A933" s="6" t="n"/>
      <c r="B933" s="4" t="n"/>
      <c r="C933" s="4" t="n"/>
      <c r="D933" s="4" t="n"/>
      <c r="E933">
        <f>IF(D933="","",IFERROR(INDEX(الأصناف!$B$2:$B$2000,MATCH(D933,الأصناف!$A$2:$A$2000,0)),"كود غير موجود"))</f>
        <v/>
      </c>
      <c r="F933" s="4" t="n"/>
      <c r="G933">
        <f>IF(D933="","",IFERROR(INDEX(الأصناف!$C$2:$C$2000,MATCH(D933,الأصناف!$A$2:$A$2000,0)),0))</f>
        <v/>
      </c>
      <c r="H933">
        <f>IF(D933="","",F933*G933)</f>
        <v/>
      </c>
      <c r="I933">
        <f>IF(D933="","",H933-F933*IFERROR(INDEX(الأصناف!$D$2:$D$2000,MATCH(D933,الأصناف!$A$2:$A$2000,0)),0))</f>
        <v/>
      </c>
      <c r="J933" s="4" t="n"/>
      <c r="K933" s="7">
        <f>IF(OR(B933="",B933&lt;&gt;الإيصال!$C$3),"",COUNTIF(B$2:B933,الإيصال!$C$3))</f>
        <v/>
      </c>
    </row>
    <row r="934">
      <c r="A934" s="6" t="n"/>
      <c r="B934" s="4" t="n"/>
      <c r="C934" s="4" t="n"/>
      <c r="D934" s="4" t="n"/>
      <c r="E934">
        <f>IF(D934="","",IFERROR(INDEX(الأصناف!$B$2:$B$2000,MATCH(D934,الأصناف!$A$2:$A$2000,0)),"كود غير موجود"))</f>
        <v/>
      </c>
      <c r="F934" s="4" t="n"/>
      <c r="G934">
        <f>IF(D934="","",IFERROR(INDEX(الأصناف!$C$2:$C$2000,MATCH(D934,الأصناف!$A$2:$A$2000,0)),0))</f>
        <v/>
      </c>
      <c r="H934">
        <f>IF(D934="","",F934*G934)</f>
        <v/>
      </c>
      <c r="I934">
        <f>IF(D934="","",H934-F934*IFERROR(INDEX(الأصناف!$D$2:$D$2000,MATCH(D934,الأصناف!$A$2:$A$2000,0)),0))</f>
        <v/>
      </c>
      <c r="J934" s="4" t="n"/>
      <c r="K934" s="7">
        <f>IF(OR(B934="",B934&lt;&gt;الإيصال!$C$3),"",COUNTIF(B$2:B934,الإيصال!$C$3))</f>
        <v/>
      </c>
    </row>
    <row r="935">
      <c r="A935" s="6" t="n"/>
      <c r="B935" s="4" t="n"/>
      <c r="C935" s="4" t="n"/>
      <c r="D935" s="4" t="n"/>
      <c r="E935">
        <f>IF(D935="","",IFERROR(INDEX(الأصناف!$B$2:$B$2000,MATCH(D935,الأصناف!$A$2:$A$2000,0)),"كود غير موجود"))</f>
        <v/>
      </c>
      <c r="F935" s="4" t="n"/>
      <c r="G935">
        <f>IF(D935="","",IFERROR(INDEX(الأصناف!$C$2:$C$2000,MATCH(D935,الأصناف!$A$2:$A$2000,0)),0))</f>
        <v/>
      </c>
      <c r="H935">
        <f>IF(D935="","",F935*G935)</f>
        <v/>
      </c>
      <c r="I935">
        <f>IF(D935="","",H935-F935*IFERROR(INDEX(الأصناف!$D$2:$D$2000,MATCH(D935,الأصناف!$A$2:$A$2000,0)),0))</f>
        <v/>
      </c>
      <c r="J935" s="4" t="n"/>
      <c r="K935" s="7">
        <f>IF(OR(B935="",B935&lt;&gt;الإيصال!$C$3),"",COUNTIF(B$2:B935,الإيصال!$C$3))</f>
        <v/>
      </c>
    </row>
    <row r="936">
      <c r="A936" s="6" t="n"/>
      <c r="B936" s="4" t="n"/>
      <c r="C936" s="4" t="n"/>
      <c r="D936" s="4" t="n"/>
      <c r="E936">
        <f>IF(D936="","",IFERROR(INDEX(الأصناف!$B$2:$B$2000,MATCH(D936,الأصناف!$A$2:$A$2000,0)),"كود غير موجود"))</f>
        <v/>
      </c>
      <c r="F936" s="4" t="n"/>
      <c r="G936">
        <f>IF(D936="","",IFERROR(INDEX(الأصناف!$C$2:$C$2000,MATCH(D936,الأصناف!$A$2:$A$2000,0)),0))</f>
        <v/>
      </c>
      <c r="H936">
        <f>IF(D936="","",F936*G936)</f>
        <v/>
      </c>
      <c r="I936">
        <f>IF(D936="","",H936-F936*IFERROR(INDEX(الأصناف!$D$2:$D$2000,MATCH(D936,الأصناف!$A$2:$A$2000,0)),0))</f>
        <v/>
      </c>
      <c r="J936" s="4" t="n"/>
      <c r="K936" s="7">
        <f>IF(OR(B936="",B936&lt;&gt;الإيصال!$C$3),"",COUNTIF(B$2:B936,الإيصال!$C$3))</f>
        <v/>
      </c>
    </row>
    <row r="937">
      <c r="A937" s="6" t="n"/>
      <c r="B937" s="4" t="n"/>
      <c r="C937" s="4" t="n"/>
      <c r="D937" s="4" t="n"/>
      <c r="E937">
        <f>IF(D937="","",IFERROR(INDEX(الأصناف!$B$2:$B$2000,MATCH(D937,الأصناف!$A$2:$A$2000,0)),"كود غير موجود"))</f>
        <v/>
      </c>
      <c r="F937" s="4" t="n"/>
      <c r="G937">
        <f>IF(D937="","",IFERROR(INDEX(الأصناف!$C$2:$C$2000,MATCH(D937,الأصناف!$A$2:$A$2000,0)),0))</f>
        <v/>
      </c>
      <c r="H937">
        <f>IF(D937="","",F937*G937)</f>
        <v/>
      </c>
      <c r="I937">
        <f>IF(D937="","",H937-F937*IFERROR(INDEX(الأصناف!$D$2:$D$2000,MATCH(D937,الأصناف!$A$2:$A$2000,0)),0))</f>
        <v/>
      </c>
      <c r="J937" s="4" t="n"/>
      <c r="K937" s="7">
        <f>IF(OR(B937="",B937&lt;&gt;الإيصال!$C$3),"",COUNTIF(B$2:B937,الإيصال!$C$3))</f>
        <v/>
      </c>
    </row>
    <row r="938">
      <c r="A938" s="6" t="n"/>
      <c r="B938" s="4" t="n"/>
      <c r="C938" s="4" t="n"/>
      <c r="D938" s="4" t="n"/>
      <c r="E938">
        <f>IF(D938="","",IFERROR(INDEX(الأصناف!$B$2:$B$2000,MATCH(D938,الأصناف!$A$2:$A$2000,0)),"كود غير موجود"))</f>
        <v/>
      </c>
      <c r="F938" s="4" t="n"/>
      <c r="G938">
        <f>IF(D938="","",IFERROR(INDEX(الأصناف!$C$2:$C$2000,MATCH(D938,الأصناف!$A$2:$A$2000,0)),0))</f>
        <v/>
      </c>
      <c r="H938">
        <f>IF(D938="","",F938*G938)</f>
        <v/>
      </c>
      <c r="I938">
        <f>IF(D938="","",H938-F938*IFERROR(INDEX(الأصناف!$D$2:$D$2000,MATCH(D938,الأصناف!$A$2:$A$2000,0)),0))</f>
        <v/>
      </c>
      <c r="J938" s="4" t="n"/>
      <c r="K938" s="7">
        <f>IF(OR(B938="",B938&lt;&gt;الإيصال!$C$3),"",COUNTIF(B$2:B938,الإيصال!$C$3))</f>
        <v/>
      </c>
    </row>
    <row r="939">
      <c r="A939" s="6" t="n"/>
      <c r="B939" s="4" t="n"/>
      <c r="C939" s="4" t="n"/>
      <c r="D939" s="4" t="n"/>
      <c r="E939">
        <f>IF(D939="","",IFERROR(INDEX(الأصناف!$B$2:$B$2000,MATCH(D939,الأصناف!$A$2:$A$2000,0)),"كود غير موجود"))</f>
        <v/>
      </c>
      <c r="F939" s="4" t="n"/>
      <c r="G939">
        <f>IF(D939="","",IFERROR(INDEX(الأصناف!$C$2:$C$2000,MATCH(D939,الأصناف!$A$2:$A$2000,0)),0))</f>
        <v/>
      </c>
      <c r="H939">
        <f>IF(D939="","",F939*G939)</f>
        <v/>
      </c>
      <c r="I939">
        <f>IF(D939="","",H939-F939*IFERROR(INDEX(الأصناف!$D$2:$D$2000,MATCH(D939,الأصناف!$A$2:$A$2000,0)),0))</f>
        <v/>
      </c>
      <c r="J939" s="4" t="n"/>
      <c r="K939" s="7">
        <f>IF(OR(B939="",B939&lt;&gt;الإيصال!$C$3),"",COUNTIF(B$2:B939,الإيصال!$C$3))</f>
        <v/>
      </c>
    </row>
    <row r="940">
      <c r="A940" s="6" t="n"/>
      <c r="B940" s="4" t="n"/>
      <c r="C940" s="4" t="n"/>
      <c r="D940" s="4" t="n"/>
      <c r="E940">
        <f>IF(D940="","",IFERROR(INDEX(الأصناف!$B$2:$B$2000,MATCH(D940,الأصناف!$A$2:$A$2000,0)),"كود غير موجود"))</f>
        <v/>
      </c>
      <c r="F940" s="4" t="n"/>
      <c r="G940">
        <f>IF(D940="","",IFERROR(INDEX(الأصناف!$C$2:$C$2000,MATCH(D940,الأصناف!$A$2:$A$2000,0)),0))</f>
        <v/>
      </c>
      <c r="H940">
        <f>IF(D940="","",F940*G940)</f>
        <v/>
      </c>
      <c r="I940">
        <f>IF(D940="","",H940-F940*IFERROR(INDEX(الأصناف!$D$2:$D$2000,MATCH(D940,الأصناف!$A$2:$A$2000,0)),0))</f>
        <v/>
      </c>
      <c r="J940" s="4" t="n"/>
      <c r="K940" s="7">
        <f>IF(OR(B940="",B940&lt;&gt;الإيصال!$C$3),"",COUNTIF(B$2:B940,الإيصال!$C$3))</f>
        <v/>
      </c>
    </row>
    <row r="941">
      <c r="A941" s="6" t="n"/>
      <c r="B941" s="4" t="n"/>
      <c r="C941" s="4" t="n"/>
      <c r="D941" s="4" t="n"/>
      <c r="E941">
        <f>IF(D941="","",IFERROR(INDEX(الأصناف!$B$2:$B$2000,MATCH(D941,الأصناف!$A$2:$A$2000,0)),"كود غير موجود"))</f>
        <v/>
      </c>
      <c r="F941" s="4" t="n"/>
      <c r="G941">
        <f>IF(D941="","",IFERROR(INDEX(الأصناف!$C$2:$C$2000,MATCH(D941,الأصناف!$A$2:$A$2000,0)),0))</f>
        <v/>
      </c>
      <c r="H941">
        <f>IF(D941="","",F941*G941)</f>
        <v/>
      </c>
      <c r="I941">
        <f>IF(D941="","",H941-F941*IFERROR(INDEX(الأصناف!$D$2:$D$2000,MATCH(D941,الأصناف!$A$2:$A$2000,0)),0))</f>
        <v/>
      </c>
      <c r="J941" s="4" t="n"/>
      <c r="K941" s="7">
        <f>IF(OR(B941="",B941&lt;&gt;الإيصال!$C$3),"",COUNTIF(B$2:B941,الإيصال!$C$3))</f>
        <v/>
      </c>
    </row>
    <row r="942">
      <c r="A942" s="6" t="n"/>
      <c r="B942" s="4" t="n"/>
      <c r="C942" s="4" t="n"/>
      <c r="D942" s="4" t="n"/>
      <c r="E942">
        <f>IF(D942="","",IFERROR(INDEX(الأصناف!$B$2:$B$2000,MATCH(D942,الأصناف!$A$2:$A$2000,0)),"كود غير موجود"))</f>
        <v/>
      </c>
      <c r="F942" s="4" t="n"/>
      <c r="G942">
        <f>IF(D942="","",IFERROR(INDEX(الأصناف!$C$2:$C$2000,MATCH(D942,الأصناف!$A$2:$A$2000,0)),0))</f>
        <v/>
      </c>
      <c r="H942">
        <f>IF(D942="","",F942*G942)</f>
        <v/>
      </c>
      <c r="I942">
        <f>IF(D942="","",H942-F942*IFERROR(INDEX(الأصناف!$D$2:$D$2000,MATCH(D942,الأصناف!$A$2:$A$2000,0)),0))</f>
        <v/>
      </c>
      <c r="J942" s="4" t="n"/>
      <c r="K942" s="7">
        <f>IF(OR(B942="",B942&lt;&gt;الإيصال!$C$3),"",COUNTIF(B$2:B942,الإيصال!$C$3))</f>
        <v/>
      </c>
    </row>
    <row r="943">
      <c r="A943" s="6" t="n"/>
      <c r="B943" s="4" t="n"/>
      <c r="C943" s="4" t="n"/>
      <c r="D943" s="4" t="n"/>
      <c r="E943">
        <f>IF(D943="","",IFERROR(INDEX(الأصناف!$B$2:$B$2000,MATCH(D943,الأصناف!$A$2:$A$2000,0)),"كود غير موجود"))</f>
        <v/>
      </c>
      <c r="F943" s="4" t="n"/>
      <c r="G943">
        <f>IF(D943="","",IFERROR(INDEX(الأصناف!$C$2:$C$2000,MATCH(D943,الأصناف!$A$2:$A$2000,0)),0))</f>
        <v/>
      </c>
      <c r="H943">
        <f>IF(D943="","",F943*G943)</f>
        <v/>
      </c>
      <c r="I943">
        <f>IF(D943="","",H943-F943*IFERROR(INDEX(الأصناف!$D$2:$D$2000,MATCH(D943,الأصناف!$A$2:$A$2000,0)),0))</f>
        <v/>
      </c>
      <c r="J943" s="4" t="n"/>
      <c r="K943" s="7">
        <f>IF(OR(B943="",B943&lt;&gt;الإيصال!$C$3),"",COUNTIF(B$2:B943,الإيصال!$C$3))</f>
        <v/>
      </c>
    </row>
    <row r="944">
      <c r="A944" s="6" t="n"/>
      <c r="B944" s="4" t="n"/>
      <c r="C944" s="4" t="n"/>
      <c r="D944" s="4" t="n"/>
      <c r="E944">
        <f>IF(D944="","",IFERROR(INDEX(الأصناف!$B$2:$B$2000,MATCH(D944,الأصناف!$A$2:$A$2000,0)),"كود غير موجود"))</f>
        <v/>
      </c>
      <c r="F944" s="4" t="n"/>
      <c r="G944">
        <f>IF(D944="","",IFERROR(INDEX(الأصناف!$C$2:$C$2000,MATCH(D944,الأصناف!$A$2:$A$2000,0)),0))</f>
        <v/>
      </c>
      <c r="H944">
        <f>IF(D944="","",F944*G944)</f>
        <v/>
      </c>
      <c r="I944">
        <f>IF(D944="","",H944-F944*IFERROR(INDEX(الأصناف!$D$2:$D$2000,MATCH(D944,الأصناف!$A$2:$A$2000,0)),0))</f>
        <v/>
      </c>
      <c r="J944" s="4" t="n"/>
      <c r="K944" s="7">
        <f>IF(OR(B944="",B944&lt;&gt;الإيصال!$C$3),"",COUNTIF(B$2:B944,الإيصال!$C$3))</f>
        <v/>
      </c>
    </row>
    <row r="945">
      <c r="A945" s="6" t="n"/>
      <c r="B945" s="4" t="n"/>
      <c r="C945" s="4" t="n"/>
      <c r="D945" s="4" t="n"/>
      <c r="E945">
        <f>IF(D945="","",IFERROR(INDEX(الأصناف!$B$2:$B$2000,MATCH(D945,الأصناف!$A$2:$A$2000,0)),"كود غير موجود"))</f>
        <v/>
      </c>
      <c r="F945" s="4" t="n"/>
      <c r="G945">
        <f>IF(D945="","",IFERROR(INDEX(الأصناف!$C$2:$C$2000,MATCH(D945,الأصناف!$A$2:$A$2000,0)),0))</f>
        <v/>
      </c>
      <c r="H945">
        <f>IF(D945="","",F945*G945)</f>
        <v/>
      </c>
      <c r="I945">
        <f>IF(D945="","",H945-F945*IFERROR(INDEX(الأصناف!$D$2:$D$2000,MATCH(D945,الأصناف!$A$2:$A$2000,0)),0))</f>
        <v/>
      </c>
      <c r="J945" s="4" t="n"/>
      <c r="K945" s="7">
        <f>IF(OR(B945="",B945&lt;&gt;الإيصال!$C$3),"",COUNTIF(B$2:B945,الإيصال!$C$3))</f>
        <v/>
      </c>
    </row>
    <row r="946">
      <c r="A946" s="6" t="n"/>
      <c r="B946" s="4" t="n"/>
      <c r="C946" s="4" t="n"/>
      <c r="D946" s="4" t="n"/>
      <c r="E946">
        <f>IF(D946="","",IFERROR(INDEX(الأصناف!$B$2:$B$2000,MATCH(D946,الأصناف!$A$2:$A$2000,0)),"كود غير موجود"))</f>
        <v/>
      </c>
      <c r="F946" s="4" t="n"/>
      <c r="G946">
        <f>IF(D946="","",IFERROR(INDEX(الأصناف!$C$2:$C$2000,MATCH(D946,الأصناف!$A$2:$A$2000,0)),0))</f>
        <v/>
      </c>
      <c r="H946">
        <f>IF(D946="","",F946*G946)</f>
        <v/>
      </c>
      <c r="I946">
        <f>IF(D946="","",H946-F946*IFERROR(INDEX(الأصناف!$D$2:$D$2000,MATCH(D946,الأصناف!$A$2:$A$2000,0)),0))</f>
        <v/>
      </c>
      <c r="J946" s="4" t="n"/>
      <c r="K946" s="7">
        <f>IF(OR(B946="",B946&lt;&gt;الإيصال!$C$3),"",COUNTIF(B$2:B946,الإيصال!$C$3))</f>
        <v/>
      </c>
    </row>
    <row r="947">
      <c r="A947" s="6" t="n"/>
      <c r="B947" s="4" t="n"/>
      <c r="C947" s="4" t="n"/>
      <c r="D947" s="4" t="n"/>
      <c r="E947">
        <f>IF(D947="","",IFERROR(INDEX(الأصناف!$B$2:$B$2000,MATCH(D947,الأصناف!$A$2:$A$2000,0)),"كود غير موجود"))</f>
        <v/>
      </c>
      <c r="F947" s="4" t="n"/>
      <c r="G947">
        <f>IF(D947="","",IFERROR(INDEX(الأصناف!$C$2:$C$2000,MATCH(D947,الأصناف!$A$2:$A$2000,0)),0))</f>
        <v/>
      </c>
      <c r="H947">
        <f>IF(D947="","",F947*G947)</f>
        <v/>
      </c>
      <c r="I947">
        <f>IF(D947="","",H947-F947*IFERROR(INDEX(الأصناف!$D$2:$D$2000,MATCH(D947,الأصناف!$A$2:$A$2000,0)),0))</f>
        <v/>
      </c>
      <c r="J947" s="4" t="n"/>
      <c r="K947" s="7">
        <f>IF(OR(B947="",B947&lt;&gt;الإيصال!$C$3),"",COUNTIF(B$2:B947,الإيصال!$C$3))</f>
        <v/>
      </c>
    </row>
    <row r="948">
      <c r="A948" s="6" t="n"/>
      <c r="B948" s="4" t="n"/>
      <c r="C948" s="4" t="n"/>
      <c r="D948" s="4" t="n"/>
      <c r="E948">
        <f>IF(D948="","",IFERROR(INDEX(الأصناف!$B$2:$B$2000,MATCH(D948,الأصناف!$A$2:$A$2000,0)),"كود غير موجود"))</f>
        <v/>
      </c>
      <c r="F948" s="4" t="n"/>
      <c r="G948">
        <f>IF(D948="","",IFERROR(INDEX(الأصناف!$C$2:$C$2000,MATCH(D948,الأصناف!$A$2:$A$2000,0)),0))</f>
        <v/>
      </c>
      <c r="H948">
        <f>IF(D948="","",F948*G948)</f>
        <v/>
      </c>
      <c r="I948">
        <f>IF(D948="","",H948-F948*IFERROR(INDEX(الأصناف!$D$2:$D$2000,MATCH(D948,الأصناف!$A$2:$A$2000,0)),0))</f>
        <v/>
      </c>
      <c r="J948" s="4" t="n"/>
      <c r="K948" s="7">
        <f>IF(OR(B948="",B948&lt;&gt;الإيصال!$C$3),"",COUNTIF(B$2:B948,الإيصال!$C$3))</f>
        <v/>
      </c>
    </row>
    <row r="949">
      <c r="A949" s="6" t="n"/>
      <c r="B949" s="4" t="n"/>
      <c r="C949" s="4" t="n"/>
      <c r="D949" s="4" t="n"/>
      <c r="E949">
        <f>IF(D949="","",IFERROR(INDEX(الأصناف!$B$2:$B$2000,MATCH(D949,الأصناف!$A$2:$A$2000,0)),"كود غير موجود"))</f>
        <v/>
      </c>
      <c r="F949" s="4" t="n"/>
      <c r="G949">
        <f>IF(D949="","",IFERROR(INDEX(الأصناف!$C$2:$C$2000,MATCH(D949,الأصناف!$A$2:$A$2000,0)),0))</f>
        <v/>
      </c>
      <c r="H949">
        <f>IF(D949="","",F949*G949)</f>
        <v/>
      </c>
      <c r="I949">
        <f>IF(D949="","",H949-F949*IFERROR(INDEX(الأصناف!$D$2:$D$2000,MATCH(D949,الأصناف!$A$2:$A$2000,0)),0))</f>
        <v/>
      </c>
      <c r="J949" s="4" t="n"/>
      <c r="K949" s="7">
        <f>IF(OR(B949="",B949&lt;&gt;الإيصال!$C$3),"",COUNTIF(B$2:B949,الإيصال!$C$3))</f>
        <v/>
      </c>
    </row>
    <row r="950">
      <c r="A950" s="6" t="n"/>
      <c r="B950" s="4" t="n"/>
      <c r="C950" s="4" t="n"/>
      <c r="D950" s="4" t="n"/>
      <c r="E950">
        <f>IF(D950="","",IFERROR(INDEX(الأصناف!$B$2:$B$2000,MATCH(D950,الأصناف!$A$2:$A$2000,0)),"كود غير موجود"))</f>
        <v/>
      </c>
      <c r="F950" s="4" t="n"/>
      <c r="G950">
        <f>IF(D950="","",IFERROR(INDEX(الأصناف!$C$2:$C$2000,MATCH(D950,الأصناف!$A$2:$A$2000,0)),0))</f>
        <v/>
      </c>
      <c r="H950">
        <f>IF(D950="","",F950*G950)</f>
        <v/>
      </c>
      <c r="I950">
        <f>IF(D950="","",H950-F950*IFERROR(INDEX(الأصناف!$D$2:$D$2000,MATCH(D950,الأصناف!$A$2:$A$2000,0)),0))</f>
        <v/>
      </c>
      <c r="J950" s="4" t="n"/>
      <c r="K950" s="7">
        <f>IF(OR(B950="",B950&lt;&gt;الإيصال!$C$3),"",COUNTIF(B$2:B950,الإيصال!$C$3))</f>
        <v/>
      </c>
    </row>
    <row r="951">
      <c r="A951" s="6" t="n"/>
      <c r="B951" s="4" t="n"/>
      <c r="C951" s="4" t="n"/>
      <c r="D951" s="4" t="n"/>
      <c r="E951">
        <f>IF(D951="","",IFERROR(INDEX(الأصناف!$B$2:$B$2000,MATCH(D951,الأصناف!$A$2:$A$2000,0)),"كود غير موجود"))</f>
        <v/>
      </c>
      <c r="F951" s="4" t="n"/>
      <c r="G951">
        <f>IF(D951="","",IFERROR(INDEX(الأصناف!$C$2:$C$2000,MATCH(D951,الأصناف!$A$2:$A$2000,0)),0))</f>
        <v/>
      </c>
      <c r="H951">
        <f>IF(D951="","",F951*G951)</f>
        <v/>
      </c>
      <c r="I951">
        <f>IF(D951="","",H951-F951*IFERROR(INDEX(الأصناف!$D$2:$D$2000,MATCH(D951,الأصناف!$A$2:$A$2000,0)),0))</f>
        <v/>
      </c>
      <c r="J951" s="4" t="n"/>
      <c r="K951" s="7">
        <f>IF(OR(B951="",B951&lt;&gt;الإيصال!$C$3),"",COUNTIF(B$2:B951,الإيصال!$C$3))</f>
        <v/>
      </c>
    </row>
    <row r="952">
      <c r="A952" s="6" t="n"/>
      <c r="B952" s="4" t="n"/>
      <c r="C952" s="4" t="n"/>
      <c r="D952" s="4" t="n"/>
      <c r="E952">
        <f>IF(D952="","",IFERROR(INDEX(الأصناف!$B$2:$B$2000,MATCH(D952,الأصناف!$A$2:$A$2000,0)),"كود غير موجود"))</f>
        <v/>
      </c>
      <c r="F952" s="4" t="n"/>
      <c r="G952">
        <f>IF(D952="","",IFERROR(INDEX(الأصناف!$C$2:$C$2000,MATCH(D952,الأصناف!$A$2:$A$2000,0)),0))</f>
        <v/>
      </c>
      <c r="H952">
        <f>IF(D952="","",F952*G952)</f>
        <v/>
      </c>
      <c r="I952">
        <f>IF(D952="","",H952-F952*IFERROR(INDEX(الأصناف!$D$2:$D$2000,MATCH(D952,الأصناف!$A$2:$A$2000,0)),0))</f>
        <v/>
      </c>
      <c r="J952" s="4" t="n"/>
      <c r="K952" s="7">
        <f>IF(OR(B952="",B952&lt;&gt;الإيصال!$C$3),"",COUNTIF(B$2:B952,الإيصال!$C$3))</f>
        <v/>
      </c>
    </row>
    <row r="953">
      <c r="A953" s="6" t="n"/>
      <c r="B953" s="4" t="n"/>
      <c r="C953" s="4" t="n"/>
      <c r="D953" s="4" t="n"/>
      <c r="E953">
        <f>IF(D953="","",IFERROR(INDEX(الأصناف!$B$2:$B$2000,MATCH(D953,الأصناف!$A$2:$A$2000,0)),"كود غير موجود"))</f>
        <v/>
      </c>
      <c r="F953" s="4" t="n"/>
      <c r="G953">
        <f>IF(D953="","",IFERROR(INDEX(الأصناف!$C$2:$C$2000,MATCH(D953,الأصناف!$A$2:$A$2000,0)),0))</f>
        <v/>
      </c>
      <c r="H953">
        <f>IF(D953="","",F953*G953)</f>
        <v/>
      </c>
      <c r="I953">
        <f>IF(D953="","",H953-F953*IFERROR(INDEX(الأصناف!$D$2:$D$2000,MATCH(D953,الأصناف!$A$2:$A$2000,0)),0))</f>
        <v/>
      </c>
      <c r="J953" s="4" t="n"/>
      <c r="K953" s="7">
        <f>IF(OR(B953="",B953&lt;&gt;الإيصال!$C$3),"",COUNTIF(B$2:B953,الإيصال!$C$3))</f>
        <v/>
      </c>
    </row>
    <row r="954">
      <c r="A954" s="6" t="n"/>
      <c r="B954" s="4" t="n"/>
      <c r="C954" s="4" t="n"/>
      <c r="D954" s="4" t="n"/>
      <c r="E954">
        <f>IF(D954="","",IFERROR(INDEX(الأصناف!$B$2:$B$2000,MATCH(D954,الأصناف!$A$2:$A$2000,0)),"كود غير موجود"))</f>
        <v/>
      </c>
      <c r="F954" s="4" t="n"/>
      <c r="G954">
        <f>IF(D954="","",IFERROR(INDEX(الأصناف!$C$2:$C$2000,MATCH(D954,الأصناف!$A$2:$A$2000,0)),0))</f>
        <v/>
      </c>
      <c r="H954">
        <f>IF(D954="","",F954*G954)</f>
        <v/>
      </c>
      <c r="I954">
        <f>IF(D954="","",H954-F954*IFERROR(INDEX(الأصناف!$D$2:$D$2000,MATCH(D954,الأصناف!$A$2:$A$2000,0)),0))</f>
        <v/>
      </c>
      <c r="J954" s="4" t="n"/>
      <c r="K954" s="7">
        <f>IF(OR(B954="",B954&lt;&gt;الإيصال!$C$3),"",COUNTIF(B$2:B954,الإيصال!$C$3))</f>
        <v/>
      </c>
    </row>
    <row r="955">
      <c r="A955" s="6" t="n"/>
      <c r="B955" s="4" t="n"/>
      <c r="C955" s="4" t="n"/>
      <c r="D955" s="4" t="n"/>
      <c r="E955">
        <f>IF(D955="","",IFERROR(INDEX(الأصناف!$B$2:$B$2000,MATCH(D955,الأصناف!$A$2:$A$2000,0)),"كود غير موجود"))</f>
        <v/>
      </c>
      <c r="F955" s="4" t="n"/>
      <c r="G955">
        <f>IF(D955="","",IFERROR(INDEX(الأصناف!$C$2:$C$2000,MATCH(D955,الأصناف!$A$2:$A$2000,0)),0))</f>
        <v/>
      </c>
      <c r="H955">
        <f>IF(D955="","",F955*G955)</f>
        <v/>
      </c>
      <c r="I955">
        <f>IF(D955="","",H955-F955*IFERROR(INDEX(الأصناف!$D$2:$D$2000,MATCH(D955,الأصناف!$A$2:$A$2000,0)),0))</f>
        <v/>
      </c>
      <c r="J955" s="4" t="n"/>
      <c r="K955" s="7">
        <f>IF(OR(B955="",B955&lt;&gt;الإيصال!$C$3),"",COUNTIF(B$2:B955,الإيصال!$C$3))</f>
        <v/>
      </c>
    </row>
    <row r="956">
      <c r="A956" s="6" t="n"/>
      <c r="B956" s="4" t="n"/>
      <c r="C956" s="4" t="n"/>
      <c r="D956" s="4" t="n"/>
      <c r="E956">
        <f>IF(D956="","",IFERROR(INDEX(الأصناف!$B$2:$B$2000,MATCH(D956,الأصناف!$A$2:$A$2000,0)),"كود غير موجود"))</f>
        <v/>
      </c>
      <c r="F956" s="4" t="n"/>
      <c r="G956">
        <f>IF(D956="","",IFERROR(INDEX(الأصناف!$C$2:$C$2000,MATCH(D956,الأصناف!$A$2:$A$2000,0)),0))</f>
        <v/>
      </c>
      <c r="H956">
        <f>IF(D956="","",F956*G956)</f>
        <v/>
      </c>
      <c r="I956">
        <f>IF(D956="","",H956-F956*IFERROR(INDEX(الأصناف!$D$2:$D$2000,MATCH(D956,الأصناف!$A$2:$A$2000,0)),0))</f>
        <v/>
      </c>
      <c r="J956" s="4" t="n"/>
      <c r="K956" s="7">
        <f>IF(OR(B956="",B956&lt;&gt;الإيصال!$C$3),"",COUNTIF(B$2:B956,الإيصال!$C$3))</f>
        <v/>
      </c>
    </row>
    <row r="957">
      <c r="A957" s="6" t="n"/>
      <c r="B957" s="4" t="n"/>
      <c r="C957" s="4" t="n"/>
      <c r="D957" s="4" t="n"/>
      <c r="E957">
        <f>IF(D957="","",IFERROR(INDEX(الأصناف!$B$2:$B$2000,MATCH(D957,الأصناف!$A$2:$A$2000,0)),"كود غير موجود"))</f>
        <v/>
      </c>
      <c r="F957" s="4" t="n"/>
      <c r="G957">
        <f>IF(D957="","",IFERROR(INDEX(الأصناف!$C$2:$C$2000,MATCH(D957,الأصناف!$A$2:$A$2000,0)),0))</f>
        <v/>
      </c>
      <c r="H957">
        <f>IF(D957="","",F957*G957)</f>
        <v/>
      </c>
      <c r="I957">
        <f>IF(D957="","",H957-F957*IFERROR(INDEX(الأصناف!$D$2:$D$2000,MATCH(D957,الأصناف!$A$2:$A$2000,0)),0))</f>
        <v/>
      </c>
      <c r="J957" s="4" t="n"/>
      <c r="K957" s="7">
        <f>IF(OR(B957="",B957&lt;&gt;الإيصال!$C$3),"",COUNTIF(B$2:B957,الإيصال!$C$3))</f>
        <v/>
      </c>
    </row>
    <row r="958">
      <c r="A958" s="6" t="n"/>
      <c r="B958" s="4" t="n"/>
      <c r="C958" s="4" t="n"/>
      <c r="D958" s="4" t="n"/>
      <c r="E958">
        <f>IF(D958="","",IFERROR(INDEX(الأصناف!$B$2:$B$2000,MATCH(D958,الأصناف!$A$2:$A$2000,0)),"كود غير موجود"))</f>
        <v/>
      </c>
      <c r="F958" s="4" t="n"/>
      <c r="G958">
        <f>IF(D958="","",IFERROR(INDEX(الأصناف!$C$2:$C$2000,MATCH(D958,الأصناف!$A$2:$A$2000,0)),0))</f>
        <v/>
      </c>
      <c r="H958">
        <f>IF(D958="","",F958*G958)</f>
        <v/>
      </c>
      <c r="I958">
        <f>IF(D958="","",H958-F958*IFERROR(INDEX(الأصناف!$D$2:$D$2000,MATCH(D958,الأصناف!$A$2:$A$2000,0)),0))</f>
        <v/>
      </c>
      <c r="J958" s="4" t="n"/>
      <c r="K958" s="7">
        <f>IF(OR(B958="",B958&lt;&gt;الإيصال!$C$3),"",COUNTIF(B$2:B958,الإيصال!$C$3))</f>
        <v/>
      </c>
    </row>
    <row r="959">
      <c r="A959" s="6" t="n"/>
      <c r="B959" s="4" t="n"/>
      <c r="C959" s="4" t="n"/>
      <c r="D959" s="4" t="n"/>
      <c r="E959">
        <f>IF(D959="","",IFERROR(INDEX(الأصناف!$B$2:$B$2000,MATCH(D959,الأصناف!$A$2:$A$2000,0)),"كود غير موجود"))</f>
        <v/>
      </c>
      <c r="F959" s="4" t="n"/>
      <c r="G959">
        <f>IF(D959="","",IFERROR(INDEX(الأصناف!$C$2:$C$2000,MATCH(D959,الأصناف!$A$2:$A$2000,0)),0))</f>
        <v/>
      </c>
      <c r="H959">
        <f>IF(D959="","",F959*G959)</f>
        <v/>
      </c>
      <c r="I959">
        <f>IF(D959="","",H959-F959*IFERROR(INDEX(الأصناف!$D$2:$D$2000,MATCH(D959,الأصناف!$A$2:$A$2000,0)),0))</f>
        <v/>
      </c>
      <c r="J959" s="4" t="n"/>
      <c r="K959" s="7">
        <f>IF(OR(B959="",B959&lt;&gt;الإيصال!$C$3),"",COUNTIF(B$2:B959,الإيصال!$C$3))</f>
        <v/>
      </c>
    </row>
    <row r="960">
      <c r="A960" s="6" t="n"/>
      <c r="B960" s="4" t="n"/>
      <c r="C960" s="4" t="n"/>
      <c r="D960" s="4" t="n"/>
      <c r="E960">
        <f>IF(D960="","",IFERROR(INDEX(الأصناف!$B$2:$B$2000,MATCH(D960,الأصناف!$A$2:$A$2000,0)),"كود غير موجود"))</f>
        <v/>
      </c>
      <c r="F960" s="4" t="n"/>
      <c r="G960">
        <f>IF(D960="","",IFERROR(INDEX(الأصناف!$C$2:$C$2000,MATCH(D960,الأصناف!$A$2:$A$2000,0)),0))</f>
        <v/>
      </c>
      <c r="H960">
        <f>IF(D960="","",F960*G960)</f>
        <v/>
      </c>
      <c r="I960">
        <f>IF(D960="","",H960-F960*IFERROR(INDEX(الأصناف!$D$2:$D$2000,MATCH(D960,الأصناف!$A$2:$A$2000,0)),0))</f>
        <v/>
      </c>
      <c r="J960" s="4" t="n"/>
      <c r="K960" s="7">
        <f>IF(OR(B960="",B960&lt;&gt;الإيصال!$C$3),"",COUNTIF(B$2:B960,الإيصال!$C$3))</f>
        <v/>
      </c>
    </row>
    <row r="961">
      <c r="A961" s="6" t="n"/>
      <c r="B961" s="4" t="n"/>
      <c r="C961" s="4" t="n"/>
      <c r="D961" s="4" t="n"/>
      <c r="E961">
        <f>IF(D961="","",IFERROR(INDEX(الأصناف!$B$2:$B$2000,MATCH(D961,الأصناف!$A$2:$A$2000,0)),"كود غير موجود"))</f>
        <v/>
      </c>
      <c r="F961" s="4" t="n"/>
      <c r="G961">
        <f>IF(D961="","",IFERROR(INDEX(الأصناف!$C$2:$C$2000,MATCH(D961,الأصناف!$A$2:$A$2000,0)),0))</f>
        <v/>
      </c>
      <c r="H961">
        <f>IF(D961="","",F961*G961)</f>
        <v/>
      </c>
      <c r="I961">
        <f>IF(D961="","",H961-F961*IFERROR(INDEX(الأصناف!$D$2:$D$2000,MATCH(D961,الأصناف!$A$2:$A$2000,0)),0))</f>
        <v/>
      </c>
      <c r="J961" s="4" t="n"/>
      <c r="K961" s="7">
        <f>IF(OR(B961="",B961&lt;&gt;الإيصال!$C$3),"",COUNTIF(B$2:B961,الإيصال!$C$3))</f>
        <v/>
      </c>
    </row>
    <row r="962">
      <c r="A962" s="6" t="n"/>
      <c r="B962" s="4" t="n"/>
      <c r="C962" s="4" t="n"/>
      <c r="D962" s="4" t="n"/>
      <c r="E962">
        <f>IF(D962="","",IFERROR(INDEX(الأصناف!$B$2:$B$2000,MATCH(D962,الأصناف!$A$2:$A$2000,0)),"كود غير موجود"))</f>
        <v/>
      </c>
      <c r="F962" s="4" t="n"/>
      <c r="G962">
        <f>IF(D962="","",IFERROR(INDEX(الأصناف!$C$2:$C$2000,MATCH(D962,الأصناف!$A$2:$A$2000,0)),0))</f>
        <v/>
      </c>
      <c r="H962">
        <f>IF(D962="","",F962*G962)</f>
        <v/>
      </c>
      <c r="I962">
        <f>IF(D962="","",H962-F962*IFERROR(INDEX(الأصناف!$D$2:$D$2000,MATCH(D962,الأصناف!$A$2:$A$2000,0)),0))</f>
        <v/>
      </c>
      <c r="J962" s="4" t="n"/>
      <c r="K962" s="7">
        <f>IF(OR(B962="",B962&lt;&gt;الإيصال!$C$3),"",COUNTIF(B$2:B962,الإيصال!$C$3))</f>
        <v/>
      </c>
    </row>
    <row r="963">
      <c r="A963" s="6" t="n"/>
      <c r="B963" s="4" t="n"/>
      <c r="C963" s="4" t="n"/>
      <c r="D963" s="4" t="n"/>
      <c r="E963">
        <f>IF(D963="","",IFERROR(INDEX(الأصناف!$B$2:$B$2000,MATCH(D963,الأصناف!$A$2:$A$2000,0)),"كود غير موجود"))</f>
        <v/>
      </c>
      <c r="F963" s="4" t="n"/>
      <c r="G963">
        <f>IF(D963="","",IFERROR(INDEX(الأصناف!$C$2:$C$2000,MATCH(D963,الأصناف!$A$2:$A$2000,0)),0))</f>
        <v/>
      </c>
      <c r="H963">
        <f>IF(D963="","",F963*G963)</f>
        <v/>
      </c>
      <c r="I963">
        <f>IF(D963="","",H963-F963*IFERROR(INDEX(الأصناف!$D$2:$D$2000,MATCH(D963,الأصناف!$A$2:$A$2000,0)),0))</f>
        <v/>
      </c>
      <c r="J963" s="4" t="n"/>
      <c r="K963" s="7">
        <f>IF(OR(B963="",B963&lt;&gt;الإيصال!$C$3),"",COUNTIF(B$2:B963,الإيصال!$C$3))</f>
        <v/>
      </c>
    </row>
    <row r="964">
      <c r="A964" s="6" t="n"/>
      <c r="B964" s="4" t="n"/>
      <c r="C964" s="4" t="n"/>
      <c r="D964" s="4" t="n"/>
      <c r="E964">
        <f>IF(D964="","",IFERROR(INDEX(الأصناف!$B$2:$B$2000,MATCH(D964,الأصناف!$A$2:$A$2000,0)),"كود غير موجود"))</f>
        <v/>
      </c>
      <c r="F964" s="4" t="n"/>
      <c r="G964">
        <f>IF(D964="","",IFERROR(INDEX(الأصناف!$C$2:$C$2000,MATCH(D964,الأصناف!$A$2:$A$2000,0)),0))</f>
        <v/>
      </c>
      <c r="H964">
        <f>IF(D964="","",F964*G964)</f>
        <v/>
      </c>
      <c r="I964">
        <f>IF(D964="","",H964-F964*IFERROR(INDEX(الأصناف!$D$2:$D$2000,MATCH(D964,الأصناف!$A$2:$A$2000,0)),0))</f>
        <v/>
      </c>
      <c r="J964" s="4" t="n"/>
      <c r="K964" s="7">
        <f>IF(OR(B964="",B964&lt;&gt;الإيصال!$C$3),"",COUNTIF(B$2:B964,الإيصال!$C$3))</f>
        <v/>
      </c>
    </row>
    <row r="965">
      <c r="A965" s="6" t="n"/>
      <c r="B965" s="4" t="n"/>
      <c r="C965" s="4" t="n"/>
      <c r="D965" s="4" t="n"/>
      <c r="E965">
        <f>IF(D965="","",IFERROR(INDEX(الأصناف!$B$2:$B$2000,MATCH(D965,الأصناف!$A$2:$A$2000,0)),"كود غير موجود"))</f>
        <v/>
      </c>
      <c r="F965" s="4" t="n"/>
      <c r="G965">
        <f>IF(D965="","",IFERROR(INDEX(الأصناف!$C$2:$C$2000,MATCH(D965,الأصناف!$A$2:$A$2000,0)),0))</f>
        <v/>
      </c>
      <c r="H965">
        <f>IF(D965="","",F965*G965)</f>
        <v/>
      </c>
      <c r="I965">
        <f>IF(D965="","",H965-F965*IFERROR(INDEX(الأصناف!$D$2:$D$2000,MATCH(D965,الأصناف!$A$2:$A$2000,0)),0))</f>
        <v/>
      </c>
      <c r="J965" s="4" t="n"/>
      <c r="K965" s="7">
        <f>IF(OR(B965="",B965&lt;&gt;الإيصال!$C$3),"",COUNTIF(B$2:B965,الإيصال!$C$3))</f>
        <v/>
      </c>
    </row>
    <row r="966">
      <c r="A966" s="6" t="n"/>
      <c r="B966" s="4" t="n"/>
      <c r="C966" s="4" t="n"/>
      <c r="D966" s="4" t="n"/>
      <c r="E966">
        <f>IF(D966="","",IFERROR(INDEX(الأصناف!$B$2:$B$2000,MATCH(D966,الأصناف!$A$2:$A$2000,0)),"كود غير موجود"))</f>
        <v/>
      </c>
      <c r="F966" s="4" t="n"/>
      <c r="G966">
        <f>IF(D966="","",IFERROR(INDEX(الأصناف!$C$2:$C$2000,MATCH(D966,الأصناف!$A$2:$A$2000,0)),0))</f>
        <v/>
      </c>
      <c r="H966">
        <f>IF(D966="","",F966*G966)</f>
        <v/>
      </c>
      <c r="I966">
        <f>IF(D966="","",H966-F966*IFERROR(INDEX(الأصناف!$D$2:$D$2000,MATCH(D966,الأصناف!$A$2:$A$2000,0)),0))</f>
        <v/>
      </c>
      <c r="J966" s="4" t="n"/>
      <c r="K966" s="7">
        <f>IF(OR(B966="",B966&lt;&gt;الإيصال!$C$3),"",COUNTIF(B$2:B966,الإيصال!$C$3))</f>
        <v/>
      </c>
    </row>
    <row r="967">
      <c r="A967" s="6" t="n"/>
      <c r="B967" s="4" t="n"/>
      <c r="C967" s="4" t="n"/>
      <c r="D967" s="4" t="n"/>
      <c r="E967">
        <f>IF(D967="","",IFERROR(INDEX(الأصناف!$B$2:$B$2000,MATCH(D967,الأصناف!$A$2:$A$2000,0)),"كود غير موجود"))</f>
        <v/>
      </c>
      <c r="F967" s="4" t="n"/>
      <c r="G967">
        <f>IF(D967="","",IFERROR(INDEX(الأصناف!$C$2:$C$2000,MATCH(D967,الأصناف!$A$2:$A$2000,0)),0))</f>
        <v/>
      </c>
      <c r="H967">
        <f>IF(D967="","",F967*G967)</f>
        <v/>
      </c>
      <c r="I967">
        <f>IF(D967="","",H967-F967*IFERROR(INDEX(الأصناف!$D$2:$D$2000,MATCH(D967,الأصناف!$A$2:$A$2000,0)),0))</f>
        <v/>
      </c>
      <c r="J967" s="4" t="n"/>
      <c r="K967" s="7">
        <f>IF(OR(B967="",B967&lt;&gt;الإيصال!$C$3),"",COUNTIF(B$2:B967,الإيصال!$C$3))</f>
        <v/>
      </c>
    </row>
    <row r="968">
      <c r="A968" s="6" t="n"/>
      <c r="B968" s="4" t="n"/>
      <c r="C968" s="4" t="n"/>
      <c r="D968" s="4" t="n"/>
      <c r="E968">
        <f>IF(D968="","",IFERROR(INDEX(الأصناف!$B$2:$B$2000,MATCH(D968,الأصناف!$A$2:$A$2000,0)),"كود غير موجود"))</f>
        <v/>
      </c>
      <c r="F968" s="4" t="n"/>
      <c r="G968">
        <f>IF(D968="","",IFERROR(INDEX(الأصناف!$C$2:$C$2000,MATCH(D968,الأصناف!$A$2:$A$2000,0)),0))</f>
        <v/>
      </c>
      <c r="H968">
        <f>IF(D968="","",F968*G968)</f>
        <v/>
      </c>
      <c r="I968">
        <f>IF(D968="","",H968-F968*IFERROR(INDEX(الأصناف!$D$2:$D$2000,MATCH(D968,الأصناف!$A$2:$A$2000,0)),0))</f>
        <v/>
      </c>
      <c r="J968" s="4" t="n"/>
      <c r="K968" s="7">
        <f>IF(OR(B968="",B968&lt;&gt;الإيصال!$C$3),"",COUNTIF(B$2:B968,الإيصال!$C$3))</f>
        <v/>
      </c>
    </row>
    <row r="969">
      <c r="A969" s="6" t="n"/>
      <c r="B969" s="4" t="n"/>
      <c r="C969" s="4" t="n"/>
      <c r="D969" s="4" t="n"/>
      <c r="E969">
        <f>IF(D969="","",IFERROR(INDEX(الأصناف!$B$2:$B$2000,MATCH(D969,الأصناف!$A$2:$A$2000,0)),"كود غير موجود"))</f>
        <v/>
      </c>
      <c r="F969" s="4" t="n"/>
      <c r="G969">
        <f>IF(D969="","",IFERROR(INDEX(الأصناف!$C$2:$C$2000,MATCH(D969,الأصناف!$A$2:$A$2000,0)),0))</f>
        <v/>
      </c>
      <c r="H969">
        <f>IF(D969="","",F969*G969)</f>
        <v/>
      </c>
      <c r="I969">
        <f>IF(D969="","",H969-F969*IFERROR(INDEX(الأصناف!$D$2:$D$2000,MATCH(D969,الأصناف!$A$2:$A$2000,0)),0))</f>
        <v/>
      </c>
      <c r="J969" s="4" t="n"/>
      <c r="K969" s="7">
        <f>IF(OR(B969="",B969&lt;&gt;الإيصال!$C$3),"",COUNTIF(B$2:B969,الإيصال!$C$3))</f>
        <v/>
      </c>
    </row>
    <row r="970">
      <c r="A970" s="6" t="n"/>
      <c r="B970" s="4" t="n"/>
      <c r="C970" s="4" t="n"/>
      <c r="D970" s="4" t="n"/>
      <c r="E970">
        <f>IF(D970="","",IFERROR(INDEX(الأصناف!$B$2:$B$2000,MATCH(D970,الأصناف!$A$2:$A$2000,0)),"كود غير موجود"))</f>
        <v/>
      </c>
      <c r="F970" s="4" t="n"/>
      <c r="G970">
        <f>IF(D970="","",IFERROR(INDEX(الأصناف!$C$2:$C$2000,MATCH(D970,الأصناف!$A$2:$A$2000,0)),0))</f>
        <v/>
      </c>
      <c r="H970">
        <f>IF(D970="","",F970*G970)</f>
        <v/>
      </c>
      <c r="I970">
        <f>IF(D970="","",H970-F970*IFERROR(INDEX(الأصناف!$D$2:$D$2000,MATCH(D970,الأصناف!$A$2:$A$2000,0)),0))</f>
        <v/>
      </c>
      <c r="J970" s="4" t="n"/>
      <c r="K970" s="7">
        <f>IF(OR(B970="",B970&lt;&gt;الإيصال!$C$3),"",COUNTIF(B$2:B970,الإيصال!$C$3))</f>
        <v/>
      </c>
    </row>
    <row r="971">
      <c r="A971" s="6" t="n"/>
      <c r="B971" s="4" t="n"/>
      <c r="C971" s="4" t="n"/>
      <c r="D971" s="4" t="n"/>
      <c r="E971">
        <f>IF(D971="","",IFERROR(INDEX(الأصناف!$B$2:$B$2000,MATCH(D971,الأصناف!$A$2:$A$2000,0)),"كود غير موجود"))</f>
        <v/>
      </c>
      <c r="F971" s="4" t="n"/>
      <c r="G971">
        <f>IF(D971="","",IFERROR(INDEX(الأصناف!$C$2:$C$2000,MATCH(D971,الأصناف!$A$2:$A$2000,0)),0))</f>
        <v/>
      </c>
      <c r="H971">
        <f>IF(D971="","",F971*G971)</f>
        <v/>
      </c>
      <c r="I971">
        <f>IF(D971="","",H971-F971*IFERROR(INDEX(الأصناف!$D$2:$D$2000,MATCH(D971,الأصناف!$A$2:$A$2000,0)),0))</f>
        <v/>
      </c>
      <c r="J971" s="4" t="n"/>
      <c r="K971" s="7">
        <f>IF(OR(B971="",B971&lt;&gt;الإيصال!$C$3),"",COUNTIF(B$2:B971,الإيصال!$C$3))</f>
        <v/>
      </c>
    </row>
    <row r="972">
      <c r="A972" s="6" t="n"/>
      <c r="B972" s="4" t="n"/>
      <c r="C972" s="4" t="n"/>
      <c r="D972" s="4" t="n"/>
      <c r="E972">
        <f>IF(D972="","",IFERROR(INDEX(الأصناف!$B$2:$B$2000,MATCH(D972,الأصناف!$A$2:$A$2000,0)),"كود غير موجود"))</f>
        <v/>
      </c>
      <c r="F972" s="4" t="n"/>
      <c r="G972">
        <f>IF(D972="","",IFERROR(INDEX(الأصناف!$C$2:$C$2000,MATCH(D972,الأصناف!$A$2:$A$2000,0)),0))</f>
        <v/>
      </c>
      <c r="H972">
        <f>IF(D972="","",F972*G972)</f>
        <v/>
      </c>
      <c r="I972">
        <f>IF(D972="","",H972-F972*IFERROR(INDEX(الأصناف!$D$2:$D$2000,MATCH(D972,الأصناف!$A$2:$A$2000,0)),0))</f>
        <v/>
      </c>
      <c r="J972" s="4" t="n"/>
      <c r="K972" s="7">
        <f>IF(OR(B972="",B972&lt;&gt;الإيصال!$C$3),"",COUNTIF(B$2:B972,الإيصال!$C$3))</f>
        <v/>
      </c>
    </row>
    <row r="973">
      <c r="A973" s="6" t="n"/>
      <c r="B973" s="4" t="n"/>
      <c r="C973" s="4" t="n"/>
      <c r="D973" s="4" t="n"/>
      <c r="E973">
        <f>IF(D973="","",IFERROR(INDEX(الأصناف!$B$2:$B$2000,MATCH(D973,الأصناف!$A$2:$A$2000,0)),"كود غير موجود"))</f>
        <v/>
      </c>
      <c r="F973" s="4" t="n"/>
      <c r="G973">
        <f>IF(D973="","",IFERROR(INDEX(الأصناف!$C$2:$C$2000,MATCH(D973,الأصناف!$A$2:$A$2000,0)),0))</f>
        <v/>
      </c>
      <c r="H973">
        <f>IF(D973="","",F973*G973)</f>
        <v/>
      </c>
      <c r="I973">
        <f>IF(D973="","",H973-F973*IFERROR(INDEX(الأصناف!$D$2:$D$2000,MATCH(D973,الأصناف!$A$2:$A$2000,0)),0))</f>
        <v/>
      </c>
      <c r="J973" s="4" t="n"/>
      <c r="K973" s="7">
        <f>IF(OR(B973="",B973&lt;&gt;الإيصال!$C$3),"",COUNTIF(B$2:B973,الإيصال!$C$3))</f>
        <v/>
      </c>
    </row>
    <row r="974">
      <c r="A974" s="6" t="n"/>
      <c r="B974" s="4" t="n"/>
      <c r="C974" s="4" t="n"/>
      <c r="D974" s="4" t="n"/>
      <c r="E974">
        <f>IF(D974="","",IFERROR(INDEX(الأصناف!$B$2:$B$2000,MATCH(D974,الأصناف!$A$2:$A$2000,0)),"كود غير موجود"))</f>
        <v/>
      </c>
      <c r="F974" s="4" t="n"/>
      <c r="G974">
        <f>IF(D974="","",IFERROR(INDEX(الأصناف!$C$2:$C$2000,MATCH(D974,الأصناف!$A$2:$A$2000,0)),0))</f>
        <v/>
      </c>
      <c r="H974">
        <f>IF(D974="","",F974*G974)</f>
        <v/>
      </c>
      <c r="I974">
        <f>IF(D974="","",H974-F974*IFERROR(INDEX(الأصناف!$D$2:$D$2000,MATCH(D974,الأصناف!$A$2:$A$2000,0)),0))</f>
        <v/>
      </c>
      <c r="J974" s="4" t="n"/>
      <c r="K974" s="7">
        <f>IF(OR(B974="",B974&lt;&gt;الإيصال!$C$3),"",COUNTIF(B$2:B974,الإيصال!$C$3))</f>
        <v/>
      </c>
    </row>
    <row r="975">
      <c r="A975" s="6" t="n"/>
      <c r="B975" s="4" t="n"/>
      <c r="C975" s="4" t="n"/>
      <c r="D975" s="4" t="n"/>
      <c r="E975">
        <f>IF(D975="","",IFERROR(INDEX(الأصناف!$B$2:$B$2000,MATCH(D975,الأصناف!$A$2:$A$2000,0)),"كود غير موجود"))</f>
        <v/>
      </c>
      <c r="F975" s="4" t="n"/>
      <c r="G975">
        <f>IF(D975="","",IFERROR(INDEX(الأصناف!$C$2:$C$2000,MATCH(D975,الأصناف!$A$2:$A$2000,0)),0))</f>
        <v/>
      </c>
      <c r="H975">
        <f>IF(D975="","",F975*G975)</f>
        <v/>
      </c>
      <c r="I975">
        <f>IF(D975="","",H975-F975*IFERROR(INDEX(الأصناف!$D$2:$D$2000,MATCH(D975,الأصناف!$A$2:$A$2000,0)),0))</f>
        <v/>
      </c>
      <c r="J975" s="4" t="n"/>
      <c r="K975" s="7">
        <f>IF(OR(B975="",B975&lt;&gt;الإيصال!$C$3),"",COUNTIF(B$2:B975,الإيصال!$C$3))</f>
        <v/>
      </c>
    </row>
    <row r="976">
      <c r="A976" s="6" t="n"/>
      <c r="B976" s="4" t="n"/>
      <c r="C976" s="4" t="n"/>
      <c r="D976" s="4" t="n"/>
      <c r="E976">
        <f>IF(D976="","",IFERROR(INDEX(الأصناف!$B$2:$B$2000,MATCH(D976,الأصناف!$A$2:$A$2000,0)),"كود غير موجود"))</f>
        <v/>
      </c>
      <c r="F976" s="4" t="n"/>
      <c r="G976">
        <f>IF(D976="","",IFERROR(INDEX(الأصناف!$C$2:$C$2000,MATCH(D976,الأصناف!$A$2:$A$2000,0)),0))</f>
        <v/>
      </c>
      <c r="H976">
        <f>IF(D976="","",F976*G976)</f>
        <v/>
      </c>
      <c r="I976">
        <f>IF(D976="","",H976-F976*IFERROR(INDEX(الأصناف!$D$2:$D$2000,MATCH(D976,الأصناف!$A$2:$A$2000,0)),0))</f>
        <v/>
      </c>
      <c r="J976" s="4" t="n"/>
      <c r="K976" s="7">
        <f>IF(OR(B976="",B976&lt;&gt;الإيصال!$C$3),"",COUNTIF(B$2:B976,الإيصال!$C$3))</f>
        <v/>
      </c>
    </row>
    <row r="977">
      <c r="A977" s="6" t="n"/>
      <c r="B977" s="4" t="n"/>
      <c r="C977" s="4" t="n"/>
      <c r="D977" s="4" t="n"/>
      <c r="E977">
        <f>IF(D977="","",IFERROR(INDEX(الأصناف!$B$2:$B$2000,MATCH(D977,الأصناف!$A$2:$A$2000,0)),"كود غير موجود"))</f>
        <v/>
      </c>
      <c r="F977" s="4" t="n"/>
      <c r="G977">
        <f>IF(D977="","",IFERROR(INDEX(الأصناف!$C$2:$C$2000,MATCH(D977,الأصناف!$A$2:$A$2000,0)),0))</f>
        <v/>
      </c>
      <c r="H977">
        <f>IF(D977="","",F977*G977)</f>
        <v/>
      </c>
      <c r="I977">
        <f>IF(D977="","",H977-F977*IFERROR(INDEX(الأصناف!$D$2:$D$2000,MATCH(D977,الأصناف!$A$2:$A$2000,0)),0))</f>
        <v/>
      </c>
      <c r="J977" s="4" t="n"/>
      <c r="K977" s="7">
        <f>IF(OR(B977="",B977&lt;&gt;الإيصال!$C$3),"",COUNTIF(B$2:B977,الإيصال!$C$3))</f>
        <v/>
      </c>
    </row>
    <row r="978">
      <c r="A978" s="6" t="n"/>
      <c r="B978" s="4" t="n"/>
      <c r="C978" s="4" t="n"/>
      <c r="D978" s="4" t="n"/>
      <c r="E978">
        <f>IF(D978="","",IFERROR(INDEX(الأصناف!$B$2:$B$2000,MATCH(D978,الأصناف!$A$2:$A$2000,0)),"كود غير موجود"))</f>
        <v/>
      </c>
      <c r="F978" s="4" t="n"/>
      <c r="G978">
        <f>IF(D978="","",IFERROR(INDEX(الأصناف!$C$2:$C$2000,MATCH(D978,الأصناف!$A$2:$A$2000,0)),0))</f>
        <v/>
      </c>
      <c r="H978">
        <f>IF(D978="","",F978*G978)</f>
        <v/>
      </c>
      <c r="I978">
        <f>IF(D978="","",H978-F978*IFERROR(INDEX(الأصناف!$D$2:$D$2000,MATCH(D978,الأصناف!$A$2:$A$2000,0)),0))</f>
        <v/>
      </c>
      <c r="J978" s="4" t="n"/>
      <c r="K978" s="7">
        <f>IF(OR(B978="",B978&lt;&gt;الإيصال!$C$3),"",COUNTIF(B$2:B978,الإيصال!$C$3))</f>
        <v/>
      </c>
    </row>
    <row r="979">
      <c r="A979" s="6" t="n"/>
      <c r="B979" s="4" t="n"/>
      <c r="C979" s="4" t="n"/>
      <c r="D979" s="4" t="n"/>
      <c r="E979">
        <f>IF(D979="","",IFERROR(INDEX(الأصناف!$B$2:$B$2000,MATCH(D979,الأصناف!$A$2:$A$2000,0)),"كود غير موجود"))</f>
        <v/>
      </c>
      <c r="F979" s="4" t="n"/>
      <c r="G979">
        <f>IF(D979="","",IFERROR(INDEX(الأصناف!$C$2:$C$2000,MATCH(D979,الأصناف!$A$2:$A$2000,0)),0))</f>
        <v/>
      </c>
      <c r="H979">
        <f>IF(D979="","",F979*G979)</f>
        <v/>
      </c>
      <c r="I979">
        <f>IF(D979="","",H979-F979*IFERROR(INDEX(الأصناف!$D$2:$D$2000,MATCH(D979,الأصناف!$A$2:$A$2000,0)),0))</f>
        <v/>
      </c>
      <c r="J979" s="4" t="n"/>
      <c r="K979" s="7">
        <f>IF(OR(B979="",B979&lt;&gt;الإيصال!$C$3),"",COUNTIF(B$2:B979,الإيصال!$C$3))</f>
        <v/>
      </c>
    </row>
    <row r="980">
      <c r="A980" s="6" t="n"/>
      <c r="B980" s="4" t="n"/>
      <c r="C980" s="4" t="n"/>
      <c r="D980" s="4" t="n"/>
      <c r="E980">
        <f>IF(D980="","",IFERROR(INDEX(الأصناف!$B$2:$B$2000,MATCH(D980,الأصناف!$A$2:$A$2000,0)),"كود غير موجود"))</f>
        <v/>
      </c>
      <c r="F980" s="4" t="n"/>
      <c r="G980">
        <f>IF(D980="","",IFERROR(INDEX(الأصناف!$C$2:$C$2000,MATCH(D980,الأصناف!$A$2:$A$2000,0)),0))</f>
        <v/>
      </c>
      <c r="H980">
        <f>IF(D980="","",F980*G980)</f>
        <v/>
      </c>
      <c r="I980">
        <f>IF(D980="","",H980-F980*IFERROR(INDEX(الأصناف!$D$2:$D$2000,MATCH(D980,الأصناف!$A$2:$A$2000,0)),0))</f>
        <v/>
      </c>
      <c r="J980" s="4" t="n"/>
      <c r="K980" s="7">
        <f>IF(OR(B980="",B980&lt;&gt;الإيصال!$C$3),"",COUNTIF(B$2:B980,الإيصال!$C$3))</f>
        <v/>
      </c>
    </row>
    <row r="981">
      <c r="A981" s="6" t="n"/>
      <c r="B981" s="4" t="n"/>
      <c r="C981" s="4" t="n"/>
      <c r="D981" s="4" t="n"/>
      <c r="E981">
        <f>IF(D981="","",IFERROR(INDEX(الأصناف!$B$2:$B$2000,MATCH(D981,الأصناف!$A$2:$A$2000,0)),"كود غير موجود"))</f>
        <v/>
      </c>
      <c r="F981" s="4" t="n"/>
      <c r="G981">
        <f>IF(D981="","",IFERROR(INDEX(الأصناف!$C$2:$C$2000,MATCH(D981,الأصناف!$A$2:$A$2000,0)),0))</f>
        <v/>
      </c>
      <c r="H981">
        <f>IF(D981="","",F981*G981)</f>
        <v/>
      </c>
      <c r="I981">
        <f>IF(D981="","",H981-F981*IFERROR(INDEX(الأصناف!$D$2:$D$2000,MATCH(D981,الأصناف!$A$2:$A$2000,0)),0))</f>
        <v/>
      </c>
      <c r="J981" s="4" t="n"/>
      <c r="K981" s="7">
        <f>IF(OR(B981="",B981&lt;&gt;الإيصال!$C$3),"",COUNTIF(B$2:B981,الإيصال!$C$3))</f>
        <v/>
      </c>
    </row>
    <row r="982">
      <c r="A982" s="6" t="n"/>
      <c r="B982" s="4" t="n"/>
      <c r="C982" s="4" t="n"/>
      <c r="D982" s="4" t="n"/>
      <c r="E982">
        <f>IF(D982="","",IFERROR(INDEX(الأصناف!$B$2:$B$2000,MATCH(D982,الأصناف!$A$2:$A$2000,0)),"كود غير موجود"))</f>
        <v/>
      </c>
      <c r="F982" s="4" t="n"/>
      <c r="G982">
        <f>IF(D982="","",IFERROR(INDEX(الأصناف!$C$2:$C$2000,MATCH(D982,الأصناف!$A$2:$A$2000,0)),0))</f>
        <v/>
      </c>
      <c r="H982">
        <f>IF(D982="","",F982*G982)</f>
        <v/>
      </c>
      <c r="I982">
        <f>IF(D982="","",H982-F982*IFERROR(INDEX(الأصناف!$D$2:$D$2000,MATCH(D982,الأصناف!$A$2:$A$2000,0)),0))</f>
        <v/>
      </c>
      <c r="J982" s="4" t="n"/>
      <c r="K982" s="7">
        <f>IF(OR(B982="",B982&lt;&gt;الإيصال!$C$3),"",COUNTIF(B$2:B982,الإيصال!$C$3))</f>
        <v/>
      </c>
    </row>
    <row r="983">
      <c r="A983" s="6" t="n"/>
      <c r="B983" s="4" t="n"/>
      <c r="C983" s="4" t="n"/>
      <c r="D983" s="4" t="n"/>
      <c r="E983">
        <f>IF(D983="","",IFERROR(INDEX(الأصناف!$B$2:$B$2000,MATCH(D983,الأصناف!$A$2:$A$2000,0)),"كود غير موجود"))</f>
        <v/>
      </c>
      <c r="F983" s="4" t="n"/>
      <c r="G983">
        <f>IF(D983="","",IFERROR(INDEX(الأصناف!$C$2:$C$2000,MATCH(D983,الأصناف!$A$2:$A$2000,0)),0))</f>
        <v/>
      </c>
      <c r="H983">
        <f>IF(D983="","",F983*G983)</f>
        <v/>
      </c>
      <c r="I983">
        <f>IF(D983="","",H983-F983*IFERROR(INDEX(الأصناف!$D$2:$D$2000,MATCH(D983,الأصناف!$A$2:$A$2000,0)),0))</f>
        <v/>
      </c>
      <c r="J983" s="4" t="n"/>
      <c r="K983" s="7">
        <f>IF(OR(B983="",B983&lt;&gt;الإيصال!$C$3),"",COUNTIF(B$2:B983,الإيصال!$C$3))</f>
        <v/>
      </c>
    </row>
    <row r="984">
      <c r="A984" s="6" t="n"/>
      <c r="B984" s="4" t="n"/>
      <c r="C984" s="4" t="n"/>
      <c r="D984" s="4" t="n"/>
      <c r="E984">
        <f>IF(D984="","",IFERROR(INDEX(الأصناف!$B$2:$B$2000,MATCH(D984,الأصناف!$A$2:$A$2000,0)),"كود غير موجود"))</f>
        <v/>
      </c>
      <c r="F984" s="4" t="n"/>
      <c r="G984">
        <f>IF(D984="","",IFERROR(INDEX(الأصناف!$C$2:$C$2000,MATCH(D984,الأصناف!$A$2:$A$2000,0)),0))</f>
        <v/>
      </c>
      <c r="H984">
        <f>IF(D984="","",F984*G984)</f>
        <v/>
      </c>
      <c r="I984">
        <f>IF(D984="","",H984-F984*IFERROR(INDEX(الأصناف!$D$2:$D$2000,MATCH(D984,الأصناف!$A$2:$A$2000,0)),0))</f>
        <v/>
      </c>
      <c r="J984" s="4" t="n"/>
      <c r="K984" s="7">
        <f>IF(OR(B984="",B984&lt;&gt;الإيصال!$C$3),"",COUNTIF(B$2:B984,الإيصال!$C$3))</f>
        <v/>
      </c>
    </row>
    <row r="985">
      <c r="A985" s="6" t="n"/>
      <c r="B985" s="4" t="n"/>
      <c r="C985" s="4" t="n"/>
      <c r="D985" s="4" t="n"/>
      <c r="E985">
        <f>IF(D985="","",IFERROR(INDEX(الأصناف!$B$2:$B$2000,MATCH(D985,الأصناف!$A$2:$A$2000,0)),"كود غير موجود"))</f>
        <v/>
      </c>
      <c r="F985" s="4" t="n"/>
      <c r="G985">
        <f>IF(D985="","",IFERROR(INDEX(الأصناف!$C$2:$C$2000,MATCH(D985,الأصناف!$A$2:$A$2000,0)),0))</f>
        <v/>
      </c>
      <c r="H985">
        <f>IF(D985="","",F985*G985)</f>
        <v/>
      </c>
      <c r="I985">
        <f>IF(D985="","",H985-F985*IFERROR(INDEX(الأصناف!$D$2:$D$2000,MATCH(D985,الأصناف!$A$2:$A$2000,0)),0))</f>
        <v/>
      </c>
      <c r="J985" s="4" t="n"/>
      <c r="K985" s="7">
        <f>IF(OR(B985="",B985&lt;&gt;الإيصال!$C$3),"",COUNTIF(B$2:B985,الإيصال!$C$3))</f>
        <v/>
      </c>
    </row>
    <row r="986">
      <c r="A986" s="6" t="n"/>
      <c r="B986" s="4" t="n"/>
      <c r="C986" s="4" t="n"/>
      <c r="D986" s="4" t="n"/>
      <c r="E986">
        <f>IF(D986="","",IFERROR(INDEX(الأصناف!$B$2:$B$2000,MATCH(D986,الأصناف!$A$2:$A$2000,0)),"كود غير موجود"))</f>
        <v/>
      </c>
      <c r="F986" s="4" t="n"/>
      <c r="G986">
        <f>IF(D986="","",IFERROR(INDEX(الأصناف!$C$2:$C$2000,MATCH(D986,الأصناف!$A$2:$A$2000,0)),0))</f>
        <v/>
      </c>
      <c r="H986">
        <f>IF(D986="","",F986*G986)</f>
        <v/>
      </c>
      <c r="I986">
        <f>IF(D986="","",H986-F986*IFERROR(INDEX(الأصناف!$D$2:$D$2000,MATCH(D986,الأصناف!$A$2:$A$2000,0)),0))</f>
        <v/>
      </c>
      <c r="J986" s="4" t="n"/>
      <c r="K986" s="7">
        <f>IF(OR(B986="",B986&lt;&gt;الإيصال!$C$3),"",COUNTIF(B$2:B986,الإيصال!$C$3))</f>
        <v/>
      </c>
    </row>
    <row r="987">
      <c r="A987" s="6" t="n"/>
      <c r="B987" s="4" t="n"/>
      <c r="C987" s="4" t="n"/>
      <c r="D987" s="4" t="n"/>
      <c r="E987">
        <f>IF(D987="","",IFERROR(INDEX(الأصناف!$B$2:$B$2000,MATCH(D987,الأصناف!$A$2:$A$2000,0)),"كود غير موجود"))</f>
        <v/>
      </c>
      <c r="F987" s="4" t="n"/>
      <c r="G987">
        <f>IF(D987="","",IFERROR(INDEX(الأصناف!$C$2:$C$2000,MATCH(D987,الأصناف!$A$2:$A$2000,0)),0))</f>
        <v/>
      </c>
      <c r="H987">
        <f>IF(D987="","",F987*G987)</f>
        <v/>
      </c>
      <c r="I987">
        <f>IF(D987="","",H987-F987*IFERROR(INDEX(الأصناف!$D$2:$D$2000,MATCH(D987,الأصناف!$A$2:$A$2000,0)),0))</f>
        <v/>
      </c>
      <c r="J987" s="4" t="n"/>
      <c r="K987" s="7">
        <f>IF(OR(B987="",B987&lt;&gt;الإيصال!$C$3),"",COUNTIF(B$2:B987,الإيصال!$C$3))</f>
        <v/>
      </c>
    </row>
    <row r="988">
      <c r="A988" s="6" t="n"/>
      <c r="B988" s="4" t="n"/>
      <c r="C988" s="4" t="n"/>
      <c r="D988" s="4" t="n"/>
      <c r="E988">
        <f>IF(D988="","",IFERROR(INDEX(الأصناف!$B$2:$B$2000,MATCH(D988,الأصناف!$A$2:$A$2000,0)),"كود غير موجود"))</f>
        <v/>
      </c>
      <c r="F988" s="4" t="n"/>
      <c r="G988">
        <f>IF(D988="","",IFERROR(INDEX(الأصناف!$C$2:$C$2000,MATCH(D988,الأصناف!$A$2:$A$2000,0)),0))</f>
        <v/>
      </c>
      <c r="H988">
        <f>IF(D988="","",F988*G988)</f>
        <v/>
      </c>
      <c r="I988">
        <f>IF(D988="","",H988-F988*IFERROR(INDEX(الأصناف!$D$2:$D$2000,MATCH(D988,الأصناف!$A$2:$A$2000,0)),0))</f>
        <v/>
      </c>
      <c r="J988" s="4" t="n"/>
      <c r="K988" s="7">
        <f>IF(OR(B988="",B988&lt;&gt;الإيصال!$C$3),"",COUNTIF(B$2:B988,الإيصال!$C$3))</f>
        <v/>
      </c>
    </row>
    <row r="989">
      <c r="A989" s="6" t="n"/>
      <c r="B989" s="4" t="n"/>
      <c r="C989" s="4" t="n"/>
      <c r="D989" s="4" t="n"/>
      <c r="E989">
        <f>IF(D989="","",IFERROR(INDEX(الأصناف!$B$2:$B$2000,MATCH(D989,الأصناف!$A$2:$A$2000,0)),"كود غير موجود"))</f>
        <v/>
      </c>
      <c r="F989" s="4" t="n"/>
      <c r="G989">
        <f>IF(D989="","",IFERROR(INDEX(الأصناف!$C$2:$C$2000,MATCH(D989,الأصناف!$A$2:$A$2000,0)),0))</f>
        <v/>
      </c>
      <c r="H989">
        <f>IF(D989="","",F989*G989)</f>
        <v/>
      </c>
      <c r="I989">
        <f>IF(D989="","",H989-F989*IFERROR(INDEX(الأصناف!$D$2:$D$2000,MATCH(D989,الأصناف!$A$2:$A$2000,0)),0))</f>
        <v/>
      </c>
      <c r="J989" s="4" t="n"/>
      <c r="K989" s="7">
        <f>IF(OR(B989="",B989&lt;&gt;الإيصال!$C$3),"",COUNTIF(B$2:B989,الإيصال!$C$3))</f>
        <v/>
      </c>
    </row>
    <row r="990">
      <c r="A990" s="6" t="n"/>
      <c r="B990" s="4" t="n"/>
      <c r="C990" s="4" t="n"/>
      <c r="D990" s="4" t="n"/>
      <c r="E990">
        <f>IF(D990="","",IFERROR(INDEX(الأصناف!$B$2:$B$2000,MATCH(D990,الأصناف!$A$2:$A$2000,0)),"كود غير موجود"))</f>
        <v/>
      </c>
      <c r="F990" s="4" t="n"/>
      <c r="G990">
        <f>IF(D990="","",IFERROR(INDEX(الأصناف!$C$2:$C$2000,MATCH(D990,الأصناف!$A$2:$A$2000,0)),0))</f>
        <v/>
      </c>
      <c r="H990">
        <f>IF(D990="","",F990*G990)</f>
        <v/>
      </c>
      <c r="I990">
        <f>IF(D990="","",H990-F990*IFERROR(INDEX(الأصناف!$D$2:$D$2000,MATCH(D990,الأصناف!$A$2:$A$2000,0)),0))</f>
        <v/>
      </c>
      <c r="J990" s="4" t="n"/>
      <c r="K990" s="7">
        <f>IF(OR(B990="",B990&lt;&gt;الإيصال!$C$3),"",COUNTIF(B$2:B990,الإيصال!$C$3))</f>
        <v/>
      </c>
    </row>
    <row r="991">
      <c r="A991" s="6" t="n"/>
      <c r="B991" s="4" t="n"/>
      <c r="C991" s="4" t="n"/>
      <c r="D991" s="4" t="n"/>
      <c r="E991">
        <f>IF(D991="","",IFERROR(INDEX(الأصناف!$B$2:$B$2000,MATCH(D991,الأصناف!$A$2:$A$2000,0)),"كود غير موجود"))</f>
        <v/>
      </c>
      <c r="F991" s="4" t="n"/>
      <c r="G991">
        <f>IF(D991="","",IFERROR(INDEX(الأصناف!$C$2:$C$2000,MATCH(D991,الأصناف!$A$2:$A$2000,0)),0))</f>
        <v/>
      </c>
      <c r="H991">
        <f>IF(D991="","",F991*G991)</f>
        <v/>
      </c>
      <c r="I991">
        <f>IF(D991="","",H991-F991*IFERROR(INDEX(الأصناف!$D$2:$D$2000,MATCH(D991,الأصناف!$A$2:$A$2000,0)),0))</f>
        <v/>
      </c>
      <c r="J991" s="4" t="n"/>
      <c r="K991" s="7">
        <f>IF(OR(B991="",B991&lt;&gt;الإيصال!$C$3),"",COUNTIF(B$2:B991,الإيصال!$C$3))</f>
        <v/>
      </c>
    </row>
    <row r="992">
      <c r="A992" s="6" t="n"/>
      <c r="B992" s="4" t="n"/>
      <c r="C992" s="4" t="n"/>
      <c r="D992" s="4" t="n"/>
      <c r="E992">
        <f>IF(D992="","",IFERROR(INDEX(الأصناف!$B$2:$B$2000,MATCH(D992,الأصناف!$A$2:$A$2000,0)),"كود غير موجود"))</f>
        <v/>
      </c>
      <c r="F992" s="4" t="n"/>
      <c r="G992">
        <f>IF(D992="","",IFERROR(INDEX(الأصناف!$C$2:$C$2000,MATCH(D992,الأصناف!$A$2:$A$2000,0)),0))</f>
        <v/>
      </c>
      <c r="H992">
        <f>IF(D992="","",F992*G992)</f>
        <v/>
      </c>
      <c r="I992">
        <f>IF(D992="","",H992-F992*IFERROR(INDEX(الأصناف!$D$2:$D$2000,MATCH(D992,الأصناف!$A$2:$A$2000,0)),0))</f>
        <v/>
      </c>
      <c r="J992" s="4" t="n"/>
      <c r="K992" s="7">
        <f>IF(OR(B992="",B992&lt;&gt;الإيصال!$C$3),"",COUNTIF(B$2:B992,الإيصال!$C$3))</f>
        <v/>
      </c>
    </row>
    <row r="993">
      <c r="A993" s="6" t="n"/>
      <c r="B993" s="4" t="n"/>
      <c r="C993" s="4" t="n"/>
      <c r="D993" s="4" t="n"/>
      <c r="E993">
        <f>IF(D993="","",IFERROR(INDEX(الأصناف!$B$2:$B$2000,MATCH(D993,الأصناف!$A$2:$A$2000,0)),"كود غير موجود"))</f>
        <v/>
      </c>
      <c r="F993" s="4" t="n"/>
      <c r="G993">
        <f>IF(D993="","",IFERROR(INDEX(الأصناف!$C$2:$C$2000,MATCH(D993,الأصناف!$A$2:$A$2000,0)),0))</f>
        <v/>
      </c>
      <c r="H993">
        <f>IF(D993="","",F993*G993)</f>
        <v/>
      </c>
      <c r="I993">
        <f>IF(D993="","",H993-F993*IFERROR(INDEX(الأصناف!$D$2:$D$2000,MATCH(D993,الأصناف!$A$2:$A$2000,0)),0))</f>
        <v/>
      </c>
      <c r="J993" s="4" t="n"/>
      <c r="K993" s="7">
        <f>IF(OR(B993="",B993&lt;&gt;الإيصال!$C$3),"",COUNTIF(B$2:B993,الإيصال!$C$3))</f>
        <v/>
      </c>
    </row>
    <row r="994">
      <c r="A994" s="6" t="n"/>
      <c r="B994" s="4" t="n"/>
      <c r="C994" s="4" t="n"/>
      <c r="D994" s="4" t="n"/>
      <c r="E994">
        <f>IF(D994="","",IFERROR(INDEX(الأصناف!$B$2:$B$2000,MATCH(D994,الأصناف!$A$2:$A$2000,0)),"كود غير موجود"))</f>
        <v/>
      </c>
      <c r="F994" s="4" t="n"/>
      <c r="G994">
        <f>IF(D994="","",IFERROR(INDEX(الأصناف!$C$2:$C$2000,MATCH(D994,الأصناف!$A$2:$A$2000,0)),0))</f>
        <v/>
      </c>
      <c r="H994">
        <f>IF(D994="","",F994*G994)</f>
        <v/>
      </c>
      <c r="I994">
        <f>IF(D994="","",H994-F994*IFERROR(INDEX(الأصناف!$D$2:$D$2000,MATCH(D994,الأصناف!$A$2:$A$2000,0)),0))</f>
        <v/>
      </c>
      <c r="J994" s="4" t="n"/>
      <c r="K994" s="7">
        <f>IF(OR(B994="",B994&lt;&gt;الإيصال!$C$3),"",COUNTIF(B$2:B994,الإيصال!$C$3))</f>
        <v/>
      </c>
    </row>
    <row r="995">
      <c r="A995" s="6" t="n"/>
      <c r="B995" s="4" t="n"/>
      <c r="C995" s="4" t="n"/>
      <c r="D995" s="4" t="n"/>
      <c r="E995">
        <f>IF(D995="","",IFERROR(INDEX(الأصناف!$B$2:$B$2000,MATCH(D995,الأصناف!$A$2:$A$2000,0)),"كود غير موجود"))</f>
        <v/>
      </c>
      <c r="F995" s="4" t="n"/>
      <c r="G995">
        <f>IF(D995="","",IFERROR(INDEX(الأصناف!$C$2:$C$2000,MATCH(D995,الأصناف!$A$2:$A$2000,0)),0))</f>
        <v/>
      </c>
      <c r="H995">
        <f>IF(D995="","",F995*G995)</f>
        <v/>
      </c>
      <c r="I995">
        <f>IF(D995="","",H995-F995*IFERROR(INDEX(الأصناف!$D$2:$D$2000,MATCH(D995,الأصناف!$A$2:$A$2000,0)),0))</f>
        <v/>
      </c>
      <c r="J995" s="4" t="n"/>
      <c r="K995" s="7">
        <f>IF(OR(B995="",B995&lt;&gt;الإيصال!$C$3),"",COUNTIF(B$2:B995,الإيصال!$C$3))</f>
        <v/>
      </c>
    </row>
    <row r="996">
      <c r="A996" s="6" t="n"/>
      <c r="B996" s="4" t="n"/>
      <c r="C996" s="4" t="n"/>
      <c r="D996" s="4" t="n"/>
      <c r="E996">
        <f>IF(D996="","",IFERROR(INDEX(الأصناف!$B$2:$B$2000,MATCH(D996,الأصناف!$A$2:$A$2000,0)),"كود غير موجود"))</f>
        <v/>
      </c>
      <c r="F996" s="4" t="n"/>
      <c r="G996">
        <f>IF(D996="","",IFERROR(INDEX(الأصناف!$C$2:$C$2000,MATCH(D996,الأصناف!$A$2:$A$2000,0)),0))</f>
        <v/>
      </c>
      <c r="H996">
        <f>IF(D996="","",F996*G996)</f>
        <v/>
      </c>
      <c r="I996">
        <f>IF(D996="","",H996-F996*IFERROR(INDEX(الأصناف!$D$2:$D$2000,MATCH(D996,الأصناف!$A$2:$A$2000,0)),0))</f>
        <v/>
      </c>
      <c r="J996" s="4" t="n"/>
      <c r="K996" s="7">
        <f>IF(OR(B996="",B996&lt;&gt;الإيصال!$C$3),"",COUNTIF(B$2:B996,الإيصال!$C$3))</f>
        <v/>
      </c>
    </row>
    <row r="997">
      <c r="A997" s="6" t="n"/>
      <c r="B997" s="4" t="n"/>
      <c r="C997" s="4" t="n"/>
      <c r="D997" s="4" t="n"/>
      <c r="E997">
        <f>IF(D997="","",IFERROR(INDEX(الأصناف!$B$2:$B$2000,MATCH(D997,الأصناف!$A$2:$A$2000,0)),"كود غير موجود"))</f>
        <v/>
      </c>
      <c r="F997" s="4" t="n"/>
      <c r="G997">
        <f>IF(D997="","",IFERROR(INDEX(الأصناف!$C$2:$C$2000,MATCH(D997,الأصناف!$A$2:$A$2000,0)),0))</f>
        <v/>
      </c>
      <c r="H997">
        <f>IF(D997="","",F997*G997)</f>
        <v/>
      </c>
      <c r="I997">
        <f>IF(D997="","",H997-F997*IFERROR(INDEX(الأصناف!$D$2:$D$2000,MATCH(D997,الأصناف!$A$2:$A$2000,0)),0))</f>
        <v/>
      </c>
      <c r="J997" s="4" t="n"/>
      <c r="K997" s="7">
        <f>IF(OR(B997="",B997&lt;&gt;الإيصال!$C$3),"",COUNTIF(B$2:B997,الإيصال!$C$3))</f>
        <v/>
      </c>
    </row>
    <row r="998">
      <c r="A998" s="6" t="n"/>
      <c r="B998" s="4" t="n"/>
      <c r="C998" s="4" t="n"/>
      <c r="D998" s="4" t="n"/>
      <c r="E998">
        <f>IF(D998="","",IFERROR(INDEX(الأصناف!$B$2:$B$2000,MATCH(D998,الأصناف!$A$2:$A$2000,0)),"كود غير موجود"))</f>
        <v/>
      </c>
      <c r="F998" s="4" t="n"/>
      <c r="G998">
        <f>IF(D998="","",IFERROR(INDEX(الأصناف!$C$2:$C$2000,MATCH(D998,الأصناف!$A$2:$A$2000,0)),0))</f>
        <v/>
      </c>
      <c r="H998">
        <f>IF(D998="","",F998*G998)</f>
        <v/>
      </c>
      <c r="I998">
        <f>IF(D998="","",H998-F998*IFERROR(INDEX(الأصناف!$D$2:$D$2000,MATCH(D998,الأصناف!$A$2:$A$2000,0)),0))</f>
        <v/>
      </c>
      <c r="J998" s="4" t="n"/>
      <c r="K998" s="7">
        <f>IF(OR(B998="",B998&lt;&gt;الإيصال!$C$3),"",COUNTIF(B$2:B998,الإيصال!$C$3))</f>
        <v/>
      </c>
    </row>
    <row r="999">
      <c r="A999" s="6" t="n"/>
      <c r="B999" s="4" t="n"/>
      <c r="C999" s="4" t="n"/>
      <c r="D999" s="4" t="n"/>
      <c r="E999">
        <f>IF(D999="","",IFERROR(INDEX(الأصناف!$B$2:$B$2000,MATCH(D999,الأصناف!$A$2:$A$2000,0)),"كود غير موجود"))</f>
        <v/>
      </c>
      <c r="F999" s="4" t="n"/>
      <c r="G999">
        <f>IF(D999="","",IFERROR(INDEX(الأصناف!$C$2:$C$2000,MATCH(D999,الأصناف!$A$2:$A$2000,0)),0))</f>
        <v/>
      </c>
      <c r="H999">
        <f>IF(D999="","",F999*G999)</f>
        <v/>
      </c>
      <c r="I999">
        <f>IF(D999="","",H999-F999*IFERROR(INDEX(الأصناف!$D$2:$D$2000,MATCH(D999,الأصناف!$A$2:$A$2000,0)),0))</f>
        <v/>
      </c>
      <c r="J999" s="4" t="n"/>
      <c r="K999" s="7">
        <f>IF(OR(B999="",B999&lt;&gt;الإيصال!$C$3),"",COUNTIF(B$2:B999,الإيصال!$C$3))</f>
        <v/>
      </c>
    </row>
    <row r="1000">
      <c r="A1000" s="6" t="n"/>
      <c r="B1000" s="4" t="n"/>
      <c r="C1000" s="4" t="n"/>
      <c r="D1000" s="4" t="n"/>
      <c r="E1000">
        <f>IF(D1000="","",IFERROR(INDEX(الأصناف!$B$2:$B$2000,MATCH(D1000,الأصناف!$A$2:$A$2000,0)),"كود غير موجود"))</f>
        <v/>
      </c>
      <c r="F1000" s="4" t="n"/>
      <c r="G1000">
        <f>IF(D1000="","",IFERROR(INDEX(الأصناف!$C$2:$C$2000,MATCH(D1000,الأصناف!$A$2:$A$2000,0)),0))</f>
        <v/>
      </c>
      <c r="H1000">
        <f>IF(D1000="","",F1000*G1000)</f>
        <v/>
      </c>
      <c r="I1000">
        <f>IF(D1000="","",H1000-F1000*IFERROR(INDEX(الأصناف!$D$2:$D$2000,MATCH(D1000,الأصناف!$A$2:$A$2000,0)),0))</f>
        <v/>
      </c>
      <c r="J1000" s="4" t="n"/>
      <c r="K1000" s="7">
        <f>IF(OR(B1000="",B1000&lt;&gt;الإيصال!$C$3),"",COUNTIF(B$2:B1000,الإيصال!$C$3))</f>
        <v/>
      </c>
    </row>
    <row r="1001">
      <c r="A1001" s="6" t="n"/>
      <c r="B1001" s="4" t="n"/>
      <c r="C1001" s="4" t="n"/>
      <c r="D1001" s="4" t="n"/>
      <c r="E1001">
        <f>IF(D1001="","",IFERROR(INDEX(الأصناف!$B$2:$B$2000,MATCH(D1001,الأصناف!$A$2:$A$2000,0)),"كود غير موجود"))</f>
        <v/>
      </c>
      <c r="F1001" s="4" t="n"/>
      <c r="G1001">
        <f>IF(D1001="","",IFERROR(INDEX(الأصناف!$C$2:$C$2000,MATCH(D1001,الأصناف!$A$2:$A$2000,0)),0))</f>
        <v/>
      </c>
      <c r="H1001">
        <f>IF(D1001="","",F1001*G1001)</f>
        <v/>
      </c>
      <c r="I1001">
        <f>IF(D1001="","",H1001-F1001*IFERROR(INDEX(الأصناف!$D$2:$D$2000,MATCH(D1001,الأصناف!$A$2:$A$2000,0)),0))</f>
        <v/>
      </c>
      <c r="J1001" s="4" t="n"/>
      <c r="K1001" s="7">
        <f>IF(OR(B1001="",B1001&lt;&gt;الإيصال!$C$3),"",COUNTIF(B$2:B1001,الإيصال!$C$3))</f>
        <v/>
      </c>
    </row>
    <row r="1002">
      <c r="A1002" s="6" t="n"/>
      <c r="B1002" s="4" t="n"/>
      <c r="C1002" s="4" t="n"/>
      <c r="D1002" s="4" t="n"/>
      <c r="E1002">
        <f>IF(D1002="","",IFERROR(INDEX(الأصناف!$B$2:$B$2000,MATCH(D1002,الأصناف!$A$2:$A$2000,0)),"كود غير موجود"))</f>
        <v/>
      </c>
      <c r="F1002" s="4" t="n"/>
      <c r="G1002">
        <f>IF(D1002="","",IFERROR(INDEX(الأصناف!$C$2:$C$2000,MATCH(D1002,الأصناف!$A$2:$A$2000,0)),0))</f>
        <v/>
      </c>
      <c r="H1002">
        <f>IF(D1002="","",F1002*G1002)</f>
        <v/>
      </c>
      <c r="I1002">
        <f>IF(D1002="","",H1002-F1002*IFERROR(INDEX(الأصناف!$D$2:$D$2000,MATCH(D1002,الأصناف!$A$2:$A$2000,0)),0))</f>
        <v/>
      </c>
      <c r="J1002" s="4" t="n"/>
      <c r="K1002" s="7">
        <f>IF(OR(B1002="",B1002&lt;&gt;الإيصال!$C$3),"",COUNTIF(B$2:B1002,الإيصال!$C$3))</f>
        <v/>
      </c>
    </row>
    <row r="1003">
      <c r="A1003" s="6" t="n"/>
      <c r="B1003" s="4" t="n"/>
      <c r="C1003" s="4" t="n"/>
      <c r="D1003" s="4" t="n"/>
      <c r="E1003">
        <f>IF(D1003="","",IFERROR(INDEX(الأصناف!$B$2:$B$2000,MATCH(D1003,الأصناف!$A$2:$A$2000,0)),"كود غير موجود"))</f>
        <v/>
      </c>
      <c r="F1003" s="4" t="n"/>
      <c r="G1003">
        <f>IF(D1003="","",IFERROR(INDEX(الأصناف!$C$2:$C$2000,MATCH(D1003,الأصناف!$A$2:$A$2000,0)),0))</f>
        <v/>
      </c>
      <c r="H1003">
        <f>IF(D1003="","",F1003*G1003)</f>
        <v/>
      </c>
      <c r="I1003">
        <f>IF(D1003="","",H1003-F1003*IFERROR(INDEX(الأصناف!$D$2:$D$2000,MATCH(D1003,الأصناف!$A$2:$A$2000,0)),0))</f>
        <v/>
      </c>
      <c r="J1003" s="4" t="n"/>
      <c r="K1003" s="7">
        <f>IF(OR(B1003="",B1003&lt;&gt;الإيصال!$C$3),"",COUNTIF(B$2:B1003,الإيصال!$C$3))</f>
        <v/>
      </c>
    </row>
    <row r="1004">
      <c r="A1004" s="6" t="n"/>
      <c r="B1004" s="4" t="n"/>
      <c r="C1004" s="4" t="n"/>
      <c r="D1004" s="4" t="n"/>
      <c r="E1004">
        <f>IF(D1004="","",IFERROR(INDEX(الأصناف!$B$2:$B$2000,MATCH(D1004,الأصناف!$A$2:$A$2000,0)),"كود غير موجود"))</f>
        <v/>
      </c>
      <c r="F1004" s="4" t="n"/>
      <c r="G1004">
        <f>IF(D1004="","",IFERROR(INDEX(الأصناف!$C$2:$C$2000,MATCH(D1004,الأصناف!$A$2:$A$2000,0)),0))</f>
        <v/>
      </c>
      <c r="H1004">
        <f>IF(D1004="","",F1004*G1004)</f>
        <v/>
      </c>
      <c r="I1004">
        <f>IF(D1004="","",H1004-F1004*IFERROR(INDEX(الأصناف!$D$2:$D$2000,MATCH(D1004,الأصناف!$A$2:$A$2000,0)),0))</f>
        <v/>
      </c>
      <c r="J1004" s="4" t="n"/>
      <c r="K1004" s="7">
        <f>IF(OR(B1004="",B1004&lt;&gt;الإيصال!$C$3),"",COUNTIF(B$2:B1004,الإيصال!$C$3))</f>
        <v/>
      </c>
    </row>
    <row r="1005">
      <c r="A1005" s="6" t="n"/>
      <c r="B1005" s="4" t="n"/>
      <c r="C1005" s="4" t="n"/>
      <c r="D1005" s="4" t="n"/>
      <c r="E1005">
        <f>IF(D1005="","",IFERROR(INDEX(الأصناف!$B$2:$B$2000,MATCH(D1005,الأصناف!$A$2:$A$2000,0)),"كود غير موجود"))</f>
        <v/>
      </c>
      <c r="F1005" s="4" t="n"/>
      <c r="G1005">
        <f>IF(D1005="","",IFERROR(INDEX(الأصناف!$C$2:$C$2000,MATCH(D1005,الأصناف!$A$2:$A$2000,0)),0))</f>
        <v/>
      </c>
      <c r="H1005">
        <f>IF(D1005="","",F1005*G1005)</f>
        <v/>
      </c>
      <c r="I1005">
        <f>IF(D1005="","",H1005-F1005*IFERROR(INDEX(الأصناف!$D$2:$D$2000,MATCH(D1005,الأصناف!$A$2:$A$2000,0)),0))</f>
        <v/>
      </c>
      <c r="J1005" s="4" t="n"/>
      <c r="K1005" s="7">
        <f>IF(OR(B1005="",B1005&lt;&gt;الإيصال!$C$3),"",COUNTIF(B$2:B1005,الإيصال!$C$3))</f>
        <v/>
      </c>
    </row>
    <row r="1006">
      <c r="A1006" s="6" t="n"/>
      <c r="B1006" s="4" t="n"/>
      <c r="C1006" s="4" t="n"/>
      <c r="D1006" s="4" t="n"/>
      <c r="E1006">
        <f>IF(D1006="","",IFERROR(INDEX(الأصناف!$B$2:$B$2000,MATCH(D1006,الأصناف!$A$2:$A$2000,0)),"كود غير موجود"))</f>
        <v/>
      </c>
      <c r="F1006" s="4" t="n"/>
      <c r="G1006">
        <f>IF(D1006="","",IFERROR(INDEX(الأصناف!$C$2:$C$2000,MATCH(D1006,الأصناف!$A$2:$A$2000,0)),0))</f>
        <v/>
      </c>
      <c r="H1006">
        <f>IF(D1006="","",F1006*G1006)</f>
        <v/>
      </c>
      <c r="I1006">
        <f>IF(D1006="","",H1006-F1006*IFERROR(INDEX(الأصناف!$D$2:$D$2000,MATCH(D1006,الأصناف!$A$2:$A$2000,0)),0))</f>
        <v/>
      </c>
      <c r="J1006" s="4" t="n"/>
      <c r="K1006" s="7">
        <f>IF(OR(B1006="",B1006&lt;&gt;الإيصال!$C$3),"",COUNTIF(B$2:B1006,الإيصال!$C$3))</f>
        <v/>
      </c>
    </row>
    <row r="1007">
      <c r="A1007" s="6" t="n"/>
      <c r="B1007" s="4" t="n"/>
      <c r="C1007" s="4" t="n"/>
      <c r="D1007" s="4" t="n"/>
      <c r="E1007">
        <f>IF(D1007="","",IFERROR(INDEX(الأصناف!$B$2:$B$2000,MATCH(D1007,الأصناف!$A$2:$A$2000,0)),"كود غير موجود"))</f>
        <v/>
      </c>
      <c r="F1007" s="4" t="n"/>
      <c r="G1007">
        <f>IF(D1007="","",IFERROR(INDEX(الأصناف!$C$2:$C$2000,MATCH(D1007,الأصناف!$A$2:$A$2000,0)),0))</f>
        <v/>
      </c>
      <c r="H1007">
        <f>IF(D1007="","",F1007*G1007)</f>
        <v/>
      </c>
      <c r="I1007">
        <f>IF(D1007="","",H1007-F1007*IFERROR(INDEX(الأصناف!$D$2:$D$2000,MATCH(D1007,الأصناف!$A$2:$A$2000,0)),0))</f>
        <v/>
      </c>
      <c r="J1007" s="4" t="n"/>
      <c r="K1007" s="7">
        <f>IF(OR(B1007="",B1007&lt;&gt;الإيصال!$C$3),"",COUNTIF(B$2:B1007,الإيصال!$C$3))</f>
        <v/>
      </c>
    </row>
    <row r="1008">
      <c r="A1008" s="6" t="n"/>
      <c r="B1008" s="4" t="n"/>
      <c r="C1008" s="4" t="n"/>
      <c r="D1008" s="4" t="n"/>
      <c r="E1008">
        <f>IF(D1008="","",IFERROR(INDEX(الأصناف!$B$2:$B$2000,MATCH(D1008,الأصناف!$A$2:$A$2000,0)),"كود غير موجود"))</f>
        <v/>
      </c>
      <c r="F1008" s="4" t="n"/>
      <c r="G1008">
        <f>IF(D1008="","",IFERROR(INDEX(الأصناف!$C$2:$C$2000,MATCH(D1008,الأصناف!$A$2:$A$2000,0)),0))</f>
        <v/>
      </c>
      <c r="H1008">
        <f>IF(D1008="","",F1008*G1008)</f>
        <v/>
      </c>
      <c r="I1008">
        <f>IF(D1008="","",H1008-F1008*IFERROR(INDEX(الأصناف!$D$2:$D$2000,MATCH(D1008,الأصناف!$A$2:$A$2000,0)),0))</f>
        <v/>
      </c>
      <c r="J1008" s="4" t="n"/>
      <c r="K1008" s="7">
        <f>IF(OR(B1008="",B1008&lt;&gt;الإيصال!$C$3),"",COUNTIF(B$2:B1008,الإيصال!$C$3))</f>
        <v/>
      </c>
    </row>
    <row r="1009">
      <c r="A1009" s="6" t="n"/>
      <c r="B1009" s="4" t="n"/>
      <c r="C1009" s="4" t="n"/>
      <c r="D1009" s="4" t="n"/>
      <c r="E1009">
        <f>IF(D1009="","",IFERROR(INDEX(الأصناف!$B$2:$B$2000,MATCH(D1009,الأصناف!$A$2:$A$2000,0)),"كود غير موجود"))</f>
        <v/>
      </c>
      <c r="F1009" s="4" t="n"/>
      <c r="G1009">
        <f>IF(D1009="","",IFERROR(INDEX(الأصناف!$C$2:$C$2000,MATCH(D1009,الأصناف!$A$2:$A$2000,0)),0))</f>
        <v/>
      </c>
      <c r="H1009">
        <f>IF(D1009="","",F1009*G1009)</f>
        <v/>
      </c>
      <c r="I1009">
        <f>IF(D1009="","",H1009-F1009*IFERROR(INDEX(الأصناف!$D$2:$D$2000,MATCH(D1009,الأصناف!$A$2:$A$2000,0)),0))</f>
        <v/>
      </c>
      <c r="J1009" s="4" t="n"/>
      <c r="K1009" s="7">
        <f>IF(OR(B1009="",B1009&lt;&gt;الإيصال!$C$3),"",COUNTIF(B$2:B1009,الإيصال!$C$3))</f>
        <v/>
      </c>
    </row>
    <row r="1010">
      <c r="A1010" s="6" t="n"/>
      <c r="B1010" s="4" t="n"/>
      <c r="C1010" s="4" t="n"/>
      <c r="D1010" s="4" t="n"/>
      <c r="E1010">
        <f>IF(D1010="","",IFERROR(INDEX(الأصناف!$B$2:$B$2000,MATCH(D1010,الأصناف!$A$2:$A$2000,0)),"كود غير موجود"))</f>
        <v/>
      </c>
      <c r="F1010" s="4" t="n"/>
      <c r="G1010">
        <f>IF(D1010="","",IFERROR(INDEX(الأصناف!$C$2:$C$2000,MATCH(D1010,الأصناف!$A$2:$A$2000,0)),0))</f>
        <v/>
      </c>
      <c r="H1010">
        <f>IF(D1010="","",F1010*G1010)</f>
        <v/>
      </c>
      <c r="I1010">
        <f>IF(D1010="","",H1010-F1010*IFERROR(INDEX(الأصناف!$D$2:$D$2000,MATCH(D1010,الأصناف!$A$2:$A$2000,0)),0))</f>
        <v/>
      </c>
      <c r="J1010" s="4" t="n"/>
      <c r="K1010" s="7">
        <f>IF(OR(B1010="",B1010&lt;&gt;الإيصال!$C$3),"",COUNTIF(B$2:B1010,الإيصال!$C$3))</f>
        <v/>
      </c>
    </row>
    <row r="1011">
      <c r="A1011" s="6" t="n"/>
      <c r="B1011" s="4" t="n"/>
      <c r="C1011" s="4" t="n"/>
      <c r="D1011" s="4" t="n"/>
      <c r="E1011">
        <f>IF(D1011="","",IFERROR(INDEX(الأصناف!$B$2:$B$2000,MATCH(D1011,الأصناف!$A$2:$A$2000,0)),"كود غير موجود"))</f>
        <v/>
      </c>
      <c r="F1011" s="4" t="n"/>
      <c r="G1011">
        <f>IF(D1011="","",IFERROR(INDEX(الأصناف!$C$2:$C$2000,MATCH(D1011,الأصناف!$A$2:$A$2000,0)),0))</f>
        <v/>
      </c>
      <c r="H1011">
        <f>IF(D1011="","",F1011*G1011)</f>
        <v/>
      </c>
      <c r="I1011">
        <f>IF(D1011="","",H1011-F1011*IFERROR(INDEX(الأصناف!$D$2:$D$2000,MATCH(D1011,الأصناف!$A$2:$A$2000,0)),0))</f>
        <v/>
      </c>
      <c r="J1011" s="4" t="n"/>
      <c r="K1011" s="7">
        <f>IF(OR(B1011="",B1011&lt;&gt;الإيصال!$C$3),"",COUNTIF(B$2:B1011,الإيصال!$C$3))</f>
        <v/>
      </c>
    </row>
    <row r="1012">
      <c r="A1012" s="6" t="n"/>
      <c r="B1012" s="4" t="n"/>
      <c r="C1012" s="4" t="n"/>
      <c r="D1012" s="4" t="n"/>
      <c r="E1012">
        <f>IF(D1012="","",IFERROR(INDEX(الأصناف!$B$2:$B$2000,MATCH(D1012,الأصناف!$A$2:$A$2000,0)),"كود غير موجود"))</f>
        <v/>
      </c>
      <c r="F1012" s="4" t="n"/>
      <c r="G1012">
        <f>IF(D1012="","",IFERROR(INDEX(الأصناف!$C$2:$C$2000,MATCH(D1012,الأصناف!$A$2:$A$2000,0)),0))</f>
        <v/>
      </c>
      <c r="H1012">
        <f>IF(D1012="","",F1012*G1012)</f>
        <v/>
      </c>
      <c r="I1012">
        <f>IF(D1012="","",H1012-F1012*IFERROR(INDEX(الأصناف!$D$2:$D$2000,MATCH(D1012,الأصناف!$A$2:$A$2000,0)),0))</f>
        <v/>
      </c>
      <c r="J1012" s="4" t="n"/>
      <c r="K1012" s="7">
        <f>IF(OR(B1012="",B1012&lt;&gt;الإيصال!$C$3),"",COUNTIF(B$2:B1012,الإيصال!$C$3))</f>
        <v/>
      </c>
    </row>
    <row r="1013">
      <c r="A1013" s="6" t="n"/>
      <c r="B1013" s="4" t="n"/>
      <c r="C1013" s="4" t="n"/>
      <c r="D1013" s="4" t="n"/>
      <c r="E1013">
        <f>IF(D1013="","",IFERROR(INDEX(الأصناف!$B$2:$B$2000,MATCH(D1013,الأصناف!$A$2:$A$2000,0)),"كود غير موجود"))</f>
        <v/>
      </c>
      <c r="F1013" s="4" t="n"/>
      <c r="G1013">
        <f>IF(D1013="","",IFERROR(INDEX(الأصناف!$C$2:$C$2000,MATCH(D1013,الأصناف!$A$2:$A$2000,0)),0))</f>
        <v/>
      </c>
      <c r="H1013">
        <f>IF(D1013="","",F1013*G1013)</f>
        <v/>
      </c>
      <c r="I1013">
        <f>IF(D1013="","",H1013-F1013*IFERROR(INDEX(الأصناف!$D$2:$D$2000,MATCH(D1013,الأصناف!$A$2:$A$2000,0)),0))</f>
        <v/>
      </c>
      <c r="J1013" s="4" t="n"/>
      <c r="K1013" s="7">
        <f>IF(OR(B1013="",B1013&lt;&gt;الإيصال!$C$3),"",COUNTIF(B$2:B1013,الإيصال!$C$3))</f>
        <v/>
      </c>
    </row>
    <row r="1014">
      <c r="A1014" s="6" t="n"/>
      <c r="B1014" s="4" t="n"/>
      <c r="C1014" s="4" t="n"/>
      <c r="D1014" s="4" t="n"/>
      <c r="E1014">
        <f>IF(D1014="","",IFERROR(INDEX(الأصناف!$B$2:$B$2000,MATCH(D1014,الأصناف!$A$2:$A$2000,0)),"كود غير موجود"))</f>
        <v/>
      </c>
      <c r="F1014" s="4" t="n"/>
      <c r="G1014">
        <f>IF(D1014="","",IFERROR(INDEX(الأصناف!$C$2:$C$2000,MATCH(D1014,الأصناف!$A$2:$A$2000,0)),0))</f>
        <v/>
      </c>
      <c r="H1014">
        <f>IF(D1014="","",F1014*G1014)</f>
        <v/>
      </c>
      <c r="I1014">
        <f>IF(D1014="","",H1014-F1014*IFERROR(INDEX(الأصناف!$D$2:$D$2000,MATCH(D1014,الأصناف!$A$2:$A$2000,0)),0))</f>
        <v/>
      </c>
      <c r="J1014" s="4" t="n"/>
      <c r="K1014" s="7">
        <f>IF(OR(B1014="",B1014&lt;&gt;الإيصال!$C$3),"",COUNTIF(B$2:B1014,الإيصال!$C$3))</f>
        <v/>
      </c>
    </row>
    <row r="1015">
      <c r="A1015" s="6" t="n"/>
      <c r="B1015" s="4" t="n"/>
      <c r="C1015" s="4" t="n"/>
      <c r="D1015" s="4" t="n"/>
      <c r="E1015">
        <f>IF(D1015="","",IFERROR(INDEX(الأصناف!$B$2:$B$2000,MATCH(D1015,الأصناف!$A$2:$A$2000,0)),"كود غير موجود"))</f>
        <v/>
      </c>
      <c r="F1015" s="4" t="n"/>
      <c r="G1015">
        <f>IF(D1015="","",IFERROR(INDEX(الأصناف!$C$2:$C$2000,MATCH(D1015,الأصناف!$A$2:$A$2000,0)),0))</f>
        <v/>
      </c>
      <c r="H1015">
        <f>IF(D1015="","",F1015*G1015)</f>
        <v/>
      </c>
      <c r="I1015">
        <f>IF(D1015="","",H1015-F1015*IFERROR(INDEX(الأصناف!$D$2:$D$2000,MATCH(D1015,الأصناف!$A$2:$A$2000,0)),0))</f>
        <v/>
      </c>
      <c r="J1015" s="4" t="n"/>
      <c r="K1015" s="7">
        <f>IF(OR(B1015="",B1015&lt;&gt;الإيصال!$C$3),"",COUNTIF(B$2:B1015,الإيصال!$C$3))</f>
        <v/>
      </c>
    </row>
    <row r="1016">
      <c r="A1016" s="6" t="n"/>
      <c r="B1016" s="4" t="n"/>
      <c r="C1016" s="4" t="n"/>
      <c r="D1016" s="4" t="n"/>
      <c r="E1016">
        <f>IF(D1016="","",IFERROR(INDEX(الأصناف!$B$2:$B$2000,MATCH(D1016,الأصناف!$A$2:$A$2000,0)),"كود غير موجود"))</f>
        <v/>
      </c>
      <c r="F1016" s="4" t="n"/>
      <c r="G1016">
        <f>IF(D1016="","",IFERROR(INDEX(الأصناف!$C$2:$C$2000,MATCH(D1016,الأصناف!$A$2:$A$2000,0)),0))</f>
        <v/>
      </c>
      <c r="H1016">
        <f>IF(D1016="","",F1016*G1016)</f>
        <v/>
      </c>
      <c r="I1016">
        <f>IF(D1016="","",H1016-F1016*IFERROR(INDEX(الأصناف!$D$2:$D$2000,MATCH(D1016,الأصناف!$A$2:$A$2000,0)),0))</f>
        <v/>
      </c>
      <c r="J1016" s="4" t="n"/>
      <c r="K1016" s="7">
        <f>IF(OR(B1016="",B1016&lt;&gt;الإيصال!$C$3),"",COUNTIF(B$2:B1016,الإيصال!$C$3))</f>
        <v/>
      </c>
    </row>
    <row r="1017">
      <c r="A1017" s="6" t="n"/>
      <c r="B1017" s="4" t="n"/>
      <c r="C1017" s="4" t="n"/>
      <c r="D1017" s="4" t="n"/>
      <c r="E1017">
        <f>IF(D1017="","",IFERROR(INDEX(الأصناف!$B$2:$B$2000,MATCH(D1017,الأصناف!$A$2:$A$2000,0)),"كود غير موجود"))</f>
        <v/>
      </c>
      <c r="F1017" s="4" t="n"/>
      <c r="G1017">
        <f>IF(D1017="","",IFERROR(INDEX(الأصناف!$C$2:$C$2000,MATCH(D1017,الأصناف!$A$2:$A$2000,0)),0))</f>
        <v/>
      </c>
      <c r="H1017">
        <f>IF(D1017="","",F1017*G1017)</f>
        <v/>
      </c>
      <c r="I1017">
        <f>IF(D1017="","",H1017-F1017*IFERROR(INDEX(الأصناف!$D$2:$D$2000,MATCH(D1017,الأصناف!$A$2:$A$2000,0)),0))</f>
        <v/>
      </c>
      <c r="J1017" s="4" t="n"/>
      <c r="K1017" s="7">
        <f>IF(OR(B1017="",B1017&lt;&gt;الإيصال!$C$3),"",COUNTIF(B$2:B1017,الإيصال!$C$3))</f>
        <v/>
      </c>
    </row>
    <row r="1018">
      <c r="A1018" s="6" t="n"/>
      <c r="B1018" s="4" t="n"/>
      <c r="C1018" s="4" t="n"/>
      <c r="D1018" s="4" t="n"/>
      <c r="E1018">
        <f>IF(D1018="","",IFERROR(INDEX(الأصناف!$B$2:$B$2000,MATCH(D1018,الأصناف!$A$2:$A$2000,0)),"كود غير موجود"))</f>
        <v/>
      </c>
      <c r="F1018" s="4" t="n"/>
      <c r="G1018">
        <f>IF(D1018="","",IFERROR(INDEX(الأصناف!$C$2:$C$2000,MATCH(D1018,الأصناف!$A$2:$A$2000,0)),0))</f>
        <v/>
      </c>
      <c r="H1018">
        <f>IF(D1018="","",F1018*G1018)</f>
        <v/>
      </c>
      <c r="I1018">
        <f>IF(D1018="","",H1018-F1018*IFERROR(INDEX(الأصناف!$D$2:$D$2000,MATCH(D1018,الأصناف!$A$2:$A$2000,0)),0))</f>
        <v/>
      </c>
      <c r="J1018" s="4" t="n"/>
      <c r="K1018" s="7">
        <f>IF(OR(B1018="",B1018&lt;&gt;الإيصال!$C$3),"",COUNTIF(B$2:B1018,الإيصال!$C$3))</f>
        <v/>
      </c>
    </row>
    <row r="1019">
      <c r="A1019" s="6" t="n"/>
      <c r="B1019" s="4" t="n"/>
      <c r="C1019" s="4" t="n"/>
      <c r="D1019" s="4" t="n"/>
      <c r="E1019">
        <f>IF(D1019="","",IFERROR(INDEX(الأصناف!$B$2:$B$2000,MATCH(D1019,الأصناف!$A$2:$A$2000,0)),"كود غير موجود"))</f>
        <v/>
      </c>
      <c r="F1019" s="4" t="n"/>
      <c r="G1019">
        <f>IF(D1019="","",IFERROR(INDEX(الأصناف!$C$2:$C$2000,MATCH(D1019,الأصناف!$A$2:$A$2000,0)),0))</f>
        <v/>
      </c>
      <c r="H1019">
        <f>IF(D1019="","",F1019*G1019)</f>
        <v/>
      </c>
      <c r="I1019">
        <f>IF(D1019="","",H1019-F1019*IFERROR(INDEX(الأصناف!$D$2:$D$2000,MATCH(D1019,الأصناف!$A$2:$A$2000,0)),0))</f>
        <v/>
      </c>
      <c r="J1019" s="4" t="n"/>
      <c r="K1019" s="7">
        <f>IF(OR(B1019="",B1019&lt;&gt;الإيصال!$C$3),"",COUNTIF(B$2:B1019,الإيصال!$C$3))</f>
        <v/>
      </c>
    </row>
    <row r="1020">
      <c r="A1020" s="6" t="n"/>
      <c r="B1020" s="4" t="n"/>
      <c r="C1020" s="4" t="n"/>
      <c r="D1020" s="4" t="n"/>
      <c r="E1020">
        <f>IF(D1020="","",IFERROR(INDEX(الأصناف!$B$2:$B$2000,MATCH(D1020,الأصناف!$A$2:$A$2000,0)),"كود غير موجود"))</f>
        <v/>
      </c>
      <c r="F1020" s="4" t="n"/>
      <c r="G1020">
        <f>IF(D1020="","",IFERROR(INDEX(الأصناف!$C$2:$C$2000,MATCH(D1020,الأصناف!$A$2:$A$2000,0)),0))</f>
        <v/>
      </c>
      <c r="H1020">
        <f>IF(D1020="","",F1020*G1020)</f>
        <v/>
      </c>
      <c r="I1020">
        <f>IF(D1020="","",H1020-F1020*IFERROR(INDEX(الأصناف!$D$2:$D$2000,MATCH(D1020,الأصناف!$A$2:$A$2000,0)),0))</f>
        <v/>
      </c>
      <c r="J1020" s="4" t="n"/>
      <c r="K1020" s="7">
        <f>IF(OR(B1020="",B1020&lt;&gt;الإيصال!$C$3),"",COUNTIF(B$2:B1020,الإيصال!$C$3))</f>
        <v/>
      </c>
    </row>
    <row r="1021">
      <c r="A1021" s="6" t="n"/>
      <c r="B1021" s="4" t="n"/>
      <c r="C1021" s="4" t="n"/>
      <c r="D1021" s="4" t="n"/>
      <c r="E1021">
        <f>IF(D1021="","",IFERROR(INDEX(الأصناف!$B$2:$B$2000,MATCH(D1021,الأصناف!$A$2:$A$2000,0)),"كود غير موجود"))</f>
        <v/>
      </c>
      <c r="F1021" s="4" t="n"/>
      <c r="G1021">
        <f>IF(D1021="","",IFERROR(INDEX(الأصناف!$C$2:$C$2000,MATCH(D1021,الأصناف!$A$2:$A$2000,0)),0))</f>
        <v/>
      </c>
      <c r="H1021">
        <f>IF(D1021="","",F1021*G1021)</f>
        <v/>
      </c>
      <c r="I1021">
        <f>IF(D1021="","",H1021-F1021*IFERROR(INDEX(الأصناف!$D$2:$D$2000,MATCH(D1021,الأصناف!$A$2:$A$2000,0)),0))</f>
        <v/>
      </c>
      <c r="J1021" s="4" t="n"/>
      <c r="K1021" s="7">
        <f>IF(OR(B1021="",B1021&lt;&gt;الإيصال!$C$3),"",COUNTIF(B$2:B1021,الإيصال!$C$3))</f>
        <v/>
      </c>
    </row>
    <row r="1022">
      <c r="A1022" s="6" t="n"/>
      <c r="B1022" s="4" t="n"/>
      <c r="C1022" s="4" t="n"/>
      <c r="D1022" s="4" t="n"/>
      <c r="E1022">
        <f>IF(D1022="","",IFERROR(INDEX(الأصناف!$B$2:$B$2000,MATCH(D1022,الأصناف!$A$2:$A$2000,0)),"كود غير موجود"))</f>
        <v/>
      </c>
      <c r="F1022" s="4" t="n"/>
      <c r="G1022">
        <f>IF(D1022="","",IFERROR(INDEX(الأصناف!$C$2:$C$2000,MATCH(D1022,الأصناف!$A$2:$A$2000,0)),0))</f>
        <v/>
      </c>
      <c r="H1022">
        <f>IF(D1022="","",F1022*G1022)</f>
        <v/>
      </c>
      <c r="I1022">
        <f>IF(D1022="","",H1022-F1022*IFERROR(INDEX(الأصناف!$D$2:$D$2000,MATCH(D1022,الأصناف!$A$2:$A$2000,0)),0))</f>
        <v/>
      </c>
      <c r="J1022" s="4" t="n"/>
      <c r="K1022" s="7">
        <f>IF(OR(B1022="",B1022&lt;&gt;الإيصال!$C$3),"",COUNTIF(B$2:B1022,الإيصال!$C$3))</f>
        <v/>
      </c>
    </row>
    <row r="1023">
      <c r="A1023" s="6" t="n"/>
      <c r="B1023" s="4" t="n"/>
      <c r="C1023" s="4" t="n"/>
      <c r="D1023" s="4" t="n"/>
      <c r="E1023">
        <f>IF(D1023="","",IFERROR(INDEX(الأصناف!$B$2:$B$2000,MATCH(D1023,الأصناف!$A$2:$A$2000,0)),"كود غير موجود"))</f>
        <v/>
      </c>
      <c r="F1023" s="4" t="n"/>
      <c r="G1023">
        <f>IF(D1023="","",IFERROR(INDEX(الأصناف!$C$2:$C$2000,MATCH(D1023,الأصناف!$A$2:$A$2000,0)),0))</f>
        <v/>
      </c>
      <c r="H1023">
        <f>IF(D1023="","",F1023*G1023)</f>
        <v/>
      </c>
      <c r="I1023">
        <f>IF(D1023="","",H1023-F1023*IFERROR(INDEX(الأصناف!$D$2:$D$2000,MATCH(D1023,الأصناف!$A$2:$A$2000,0)),0))</f>
        <v/>
      </c>
      <c r="J1023" s="4" t="n"/>
      <c r="K1023" s="7">
        <f>IF(OR(B1023="",B1023&lt;&gt;الإيصال!$C$3),"",COUNTIF(B$2:B1023,الإيصال!$C$3))</f>
        <v/>
      </c>
    </row>
    <row r="1024">
      <c r="A1024" s="6" t="n"/>
      <c r="B1024" s="4" t="n"/>
      <c r="C1024" s="4" t="n"/>
      <c r="D1024" s="4" t="n"/>
      <c r="E1024">
        <f>IF(D1024="","",IFERROR(INDEX(الأصناف!$B$2:$B$2000,MATCH(D1024,الأصناف!$A$2:$A$2000,0)),"كود غير موجود"))</f>
        <v/>
      </c>
      <c r="F1024" s="4" t="n"/>
      <c r="G1024">
        <f>IF(D1024="","",IFERROR(INDEX(الأصناف!$C$2:$C$2000,MATCH(D1024,الأصناف!$A$2:$A$2000,0)),0))</f>
        <v/>
      </c>
      <c r="H1024">
        <f>IF(D1024="","",F1024*G1024)</f>
        <v/>
      </c>
      <c r="I1024">
        <f>IF(D1024="","",H1024-F1024*IFERROR(INDEX(الأصناف!$D$2:$D$2000,MATCH(D1024,الأصناف!$A$2:$A$2000,0)),0))</f>
        <v/>
      </c>
      <c r="J1024" s="4" t="n"/>
      <c r="K1024" s="7">
        <f>IF(OR(B1024="",B1024&lt;&gt;الإيصال!$C$3),"",COUNTIF(B$2:B1024,الإيصال!$C$3))</f>
        <v/>
      </c>
    </row>
    <row r="1025">
      <c r="A1025" s="6" t="n"/>
      <c r="B1025" s="4" t="n"/>
      <c r="C1025" s="4" t="n"/>
      <c r="D1025" s="4" t="n"/>
      <c r="E1025">
        <f>IF(D1025="","",IFERROR(INDEX(الأصناف!$B$2:$B$2000,MATCH(D1025,الأصناف!$A$2:$A$2000,0)),"كود غير موجود"))</f>
        <v/>
      </c>
      <c r="F1025" s="4" t="n"/>
      <c r="G1025">
        <f>IF(D1025="","",IFERROR(INDEX(الأصناف!$C$2:$C$2000,MATCH(D1025,الأصناف!$A$2:$A$2000,0)),0))</f>
        <v/>
      </c>
      <c r="H1025">
        <f>IF(D1025="","",F1025*G1025)</f>
        <v/>
      </c>
      <c r="I1025">
        <f>IF(D1025="","",H1025-F1025*IFERROR(INDEX(الأصناف!$D$2:$D$2000,MATCH(D1025,الأصناف!$A$2:$A$2000,0)),0))</f>
        <v/>
      </c>
      <c r="J1025" s="4" t="n"/>
      <c r="K1025" s="7">
        <f>IF(OR(B1025="",B1025&lt;&gt;الإيصال!$C$3),"",COUNTIF(B$2:B1025,الإيصال!$C$3))</f>
        <v/>
      </c>
    </row>
    <row r="1026">
      <c r="A1026" s="6" t="n"/>
      <c r="B1026" s="4" t="n"/>
      <c r="C1026" s="4" t="n"/>
      <c r="D1026" s="4" t="n"/>
      <c r="E1026">
        <f>IF(D1026="","",IFERROR(INDEX(الأصناف!$B$2:$B$2000,MATCH(D1026,الأصناف!$A$2:$A$2000,0)),"كود غير موجود"))</f>
        <v/>
      </c>
      <c r="F1026" s="4" t="n"/>
      <c r="G1026">
        <f>IF(D1026="","",IFERROR(INDEX(الأصناف!$C$2:$C$2000,MATCH(D1026,الأصناف!$A$2:$A$2000,0)),0))</f>
        <v/>
      </c>
      <c r="H1026">
        <f>IF(D1026="","",F1026*G1026)</f>
        <v/>
      </c>
      <c r="I1026">
        <f>IF(D1026="","",H1026-F1026*IFERROR(INDEX(الأصناف!$D$2:$D$2000,MATCH(D1026,الأصناف!$A$2:$A$2000,0)),0))</f>
        <v/>
      </c>
      <c r="J1026" s="4" t="n"/>
      <c r="K1026" s="7">
        <f>IF(OR(B1026="",B1026&lt;&gt;الإيصال!$C$3),"",COUNTIF(B$2:B1026,الإيصال!$C$3))</f>
        <v/>
      </c>
    </row>
    <row r="1027">
      <c r="A1027" s="6" t="n"/>
      <c r="B1027" s="4" t="n"/>
      <c r="C1027" s="4" t="n"/>
      <c r="D1027" s="4" t="n"/>
      <c r="E1027">
        <f>IF(D1027="","",IFERROR(INDEX(الأصناف!$B$2:$B$2000,MATCH(D1027,الأصناف!$A$2:$A$2000,0)),"كود غير موجود"))</f>
        <v/>
      </c>
      <c r="F1027" s="4" t="n"/>
      <c r="G1027">
        <f>IF(D1027="","",IFERROR(INDEX(الأصناف!$C$2:$C$2000,MATCH(D1027,الأصناف!$A$2:$A$2000,0)),0))</f>
        <v/>
      </c>
      <c r="H1027">
        <f>IF(D1027="","",F1027*G1027)</f>
        <v/>
      </c>
      <c r="I1027">
        <f>IF(D1027="","",H1027-F1027*IFERROR(INDEX(الأصناف!$D$2:$D$2000,MATCH(D1027,الأصناف!$A$2:$A$2000,0)),0))</f>
        <v/>
      </c>
      <c r="J1027" s="4" t="n"/>
      <c r="K1027" s="7">
        <f>IF(OR(B1027="",B1027&lt;&gt;الإيصال!$C$3),"",COUNTIF(B$2:B1027,الإيصال!$C$3))</f>
        <v/>
      </c>
    </row>
    <row r="1028">
      <c r="A1028" s="6" t="n"/>
      <c r="B1028" s="4" t="n"/>
      <c r="C1028" s="4" t="n"/>
      <c r="D1028" s="4" t="n"/>
      <c r="E1028">
        <f>IF(D1028="","",IFERROR(INDEX(الأصناف!$B$2:$B$2000,MATCH(D1028,الأصناف!$A$2:$A$2000,0)),"كود غير موجود"))</f>
        <v/>
      </c>
      <c r="F1028" s="4" t="n"/>
      <c r="G1028">
        <f>IF(D1028="","",IFERROR(INDEX(الأصناف!$C$2:$C$2000,MATCH(D1028,الأصناف!$A$2:$A$2000,0)),0))</f>
        <v/>
      </c>
      <c r="H1028">
        <f>IF(D1028="","",F1028*G1028)</f>
        <v/>
      </c>
      <c r="I1028">
        <f>IF(D1028="","",H1028-F1028*IFERROR(INDEX(الأصناف!$D$2:$D$2000,MATCH(D1028,الأصناف!$A$2:$A$2000,0)),0))</f>
        <v/>
      </c>
      <c r="J1028" s="4" t="n"/>
      <c r="K1028" s="7">
        <f>IF(OR(B1028="",B1028&lt;&gt;الإيصال!$C$3),"",COUNTIF(B$2:B1028,الإيصال!$C$3))</f>
        <v/>
      </c>
    </row>
    <row r="1029">
      <c r="A1029" s="6" t="n"/>
      <c r="B1029" s="4" t="n"/>
      <c r="C1029" s="4" t="n"/>
      <c r="D1029" s="4" t="n"/>
      <c r="E1029">
        <f>IF(D1029="","",IFERROR(INDEX(الأصناف!$B$2:$B$2000,MATCH(D1029,الأصناف!$A$2:$A$2000,0)),"كود غير موجود"))</f>
        <v/>
      </c>
      <c r="F1029" s="4" t="n"/>
      <c r="G1029">
        <f>IF(D1029="","",IFERROR(INDEX(الأصناف!$C$2:$C$2000,MATCH(D1029,الأصناف!$A$2:$A$2000,0)),0))</f>
        <v/>
      </c>
      <c r="H1029">
        <f>IF(D1029="","",F1029*G1029)</f>
        <v/>
      </c>
      <c r="I1029">
        <f>IF(D1029="","",H1029-F1029*IFERROR(INDEX(الأصناف!$D$2:$D$2000,MATCH(D1029,الأصناف!$A$2:$A$2000,0)),0))</f>
        <v/>
      </c>
      <c r="J1029" s="4" t="n"/>
      <c r="K1029" s="7">
        <f>IF(OR(B1029="",B1029&lt;&gt;الإيصال!$C$3),"",COUNTIF(B$2:B1029,الإيصال!$C$3))</f>
        <v/>
      </c>
    </row>
    <row r="1030">
      <c r="A1030" s="6" t="n"/>
      <c r="B1030" s="4" t="n"/>
      <c r="C1030" s="4" t="n"/>
      <c r="D1030" s="4" t="n"/>
      <c r="E1030">
        <f>IF(D1030="","",IFERROR(INDEX(الأصناف!$B$2:$B$2000,MATCH(D1030,الأصناف!$A$2:$A$2000,0)),"كود غير موجود"))</f>
        <v/>
      </c>
      <c r="F1030" s="4" t="n"/>
      <c r="G1030">
        <f>IF(D1030="","",IFERROR(INDEX(الأصناف!$C$2:$C$2000,MATCH(D1030,الأصناف!$A$2:$A$2000,0)),0))</f>
        <v/>
      </c>
      <c r="H1030">
        <f>IF(D1030="","",F1030*G1030)</f>
        <v/>
      </c>
      <c r="I1030">
        <f>IF(D1030="","",H1030-F1030*IFERROR(INDEX(الأصناف!$D$2:$D$2000,MATCH(D1030,الأصناف!$A$2:$A$2000,0)),0))</f>
        <v/>
      </c>
      <c r="J1030" s="4" t="n"/>
      <c r="K1030" s="7">
        <f>IF(OR(B1030="",B1030&lt;&gt;الإيصال!$C$3),"",COUNTIF(B$2:B1030,الإيصال!$C$3))</f>
        <v/>
      </c>
    </row>
    <row r="1031">
      <c r="A1031" s="6" t="n"/>
      <c r="B1031" s="4" t="n"/>
      <c r="C1031" s="4" t="n"/>
      <c r="D1031" s="4" t="n"/>
      <c r="E1031">
        <f>IF(D1031="","",IFERROR(INDEX(الأصناف!$B$2:$B$2000,MATCH(D1031,الأصناف!$A$2:$A$2000,0)),"كود غير موجود"))</f>
        <v/>
      </c>
      <c r="F1031" s="4" t="n"/>
      <c r="G1031">
        <f>IF(D1031="","",IFERROR(INDEX(الأصناف!$C$2:$C$2000,MATCH(D1031,الأصناف!$A$2:$A$2000,0)),0))</f>
        <v/>
      </c>
      <c r="H1031">
        <f>IF(D1031="","",F1031*G1031)</f>
        <v/>
      </c>
      <c r="I1031">
        <f>IF(D1031="","",H1031-F1031*IFERROR(INDEX(الأصناف!$D$2:$D$2000,MATCH(D1031,الأصناف!$A$2:$A$2000,0)),0))</f>
        <v/>
      </c>
      <c r="J1031" s="4" t="n"/>
      <c r="K1031" s="7">
        <f>IF(OR(B1031="",B1031&lt;&gt;الإيصال!$C$3),"",COUNTIF(B$2:B1031,الإيصال!$C$3))</f>
        <v/>
      </c>
    </row>
    <row r="1032">
      <c r="A1032" s="6" t="n"/>
      <c r="B1032" s="4" t="n"/>
      <c r="C1032" s="4" t="n"/>
      <c r="D1032" s="4" t="n"/>
      <c r="E1032">
        <f>IF(D1032="","",IFERROR(INDEX(الأصناف!$B$2:$B$2000,MATCH(D1032,الأصناف!$A$2:$A$2000,0)),"كود غير موجود"))</f>
        <v/>
      </c>
      <c r="F1032" s="4" t="n"/>
      <c r="G1032">
        <f>IF(D1032="","",IFERROR(INDEX(الأصناف!$C$2:$C$2000,MATCH(D1032,الأصناف!$A$2:$A$2000,0)),0))</f>
        <v/>
      </c>
      <c r="H1032">
        <f>IF(D1032="","",F1032*G1032)</f>
        <v/>
      </c>
      <c r="I1032">
        <f>IF(D1032="","",H1032-F1032*IFERROR(INDEX(الأصناف!$D$2:$D$2000,MATCH(D1032,الأصناف!$A$2:$A$2000,0)),0))</f>
        <v/>
      </c>
      <c r="J1032" s="4" t="n"/>
      <c r="K1032" s="7">
        <f>IF(OR(B1032="",B1032&lt;&gt;الإيصال!$C$3),"",COUNTIF(B$2:B1032,الإيصال!$C$3))</f>
        <v/>
      </c>
    </row>
    <row r="1033">
      <c r="A1033" s="6" t="n"/>
      <c r="B1033" s="4" t="n"/>
      <c r="C1033" s="4" t="n"/>
      <c r="D1033" s="4" t="n"/>
      <c r="E1033">
        <f>IF(D1033="","",IFERROR(INDEX(الأصناف!$B$2:$B$2000,MATCH(D1033,الأصناف!$A$2:$A$2000,0)),"كود غير موجود"))</f>
        <v/>
      </c>
      <c r="F1033" s="4" t="n"/>
      <c r="G1033">
        <f>IF(D1033="","",IFERROR(INDEX(الأصناف!$C$2:$C$2000,MATCH(D1033,الأصناف!$A$2:$A$2000,0)),0))</f>
        <v/>
      </c>
      <c r="H1033">
        <f>IF(D1033="","",F1033*G1033)</f>
        <v/>
      </c>
      <c r="I1033">
        <f>IF(D1033="","",H1033-F1033*IFERROR(INDEX(الأصناف!$D$2:$D$2000,MATCH(D1033,الأصناف!$A$2:$A$2000,0)),0))</f>
        <v/>
      </c>
      <c r="J1033" s="4" t="n"/>
      <c r="K1033" s="7">
        <f>IF(OR(B1033="",B1033&lt;&gt;الإيصال!$C$3),"",COUNTIF(B$2:B1033,الإيصال!$C$3))</f>
        <v/>
      </c>
    </row>
    <row r="1034">
      <c r="A1034" s="6" t="n"/>
      <c r="B1034" s="4" t="n"/>
      <c r="C1034" s="4" t="n"/>
      <c r="D1034" s="4" t="n"/>
      <c r="E1034">
        <f>IF(D1034="","",IFERROR(INDEX(الأصناف!$B$2:$B$2000,MATCH(D1034,الأصناف!$A$2:$A$2000,0)),"كود غير موجود"))</f>
        <v/>
      </c>
      <c r="F1034" s="4" t="n"/>
      <c r="G1034">
        <f>IF(D1034="","",IFERROR(INDEX(الأصناف!$C$2:$C$2000,MATCH(D1034,الأصناف!$A$2:$A$2000,0)),0))</f>
        <v/>
      </c>
      <c r="H1034">
        <f>IF(D1034="","",F1034*G1034)</f>
        <v/>
      </c>
      <c r="I1034">
        <f>IF(D1034="","",H1034-F1034*IFERROR(INDEX(الأصناف!$D$2:$D$2000,MATCH(D1034,الأصناف!$A$2:$A$2000,0)),0))</f>
        <v/>
      </c>
      <c r="J1034" s="4" t="n"/>
      <c r="K1034" s="7">
        <f>IF(OR(B1034="",B1034&lt;&gt;الإيصال!$C$3),"",COUNTIF(B$2:B1034,الإيصال!$C$3))</f>
        <v/>
      </c>
    </row>
    <row r="1035">
      <c r="A1035" s="6" t="n"/>
      <c r="B1035" s="4" t="n"/>
      <c r="C1035" s="4" t="n"/>
      <c r="D1035" s="4" t="n"/>
      <c r="E1035">
        <f>IF(D1035="","",IFERROR(INDEX(الأصناف!$B$2:$B$2000,MATCH(D1035,الأصناف!$A$2:$A$2000,0)),"كود غير موجود"))</f>
        <v/>
      </c>
      <c r="F1035" s="4" t="n"/>
      <c r="G1035">
        <f>IF(D1035="","",IFERROR(INDEX(الأصناف!$C$2:$C$2000,MATCH(D1035,الأصناف!$A$2:$A$2000,0)),0))</f>
        <v/>
      </c>
      <c r="H1035">
        <f>IF(D1035="","",F1035*G1035)</f>
        <v/>
      </c>
      <c r="I1035">
        <f>IF(D1035="","",H1035-F1035*IFERROR(INDEX(الأصناف!$D$2:$D$2000,MATCH(D1035,الأصناف!$A$2:$A$2000,0)),0))</f>
        <v/>
      </c>
      <c r="J1035" s="4" t="n"/>
      <c r="K1035" s="7">
        <f>IF(OR(B1035="",B1035&lt;&gt;الإيصال!$C$3),"",COUNTIF(B$2:B1035,الإيصال!$C$3))</f>
        <v/>
      </c>
    </row>
    <row r="1036">
      <c r="A1036" s="6" t="n"/>
      <c r="B1036" s="4" t="n"/>
      <c r="C1036" s="4" t="n"/>
      <c r="D1036" s="4" t="n"/>
      <c r="E1036">
        <f>IF(D1036="","",IFERROR(INDEX(الأصناف!$B$2:$B$2000,MATCH(D1036,الأصناف!$A$2:$A$2000,0)),"كود غير موجود"))</f>
        <v/>
      </c>
      <c r="F1036" s="4" t="n"/>
      <c r="G1036">
        <f>IF(D1036="","",IFERROR(INDEX(الأصناف!$C$2:$C$2000,MATCH(D1036,الأصناف!$A$2:$A$2000,0)),0))</f>
        <v/>
      </c>
      <c r="H1036">
        <f>IF(D1036="","",F1036*G1036)</f>
        <v/>
      </c>
      <c r="I1036">
        <f>IF(D1036="","",H1036-F1036*IFERROR(INDEX(الأصناف!$D$2:$D$2000,MATCH(D1036,الأصناف!$A$2:$A$2000,0)),0))</f>
        <v/>
      </c>
      <c r="J1036" s="4" t="n"/>
      <c r="K1036" s="7">
        <f>IF(OR(B1036="",B1036&lt;&gt;الإيصال!$C$3),"",COUNTIF(B$2:B1036,الإيصال!$C$3))</f>
        <v/>
      </c>
    </row>
    <row r="1037">
      <c r="A1037" s="6" t="n"/>
      <c r="B1037" s="4" t="n"/>
      <c r="C1037" s="4" t="n"/>
      <c r="D1037" s="4" t="n"/>
      <c r="E1037">
        <f>IF(D1037="","",IFERROR(INDEX(الأصناف!$B$2:$B$2000,MATCH(D1037,الأصناف!$A$2:$A$2000,0)),"كود غير موجود"))</f>
        <v/>
      </c>
      <c r="F1037" s="4" t="n"/>
      <c r="G1037">
        <f>IF(D1037="","",IFERROR(INDEX(الأصناف!$C$2:$C$2000,MATCH(D1037,الأصناف!$A$2:$A$2000,0)),0))</f>
        <v/>
      </c>
      <c r="H1037">
        <f>IF(D1037="","",F1037*G1037)</f>
        <v/>
      </c>
      <c r="I1037">
        <f>IF(D1037="","",H1037-F1037*IFERROR(INDEX(الأصناف!$D$2:$D$2000,MATCH(D1037,الأصناف!$A$2:$A$2000,0)),0))</f>
        <v/>
      </c>
      <c r="J1037" s="4" t="n"/>
      <c r="K1037" s="7">
        <f>IF(OR(B1037="",B1037&lt;&gt;الإيصال!$C$3),"",COUNTIF(B$2:B1037,الإيصال!$C$3))</f>
        <v/>
      </c>
    </row>
    <row r="1038">
      <c r="A1038" s="6" t="n"/>
      <c r="B1038" s="4" t="n"/>
      <c r="C1038" s="4" t="n"/>
      <c r="D1038" s="4" t="n"/>
      <c r="E1038">
        <f>IF(D1038="","",IFERROR(INDEX(الأصناف!$B$2:$B$2000,MATCH(D1038,الأصناف!$A$2:$A$2000,0)),"كود غير موجود"))</f>
        <v/>
      </c>
      <c r="F1038" s="4" t="n"/>
      <c r="G1038">
        <f>IF(D1038="","",IFERROR(INDEX(الأصناف!$C$2:$C$2000,MATCH(D1038,الأصناف!$A$2:$A$2000,0)),0))</f>
        <v/>
      </c>
      <c r="H1038">
        <f>IF(D1038="","",F1038*G1038)</f>
        <v/>
      </c>
      <c r="I1038">
        <f>IF(D1038="","",H1038-F1038*IFERROR(INDEX(الأصناف!$D$2:$D$2000,MATCH(D1038,الأصناف!$A$2:$A$2000,0)),0))</f>
        <v/>
      </c>
      <c r="J1038" s="4" t="n"/>
      <c r="K1038" s="7">
        <f>IF(OR(B1038="",B1038&lt;&gt;الإيصال!$C$3),"",COUNTIF(B$2:B1038,الإيصال!$C$3))</f>
        <v/>
      </c>
    </row>
    <row r="1039">
      <c r="A1039" s="6" t="n"/>
      <c r="B1039" s="4" t="n"/>
      <c r="C1039" s="4" t="n"/>
      <c r="D1039" s="4" t="n"/>
      <c r="E1039">
        <f>IF(D1039="","",IFERROR(INDEX(الأصناف!$B$2:$B$2000,MATCH(D1039,الأصناف!$A$2:$A$2000,0)),"كود غير موجود"))</f>
        <v/>
      </c>
      <c r="F1039" s="4" t="n"/>
      <c r="G1039">
        <f>IF(D1039="","",IFERROR(INDEX(الأصناف!$C$2:$C$2000,MATCH(D1039,الأصناف!$A$2:$A$2000,0)),0))</f>
        <v/>
      </c>
      <c r="H1039">
        <f>IF(D1039="","",F1039*G1039)</f>
        <v/>
      </c>
      <c r="I1039">
        <f>IF(D1039="","",H1039-F1039*IFERROR(INDEX(الأصناف!$D$2:$D$2000,MATCH(D1039,الأصناف!$A$2:$A$2000,0)),0))</f>
        <v/>
      </c>
      <c r="J1039" s="4" t="n"/>
      <c r="K1039" s="7">
        <f>IF(OR(B1039="",B1039&lt;&gt;الإيصال!$C$3),"",COUNTIF(B$2:B1039,الإيصال!$C$3))</f>
        <v/>
      </c>
    </row>
    <row r="1040">
      <c r="A1040" s="6" t="n"/>
      <c r="B1040" s="4" t="n"/>
      <c r="C1040" s="4" t="n"/>
      <c r="D1040" s="4" t="n"/>
      <c r="E1040">
        <f>IF(D1040="","",IFERROR(INDEX(الأصناف!$B$2:$B$2000,MATCH(D1040,الأصناف!$A$2:$A$2000,0)),"كود غير موجود"))</f>
        <v/>
      </c>
      <c r="F1040" s="4" t="n"/>
      <c r="G1040">
        <f>IF(D1040="","",IFERROR(INDEX(الأصناف!$C$2:$C$2000,MATCH(D1040,الأصناف!$A$2:$A$2000,0)),0))</f>
        <v/>
      </c>
      <c r="H1040">
        <f>IF(D1040="","",F1040*G1040)</f>
        <v/>
      </c>
      <c r="I1040">
        <f>IF(D1040="","",H1040-F1040*IFERROR(INDEX(الأصناف!$D$2:$D$2000,MATCH(D1040,الأصناف!$A$2:$A$2000,0)),0))</f>
        <v/>
      </c>
      <c r="J1040" s="4" t="n"/>
      <c r="K1040" s="7">
        <f>IF(OR(B1040="",B1040&lt;&gt;الإيصال!$C$3),"",COUNTIF(B$2:B1040,الإيصال!$C$3))</f>
        <v/>
      </c>
    </row>
    <row r="1041">
      <c r="A1041" s="6" t="n"/>
      <c r="B1041" s="4" t="n"/>
      <c r="C1041" s="4" t="n"/>
      <c r="D1041" s="4" t="n"/>
      <c r="E1041">
        <f>IF(D1041="","",IFERROR(INDEX(الأصناف!$B$2:$B$2000,MATCH(D1041,الأصناف!$A$2:$A$2000,0)),"كود غير موجود"))</f>
        <v/>
      </c>
      <c r="F1041" s="4" t="n"/>
      <c r="G1041">
        <f>IF(D1041="","",IFERROR(INDEX(الأصناف!$C$2:$C$2000,MATCH(D1041,الأصناف!$A$2:$A$2000,0)),0))</f>
        <v/>
      </c>
      <c r="H1041">
        <f>IF(D1041="","",F1041*G1041)</f>
        <v/>
      </c>
      <c r="I1041">
        <f>IF(D1041="","",H1041-F1041*IFERROR(INDEX(الأصناف!$D$2:$D$2000,MATCH(D1041,الأصناف!$A$2:$A$2000,0)),0))</f>
        <v/>
      </c>
      <c r="J1041" s="4" t="n"/>
      <c r="K1041" s="7">
        <f>IF(OR(B1041="",B1041&lt;&gt;الإيصال!$C$3),"",COUNTIF(B$2:B1041,الإيصال!$C$3))</f>
        <v/>
      </c>
    </row>
    <row r="1042">
      <c r="A1042" s="6" t="n"/>
      <c r="B1042" s="4" t="n"/>
      <c r="C1042" s="4" t="n"/>
      <c r="D1042" s="4" t="n"/>
      <c r="E1042">
        <f>IF(D1042="","",IFERROR(INDEX(الأصناف!$B$2:$B$2000,MATCH(D1042,الأصناف!$A$2:$A$2000,0)),"كود غير موجود"))</f>
        <v/>
      </c>
      <c r="F1042" s="4" t="n"/>
      <c r="G1042">
        <f>IF(D1042="","",IFERROR(INDEX(الأصناف!$C$2:$C$2000,MATCH(D1042,الأصناف!$A$2:$A$2000,0)),0))</f>
        <v/>
      </c>
      <c r="H1042">
        <f>IF(D1042="","",F1042*G1042)</f>
        <v/>
      </c>
      <c r="I1042">
        <f>IF(D1042="","",H1042-F1042*IFERROR(INDEX(الأصناف!$D$2:$D$2000,MATCH(D1042,الأصناف!$A$2:$A$2000,0)),0))</f>
        <v/>
      </c>
      <c r="J1042" s="4" t="n"/>
      <c r="K1042" s="7">
        <f>IF(OR(B1042="",B1042&lt;&gt;الإيصال!$C$3),"",COUNTIF(B$2:B1042,الإيصال!$C$3))</f>
        <v/>
      </c>
    </row>
    <row r="1043">
      <c r="A1043" s="6" t="n"/>
      <c r="B1043" s="4" t="n"/>
      <c r="C1043" s="4" t="n"/>
      <c r="D1043" s="4" t="n"/>
      <c r="E1043">
        <f>IF(D1043="","",IFERROR(INDEX(الأصناف!$B$2:$B$2000,MATCH(D1043,الأصناف!$A$2:$A$2000,0)),"كود غير موجود"))</f>
        <v/>
      </c>
      <c r="F1043" s="4" t="n"/>
      <c r="G1043">
        <f>IF(D1043="","",IFERROR(INDEX(الأصناف!$C$2:$C$2000,MATCH(D1043,الأصناف!$A$2:$A$2000,0)),0))</f>
        <v/>
      </c>
      <c r="H1043">
        <f>IF(D1043="","",F1043*G1043)</f>
        <v/>
      </c>
      <c r="I1043">
        <f>IF(D1043="","",H1043-F1043*IFERROR(INDEX(الأصناف!$D$2:$D$2000,MATCH(D1043,الأصناف!$A$2:$A$2000,0)),0))</f>
        <v/>
      </c>
      <c r="J1043" s="4" t="n"/>
      <c r="K1043" s="7">
        <f>IF(OR(B1043="",B1043&lt;&gt;الإيصال!$C$3),"",COUNTIF(B$2:B1043,الإيصال!$C$3))</f>
        <v/>
      </c>
    </row>
    <row r="1044">
      <c r="A1044" s="6" t="n"/>
      <c r="B1044" s="4" t="n"/>
      <c r="C1044" s="4" t="n"/>
      <c r="D1044" s="4" t="n"/>
      <c r="E1044">
        <f>IF(D1044="","",IFERROR(INDEX(الأصناف!$B$2:$B$2000,MATCH(D1044,الأصناف!$A$2:$A$2000,0)),"كود غير موجود"))</f>
        <v/>
      </c>
      <c r="F1044" s="4" t="n"/>
      <c r="G1044">
        <f>IF(D1044="","",IFERROR(INDEX(الأصناف!$C$2:$C$2000,MATCH(D1044,الأصناف!$A$2:$A$2000,0)),0))</f>
        <v/>
      </c>
      <c r="H1044">
        <f>IF(D1044="","",F1044*G1044)</f>
        <v/>
      </c>
      <c r="I1044">
        <f>IF(D1044="","",H1044-F1044*IFERROR(INDEX(الأصناف!$D$2:$D$2000,MATCH(D1044,الأصناف!$A$2:$A$2000,0)),0))</f>
        <v/>
      </c>
      <c r="J1044" s="4" t="n"/>
      <c r="K1044" s="7">
        <f>IF(OR(B1044="",B1044&lt;&gt;الإيصال!$C$3),"",COUNTIF(B$2:B1044,الإيصال!$C$3))</f>
        <v/>
      </c>
    </row>
    <row r="1045">
      <c r="A1045" s="6" t="n"/>
      <c r="B1045" s="4" t="n"/>
      <c r="C1045" s="4" t="n"/>
      <c r="D1045" s="4" t="n"/>
      <c r="E1045">
        <f>IF(D1045="","",IFERROR(INDEX(الأصناف!$B$2:$B$2000,MATCH(D1045,الأصناف!$A$2:$A$2000,0)),"كود غير موجود"))</f>
        <v/>
      </c>
      <c r="F1045" s="4" t="n"/>
      <c r="G1045">
        <f>IF(D1045="","",IFERROR(INDEX(الأصناف!$C$2:$C$2000,MATCH(D1045,الأصناف!$A$2:$A$2000,0)),0))</f>
        <v/>
      </c>
      <c r="H1045">
        <f>IF(D1045="","",F1045*G1045)</f>
        <v/>
      </c>
      <c r="I1045">
        <f>IF(D1045="","",H1045-F1045*IFERROR(INDEX(الأصناف!$D$2:$D$2000,MATCH(D1045,الأصناف!$A$2:$A$2000,0)),0))</f>
        <v/>
      </c>
      <c r="J1045" s="4" t="n"/>
      <c r="K1045" s="7">
        <f>IF(OR(B1045="",B1045&lt;&gt;الإيصال!$C$3),"",COUNTIF(B$2:B1045,الإيصال!$C$3))</f>
        <v/>
      </c>
    </row>
    <row r="1046">
      <c r="A1046" s="6" t="n"/>
      <c r="B1046" s="4" t="n"/>
      <c r="C1046" s="4" t="n"/>
      <c r="D1046" s="4" t="n"/>
      <c r="E1046">
        <f>IF(D1046="","",IFERROR(INDEX(الأصناف!$B$2:$B$2000,MATCH(D1046,الأصناف!$A$2:$A$2000,0)),"كود غير موجود"))</f>
        <v/>
      </c>
      <c r="F1046" s="4" t="n"/>
      <c r="G1046">
        <f>IF(D1046="","",IFERROR(INDEX(الأصناف!$C$2:$C$2000,MATCH(D1046,الأصناف!$A$2:$A$2000,0)),0))</f>
        <v/>
      </c>
      <c r="H1046">
        <f>IF(D1046="","",F1046*G1046)</f>
        <v/>
      </c>
      <c r="I1046">
        <f>IF(D1046="","",H1046-F1046*IFERROR(INDEX(الأصناف!$D$2:$D$2000,MATCH(D1046,الأصناف!$A$2:$A$2000,0)),0))</f>
        <v/>
      </c>
      <c r="J1046" s="4" t="n"/>
      <c r="K1046" s="7">
        <f>IF(OR(B1046="",B1046&lt;&gt;الإيصال!$C$3),"",COUNTIF(B$2:B1046,الإيصال!$C$3))</f>
        <v/>
      </c>
    </row>
    <row r="1047">
      <c r="A1047" s="6" t="n"/>
      <c r="B1047" s="4" t="n"/>
      <c r="C1047" s="4" t="n"/>
      <c r="D1047" s="4" t="n"/>
      <c r="E1047">
        <f>IF(D1047="","",IFERROR(INDEX(الأصناف!$B$2:$B$2000,MATCH(D1047,الأصناف!$A$2:$A$2000,0)),"كود غير موجود"))</f>
        <v/>
      </c>
      <c r="F1047" s="4" t="n"/>
      <c r="G1047">
        <f>IF(D1047="","",IFERROR(INDEX(الأصناف!$C$2:$C$2000,MATCH(D1047,الأصناف!$A$2:$A$2000,0)),0))</f>
        <v/>
      </c>
      <c r="H1047">
        <f>IF(D1047="","",F1047*G1047)</f>
        <v/>
      </c>
      <c r="I1047">
        <f>IF(D1047="","",H1047-F1047*IFERROR(INDEX(الأصناف!$D$2:$D$2000,MATCH(D1047,الأصناف!$A$2:$A$2000,0)),0))</f>
        <v/>
      </c>
      <c r="J1047" s="4" t="n"/>
      <c r="K1047" s="7">
        <f>IF(OR(B1047="",B1047&lt;&gt;الإيصال!$C$3),"",COUNTIF(B$2:B1047,الإيصال!$C$3))</f>
        <v/>
      </c>
    </row>
    <row r="1048">
      <c r="A1048" s="6" t="n"/>
      <c r="B1048" s="4" t="n"/>
      <c r="C1048" s="4" t="n"/>
      <c r="D1048" s="4" t="n"/>
      <c r="E1048">
        <f>IF(D1048="","",IFERROR(INDEX(الأصناف!$B$2:$B$2000,MATCH(D1048,الأصناف!$A$2:$A$2000,0)),"كود غير موجود"))</f>
        <v/>
      </c>
      <c r="F1048" s="4" t="n"/>
      <c r="G1048">
        <f>IF(D1048="","",IFERROR(INDEX(الأصناف!$C$2:$C$2000,MATCH(D1048,الأصناف!$A$2:$A$2000,0)),0))</f>
        <v/>
      </c>
      <c r="H1048">
        <f>IF(D1048="","",F1048*G1048)</f>
        <v/>
      </c>
      <c r="I1048">
        <f>IF(D1048="","",H1048-F1048*IFERROR(INDEX(الأصناف!$D$2:$D$2000,MATCH(D1048,الأصناف!$A$2:$A$2000,0)),0))</f>
        <v/>
      </c>
      <c r="J1048" s="4" t="n"/>
      <c r="K1048" s="7">
        <f>IF(OR(B1048="",B1048&lt;&gt;الإيصال!$C$3),"",COUNTIF(B$2:B1048,الإيصال!$C$3))</f>
        <v/>
      </c>
    </row>
    <row r="1049">
      <c r="A1049" s="6" t="n"/>
      <c r="B1049" s="4" t="n"/>
      <c r="C1049" s="4" t="n"/>
      <c r="D1049" s="4" t="n"/>
      <c r="E1049">
        <f>IF(D1049="","",IFERROR(INDEX(الأصناف!$B$2:$B$2000,MATCH(D1049,الأصناف!$A$2:$A$2000,0)),"كود غير موجود"))</f>
        <v/>
      </c>
      <c r="F1049" s="4" t="n"/>
      <c r="G1049">
        <f>IF(D1049="","",IFERROR(INDEX(الأصناف!$C$2:$C$2000,MATCH(D1049,الأصناف!$A$2:$A$2000,0)),0))</f>
        <v/>
      </c>
      <c r="H1049">
        <f>IF(D1049="","",F1049*G1049)</f>
        <v/>
      </c>
      <c r="I1049">
        <f>IF(D1049="","",H1049-F1049*IFERROR(INDEX(الأصناف!$D$2:$D$2000,MATCH(D1049,الأصناف!$A$2:$A$2000,0)),0))</f>
        <v/>
      </c>
      <c r="J1049" s="4" t="n"/>
      <c r="K1049" s="7">
        <f>IF(OR(B1049="",B1049&lt;&gt;الإيصال!$C$3),"",COUNTIF(B$2:B1049,الإيصال!$C$3))</f>
        <v/>
      </c>
    </row>
    <row r="1050">
      <c r="A1050" s="6" t="n"/>
      <c r="B1050" s="4" t="n"/>
      <c r="C1050" s="4" t="n"/>
      <c r="D1050" s="4" t="n"/>
      <c r="E1050">
        <f>IF(D1050="","",IFERROR(INDEX(الأصناف!$B$2:$B$2000,MATCH(D1050,الأصناف!$A$2:$A$2000,0)),"كود غير موجود"))</f>
        <v/>
      </c>
      <c r="F1050" s="4" t="n"/>
      <c r="G1050">
        <f>IF(D1050="","",IFERROR(INDEX(الأصناف!$C$2:$C$2000,MATCH(D1050,الأصناف!$A$2:$A$2000,0)),0))</f>
        <v/>
      </c>
      <c r="H1050">
        <f>IF(D1050="","",F1050*G1050)</f>
        <v/>
      </c>
      <c r="I1050">
        <f>IF(D1050="","",H1050-F1050*IFERROR(INDEX(الأصناف!$D$2:$D$2000,MATCH(D1050,الأصناف!$A$2:$A$2000,0)),0))</f>
        <v/>
      </c>
      <c r="J1050" s="4" t="n"/>
      <c r="K1050" s="7">
        <f>IF(OR(B1050="",B1050&lt;&gt;الإيصال!$C$3),"",COUNTIF(B$2:B1050,الإيصال!$C$3))</f>
        <v/>
      </c>
    </row>
    <row r="1051">
      <c r="A1051" s="6" t="n"/>
      <c r="B1051" s="4" t="n"/>
      <c r="C1051" s="4" t="n"/>
      <c r="D1051" s="4" t="n"/>
      <c r="E1051">
        <f>IF(D1051="","",IFERROR(INDEX(الأصناف!$B$2:$B$2000,MATCH(D1051,الأصناف!$A$2:$A$2000,0)),"كود غير موجود"))</f>
        <v/>
      </c>
      <c r="F1051" s="4" t="n"/>
      <c r="G1051">
        <f>IF(D1051="","",IFERROR(INDEX(الأصناف!$C$2:$C$2000,MATCH(D1051,الأصناف!$A$2:$A$2000,0)),0))</f>
        <v/>
      </c>
      <c r="H1051">
        <f>IF(D1051="","",F1051*G1051)</f>
        <v/>
      </c>
      <c r="I1051">
        <f>IF(D1051="","",H1051-F1051*IFERROR(INDEX(الأصناف!$D$2:$D$2000,MATCH(D1051,الأصناف!$A$2:$A$2000,0)),0))</f>
        <v/>
      </c>
      <c r="J1051" s="4" t="n"/>
      <c r="K1051" s="7">
        <f>IF(OR(B1051="",B1051&lt;&gt;الإيصال!$C$3),"",COUNTIF(B$2:B1051,الإيصال!$C$3))</f>
        <v/>
      </c>
    </row>
    <row r="1052">
      <c r="A1052" s="6" t="n"/>
      <c r="B1052" s="4" t="n"/>
      <c r="C1052" s="4" t="n"/>
      <c r="D1052" s="4" t="n"/>
      <c r="E1052">
        <f>IF(D1052="","",IFERROR(INDEX(الأصناف!$B$2:$B$2000,MATCH(D1052,الأصناف!$A$2:$A$2000,0)),"كود غير موجود"))</f>
        <v/>
      </c>
      <c r="F1052" s="4" t="n"/>
      <c r="G1052">
        <f>IF(D1052="","",IFERROR(INDEX(الأصناف!$C$2:$C$2000,MATCH(D1052,الأصناف!$A$2:$A$2000,0)),0))</f>
        <v/>
      </c>
      <c r="H1052">
        <f>IF(D1052="","",F1052*G1052)</f>
        <v/>
      </c>
      <c r="I1052">
        <f>IF(D1052="","",H1052-F1052*IFERROR(INDEX(الأصناف!$D$2:$D$2000,MATCH(D1052,الأصناف!$A$2:$A$2000,0)),0))</f>
        <v/>
      </c>
      <c r="J1052" s="4" t="n"/>
      <c r="K1052" s="7">
        <f>IF(OR(B1052="",B1052&lt;&gt;الإيصال!$C$3),"",COUNTIF(B$2:B1052,الإيصال!$C$3))</f>
        <v/>
      </c>
    </row>
    <row r="1053">
      <c r="A1053" s="6" t="n"/>
      <c r="B1053" s="4" t="n"/>
      <c r="C1053" s="4" t="n"/>
      <c r="D1053" s="4" t="n"/>
      <c r="E1053">
        <f>IF(D1053="","",IFERROR(INDEX(الأصناف!$B$2:$B$2000,MATCH(D1053,الأصناف!$A$2:$A$2000,0)),"كود غير موجود"))</f>
        <v/>
      </c>
      <c r="F1053" s="4" t="n"/>
      <c r="G1053">
        <f>IF(D1053="","",IFERROR(INDEX(الأصناف!$C$2:$C$2000,MATCH(D1053,الأصناف!$A$2:$A$2000,0)),0))</f>
        <v/>
      </c>
      <c r="H1053">
        <f>IF(D1053="","",F1053*G1053)</f>
        <v/>
      </c>
      <c r="I1053">
        <f>IF(D1053="","",H1053-F1053*IFERROR(INDEX(الأصناف!$D$2:$D$2000,MATCH(D1053,الأصناف!$A$2:$A$2000,0)),0))</f>
        <v/>
      </c>
      <c r="J1053" s="4" t="n"/>
      <c r="K1053" s="7">
        <f>IF(OR(B1053="",B1053&lt;&gt;الإيصال!$C$3),"",COUNTIF(B$2:B1053,الإيصال!$C$3))</f>
        <v/>
      </c>
    </row>
    <row r="1054">
      <c r="A1054" s="6" t="n"/>
      <c r="B1054" s="4" t="n"/>
      <c r="C1054" s="4" t="n"/>
      <c r="D1054" s="4" t="n"/>
      <c r="E1054">
        <f>IF(D1054="","",IFERROR(INDEX(الأصناف!$B$2:$B$2000,MATCH(D1054,الأصناف!$A$2:$A$2000,0)),"كود غير موجود"))</f>
        <v/>
      </c>
      <c r="F1054" s="4" t="n"/>
      <c r="G1054">
        <f>IF(D1054="","",IFERROR(INDEX(الأصناف!$C$2:$C$2000,MATCH(D1054,الأصناف!$A$2:$A$2000,0)),0))</f>
        <v/>
      </c>
      <c r="H1054">
        <f>IF(D1054="","",F1054*G1054)</f>
        <v/>
      </c>
      <c r="I1054">
        <f>IF(D1054="","",H1054-F1054*IFERROR(INDEX(الأصناف!$D$2:$D$2000,MATCH(D1054,الأصناف!$A$2:$A$2000,0)),0))</f>
        <v/>
      </c>
      <c r="J1054" s="4" t="n"/>
      <c r="K1054" s="7">
        <f>IF(OR(B1054="",B1054&lt;&gt;الإيصال!$C$3),"",COUNTIF(B$2:B1054,الإيصال!$C$3))</f>
        <v/>
      </c>
    </row>
    <row r="1055">
      <c r="A1055" s="6" t="n"/>
      <c r="B1055" s="4" t="n"/>
      <c r="C1055" s="4" t="n"/>
      <c r="D1055" s="4" t="n"/>
      <c r="E1055">
        <f>IF(D1055="","",IFERROR(INDEX(الأصناف!$B$2:$B$2000,MATCH(D1055,الأصناف!$A$2:$A$2000,0)),"كود غير موجود"))</f>
        <v/>
      </c>
      <c r="F1055" s="4" t="n"/>
      <c r="G1055">
        <f>IF(D1055="","",IFERROR(INDEX(الأصناف!$C$2:$C$2000,MATCH(D1055,الأصناف!$A$2:$A$2000,0)),0))</f>
        <v/>
      </c>
      <c r="H1055">
        <f>IF(D1055="","",F1055*G1055)</f>
        <v/>
      </c>
      <c r="I1055">
        <f>IF(D1055="","",H1055-F1055*IFERROR(INDEX(الأصناف!$D$2:$D$2000,MATCH(D1055,الأصناف!$A$2:$A$2000,0)),0))</f>
        <v/>
      </c>
      <c r="J1055" s="4" t="n"/>
      <c r="K1055" s="7">
        <f>IF(OR(B1055="",B1055&lt;&gt;الإيصال!$C$3),"",COUNTIF(B$2:B1055,الإيصال!$C$3))</f>
        <v/>
      </c>
    </row>
    <row r="1056">
      <c r="A1056" s="6" t="n"/>
      <c r="B1056" s="4" t="n"/>
      <c r="C1056" s="4" t="n"/>
      <c r="D1056" s="4" t="n"/>
      <c r="E1056">
        <f>IF(D1056="","",IFERROR(INDEX(الأصناف!$B$2:$B$2000,MATCH(D1056,الأصناف!$A$2:$A$2000,0)),"كود غير موجود"))</f>
        <v/>
      </c>
      <c r="F1056" s="4" t="n"/>
      <c r="G1056">
        <f>IF(D1056="","",IFERROR(INDEX(الأصناف!$C$2:$C$2000,MATCH(D1056,الأصناف!$A$2:$A$2000,0)),0))</f>
        <v/>
      </c>
      <c r="H1056">
        <f>IF(D1056="","",F1056*G1056)</f>
        <v/>
      </c>
      <c r="I1056">
        <f>IF(D1056="","",H1056-F1056*IFERROR(INDEX(الأصناف!$D$2:$D$2000,MATCH(D1056,الأصناف!$A$2:$A$2000,0)),0))</f>
        <v/>
      </c>
      <c r="J1056" s="4" t="n"/>
      <c r="K1056" s="7">
        <f>IF(OR(B1056="",B1056&lt;&gt;الإيصال!$C$3),"",COUNTIF(B$2:B1056,الإيصال!$C$3))</f>
        <v/>
      </c>
    </row>
    <row r="1057">
      <c r="A1057" s="6" t="n"/>
      <c r="B1057" s="4" t="n"/>
      <c r="C1057" s="4" t="n"/>
      <c r="D1057" s="4" t="n"/>
      <c r="E1057">
        <f>IF(D1057="","",IFERROR(INDEX(الأصناف!$B$2:$B$2000,MATCH(D1057,الأصناف!$A$2:$A$2000,0)),"كود غير موجود"))</f>
        <v/>
      </c>
      <c r="F1057" s="4" t="n"/>
      <c r="G1057">
        <f>IF(D1057="","",IFERROR(INDEX(الأصناف!$C$2:$C$2000,MATCH(D1057,الأصناف!$A$2:$A$2000,0)),0))</f>
        <v/>
      </c>
      <c r="H1057">
        <f>IF(D1057="","",F1057*G1057)</f>
        <v/>
      </c>
      <c r="I1057">
        <f>IF(D1057="","",H1057-F1057*IFERROR(INDEX(الأصناف!$D$2:$D$2000,MATCH(D1057,الأصناف!$A$2:$A$2000,0)),0))</f>
        <v/>
      </c>
      <c r="J1057" s="4" t="n"/>
      <c r="K1057" s="7">
        <f>IF(OR(B1057="",B1057&lt;&gt;الإيصال!$C$3),"",COUNTIF(B$2:B1057,الإيصال!$C$3))</f>
        <v/>
      </c>
    </row>
    <row r="1058">
      <c r="A1058" s="6" t="n"/>
      <c r="B1058" s="4" t="n"/>
      <c r="C1058" s="4" t="n"/>
      <c r="D1058" s="4" t="n"/>
      <c r="E1058">
        <f>IF(D1058="","",IFERROR(INDEX(الأصناف!$B$2:$B$2000,MATCH(D1058,الأصناف!$A$2:$A$2000,0)),"كود غير موجود"))</f>
        <v/>
      </c>
      <c r="F1058" s="4" t="n"/>
      <c r="G1058">
        <f>IF(D1058="","",IFERROR(INDEX(الأصناف!$C$2:$C$2000,MATCH(D1058,الأصناف!$A$2:$A$2000,0)),0))</f>
        <v/>
      </c>
      <c r="H1058">
        <f>IF(D1058="","",F1058*G1058)</f>
        <v/>
      </c>
      <c r="I1058">
        <f>IF(D1058="","",H1058-F1058*IFERROR(INDEX(الأصناف!$D$2:$D$2000,MATCH(D1058,الأصناف!$A$2:$A$2000,0)),0))</f>
        <v/>
      </c>
      <c r="J1058" s="4" t="n"/>
      <c r="K1058" s="7">
        <f>IF(OR(B1058="",B1058&lt;&gt;الإيصال!$C$3),"",COUNTIF(B$2:B1058,الإيصال!$C$3))</f>
        <v/>
      </c>
    </row>
    <row r="1059">
      <c r="A1059" s="6" t="n"/>
      <c r="B1059" s="4" t="n"/>
      <c r="C1059" s="4" t="n"/>
      <c r="D1059" s="4" t="n"/>
      <c r="E1059">
        <f>IF(D1059="","",IFERROR(INDEX(الأصناف!$B$2:$B$2000,MATCH(D1059,الأصناف!$A$2:$A$2000,0)),"كود غير موجود"))</f>
        <v/>
      </c>
      <c r="F1059" s="4" t="n"/>
      <c r="G1059">
        <f>IF(D1059="","",IFERROR(INDEX(الأصناف!$C$2:$C$2000,MATCH(D1059,الأصناف!$A$2:$A$2000,0)),0))</f>
        <v/>
      </c>
      <c r="H1059">
        <f>IF(D1059="","",F1059*G1059)</f>
        <v/>
      </c>
      <c r="I1059">
        <f>IF(D1059="","",H1059-F1059*IFERROR(INDEX(الأصناف!$D$2:$D$2000,MATCH(D1059,الأصناف!$A$2:$A$2000,0)),0))</f>
        <v/>
      </c>
      <c r="J1059" s="4" t="n"/>
      <c r="K1059" s="7">
        <f>IF(OR(B1059="",B1059&lt;&gt;الإيصال!$C$3),"",COUNTIF(B$2:B1059,الإيصال!$C$3))</f>
        <v/>
      </c>
    </row>
    <row r="1060">
      <c r="A1060" s="6" t="n"/>
      <c r="B1060" s="4" t="n"/>
      <c r="C1060" s="4" t="n"/>
      <c r="D1060" s="4" t="n"/>
      <c r="E1060">
        <f>IF(D1060="","",IFERROR(INDEX(الأصناف!$B$2:$B$2000,MATCH(D1060,الأصناف!$A$2:$A$2000,0)),"كود غير موجود"))</f>
        <v/>
      </c>
      <c r="F1060" s="4" t="n"/>
      <c r="G1060">
        <f>IF(D1060="","",IFERROR(INDEX(الأصناف!$C$2:$C$2000,MATCH(D1060,الأصناف!$A$2:$A$2000,0)),0))</f>
        <v/>
      </c>
      <c r="H1060">
        <f>IF(D1060="","",F1060*G1060)</f>
        <v/>
      </c>
      <c r="I1060">
        <f>IF(D1060="","",H1060-F1060*IFERROR(INDEX(الأصناف!$D$2:$D$2000,MATCH(D1060,الأصناف!$A$2:$A$2000,0)),0))</f>
        <v/>
      </c>
      <c r="J1060" s="4" t="n"/>
      <c r="K1060" s="7">
        <f>IF(OR(B1060="",B1060&lt;&gt;الإيصال!$C$3),"",COUNTIF(B$2:B1060,الإيصال!$C$3))</f>
        <v/>
      </c>
    </row>
    <row r="1061">
      <c r="A1061" s="6" t="n"/>
      <c r="B1061" s="4" t="n"/>
      <c r="C1061" s="4" t="n"/>
      <c r="D1061" s="4" t="n"/>
      <c r="E1061">
        <f>IF(D1061="","",IFERROR(INDEX(الأصناف!$B$2:$B$2000,MATCH(D1061,الأصناف!$A$2:$A$2000,0)),"كود غير موجود"))</f>
        <v/>
      </c>
      <c r="F1061" s="4" t="n"/>
      <c r="G1061">
        <f>IF(D1061="","",IFERROR(INDEX(الأصناف!$C$2:$C$2000,MATCH(D1061,الأصناف!$A$2:$A$2000,0)),0))</f>
        <v/>
      </c>
      <c r="H1061">
        <f>IF(D1061="","",F1061*G1061)</f>
        <v/>
      </c>
      <c r="I1061">
        <f>IF(D1061="","",H1061-F1061*IFERROR(INDEX(الأصناف!$D$2:$D$2000,MATCH(D1061,الأصناف!$A$2:$A$2000,0)),0))</f>
        <v/>
      </c>
      <c r="J1061" s="4" t="n"/>
      <c r="K1061" s="7">
        <f>IF(OR(B1061="",B1061&lt;&gt;الإيصال!$C$3),"",COUNTIF(B$2:B1061,الإيصال!$C$3))</f>
        <v/>
      </c>
    </row>
    <row r="1062">
      <c r="A1062" s="6" t="n"/>
      <c r="B1062" s="4" t="n"/>
      <c r="C1062" s="4" t="n"/>
      <c r="D1062" s="4" t="n"/>
      <c r="E1062">
        <f>IF(D1062="","",IFERROR(INDEX(الأصناف!$B$2:$B$2000,MATCH(D1062,الأصناف!$A$2:$A$2000,0)),"كود غير موجود"))</f>
        <v/>
      </c>
      <c r="F1062" s="4" t="n"/>
      <c r="G1062">
        <f>IF(D1062="","",IFERROR(INDEX(الأصناف!$C$2:$C$2000,MATCH(D1062,الأصناف!$A$2:$A$2000,0)),0))</f>
        <v/>
      </c>
      <c r="H1062">
        <f>IF(D1062="","",F1062*G1062)</f>
        <v/>
      </c>
      <c r="I1062">
        <f>IF(D1062="","",H1062-F1062*IFERROR(INDEX(الأصناف!$D$2:$D$2000,MATCH(D1062,الأصناف!$A$2:$A$2000,0)),0))</f>
        <v/>
      </c>
      <c r="J1062" s="4" t="n"/>
      <c r="K1062" s="7">
        <f>IF(OR(B1062="",B1062&lt;&gt;الإيصال!$C$3),"",COUNTIF(B$2:B1062,الإيصال!$C$3))</f>
        <v/>
      </c>
    </row>
    <row r="1063">
      <c r="A1063" s="6" t="n"/>
      <c r="B1063" s="4" t="n"/>
      <c r="C1063" s="4" t="n"/>
      <c r="D1063" s="4" t="n"/>
      <c r="E1063">
        <f>IF(D1063="","",IFERROR(INDEX(الأصناف!$B$2:$B$2000,MATCH(D1063,الأصناف!$A$2:$A$2000,0)),"كود غير موجود"))</f>
        <v/>
      </c>
      <c r="F1063" s="4" t="n"/>
      <c r="G1063">
        <f>IF(D1063="","",IFERROR(INDEX(الأصناف!$C$2:$C$2000,MATCH(D1063,الأصناف!$A$2:$A$2000,0)),0))</f>
        <v/>
      </c>
      <c r="H1063">
        <f>IF(D1063="","",F1063*G1063)</f>
        <v/>
      </c>
      <c r="I1063">
        <f>IF(D1063="","",H1063-F1063*IFERROR(INDEX(الأصناف!$D$2:$D$2000,MATCH(D1063,الأصناف!$A$2:$A$2000,0)),0))</f>
        <v/>
      </c>
      <c r="J1063" s="4" t="n"/>
      <c r="K1063" s="7">
        <f>IF(OR(B1063="",B1063&lt;&gt;الإيصال!$C$3),"",COUNTIF(B$2:B1063,الإيصال!$C$3))</f>
        <v/>
      </c>
    </row>
    <row r="1064">
      <c r="A1064" s="6" t="n"/>
      <c r="B1064" s="4" t="n"/>
      <c r="C1064" s="4" t="n"/>
      <c r="D1064" s="4" t="n"/>
      <c r="E1064">
        <f>IF(D1064="","",IFERROR(INDEX(الأصناف!$B$2:$B$2000,MATCH(D1064,الأصناف!$A$2:$A$2000,0)),"كود غير موجود"))</f>
        <v/>
      </c>
      <c r="F1064" s="4" t="n"/>
      <c r="G1064">
        <f>IF(D1064="","",IFERROR(INDEX(الأصناف!$C$2:$C$2000,MATCH(D1064,الأصناف!$A$2:$A$2000,0)),0))</f>
        <v/>
      </c>
      <c r="H1064">
        <f>IF(D1064="","",F1064*G1064)</f>
        <v/>
      </c>
      <c r="I1064">
        <f>IF(D1064="","",H1064-F1064*IFERROR(INDEX(الأصناف!$D$2:$D$2000,MATCH(D1064,الأصناف!$A$2:$A$2000,0)),0))</f>
        <v/>
      </c>
      <c r="J1064" s="4" t="n"/>
      <c r="K1064" s="7">
        <f>IF(OR(B1064="",B1064&lt;&gt;الإيصال!$C$3),"",COUNTIF(B$2:B1064,الإيصال!$C$3))</f>
        <v/>
      </c>
    </row>
    <row r="1065">
      <c r="A1065" s="6" t="n"/>
      <c r="B1065" s="4" t="n"/>
      <c r="C1065" s="4" t="n"/>
      <c r="D1065" s="4" t="n"/>
      <c r="E1065">
        <f>IF(D1065="","",IFERROR(INDEX(الأصناف!$B$2:$B$2000,MATCH(D1065,الأصناف!$A$2:$A$2000,0)),"كود غير موجود"))</f>
        <v/>
      </c>
      <c r="F1065" s="4" t="n"/>
      <c r="G1065">
        <f>IF(D1065="","",IFERROR(INDEX(الأصناف!$C$2:$C$2000,MATCH(D1065,الأصناف!$A$2:$A$2000,0)),0))</f>
        <v/>
      </c>
      <c r="H1065">
        <f>IF(D1065="","",F1065*G1065)</f>
        <v/>
      </c>
      <c r="I1065">
        <f>IF(D1065="","",H1065-F1065*IFERROR(INDEX(الأصناف!$D$2:$D$2000,MATCH(D1065,الأصناف!$A$2:$A$2000,0)),0))</f>
        <v/>
      </c>
      <c r="J1065" s="4" t="n"/>
      <c r="K1065" s="7">
        <f>IF(OR(B1065="",B1065&lt;&gt;الإيصال!$C$3),"",COUNTIF(B$2:B1065,الإيصال!$C$3))</f>
        <v/>
      </c>
    </row>
    <row r="1066">
      <c r="A1066" s="6" t="n"/>
      <c r="B1066" s="4" t="n"/>
      <c r="C1066" s="4" t="n"/>
      <c r="D1066" s="4" t="n"/>
      <c r="E1066">
        <f>IF(D1066="","",IFERROR(INDEX(الأصناف!$B$2:$B$2000,MATCH(D1066,الأصناف!$A$2:$A$2000,0)),"كود غير موجود"))</f>
        <v/>
      </c>
      <c r="F1066" s="4" t="n"/>
      <c r="G1066">
        <f>IF(D1066="","",IFERROR(INDEX(الأصناف!$C$2:$C$2000,MATCH(D1066,الأصناف!$A$2:$A$2000,0)),0))</f>
        <v/>
      </c>
      <c r="H1066">
        <f>IF(D1066="","",F1066*G1066)</f>
        <v/>
      </c>
      <c r="I1066">
        <f>IF(D1066="","",H1066-F1066*IFERROR(INDEX(الأصناف!$D$2:$D$2000,MATCH(D1066,الأصناف!$A$2:$A$2000,0)),0))</f>
        <v/>
      </c>
      <c r="J1066" s="4" t="n"/>
      <c r="K1066" s="7">
        <f>IF(OR(B1066="",B1066&lt;&gt;الإيصال!$C$3),"",COUNTIF(B$2:B1066,الإيصال!$C$3))</f>
        <v/>
      </c>
    </row>
    <row r="1067">
      <c r="A1067" s="6" t="n"/>
      <c r="B1067" s="4" t="n"/>
      <c r="C1067" s="4" t="n"/>
      <c r="D1067" s="4" t="n"/>
      <c r="E1067">
        <f>IF(D1067="","",IFERROR(INDEX(الأصناف!$B$2:$B$2000,MATCH(D1067,الأصناف!$A$2:$A$2000,0)),"كود غير موجود"))</f>
        <v/>
      </c>
      <c r="F1067" s="4" t="n"/>
      <c r="G1067">
        <f>IF(D1067="","",IFERROR(INDEX(الأصناف!$C$2:$C$2000,MATCH(D1067,الأصناف!$A$2:$A$2000,0)),0))</f>
        <v/>
      </c>
      <c r="H1067">
        <f>IF(D1067="","",F1067*G1067)</f>
        <v/>
      </c>
      <c r="I1067">
        <f>IF(D1067="","",H1067-F1067*IFERROR(INDEX(الأصناف!$D$2:$D$2000,MATCH(D1067,الأصناف!$A$2:$A$2000,0)),0))</f>
        <v/>
      </c>
      <c r="J1067" s="4" t="n"/>
      <c r="K1067" s="7">
        <f>IF(OR(B1067="",B1067&lt;&gt;الإيصال!$C$3),"",COUNTIF(B$2:B1067,الإيصال!$C$3))</f>
        <v/>
      </c>
    </row>
    <row r="1068">
      <c r="A1068" s="6" t="n"/>
      <c r="B1068" s="4" t="n"/>
      <c r="C1068" s="4" t="n"/>
      <c r="D1068" s="4" t="n"/>
      <c r="E1068">
        <f>IF(D1068="","",IFERROR(INDEX(الأصناف!$B$2:$B$2000,MATCH(D1068,الأصناف!$A$2:$A$2000,0)),"كود غير موجود"))</f>
        <v/>
      </c>
      <c r="F1068" s="4" t="n"/>
      <c r="G1068">
        <f>IF(D1068="","",IFERROR(INDEX(الأصناف!$C$2:$C$2000,MATCH(D1068,الأصناف!$A$2:$A$2000,0)),0))</f>
        <v/>
      </c>
      <c r="H1068">
        <f>IF(D1068="","",F1068*G1068)</f>
        <v/>
      </c>
      <c r="I1068">
        <f>IF(D1068="","",H1068-F1068*IFERROR(INDEX(الأصناف!$D$2:$D$2000,MATCH(D1068,الأصناف!$A$2:$A$2000,0)),0))</f>
        <v/>
      </c>
      <c r="J1068" s="4" t="n"/>
      <c r="K1068" s="7">
        <f>IF(OR(B1068="",B1068&lt;&gt;الإيصال!$C$3),"",COUNTIF(B$2:B1068,الإيصال!$C$3))</f>
        <v/>
      </c>
    </row>
    <row r="1069">
      <c r="A1069" s="6" t="n"/>
      <c r="B1069" s="4" t="n"/>
      <c r="C1069" s="4" t="n"/>
      <c r="D1069" s="4" t="n"/>
      <c r="E1069">
        <f>IF(D1069="","",IFERROR(INDEX(الأصناف!$B$2:$B$2000,MATCH(D1069,الأصناف!$A$2:$A$2000,0)),"كود غير موجود"))</f>
        <v/>
      </c>
      <c r="F1069" s="4" t="n"/>
      <c r="G1069">
        <f>IF(D1069="","",IFERROR(INDEX(الأصناف!$C$2:$C$2000,MATCH(D1069,الأصناف!$A$2:$A$2000,0)),0))</f>
        <v/>
      </c>
      <c r="H1069">
        <f>IF(D1069="","",F1069*G1069)</f>
        <v/>
      </c>
      <c r="I1069">
        <f>IF(D1069="","",H1069-F1069*IFERROR(INDEX(الأصناف!$D$2:$D$2000,MATCH(D1069,الأصناف!$A$2:$A$2000,0)),0))</f>
        <v/>
      </c>
      <c r="J1069" s="4" t="n"/>
      <c r="K1069" s="7">
        <f>IF(OR(B1069="",B1069&lt;&gt;الإيصال!$C$3),"",COUNTIF(B$2:B1069,الإيصال!$C$3))</f>
        <v/>
      </c>
    </row>
    <row r="1070">
      <c r="A1070" s="6" t="n"/>
      <c r="B1070" s="4" t="n"/>
      <c r="C1070" s="4" t="n"/>
      <c r="D1070" s="4" t="n"/>
      <c r="E1070">
        <f>IF(D1070="","",IFERROR(INDEX(الأصناف!$B$2:$B$2000,MATCH(D1070,الأصناف!$A$2:$A$2000,0)),"كود غير موجود"))</f>
        <v/>
      </c>
      <c r="F1070" s="4" t="n"/>
      <c r="G1070">
        <f>IF(D1070="","",IFERROR(INDEX(الأصناف!$C$2:$C$2000,MATCH(D1070,الأصناف!$A$2:$A$2000,0)),0))</f>
        <v/>
      </c>
      <c r="H1070">
        <f>IF(D1070="","",F1070*G1070)</f>
        <v/>
      </c>
      <c r="I1070">
        <f>IF(D1070="","",H1070-F1070*IFERROR(INDEX(الأصناف!$D$2:$D$2000,MATCH(D1070,الأصناف!$A$2:$A$2000,0)),0))</f>
        <v/>
      </c>
      <c r="J1070" s="4" t="n"/>
      <c r="K1070" s="7">
        <f>IF(OR(B1070="",B1070&lt;&gt;الإيصال!$C$3),"",COUNTIF(B$2:B1070,الإيصال!$C$3))</f>
        <v/>
      </c>
    </row>
    <row r="1071">
      <c r="A1071" s="6" t="n"/>
      <c r="B1071" s="4" t="n"/>
      <c r="C1071" s="4" t="n"/>
      <c r="D1071" s="4" t="n"/>
      <c r="E1071">
        <f>IF(D1071="","",IFERROR(INDEX(الأصناف!$B$2:$B$2000,MATCH(D1071,الأصناف!$A$2:$A$2000,0)),"كود غير موجود"))</f>
        <v/>
      </c>
      <c r="F1071" s="4" t="n"/>
      <c r="G1071">
        <f>IF(D1071="","",IFERROR(INDEX(الأصناف!$C$2:$C$2000,MATCH(D1071,الأصناف!$A$2:$A$2000,0)),0))</f>
        <v/>
      </c>
      <c r="H1071">
        <f>IF(D1071="","",F1071*G1071)</f>
        <v/>
      </c>
      <c r="I1071">
        <f>IF(D1071="","",H1071-F1071*IFERROR(INDEX(الأصناف!$D$2:$D$2000,MATCH(D1071,الأصناف!$A$2:$A$2000,0)),0))</f>
        <v/>
      </c>
      <c r="J1071" s="4" t="n"/>
      <c r="K1071" s="7">
        <f>IF(OR(B1071="",B1071&lt;&gt;الإيصال!$C$3),"",COUNTIF(B$2:B1071,الإيصال!$C$3))</f>
        <v/>
      </c>
    </row>
    <row r="1072">
      <c r="A1072" s="6" t="n"/>
      <c r="B1072" s="4" t="n"/>
      <c r="C1072" s="4" t="n"/>
      <c r="D1072" s="4" t="n"/>
      <c r="E1072">
        <f>IF(D1072="","",IFERROR(INDEX(الأصناف!$B$2:$B$2000,MATCH(D1072,الأصناف!$A$2:$A$2000,0)),"كود غير موجود"))</f>
        <v/>
      </c>
      <c r="F1072" s="4" t="n"/>
      <c r="G1072">
        <f>IF(D1072="","",IFERROR(INDEX(الأصناف!$C$2:$C$2000,MATCH(D1072,الأصناف!$A$2:$A$2000,0)),0))</f>
        <v/>
      </c>
      <c r="H1072">
        <f>IF(D1072="","",F1072*G1072)</f>
        <v/>
      </c>
      <c r="I1072">
        <f>IF(D1072="","",H1072-F1072*IFERROR(INDEX(الأصناف!$D$2:$D$2000,MATCH(D1072,الأصناف!$A$2:$A$2000,0)),0))</f>
        <v/>
      </c>
      <c r="J1072" s="4" t="n"/>
      <c r="K1072" s="7">
        <f>IF(OR(B1072="",B1072&lt;&gt;الإيصال!$C$3),"",COUNTIF(B$2:B1072,الإيصال!$C$3))</f>
        <v/>
      </c>
    </row>
    <row r="1073">
      <c r="A1073" s="6" t="n"/>
      <c r="B1073" s="4" t="n"/>
      <c r="C1073" s="4" t="n"/>
      <c r="D1073" s="4" t="n"/>
      <c r="E1073">
        <f>IF(D1073="","",IFERROR(INDEX(الأصناف!$B$2:$B$2000,MATCH(D1073,الأصناف!$A$2:$A$2000,0)),"كود غير موجود"))</f>
        <v/>
      </c>
      <c r="F1073" s="4" t="n"/>
      <c r="G1073">
        <f>IF(D1073="","",IFERROR(INDEX(الأصناف!$C$2:$C$2000,MATCH(D1073,الأصناف!$A$2:$A$2000,0)),0))</f>
        <v/>
      </c>
      <c r="H1073">
        <f>IF(D1073="","",F1073*G1073)</f>
        <v/>
      </c>
      <c r="I1073">
        <f>IF(D1073="","",H1073-F1073*IFERROR(INDEX(الأصناف!$D$2:$D$2000,MATCH(D1073,الأصناف!$A$2:$A$2000,0)),0))</f>
        <v/>
      </c>
      <c r="J1073" s="4" t="n"/>
      <c r="K1073" s="7">
        <f>IF(OR(B1073="",B1073&lt;&gt;الإيصال!$C$3),"",COUNTIF(B$2:B1073,الإيصال!$C$3))</f>
        <v/>
      </c>
    </row>
    <row r="1074">
      <c r="A1074" s="6" t="n"/>
      <c r="B1074" s="4" t="n"/>
      <c r="C1074" s="4" t="n"/>
      <c r="D1074" s="4" t="n"/>
      <c r="E1074">
        <f>IF(D1074="","",IFERROR(INDEX(الأصناف!$B$2:$B$2000,MATCH(D1074,الأصناف!$A$2:$A$2000,0)),"كود غير موجود"))</f>
        <v/>
      </c>
      <c r="F1074" s="4" t="n"/>
      <c r="G1074">
        <f>IF(D1074="","",IFERROR(INDEX(الأصناف!$C$2:$C$2000,MATCH(D1074,الأصناف!$A$2:$A$2000,0)),0))</f>
        <v/>
      </c>
      <c r="H1074">
        <f>IF(D1074="","",F1074*G1074)</f>
        <v/>
      </c>
      <c r="I1074">
        <f>IF(D1074="","",H1074-F1074*IFERROR(INDEX(الأصناف!$D$2:$D$2000,MATCH(D1074,الأصناف!$A$2:$A$2000,0)),0))</f>
        <v/>
      </c>
      <c r="J1074" s="4" t="n"/>
      <c r="K1074" s="7">
        <f>IF(OR(B1074="",B1074&lt;&gt;الإيصال!$C$3),"",COUNTIF(B$2:B1074,الإيصال!$C$3))</f>
        <v/>
      </c>
    </row>
    <row r="1075">
      <c r="A1075" s="6" t="n"/>
      <c r="B1075" s="4" t="n"/>
      <c r="C1075" s="4" t="n"/>
      <c r="D1075" s="4" t="n"/>
      <c r="E1075">
        <f>IF(D1075="","",IFERROR(INDEX(الأصناف!$B$2:$B$2000,MATCH(D1075,الأصناف!$A$2:$A$2000,0)),"كود غير موجود"))</f>
        <v/>
      </c>
      <c r="F1075" s="4" t="n"/>
      <c r="G1075">
        <f>IF(D1075="","",IFERROR(INDEX(الأصناف!$C$2:$C$2000,MATCH(D1075,الأصناف!$A$2:$A$2000,0)),0))</f>
        <v/>
      </c>
      <c r="H1075">
        <f>IF(D1075="","",F1075*G1075)</f>
        <v/>
      </c>
      <c r="I1075">
        <f>IF(D1075="","",H1075-F1075*IFERROR(INDEX(الأصناف!$D$2:$D$2000,MATCH(D1075,الأصناف!$A$2:$A$2000,0)),0))</f>
        <v/>
      </c>
      <c r="J1075" s="4" t="n"/>
      <c r="K1075" s="7">
        <f>IF(OR(B1075="",B1075&lt;&gt;الإيصال!$C$3),"",COUNTIF(B$2:B1075,الإيصال!$C$3))</f>
        <v/>
      </c>
    </row>
    <row r="1076">
      <c r="A1076" s="6" t="n"/>
      <c r="B1076" s="4" t="n"/>
      <c r="C1076" s="4" t="n"/>
      <c r="D1076" s="4" t="n"/>
      <c r="E1076">
        <f>IF(D1076="","",IFERROR(INDEX(الأصناف!$B$2:$B$2000,MATCH(D1076,الأصناف!$A$2:$A$2000,0)),"كود غير موجود"))</f>
        <v/>
      </c>
      <c r="F1076" s="4" t="n"/>
      <c r="G1076">
        <f>IF(D1076="","",IFERROR(INDEX(الأصناف!$C$2:$C$2000,MATCH(D1076,الأصناف!$A$2:$A$2000,0)),0))</f>
        <v/>
      </c>
      <c r="H1076">
        <f>IF(D1076="","",F1076*G1076)</f>
        <v/>
      </c>
      <c r="I1076">
        <f>IF(D1076="","",H1076-F1076*IFERROR(INDEX(الأصناف!$D$2:$D$2000,MATCH(D1076,الأصناف!$A$2:$A$2000,0)),0))</f>
        <v/>
      </c>
      <c r="J1076" s="4" t="n"/>
      <c r="K1076" s="7">
        <f>IF(OR(B1076="",B1076&lt;&gt;الإيصال!$C$3),"",COUNTIF(B$2:B1076,الإيصال!$C$3))</f>
        <v/>
      </c>
    </row>
    <row r="1077">
      <c r="A1077" s="6" t="n"/>
      <c r="B1077" s="4" t="n"/>
      <c r="C1077" s="4" t="n"/>
      <c r="D1077" s="4" t="n"/>
      <c r="E1077">
        <f>IF(D1077="","",IFERROR(INDEX(الأصناف!$B$2:$B$2000,MATCH(D1077,الأصناف!$A$2:$A$2000,0)),"كود غير موجود"))</f>
        <v/>
      </c>
      <c r="F1077" s="4" t="n"/>
      <c r="G1077">
        <f>IF(D1077="","",IFERROR(INDEX(الأصناف!$C$2:$C$2000,MATCH(D1077,الأصناف!$A$2:$A$2000,0)),0))</f>
        <v/>
      </c>
      <c r="H1077">
        <f>IF(D1077="","",F1077*G1077)</f>
        <v/>
      </c>
      <c r="I1077">
        <f>IF(D1077="","",H1077-F1077*IFERROR(INDEX(الأصناف!$D$2:$D$2000,MATCH(D1077,الأصناف!$A$2:$A$2000,0)),0))</f>
        <v/>
      </c>
      <c r="J1077" s="4" t="n"/>
      <c r="K1077" s="7">
        <f>IF(OR(B1077="",B1077&lt;&gt;الإيصال!$C$3),"",COUNTIF(B$2:B1077,الإيصال!$C$3))</f>
        <v/>
      </c>
    </row>
    <row r="1078">
      <c r="A1078" s="6" t="n"/>
      <c r="B1078" s="4" t="n"/>
      <c r="C1078" s="4" t="n"/>
      <c r="D1078" s="4" t="n"/>
      <c r="E1078">
        <f>IF(D1078="","",IFERROR(INDEX(الأصناف!$B$2:$B$2000,MATCH(D1078,الأصناف!$A$2:$A$2000,0)),"كود غير موجود"))</f>
        <v/>
      </c>
      <c r="F1078" s="4" t="n"/>
      <c r="G1078">
        <f>IF(D1078="","",IFERROR(INDEX(الأصناف!$C$2:$C$2000,MATCH(D1078,الأصناف!$A$2:$A$2000,0)),0))</f>
        <v/>
      </c>
      <c r="H1078">
        <f>IF(D1078="","",F1078*G1078)</f>
        <v/>
      </c>
      <c r="I1078">
        <f>IF(D1078="","",H1078-F1078*IFERROR(INDEX(الأصناف!$D$2:$D$2000,MATCH(D1078,الأصناف!$A$2:$A$2000,0)),0))</f>
        <v/>
      </c>
      <c r="J1078" s="4" t="n"/>
      <c r="K1078" s="7">
        <f>IF(OR(B1078="",B1078&lt;&gt;الإيصال!$C$3),"",COUNTIF(B$2:B1078,الإيصال!$C$3))</f>
        <v/>
      </c>
    </row>
    <row r="1079">
      <c r="A1079" s="6" t="n"/>
      <c r="B1079" s="4" t="n"/>
      <c r="C1079" s="4" t="n"/>
      <c r="D1079" s="4" t="n"/>
      <c r="E1079">
        <f>IF(D1079="","",IFERROR(INDEX(الأصناف!$B$2:$B$2000,MATCH(D1079,الأصناف!$A$2:$A$2000,0)),"كود غير موجود"))</f>
        <v/>
      </c>
      <c r="F1079" s="4" t="n"/>
      <c r="G1079">
        <f>IF(D1079="","",IFERROR(INDEX(الأصناف!$C$2:$C$2000,MATCH(D1079,الأصناف!$A$2:$A$2000,0)),0))</f>
        <v/>
      </c>
      <c r="H1079">
        <f>IF(D1079="","",F1079*G1079)</f>
        <v/>
      </c>
      <c r="I1079">
        <f>IF(D1079="","",H1079-F1079*IFERROR(INDEX(الأصناف!$D$2:$D$2000,MATCH(D1079,الأصناف!$A$2:$A$2000,0)),0))</f>
        <v/>
      </c>
      <c r="J1079" s="4" t="n"/>
      <c r="K1079" s="7">
        <f>IF(OR(B1079="",B1079&lt;&gt;الإيصال!$C$3),"",COUNTIF(B$2:B1079,الإيصال!$C$3))</f>
        <v/>
      </c>
    </row>
    <row r="1080">
      <c r="A1080" s="6" t="n"/>
      <c r="B1080" s="4" t="n"/>
      <c r="C1080" s="4" t="n"/>
      <c r="D1080" s="4" t="n"/>
      <c r="E1080">
        <f>IF(D1080="","",IFERROR(INDEX(الأصناف!$B$2:$B$2000,MATCH(D1080,الأصناف!$A$2:$A$2000,0)),"كود غير موجود"))</f>
        <v/>
      </c>
      <c r="F1080" s="4" t="n"/>
      <c r="G1080">
        <f>IF(D1080="","",IFERROR(INDEX(الأصناف!$C$2:$C$2000,MATCH(D1080,الأصناف!$A$2:$A$2000,0)),0))</f>
        <v/>
      </c>
      <c r="H1080">
        <f>IF(D1080="","",F1080*G1080)</f>
        <v/>
      </c>
      <c r="I1080">
        <f>IF(D1080="","",H1080-F1080*IFERROR(INDEX(الأصناف!$D$2:$D$2000,MATCH(D1080,الأصناف!$A$2:$A$2000,0)),0))</f>
        <v/>
      </c>
      <c r="J1080" s="4" t="n"/>
      <c r="K1080" s="7">
        <f>IF(OR(B1080="",B1080&lt;&gt;الإيصال!$C$3),"",COUNTIF(B$2:B1080,الإيصال!$C$3))</f>
        <v/>
      </c>
    </row>
    <row r="1081">
      <c r="A1081" s="6" t="n"/>
      <c r="B1081" s="4" t="n"/>
      <c r="C1081" s="4" t="n"/>
      <c r="D1081" s="4" t="n"/>
      <c r="E1081">
        <f>IF(D1081="","",IFERROR(INDEX(الأصناف!$B$2:$B$2000,MATCH(D1081,الأصناف!$A$2:$A$2000,0)),"كود غير موجود"))</f>
        <v/>
      </c>
      <c r="F1081" s="4" t="n"/>
      <c r="G1081">
        <f>IF(D1081="","",IFERROR(INDEX(الأصناف!$C$2:$C$2000,MATCH(D1081,الأصناف!$A$2:$A$2000,0)),0))</f>
        <v/>
      </c>
      <c r="H1081">
        <f>IF(D1081="","",F1081*G1081)</f>
        <v/>
      </c>
      <c r="I1081">
        <f>IF(D1081="","",H1081-F1081*IFERROR(INDEX(الأصناف!$D$2:$D$2000,MATCH(D1081,الأصناف!$A$2:$A$2000,0)),0))</f>
        <v/>
      </c>
      <c r="J1081" s="4" t="n"/>
      <c r="K1081" s="7">
        <f>IF(OR(B1081="",B1081&lt;&gt;الإيصال!$C$3),"",COUNTIF(B$2:B1081,الإيصال!$C$3))</f>
        <v/>
      </c>
    </row>
    <row r="1082">
      <c r="A1082" s="6" t="n"/>
      <c r="B1082" s="4" t="n"/>
      <c r="C1082" s="4" t="n"/>
      <c r="D1082" s="4" t="n"/>
      <c r="E1082">
        <f>IF(D1082="","",IFERROR(INDEX(الأصناف!$B$2:$B$2000,MATCH(D1082,الأصناف!$A$2:$A$2000,0)),"كود غير موجود"))</f>
        <v/>
      </c>
      <c r="F1082" s="4" t="n"/>
      <c r="G1082">
        <f>IF(D1082="","",IFERROR(INDEX(الأصناف!$C$2:$C$2000,MATCH(D1082,الأصناف!$A$2:$A$2000,0)),0))</f>
        <v/>
      </c>
      <c r="H1082">
        <f>IF(D1082="","",F1082*G1082)</f>
        <v/>
      </c>
      <c r="I1082">
        <f>IF(D1082="","",H1082-F1082*IFERROR(INDEX(الأصناف!$D$2:$D$2000,MATCH(D1082,الأصناف!$A$2:$A$2000,0)),0))</f>
        <v/>
      </c>
      <c r="J1082" s="4" t="n"/>
      <c r="K1082" s="7">
        <f>IF(OR(B1082="",B1082&lt;&gt;الإيصال!$C$3),"",COUNTIF(B$2:B1082,الإيصال!$C$3))</f>
        <v/>
      </c>
    </row>
    <row r="1083">
      <c r="A1083" s="6" t="n"/>
      <c r="B1083" s="4" t="n"/>
      <c r="C1083" s="4" t="n"/>
      <c r="D1083" s="4" t="n"/>
      <c r="E1083">
        <f>IF(D1083="","",IFERROR(INDEX(الأصناف!$B$2:$B$2000,MATCH(D1083,الأصناف!$A$2:$A$2000,0)),"كود غير موجود"))</f>
        <v/>
      </c>
      <c r="F1083" s="4" t="n"/>
      <c r="G1083">
        <f>IF(D1083="","",IFERROR(INDEX(الأصناف!$C$2:$C$2000,MATCH(D1083,الأصناف!$A$2:$A$2000,0)),0))</f>
        <v/>
      </c>
      <c r="H1083">
        <f>IF(D1083="","",F1083*G1083)</f>
        <v/>
      </c>
      <c r="I1083">
        <f>IF(D1083="","",H1083-F1083*IFERROR(INDEX(الأصناف!$D$2:$D$2000,MATCH(D1083,الأصناف!$A$2:$A$2000,0)),0))</f>
        <v/>
      </c>
      <c r="J1083" s="4" t="n"/>
      <c r="K1083" s="7">
        <f>IF(OR(B1083="",B1083&lt;&gt;الإيصال!$C$3),"",COUNTIF(B$2:B1083,الإيصال!$C$3))</f>
        <v/>
      </c>
    </row>
    <row r="1084">
      <c r="A1084" s="6" t="n"/>
      <c r="B1084" s="4" t="n"/>
      <c r="C1084" s="4" t="n"/>
      <c r="D1084" s="4" t="n"/>
      <c r="E1084">
        <f>IF(D1084="","",IFERROR(INDEX(الأصناف!$B$2:$B$2000,MATCH(D1084,الأصناف!$A$2:$A$2000,0)),"كود غير موجود"))</f>
        <v/>
      </c>
      <c r="F1084" s="4" t="n"/>
      <c r="G1084">
        <f>IF(D1084="","",IFERROR(INDEX(الأصناف!$C$2:$C$2000,MATCH(D1084,الأصناف!$A$2:$A$2000,0)),0))</f>
        <v/>
      </c>
      <c r="H1084">
        <f>IF(D1084="","",F1084*G1084)</f>
        <v/>
      </c>
      <c r="I1084">
        <f>IF(D1084="","",H1084-F1084*IFERROR(INDEX(الأصناف!$D$2:$D$2000,MATCH(D1084,الأصناف!$A$2:$A$2000,0)),0))</f>
        <v/>
      </c>
      <c r="J1084" s="4" t="n"/>
      <c r="K1084" s="7">
        <f>IF(OR(B1084="",B1084&lt;&gt;الإيصال!$C$3),"",COUNTIF(B$2:B1084,الإيصال!$C$3))</f>
        <v/>
      </c>
    </row>
    <row r="1085">
      <c r="A1085" s="6" t="n"/>
      <c r="B1085" s="4" t="n"/>
      <c r="C1085" s="4" t="n"/>
      <c r="D1085" s="4" t="n"/>
      <c r="E1085">
        <f>IF(D1085="","",IFERROR(INDEX(الأصناف!$B$2:$B$2000,MATCH(D1085,الأصناف!$A$2:$A$2000,0)),"كود غير موجود"))</f>
        <v/>
      </c>
      <c r="F1085" s="4" t="n"/>
      <c r="G1085">
        <f>IF(D1085="","",IFERROR(INDEX(الأصناف!$C$2:$C$2000,MATCH(D1085,الأصناف!$A$2:$A$2000,0)),0))</f>
        <v/>
      </c>
      <c r="H1085">
        <f>IF(D1085="","",F1085*G1085)</f>
        <v/>
      </c>
      <c r="I1085">
        <f>IF(D1085="","",H1085-F1085*IFERROR(INDEX(الأصناف!$D$2:$D$2000,MATCH(D1085,الأصناف!$A$2:$A$2000,0)),0))</f>
        <v/>
      </c>
      <c r="J1085" s="4" t="n"/>
      <c r="K1085" s="7">
        <f>IF(OR(B1085="",B1085&lt;&gt;الإيصال!$C$3),"",COUNTIF(B$2:B1085,الإيصال!$C$3))</f>
        <v/>
      </c>
    </row>
    <row r="1086">
      <c r="A1086" s="6" t="n"/>
      <c r="B1086" s="4" t="n"/>
      <c r="C1086" s="4" t="n"/>
      <c r="D1086" s="4" t="n"/>
      <c r="E1086">
        <f>IF(D1086="","",IFERROR(INDEX(الأصناف!$B$2:$B$2000,MATCH(D1086,الأصناف!$A$2:$A$2000,0)),"كود غير موجود"))</f>
        <v/>
      </c>
      <c r="F1086" s="4" t="n"/>
      <c r="G1086">
        <f>IF(D1086="","",IFERROR(INDEX(الأصناف!$C$2:$C$2000,MATCH(D1086,الأصناف!$A$2:$A$2000,0)),0))</f>
        <v/>
      </c>
      <c r="H1086">
        <f>IF(D1086="","",F1086*G1086)</f>
        <v/>
      </c>
      <c r="I1086">
        <f>IF(D1086="","",H1086-F1086*IFERROR(INDEX(الأصناف!$D$2:$D$2000,MATCH(D1086,الأصناف!$A$2:$A$2000,0)),0))</f>
        <v/>
      </c>
      <c r="J1086" s="4" t="n"/>
      <c r="K1086" s="7">
        <f>IF(OR(B1086="",B1086&lt;&gt;الإيصال!$C$3),"",COUNTIF(B$2:B1086,الإيصال!$C$3))</f>
        <v/>
      </c>
    </row>
    <row r="1087">
      <c r="A1087" s="6" t="n"/>
      <c r="B1087" s="4" t="n"/>
      <c r="C1087" s="4" t="n"/>
      <c r="D1087" s="4" t="n"/>
      <c r="E1087">
        <f>IF(D1087="","",IFERROR(INDEX(الأصناف!$B$2:$B$2000,MATCH(D1087,الأصناف!$A$2:$A$2000,0)),"كود غير موجود"))</f>
        <v/>
      </c>
      <c r="F1087" s="4" t="n"/>
      <c r="G1087">
        <f>IF(D1087="","",IFERROR(INDEX(الأصناف!$C$2:$C$2000,MATCH(D1087,الأصناف!$A$2:$A$2000,0)),0))</f>
        <v/>
      </c>
      <c r="H1087">
        <f>IF(D1087="","",F1087*G1087)</f>
        <v/>
      </c>
      <c r="I1087">
        <f>IF(D1087="","",H1087-F1087*IFERROR(INDEX(الأصناف!$D$2:$D$2000,MATCH(D1087,الأصناف!$A$2:$A$2000,0)),0))</f>
        <v/>
      </c>
      <c r="J1087" s="4" t="n"/>
      <c r="K1087" s="7">
        <f>IF(OR(B1087="",B1087&lt;&gt;الإيصال!$C$3),"",COUNTIF(B$2:B1087,الإيصال!$C$3))</f>
        <v/>
      </c>
    </row>
    <row r="1088">
      <c r="A1088" s="6" t="n"/>
      <c r="B1088" s="4" t="n"/>
      <c r="C1088" s="4" t="n"/>
      <c r="D1088" s="4" t="n"/>
      <c r="E1088">
        <f>IF(D1088="","",IFERROR(INDEX(الأصناف!$B$2:$B$2000,MATCH(D1088,الأصناف!$A$2:$A$2000,0)),"كود غير موجود"))</f>
        <v/>
      </c>
      <c r="F1088" s="4" t="n"/>
      <c r="G1088">
        <f>IF(D1088="","",IFERROR(INDEX(الأصناف!$C$2:$C$2000,MATCH(D1088,الأصناف!$A$2:$A$2000,0)),0))</f>
        <v/>
      </c>
      <c r="H1088">
        <f>IF(D1088="","",F1088*G1088)</f>
        <v/>
      </c>
      <c r="I1088">
        <f>IF(D1088="","",H1088-F1088*IFERROR(INDEX(الأصناف!$D$2:$D$2000,MATCH(D1088,الأصناف!$A$2:$A$2000,0)),0))</f>
        <v/>
      </c>
      <c r="J1088" s="4" t="n"/>
      <c r="K1088" s="7">
        <f>IF(OR(B1088="",B1088&lt;&gt;الإيصال!$C$3),"",COUNTIF(B$2:B1088,الإيصال!$C$3))</f>
        <v/>
      </c>
    </row>
    <row r="1089">
      <c r="A1089" s="6" t="n"/>
      <c r="B1089" s="4" t="n"/>
      <c r="C1089" s="4" t="n"/>
      <c r="D1089" s="4" t="n"/>
      <c r="E1089">
        <f>IF(D1089="","",IFERROR(INDEX(الأصناف!$B$2:$B$2000,MATCH(D1089,الأصناف!$A$2:$A$2000,0)),"كود غير موجود"))</f>
        <v/>
      </c>
      <c r="F1089" s="4" t="n"/>
      <c r="G1089">
        <f>IF(D1089="","",IFERROR(INDEX(الأصناف!$C$2:$C$2000,MATCH(D1089,الأصناف!$A$2:$A$2000,0)),0))</f>
        <v/>
      </c>
      <c r="H1089">
        <f>IF(D1089="","",F1089*G1089)</f>
        <v/>
      </c>
      <c r="I1089">
        <f>IF(D1089="","",H1089-F1089*IFERROR(INDEX(الأصناف!$D$2:$D$2000,MATCH(D1089,الأصناف!$A$2:$A$2000,0)),0))</f>
        <v/>
      </c>
      <c r="J1089" s="4" t="n"/>
      <c r="K1089" s="7">
        <f>IF(OR(B1089="",B1089&lt;&gt;الإيصال!$C$3),"",COUNTIF(B$2:B1089,الإيصال!$C$3))</f>
        <v/>
      </c>
    </row>
    <row r="1090">
      <c r="A1090" s="6" t="n"/>
      <c r="B1090" s="4" t="n"/>
      <c r="C1090" s="4" t="n"/>
      <c r="D1090" s="4" t="n"/>
      <c r="E1090">
        <f>IF(D1090="","",IFERROR(INDEX(الأصناف!$B$2:$B$2000,MATCH(D1090,الأصناف!$A$2:$A$2000,0)),"كود غير موجود"))</f>
        <v/>
      </c>
      <c r="F1090" s="4" t="n"/>
      <c r="G1090">
        <f>IF(D1090="","",IFERROR(INDEX(الأصناف!$C$2:$C$2000,MATCH(D1090,الأصناف!$A$2:$A$2000,0)),0))</f>
        <v/>
      </c>
      <c r="H1090">
        <f>IF(D1090="","",F1090*G1090)</f>
        <v/>
      </c>
      <c r="I1090">
        <f>IF(D1090="","",H1090-F1090*IFERROR(INDEX(الأصناف!$D$2:$D$2000,MATCH(D1090,الأصناف!$A$2:$A$2000,0)),0))</f>
        <v/>
      </c>
      <c r="J1090" s="4" t="n"/>
      <c r="K1090" s="7">
        <f>IF(OR(B1090="",B1090&lt;&gt;الإيصال!$C$3),"",COUNTIF(B$2:B1090,الإيصال!$C$3))</f>
        <v/>
      </c>
    </row>
    <row r="1091">
      <c r="A1091" s="6" t="n"/>
      <c r="B1091" s="4" t="n"/>
      <c r="C1091" s="4" t="n"/>
      <c r="D1091" s="4" t="n"/>
      <c r="E1091">
        <f>IF(D1091="","",IFERROR(INDEX(الأصناف!$B$2:$B$2000,MATCH(D1091,الأصناف!$A$2:$A$2000,0)),"كود غير موجود"))</f>
        <v/>
      </c>
      <c r="F1091" s="4" t="n"/>
      <c r="G1091">
        <f>IF(D1091="","",IFERROR(INDEX(الأصناف!$C$2:$C$2000,MATCH(D1091,الأصناف!$A$2:$A$2000,0)),0))</f>
        <v/>
      </c>
      <c r="H1091">
        <f>IF(D1091="","",F1091*G1091)</f>
        <v/>
      </c>
      <c r="I1091">
        <f>IF(D1091="","",H1091-F1091*IFERROR(INDEX(الأصناف!$D$2:$D$2000,MATCH(D1091,الأصناف!$A$2:$A$2000,0)),0))</f>
        <v/>
      </c>
      <c r="J1091" s="4" t="n"/>
      <c r="K1091" s="7">
        <f>IF(OR(B1091="",B1091&lt;&gt;الإيصال!$C$3),"",COUNTIF(B$2:B1091,الإيصال!$C$3))</f>
        <v/>
      </c>
    </row>
    <row r="1092">
      <c r="A1092" s="6" t="n"/>
      <c r="B1092" s="4" t="n"/>
      <c r="C1092" s="4" t="n"/>
      <c r="D1092" s="4" t="n"/>
      <c r="E1092">
        <f>IF(D1092="","",IFERROR(INDEX(الأصناف!$B$2:$B$2000,MATCH(D1092,الأصناف!$A$2:$A$2000,0)),"كود غير موجود"))</f>
        <v/>
      </c>
      <c r="F1092" s="4" t="n"/>
      <c r="G1092">
        <f>IF(D1092="","",IFERROR(INDEX(الأصناف!$C$2:$C$2000,MATCH(D1092,الأصناف!$A$2:$A$2000,0)),0))</f>
        <v/>
      </c>
      <c r="H1092">
        <f>IF(D1092="","",F1092*G1092)</f>
        <v/>
      </c>
      <c r="I1092">
        <f>IF(D1092="","",H1092-F1092*IFERROR(INDEX(الأصناف!$D$2:$D$2000,MATCH(D1092,الأصناف!$A$2:$A$2000,0)),0))</f>
        <v/>
      </c>
      <c r="J1092" s="4" t="n"/>
      <c r="K1092" s="7">
        <f>IF(OR(B1092="",B1092&lt;&gt;الإيصال!$C$3),"",COUNTIF(B$2:B1092,الإيصال!$C$3))</f>
        <v/>
      </c>
    </row>
    <row r="1093">
      <c r="A1093" s="6" t="n"/>
      <c r="B1093" s="4" t="n"/>
      <c r="C1093" s="4" t="n"/>
      <c r="D1093" s="4" t="n"/>
      <c r="E1093">
        <f>IF(D1093="","",IFERROR(INDEX(الأصناف!$B$2:$B$2000,MATCH(D1093,الأصناف!$A$2:$A$2000,0)),"كود غير موجود"))</f>
        <v/>
      </c>
      <c r="F1093" s="4" t="n"/>
      <c r="G1093">
        <f>IF(D1093="","",IFERROR(INDEX(الأصناف!$C$2:$C$2000,MATCH(D1093,الأصناف!$A$2:$A$2000,0)),0))</f>
        <v/>
      </c>
      <c r="H1093">
        <f>IF(D1093="","",F1093*G1093)</f>
        <v/>
      </c>
      <c r="I1093">
        <f>IF(D1093="","",H1093-F1093*IFERROR(INDEX(الأصناف!$D$2:$D$2000,MATCH(D1093,الأصناف!$A$2:$A$2000,0)),0))</f>
        <v/>
      </c>
      <c r="J1093" s="4" t="n"/>
      <c r="K1093" s="7">
        <f>IF(OR(B1093="",B1093&lt;&gt;الإيصال!$C$3),"",COUNTIF(B$2:B1093,الإيصال!$C$3))</f>
        <v/>
      </c>
    </row>
    <row r="1094">
      <c r="A1094" s="6" t="n"/>
      <c r="B1094" s="4" t="n"/>
      <c r="C1094" s="4" t="n"/>
      <c r="D1094" s="4" t="n"/>
      <c r="E1094">
        <f>IF(D1094="","",IFERROR(INDEX(الأصناف!$B$2:$B$2000,MATCH(D1094,الأصناف!$A$2:$A$2000,0)),"كود غير موجود"))</f>
        <v/>
      </c>
      <c r="F1094" s="4" t="n"/>
      <c r="G1094">
        <f>IF(D1094="","",IFERROR(INDEX(الأصناف!$C$2:$C$2000,MATCH(D1094,الأصناف!$A$2:$A$2000,0)),0))</f>
        <v/>
      </c>
      <c r="H1094">
        <f>IF(D1094="","",F1094*G1094)</f>
        <v/>
      </c>
      <c r="I1094">
        <f>IF(D1094="","",H1094-F1094*IFERROR(INDEX(الأصناف!$D$2:$D$2000,MATCH(D1094,الأصناف!$A$2:$A$2000,0)),0))</f>
        <v/>
      </c>
      <c r="J1094" s="4" t="n"/>
      <c r="K1094" s="7">
        <f>IF(OR(B1094="",B1094&lt;&gt;الإيصال!$C$3),"",COUNTIF(B$2:B1094,الإيصال!$C$3))</f>
        <v/>
      </c>
    </row>
    <row r="1095">
      <c r="A1095" s="6" t="n"/>
      <c r="B1095" s="4" t="n"/>
      <c r="C1095" s="4" t="n"/>
      <c r="D1095" s="4" t="n"/>
      <c r="E1095">
        <f>IF(D1095="","",IFERROR(INDEX(الأصناف!$B$2:$B$2000,MATCH(D1095,الأصناف!$A$2:$A$2000,0)),"كود غير موجود"))</f>
        <v/>
      </c>
      <c r="F1095" s="4" t="n"/>
      <c r="G1095">
        <f>IF(D1095="","",IFERROR(INDEX(الأصناف!$C$2:$C$2000,MATCH(D1095,الأصناف!$A$2:$A$2000,0)),0))</f>
        <v/>
      </c>
      <c r="H1095">
        <f>IF(D1095="","",F1095*G1095)</f>
        <v/>
      </c>
      <c r="I1095">
        <f>IF(D1095="","",H1095-F1095*IFERROR(INDEX(الأصناف!$D$2:$D$2000,MATCH(D1095,الأصناف!$A$2:$A$2000,0)),0))</f>
        <v/>
      </c>
      <c r="J1095" s="4" t="n"/>
      <c r="K1095" s="7">
        <f>IF(OR(B1095="",B1095&lt;&gt;الإيصال!$C$3),"",COUNTIF(B$2:B1095,الإيصال!$C$3))</f>
        <v/>
      </c>
    </row>
    <row r="1096">
      <c r="A1096" s="6" t="n"/>
      <c r="B1096" s="4" t="n"/>
      <c r="C1096" s="4" t="n"/>
      <c r="D1096" s="4" t="n"/>
      <c r="E1096">
        <f>IF(D1096="","",IFERROR(INDEX(الأصناف!$B$2:$B$2000,MATCH(D1096,الأصناف!$A$2:$A$2000,0)),"كود غير موجود"))</f>
        <v/>
      </c>
      <c r="F1096" s="4" t="n"/>
      <c r="G1096">
        <f>IF(D1096="","",IFERROR(INDEX(الأصناف!$C$2:$C$2000,MATCH(D1096,الأصناف!$A$2:$A$2000,0)),0))</f>
        <v/>
      </c>
      <c r="H1096">
        <f>IF(D1096="","",F1096*G1096)</f>
        <v/>
      </c>
      <c r="I1096">
        <f>IF(D1096="","",H1096-F1096*IFERROR(INDEX(الأصناف!$D$2:$D$2000,MATCH(D1096,الأصناف!$A$2:$A$2000,0)),0))</f>
        <v/>
      </c>
      <c r="J1096" s="4" t="n"/>
      <c r="K1096" s="7">
        <f>IF(OR(B1096="",B1096&lt;&gt;الإيصال!$C$3),"",COUNTIF(B$2:B1096,الإيصال!$C$3))</f>
        <v/>
      </c>
    </row>
    <row r="1097">
      <c r="A1097" s="6" t="n"/>
      <c r="B1097" s="4" t="n"/>
      <c r="C1097" s="4" t="n"/>
      <c r="D1097" s="4" t="n"/>
      <c r="E1097">
        <f>IF(D1097="","",IFERROR(INDEX(الأصناف!$B$2:$B$2000,MATCH(D1097,الأصناف!$A$2:$A$2000,0)),"كود غير موجود"))</f>
        <v/>
      </c>
      <c r="F1097" s="4" t="n"/>
      <c r="G1097">
        <f>IF(D1097="","",IFERROR(INDEX(الأصناف!$C$2:$C$2000,MATCH(D1097,الأصناف!$A$2:$A$2000,0)),0))</f>
        <v/>
      </c>
      <c r="H1097">
        <f>IF(D1097="","",F1097*G1097)</f>
        <v/>
      </c>
      <c r="I1097">
        <f>IF(D1097="","",H1097-F1097*IFERROR(INDEX(الأصناف!$D$2:$D$2000,MATCH(D1097,الأصناف!$A$2:$A$2000,0)),0))</f>
        <v/>
      </c>
      <c r="J1097" s="4" t="n"/>
      <c r="K1097" s="7">
        <f>IF(OR(B1097="",B1097&lt;&gt;الإيصال!$C$3),"",COUNTIF(B$2:B1097,الإيصال!$C$3))</f>
        <v/>
      </c>
    </row>
    <row r="1098">
      <c r="A1098" s="6" t="n"/>
      <c r="B1098" s="4" t="n"/>
      <c r="C1098" s="4" t="n"/>
      <c r="D1098" s="4" t="n"/>
      <c r="E1098">
        <f>IF(D1098="","",IFERROR(INDEX(الأصناف!$B$2:$B$2000,MATCH(D1098,الأصناف!$A$2:$A$2000,0)),"كود غير موجود"))</f>
        <v/>
      </c>
      <c r="F1098" s="4" t="n"/>
      <c r="G1098">
        <f>IF(D1098="","",IFERROR(INDEX(الأصناف!$C$2:$C$2000,MATCH(D1098,الأصناف!$A$2:$A$2000,0)),0))</f>
        <v/>
      </c>
      <c r="H1098">
        <f>IF(D1098="","",F1098*G1098)</f>
        <v/>
      </c>
      <c r="I1098">
        <f>IF(D1098="","",H1098-F1098*IFERROR(INDEX(الأصناف!$D$2:$D$2000,MATCH(D1098,الأصناف!$A$2:$A$2000,0)),0))</f>
        <v/>
      </c>
      <c r="J1098" s="4" t="n"/>
      <c r="K1098" s="7">
        <f>IF(OR(B1098="",B1098&lt;&gt;الإيصال!$C$3),"",COUNTIF(B$2:B1098,الإيصال!$C$3))</f>
        <v/>
      </c>
    </row>
    <row r="1099">
      <c r="A1099" s="6" t="n"/>
      <c r="B1099" s="4" t="n"/>
      <c r="C1099" s="4" t="n"/>
      <c r="D1099" s="4" t="n"/>
      <c r="E1099">
        <f>IF(D1099="","",IFERROR(INDEX(الأصناف!$B$2:$B$2000,MATCH(D1099,الأصناف!$A$2:$A$2000,0)),"كود غير موجود"))</f>
        <v/>
      </c>
      <c r="F1099" s="4" t="n"/>
      <c r="G1099">
        <f>IF(D1099="","",IFERROR(INDEX(الأصناف!$C$2:$C$2000,MATCH(D1099,الأصناف!$A$2:$A$2000,0)),0))</f>
        <v/>
      </c>
      <c r="H1099">
        <f>IF(D1099="","",F1099*G1099)</f>
        <v/>
      </c>
      <c r="I1099">
        <f>IF(D1099="","",H1099-F1099*IFERROR(INDEX(الأصناف!$D$2:$D$2000,MATCH(D1099,الأصناف!$A$2:$A$2000,0)),0))</f>
        <v/>
      </c>
      <c r="J1099" s="4" t="n"/>
      <c r="K1099" s="7">
        <f>IF(OR(B1099="",B1099&lt;&gt;الإيصال!$C$3),"",COUNTIF(B$2:B1099,الإيصال!$C$3))</f>
        <v/>
      </c>
    </row>
    <row r="1100">
      <c r="A1100" s="6" t="n"/>
      <c r="B1100" s="4" t="n"/>
      <c r="C1100" s="4" t="n"/>
      <c r="D1100" s="4" t="n"/>
      <c r="E1100">
        <f>IF(D1100="","",IFERROR(INDEX(الأصناف!$B$2:$B$2000,MATCH(D1100,الأصناف!$A$2:$A$2000,0)),"كود غير موجود"))</f>
        <v/>
      </c>
      <c r="F1100" s="4" t="n"/>
      <c r="G1100">
        <f>IF(D1100="","",IFERROR(INDEX(الأصناف!$C$2:$C$2000,MATCH(D1100,الأصناف!$A$2:$A$2000,0)),0))</f>
        <v/>
      </c>
      <c r="H1100">
        <f>IF(D1100="","",F1100*G1100)</f>
        <v/>
      </c>
      <c r="I1100">
        <f>IF(D1100="","",H1100-F1100*IFERROR(INDEX(الأصناف!$D$2:$D$2000,MATCH(D1100,الأصناف!$A$2:$A$2000,0)),0))</f>
        <v/>
      </c>
      <c r="J1100" s="4" t="n"/>
      <c r="K1100" s="7">
        <f>IF(OR(B1100="",B1100&lt;&gt;الإيصال!$C$3),"",COUNTIF(B$2:B1100,الإيصال!$C$3))</f>
        <v/>
      </c>
    </row>
    <row r="1101">
      <c r="A1101" s="6" t="n"/>
      <c r="B1101" s="4" t="n"/>
      <c r="C1101" s="4" t="n"/>
      <c r="D1101" s="4" t="n"/>
      <c r="E1101">
        <f>IF(D1101="","",IFERROR(INDEX(الأصناف!$B$2:$B$2000,MATCH(D1101,الأصناف!$A$2:$A$2000,0)),"كود غير موجود"))</f>
        <v/>
      </c>
      <c r="F1101" s="4" t="n"/>
      <c r="G1101">
        <f>IF(D1101="","",IFERROR(INDEX(الأصناف!$C$2:$C$2000,MATCH(D1101,الأصناف!$A$2:$A$2000,0)),0))</f>
        <v/>
      </c>
      <c r="H1101">
        <f>IF(D1101="","",F1101*G1101)</f>
        <v/>
      </c>
      <c r="I1101">
        <f>IF(D1101="","",H1101-F1101*IFERROR(INDEX(الأصناف!$D$2:$D$2000,MATCH(D1101,الأصناف!$A$2:$A$2000,0)),0))</f>
        <v/>
      </c>
      <c r="J1101" s="4" t="n"/>
      <c r="K1101" s="7">
        <f>IF(OR(B1101="",B1101&lt;&gt;الإيصال!$C$3),"",COUNTIF(B$2:B1101,الإيصال!$C$3))</f>
        <v/>
      </c>
    </row>
    <row r="1102">
      <c r="A1102" s="6" t="n"/>
      <c r="B1102" s="4" t="n"/>
      <c r="C1102" s="4" t="n"/>
      <c r="D1102" s="4" t="n"/>
      <c r="E1102">
        <f>IF(D1102="","",IFERROR(INDEX(الأصناف!$B$2:$B$2000,MATCH(D1102,الأصناف!$A$2:$A$2000,0)),"كود غير موجود"))</f>
        <v/>
      </c>
      <c r="F1102" s="4" t="n"/>
      <c r="G1102">
        <f>IF(D1102="","",IFERROR(INDEX(الأصناف!$C$2:$C$2000,MATCH(D1102,الأصناف!$A$2:$A$2000,0)),0))</f>
        <v/>
      </c>
      <c r="H1102">
        <f>IF(D1102="","",F1102*G1102)</f>
        <v/>
      </c>
      <c r="I1102">
        <f>IF(D1102="","",H1102-F1102*IFERROR(INDEX(الأصناف!$D$2:$D$2000,MATCH(D1102,الأصناف!$A$2:$A$2000,0)),0))</f>
        <v/>
      </c>
      <c r="J1102" s="4" t="n"/>
      <c r="K1102" s="7">
        <f>IF(OR(B1102="",B1102&lt;&gt;الإيصال!$C$3),"",COUNTIF(B$2:B1102,الإيصال!$C$3))</f>
        <v/>
      </c>
    </row>
    <row r="1103">
      <c r="A1103" s="6" t="n"/>
      <c r="B1103" s="4" t="n"/>
      <c r="C1103" s="4" t="n"/>
      <c r="D1103" s="4" t="n"/>
      <c r="E1103">
        <f>IF(D1103="","",IFERROR(INDEX(الأصناف!$B$2:$B$2000,MATCH(D1103,الأصناف!$A$2:$A$2000,0)),"كود غير موجود"))</f>
        <v/>
      </c>
      <c r="F1103" s="4" t="n"/>
      <c r="G1103">
        <f>IF(D1103="","",IFERROR(INDEX(الأصناف!$C$2:$C$2000,MATCH(D1103,الأصناف!$A$2:$A$2000,0)),0))</f>
        <v/>
      </c>
      <c r="H1103">
        <f>IF(D1103="","",F1103*G1103)</f>
        <v/>
      </c>
      <c r="I1103">
        <f>IF(D1103="","",H1103-F1103*IFERROR(INDEX(الأصناف!$D$2:$D$2000,MATCH(D1103,الأصناف!$A$2:$A$2000,0)),0))</f>
        <v/>
      </c>
      <c r="J1103" s="4" t="n"/>
      <c r="K1103" s="7">
        <f>IF(OR(B1103="",B1103&lt;&gt;الإيصال!$C$3),"",COUNTIF(B$2:B1103,الإيصال!$C$3))</f>
        <v/>
      </c>
    </row>
    <row r="1104">
      <c r="A1104" s="6" t="n"/>
      <c r="B1104" s="4" t="n"/>
      <c r="C1104" s="4" t="n"/>
      <c r="D1104" s="4" t="n"/>
      <c r="E1104">
        <f>IF(D1104="","",IFERROR(INDEX(الأصناف!$B$2:$B$2000,MATCH(D1104,الأصناف!$A$2:$A$2000,0)),"كود غير موجود"))</f>
        <v/>
      </c>
      <c r="F1104" s="4" t="n"/>
      <c r="G1104">
        <f>IF(D1104="","",IFERROR(INDEX(الأصناف!$C$2:$C$2000,MATCH(D1104,الأصناف!$A$2:$A$2000,0)),0))</f>
        <v/>
      </c>
      <c r="H1104">
        <f>IF(D1104="","",F1104*G1104)</f>
        <v/>
      </c>
      <c r="I1104">
        <f>IF(D1104="","",H1104-F1104*IFERROR(INDEX(الأصناف!$D$2:$D$2000,MATCH(D1104,الأصناف!$A$2:$A$2000,0)),0))</f>
        <v/>
      </c>
      <c r="J1104" s="4" t="n"/>
      <c r="K1104" s="7">
        <f>IF(OR(B1104="",B1104&lt;&gt;الإيصال!$C$3),"",COUNTIF(B$2:B1104,الإيصال!$C$3))</f>
        <v/>
      </c>
    </row>
    <row r="1105">
      <c r="A1105" s="6" t="n"/>
      <c r="B1105" s="4" t="n"/>
      <c r="C1105" s="4" t="n"/>
      <c r="D1105" s="4" t="n"/>
      <c r="E1105">
        <f>IF(D1105="","",IFERROR(INDEX(الأصناف!$B$2:$B$2000,MATCH(D1105,الأصناف!$A$2:$A$2000,0)),"كود غير موجود"))</f>
        <v/>
      </c>
      <c r="F1105" s="4" t="n"/>
      <c r="G1105">
        <f>IF(D1105="","",IFERROR(INDEX(الأصناف!$C$2:$C$2000,MATCH(D1105,الأصناف!$A$2:$A$2000,0)),0))</f>
        <v/>
      </c>
      <c r="H1105">
        <f>IF(D1105="","",F1105*G1105)</f>
        <v/>
      </c>
      <c r="I1105">
        <f>IF(D1105="","",H1105-F1105*IFERROR(INDEX(الأصناف!$D$2:$D$2000,MATCH(D1105,الأصناف!$A$2:$A$2000,0)),0))</f>
        <v/>
      </c>
      <c r="J1105" s="4" t="n"/>
      <c r="K1105" s="7">
        <f>IF(OR(B1105="",B1105&lt;&gt;الإيصال!$C$3),"",COUNTIF(B$2:B1105,الإيصال!$C$3))</f>
        <v/>
      </c>
    </row>
    <row r="1106">
      <c r="A1106" s="6" t="n"/>
      <c r="B1106" s="4" t="n"/>
      <c r="C1106" s="4" t="n"/>
      <c r="D1106" s="4" t="n"/>
      <c r="E1106">
        <f>IF(D1106="","",IFERROR(INDEX(الأصناف!$B$2:$B$2000,MATCH(D1106,الأصناف!$A$2:$A$2000,0)),"كود غير موجود"))</f>
        <v/>
      </c>
      <c r="F1106" s="4" t="n"/>
      <c r="G1106">
        <f>IF(D1106="","",IFERROR(INDEX(الأصناف!$C$2:$C$2000,MATCH(D1106,الأصناف!$A$2:$A$2000,0)),0))</f>
        <v/>
      </c>
      <c r="H1106">
        <f>IF(D1106="","",F1106*G1106)</f>
        <v/>
      </c>
      <c r="I1106">
        <f>IF(D1106="","",H1106-F1106*IFERROR(INDEX(الأصناف!$D$2:$D$2000,MATCH(D1106,الأصناف!$A$2:$A$2000,0)),0))</f>
        <v/>
      </c>
      <c r="J1106" s="4" t="n"/>
      <c r="K1106" s="7">
        <f>IF(OR(B1106="",B1106&lt;&gt;الإيصال!$C$3),"",COUNTIF(B$2:B1106,الإيصال!$C$3))</f>
        <v/>
      </c>
    </row>
    <row r="1107">
      <c r="A1107" s="6" t="n"/>
      <c r="B1107" s="4" t="n"/>
      <c r="C1107" s="4" t="n"/>
      <c r="D1107" s="4" t="n"/>
      <c r="E1107">
        <f>IF(D1107="","",IFERROR(INDEX(الأصناف!$B$2:$B$2000,MATCH(D1107,الأصناف!$A$2:$A$2000,0)),"كود غير موجود"))</f>
        <v/>
      </c>
      <c r="F1107" s="4" t="n"/>
      <c r="G1107">
        <f>IF(D1107="","",IFERROR(INDEX(الأصناف!$C$2:$C$2000,MATCH(D1107,الأصناف!$A$2:$A$2000,0)),0))</f>
        <v/>
      </c>
      <c r="H1107">
        <f>IF(D1107="","",F1107*G1107)</f>
        <v/>
      </c>
      <c r="I1107">
        <f>IF(D1107="","",H1107-F1107*IFERROR(INDEX(الأصناف!$D$2:$D$2000,MATCH(D1107,الأصناف!$A$2:$A$2000,0)),0))</f>
        <v/>
      </c>
      <c r="J1107" s="4" t="n"/>
      <c r="K1107" s="7">
        <f>IF(OR(B1107="",B1107&lt;&gt;الإيصال!$C$3),"",COUNTIF(B$2:B1107,الإيصال!$C$3))</f>
        <v/>
      </c>
    </row>
    <row r="1108">
      <c r="A1108" s="6" t="n"/>
      <c r="B1108" s="4" t="n"/>
      <c r="C1108" s="4" t="n"/>
      <c r="D1108" s="4" t="n"/>
      <c r="E1108">
        <f>IF(D1108="","",IFERROR(INDEX(الأصناف!$B$2:$B$2000,MATCH(D1108,الأصناف!$A$2:$A$2000,0)),"كود غير موجود"))</f>
        <v/>
      </c>
      <c r="F1108" s="4" t="n"/>
      <c r="G1108">
        <f>IF(D1108="","",IFERROR(INDEX(الأصناف!$C$2:$C$2000,MATCH(D1108,الأصناف!$A$2:$A$2000,0)),0))</f>
        <v/>
      </c>
      <c r="H1108">
        <f>IF(D1108="","",F1108*G1108)</f>
        <v/>
      </c>
      <c r="I1108">
        <f>IF(D1108="","",H1108-F1108*IFERROR(INDEX(الأصناف!$D$2:$D$2000,MATCH(D1108,الأصناف!$A$2:$A$2000,0)),0))</f>
        <v/>
      </c>
      <c r="J1108" s="4" t="n"/>
      <c r="K1108" s="7">
        <f>IF(OR(B1108="",B1108&lt;&gt;الإيصال!$C$3),"",COUNTIF(B$2:B1108,الإيصال!$C$3))</f>
        <v/>
      </c>
    </row>
    <row r="1109">
      <c r="A1109" s="6" t="n"/>
      <c r="B1109" s="4" t="n"/>
      <c r="C1109" s="4" t="n"/>
      <c r="D1109" s="4" t="n"/>
      <c r="E1109">
        <f>IF(D1109="","",IFERROR(INDEX(الأصناف!$B$2:$B$2000,MATCH(D1109,الأصناف!$A$2:$A$2000,0)),"كود غير موجود"))</f>
        <v/>
      </c>
      <c r="F1109" s="4" t="n"/>
      <c r="G1109">
        <f>IF(D1109="","",IFERROR(INDEX(الأصناف!$C$2:$C$2000,MATCH(D1109,الأصناف!$A$2:$A$2000,0)),0))</f>
        <v/>
      </c>
      <c r="H1109">
        <f>IF(D1109="","",F1109*G1109)</f>
        <v/>
      </c>
      <c r="I1109">
        <f>IF(D1109="","",H1109-F1109*IFERROR(INDEX(الأصناف!$D$2:$D$2000,MATCH(D1109,الأصناف!$A$2:$A$2000,0)),0))</f>
        <v/>
      </c>
      <c r="J1109" s="4" t="n"/>
      <c r="K1109" s="7">
        <f>IF(OR(B1109="",B1109&lt;&gt;الإيصال!$C$3),"",COUNTIF(B$2:B1109,الإيصال!$C$3))</f>
        <v/>
      </c>
    </row>
    <row r="1110">
      <c r="A1110" s="6" t="n"/>
      <c r="B1110" s="4" t="n"/>
      <c r="C1110" s="4" t="n"/>
      <c r="D1110" s="4" t="n"/>
      <c r="E1110">
        <f>IF(D1110="","",IFERROR(INDEX(الأصناف!$B$2:$B$2000,MATCH(D1110,الأصناف!$A$2:$A$2000,0)),"كود غير موجود"))</f>
        <v/>
      </c>
      <c r="F1110" s="4" t="n"/>
      <c r="G1110">
        <f>IF(D1110="","",IFERROR(INDEX(الأصناف!$C$2:$C$2000,MATCH(D1110,الأصناف!$A$2:$A$2000,0)),0))</f>
        <v/>
      </c>
      <c r="H1110">
        <f>IF(D1110="","",F1110*G1110)</f>
        <v/>
      </c>
      <c r="I1110">
        <f>IF(D1110="","",H1110-F1110*IFERROR(INDEX(الأصناف!$D$2:$D$2000,MATCH(D1110,الأصناف!$A$2:$A$2000,0)),0))</f>
        <v/>
      </c>
      <c r="J1110" s="4" t="n"/>
      <c r="K1110" s="7">
        <f>IF(OR(B1110="",B1110&lt;&gt;الإيصال!$C$3),"",COUNTIF(B$2:B1110,الإيصال!$C$3))</f>
        <v/>
      </c>
    </row>
    <row r="1111">
      <c r="A1111" s="6" t="n"/>
      <c r="B1111" s="4" t="n"/>
      <c r="C1111" s="4" t="n"/>
      <c r="D1111" s="4" t="n"/>
      <c r="E1111">
        <f>IF(D1111="","",IFERROR(INDEX(الأصناف!$B$2:$B$2000,MATCH(D1111,الأصناف!$A$2:$A$2000,0)),"كود غير موجود"))</f>
        <v/>
      </c>
      <c r="F1111" s="4" t="n"/>
      <c r="G1111">
        <f>IF(D1111="","",IFERROR(INDEX(الأصناف!$C$2:$C$2000,MATCH(D1111,الأصناف!$A$2:$A$2000,0)),0))</f>
        <v/>
      </c>
      <c r="H1111">
        <f>IF(D1111="","",F1111*G1111)</f>
        <v/>
      </c>
      <c r="I1111">
        <f>IF(D1111="","",H1111-F1111*IFERROR(INDEX(الأصناف!$D$2:$D$2000,MATCH(D1111,الأصناف!$A$2:$A$2000,0)),0))</f>
        <v/>
      </c>
      <c r="J1111" s="4" t="n"/>
      <c r="K1111" s="7">
        <f>IF(OR(B1111="",B1111&lt;&gt;الإيصال!$C$3),"",COUNTIF(B$2:B1111,الإيصال!$C$3))</f>
        <v/>
      </c>
    </row>
    <row r="1112">
      <c r="A1112" s="6" t="n"/>
      <c r="B1112" s="4" t="n"/>
      <c r="C1112" s="4" t="n"/>
      <c r="D1112" s="4" t="n"/>
      <c r="E1112">
        <f>IF(D1112="","",IFERROR(INDEX(الأصناف!$B$2:$B$2000,MATCH(D1112,الأصناف!$A$2:$A$2000,0)),"كود غير موجود"))</f>
        <v/>
      </c>
      <c r="F1112" s="4" t="n"/>
      <c r="G1112">
        <f>IF(D1112="","",IFERROR(INDEX(الأصناف!$C$2:$C$2000,MATCH(D1112,الأصناف!$A$2:$A$2000,0)),0))</f>
        <v/>
      </c>
      <c r="H1112">
        <f>IF(D1112="","",F1112*G1112)</f>
        <v/>
      </c>
      <c r="I1112">
        <f>IF(D1112="","",H1112-F1112*IFERROR(INDEX(الأصناف!$D$2:$D$2000,MATCH(D1112,الأصناف!$A$2:$A$2000,0)),0))</f>
        <v/>
      </c>
      <c r="J1112" s="4" t="n"/>
      <c r="K1112" s="7">
        <f>IF(OR(B1112="",B1112&lt;&gt;الإيصال!$C$3),"",COUNTIF(B$2:B1112,الإيصال!$C$3))</f>
        <v/>
      </c>
    </row>
    <row r="1113">
      <c r="A1113" s="6" t="n"/>
      <c r="B1113" s="4" t="n"/>
      <c r="C1113" s="4" t="n"/>
      <c r="D1113" s="4" t="n"/>
      <c r="E1113">
        <f>IF(D1113="","",IFERROR(INDEX(الأصناف!$B$2:$B$2000,MATCH(D1113,الأصناف!$A$2:$A$2000,0)),"كود غير موجود"))</f>
        <v/>
      </c>
      <c r="F1113" s="4" t="n"/>
      <c r="G1113">
        <f>IF(D1113="","",IFERROR(INDEX(الأصناف!$C$2:$C$2000,MATCH(D1113,الأصناف!$A$2:$A$2000,0)),0))</f>
        <v/>
      </c>
      <c r="H1113">
        <f>IF(D1113="","",F1113*G1113)</f>
        <v/>
      </c>
      <c r="I1113">
        <f>IF(D1113="","",H1113-F1113*IFERROR(INDEX(الأصناف!$D$2:$D$2000,MATCH(D1113,الأصناف!$A$2:$A$2000,0)),0))</f>
        <v/>
      </c>
      <c r="J1113" s="4" t="n"/>
      <c r="K1113" s="7">
        <f>IF(OR(B1113="",B1113&lt;&gt;الإيصال!$C$3),"",COUNTIF(B$2:B1113,الإيصال!$C$3))</f>
        <v/>
      </c>
    </row>
    <row r="1114">
      <c r="A1114" s="6" t="n"/>
      <c r="B1114" s="4" t="n"/>
      <c r="C1114" s="4" t="n"/>
      <c r="D1114" s="4" t="n"/>
      <c r="E1114">
        <f>IF(D1114="","",IFERROR(INDEX(الأصناف!$B$2:$B$2000,MATCH(D1114,الأصناف!$A$2:$A$2000,0)),"كود غير موجود"))</f>
        <v/>
      </c>
      <c r="F1114" s="4" t="n"/>
      <c r="G1114">
        <f>IF(D1114="","",IFERROR(INDEX(الأصناف!$C$2:$C$2000,MATCH(D1114,الأصناف!$A$2:$A$2000,0)),0))</f>
        <v/>
      </c>
      <c r="H1114">
        <f>IF(D1114="","",F1114*G1114)</f>
        <v/>
      </c>
      <c r="I1114">
        <f>IF(D1114="","",H1114-F1114*IFERROR(INDEX(الأصناف!$D$2:$D$2000,MATCH(D1114,الأصناف!$A$2:$A$2000,0)),0))</f>
        <v/>
      </c>
      <c r="J1114" s="4" t="n"/>
      <c r="K1114" s="7">
        <f>IF(OR(B1114="",B1114&lt;&gt;الإيصال!$C$3),"",COUNTIF(B$2:B1114,الإيصال!$C$3))</f>
        <v/>
      </c>
    </row>
    <row r="1115">
      <c r="A1115" s="6" t="n"/>
      <c r="B1115" s="4" t="n"/>
      <c r="C1115" s="4" t="n"/>
      <c r="D1115" s="4" t="n"/>
      <c r="E1115">
        <f>IF(D1115="","",IFERROR(INDEX(الأصناف!$B$2:$B$2000,MATCH(D1115,الأصناف!$A$2:$A$2000,0)),"كود غير موجود"))</f>
        <v/>
      </c>
      <c r="F1115" s="4" t="n"/>
      <c r="G1115">
        <f>IF(D1115="","",IFERROR(INDEX(الأصناف!$C$2:$C$2000,MATCH(D1115,الأصناف!$A$2:$A$2000,0)),0))</f>
        <v/>
      </c>
      <c r="H1115">
        <f>IF(D1115="","",F1115*G1115)</f>
        <v/>
      </c>
      <c r="I1115">
        <f>IF(D1115="","",H1115-F1115*IFERROR(INDEX(الأصناف!$D$2:$D$2000,MATCH(D1115,الأصناف!$A$2:$A$2000,0)),0))</f>
        <v/>
      </c>
      <c r="J1115" s="4" t="n"/>
      <c r="K1115" s="7">
        <f>IF(OR(B1115="",B1115&lt;&gt;الإيصال!$C$3),"",COUNTIF(B$2:B1115,الإيصال!$C$3))</f>
        <v/>
      </c>
    </row>
    <row r="1116">
      <c r="A1116" s="6" t="n"/>
      <c r="B1116" s="4" t="n"/>
      <c r="C1116" s="4" t="n"/>
      <c r="D1116" s="4" t="n"/>
      <c r="E1116">
        <f>IF(D1116="","",IFERROR(INDEX(الأصناف!$B$2:$B$2000,MATCH(D1116,الأصناف!$A$2:$A$2000,0)),"كود غير موجود"))</f>
        <v/>
      </c>
      <c r="F1116" s="4" t="n"/>
      <c r="G1116">
        <f>IF(D1116="","",IFERROR(INDEX(الأصناف!$C$2:$C$2000,MATCH(D1116,الأصناف!$A$2:$A$2000,0)),0))</f>
        <v/>
      </c>
      <c r="H1116">
        <f>IF(D1116="","",F1116*G1116)</f>
        <v/>
      </c>
      <c r="I1116">
        <f>IF(D1116="","",H1116-F1116*IFERROR(INDEX(الأصناف!$D$2:$D$2000,MATCH(D1116,الأصناف!$A$2:$A$2000,0)),0))</f>
        <v/>
      </c>
      <c r="J1116" s="4" t="n"/>
      <c r="K1116" s="7">
        <f>IF(OR(B1116="",B1116&lt;&gt;الإيصال!$C$3),"",COUNTIF(B$2:B1116,الإيصال!$C$3))</f>
        <v/>
      </c>
    </row>
    <row r="1117">
      <c r="A1117" s="6" t="n"/>
      <c r="B1117" s="4" t="n"/>
      <c r="C1117" s="4" t="n"/>
      <c r="D1117" s="4" t="n"/>
      <c r="E1117">
        <f>IF(D1117="","",IFERROR(INDEX(الأصناف!$B$2:$B$2000,MATCH(D1117,الأصناف!$A$2:$A$2000,0)),"كود غير موجود"))</f>
        <v/>
      </c>
      <c r="F1117" s="4" t="n"/>
      <c r="G1117">
        <f>IF(D1117="","",IFERROR(INDEX(الأصناف!$C$2:$C$2000,MATCH(D1117,الأصناف!$A$2:$A$2000,0)),0))</f>
        <v/>
      </c>
      <c r="H1117">
        <f>IF(D1117="","",F1117*G1117)</f>
        <v/>
      </c>
      <c r="I1117">
        <f>IF(D1117="","",H1117-F1117*IFERROR(INDEX(الأصناف!$D$2:$D$2000,MATCH(D1117,الأصناف!$A$2:$A$2000,0)),0))</f>
        <v/>
      </c>
      <c r="J1117" s="4" t="n"/>
      <c r="K1117" s="7">
        <f>IF(OR(B1117="",B1117&lt;&gt;الإيصال!$C$3),"",COUNTIF(B$2:B1117,الإيصال!$C$3))</f>
        <v/>
      </c>
    </row>
    <row r="1118">
      <c r="A1118" s="6" t="n"/>
      <c r="B1118" s="4" t="n"/>
      <c r="C1118" s="4" t="n"/>
      <c r="D1118" s="4" t="n"/>
      <c r="E1118">
        <f>IF(D1118="","",IFERROR(INDEX(الأصناف!$B$2:$B$2000,MATCH(D1118,الأصناف!$A$2:$A$2000,0)),"كود غير موجود"))</f>
        <v/>
      </c>
      <c r="F1118" s="4" t="n"/>
      <c r="G1118">
        <f>IF(D1118="","",IFERROR(INDEX(الأصناف!$C$2:$C$2000,MATCH(D1118,الأصناف!$A$2:$A$2000,0)),0))</f>
        <v/>
      </c>
      <c r="H1118">
        <f>IF(D1118="","",F1118*G1118)</f>
        <v/>
      </c>
      <c r="I1118">
        <f>IF(D1118="","",H1118-F1118*IFERROR(INDEX(الأصناف!$D$2:$D$2000,MATCH(D1118,الأصناف!$A$2:$A$2000,0)),0))</f>
        <v/>
      </c>
      <c r="J1118" s="4" t="n"/>
      <c r="K1118" s="7">
        <f>IF(OR(B1118="",B1118&lt;&gt;الإيصال!$C$3),"",COUNTIF(B$2:B1118,الإيصال!$C$3))</f>
        <v/>
      </c>
    </row>
    <row r="1119">
      <c r="A1119" s="6" t="n"/>
      <c r="B1119" s="4" t="n"/>
      <c r="C1119" s="4" t="n"/>
      <c r="D1119" s="4" t="n"/>
      <c r="E1119">
        <f>IF(D1119="","",IFERROR(INDEX(الأصناف!$B$2:$B$2000,MATCH(D1119,الأصناف!$A$2:$A$2000,0)),"كود غير موجود"))</f>
        <v/>
      </c>
      <c r="F1119" s="4" t="n"/>
      <c r="G1119">
        <f>IF(D1119="","",IFERROR(INDEX(الأصناف!$C$2:$C$2000,MATCH(D1119,الأصناف!$A$2:$A$2000,0)),0))</f>
        <v/>
      </c>
      <c r="H1119">
        <f>IF(D1119="","",F1119*G1119)</f>
        <v/>
      </c>
      <c r="I1119">
        <f>IF(D1119="","",H1119-F1119*IFERROR(INDEX(الأصناف!$D$2:$D$2000,MATCH(D1119,الأصناف!$A$2:$A$2000,0)),0))</f>
        <v/>
      </c>
      <c r="J1119" s="4" t="n"/>
      <c r="K1119" s="7">
        <f>IF(OR(B1119="",B1119&lt;&gt;الإيصال!$C$3),"",COUNTIF(B$2:B1119,الإيصال!$C$3))</f>
        <v/>
      </c>
    </row>
    <row r="1120">
      <c r="A1120" s="6" t="n"/>
      <c r="B1120" s="4" t="n"/>
      <c r="C1120" s="4" t="n"/>
      <c r="D1120" s="4" t="n"/>
      <c r="E1120">
        <f>IF(D1120="","",IFERROR(INDEX(الأصناف!$B$2:$B$2000,MATCH(D1120,الأصناف!$A$2:$A$2000,0)),"كود غير موجود"))</f>
        <v/>
      </c>
      <c r="F1120" s="4" t="n"/>
      <c r="G1120">
        <f>IF(D1120="","",IFERROR(INDEX(الأصناف!$C$2:$C$2000,MATCH(D1120,الأصناف!$A$2:$A$2000,0)),0))</f>
        <v/>
      </c>
      <c r="H1120">
        <f>IF(D1120="","",F1120*G1120)</f>
        <v/>
      </c>
      <c r="I1120">
        <f>IF(D1120="","",H1120-F1120*IFERROR(INDEX(الأصناف!$D$2:$D$2000,MATCH(D1120,الأصناف!$A$2:$A$2000,0)),0))</f>
        <v/>
      </c>
      <c r="J1120" s="4" t="n"/>
      <c r="K1120" s="7">
        <f>IF(OR(B1120="",B1120&lt;&gt;الإيصال!$C$3),"",COUNTIF(B$2:B1120,الإيصال!$C$3))</f>
        <v/>
      </c>
    </row>
    <row r="1121">
      <c r="A1121" s="6" t="n"/>
      <c r="B1121" s="4" t="n"/>
      <c r="C1121" s="4" t="n"/>
      <c r="D1121" s="4" t="n"/>
      <c r="E1121">
        <f>IF(D1121="","",IFERROR(INDEX(الأصناف!$B$2:$B$2000,MATCH(D1121,الأصناف!$A$2:$A$2000,0)),"كود غير موجود"))</f>
        <v/>
      </c>
      <c r="F1121" s="4" t="n"/>
      <c r="G1121">
        <f>IF(D1121="","",IFERROR(INDEX(الأصناف!$C$2:$C$2000,MATCH(D1121,الأصناف!$A$2:$A$2000,0)),0))</f>
        <v/>
      </c>
      <c r="H1121">
        <f>IF(D1121="","",F1121*G1121)</f>
        <v/>
      </c>
      <c r="I1121">
        <f>IF(D1121="","",H1121-F1121*IFERROR(INDEX(الأصناف!$D$2:$D$2000,MATCH(D1121,الأصناف!$A$2:$A$2000,0)),0))</f>
        <v/>
      </c>
      <c r="J1121" s="4" t="n"/>
      <c r="K1121" s="7">
        <f>IF(OR(B1121="",B1121&lt;&gt;الإيصال!$C$3),"",COUNTIF(B$2:B1121,الإيصال!$C$3))</f>
        <v/>
      </c>
    </row>
    <row r="1122">
      <c r="A1122" s="6" t="n"/>
      <c r="B1122" s="4" t="n"/>
      <c r="C1122" s="4" t="n"/>
      <c r="D1122" s="4" t="n"/>
      <c r="E1122">
        <f>IF(D1122="","",IFERROR(INDEX(الأصناف!$B$2:$B$2000,MATCH(D1122,الأصناف!$A$2:$A$2000,0)),"كود غير موجود"))</f>
        <v/>
      </c>
      <c r="F1122" s="4" t="n"/>
      <c r="G1122">
        <f>IF(D1122="","",IFERROR(INDEX(الأصناف!$C$2:$C$2000,MATCH(D1122,الأصناف!$A$2:$A$2000,0)),0))</f>
        <v/>
      </c>
      <c r="H1122">
        <f>IF(D1122="","",F1122*G1122)</f>
        <v/>
      </c>
      <c r="I1122">
        <f>IF(D1122="","",H1122-F1122*IFERROR(INDEX(الأصناف!$D$2:$D$2000,MATCH(D1122,الأصناف!$A$2:$A$2000,0)),0))</f>
        <v/>
      </c>
      <c r="J1122" s="4" t="n"/>
      <c r="K1122" s="7">
        <f>IF(OR(B1122="",B1122&lt;&gt;الإيصال!$C$3),"",COUNTIF(B$2:B1122,الإيصال!$C$3))</f>
        <v/>
      </c>
    </row>
    <row r="1123">
      <c r="A1123" s="6" t="n"/>
      <c r="B1123" s="4" t="n"/>
      <c r="C1123" s="4" t="n"/>
      <c r="D1123" s="4" t="n"/>
      <c r="E1123">
        <f>IF(D1123="","",IFERROR(INDEX(الأصناف!$B$2:$B$2000,MATCH(D1123,الأصناف!$A$2:$A$2000,0)),"كود غير موجود"))</f>
        <v/>
      </c>
      <c r="F1123" s="4" t="n"/>
      <c r="G1123">
        <f>IF(D1123="","",IFERROR(INDEX(الأصناف!$C$2:$C$2000,MATCH(D1123,الأصناف!$A$2:$A$2000,0)),0))</f>
        <v/>
      </c>
      <c r="H1123">
        <f>IF(D1123="","",F1123*G1123)</f>
        <v/>
      </c>
      <c r="I1123">
        <f>IF(D1123="","",H1123-F1123*IFERROR(INDEX(الأصناف!$D$2:$D$2000,MATCH(D1123,الأصناف!$A$2:$A$2000,0)),0))</f>
        <v/>
      </c>
      <c r="J1123" s="4" t="n"/>
      <c r="K1123" s="7">
        <f>IF(OR(B1123="",B1123&lt;&gt;الإيصال!$C$3),"",COUNTIF(B$2:B1123,الإيصال!$C$3))</f>
        <v/>
      </c>
    </row>
    <row r="1124">
      <c r="A1124" s="6" t="n"/>
      <c r="B1124" s="4" t="n"/>
      <c r="C1124" s="4" t="n"/>
      <c r="D1124" s="4" t="n"/>
      <c r="E1124">
        <f>IF(D1124="","",IFERROR(INDEX(الأصناف!$B$2:$B$2000,MATCH(D1124,الأصناف!$A$2:$A$2000,0)),"كود غير موجود"))</f>
        <v/>
      </c>
      <c r="F1124" s="4" t="n"/>
      <c r="G1124">
        <f>IF(D1124="","",IFERROR(INDEX(الأصناف!$C$2:$C$2000,MATCH(D1124,الأصناف!$A$2:$A$2000,0)),0))</f>
        <v/>
      </c>
      <c r="H1124">
        <f>IF(D1124="","",F1124*G1124)</f>
        <v/>
      </c>
      <c r="I1124">
        <f>IF(D1124="","",H1124-F1124*IFERROR(INDEX(الأصناف!$D$2:$D$2000,MATCH(D1124,الأصناف!$A$2:$A$2000,0)),0))</f>
        <v/>
      </c>
      <c r="J1124" s="4" t="n"/>
      <c r="K1124" s="7">
        <f>IF(OR(B1124="",B1124&lt;&gt;الإيصال!$C$3),"",COUNTIF(B$2:B1124,الإيصال!$C$3))</f>
        <v/>
      </c>
    </row>
    <row r="1125">
      <c r="A1125" s="6" t="n"/>
      <c r="B1125" s="4" t="n"/>
      <c r="C1125" s="4" t="n"/>
      <c r="D1125" s="4" t="n"/>
      <c r="E1125">
        <f>IF(D1125="","",IFERROR(INDEX(الأصناف!$B$2:$B$2000,MATCH(D1125,الأصناف!$A$2:$A$2000,0)),"كود غير موجود"))</f>
        <v/>
      </c>
      <c r="F1125" s="4" t="n"/>
      <c r="G1125">
        <f>IF(D1125="","",IFERROR(INDEX(الأصناف!$C$2:$C$2000,MATCH(D1125,الأصناف!$A$2:$A$2000,0)),0))</f>
        <v/>
      </c>
      <c r="H1125">
        <f>IF(D1125="","",F1125*G1125)</f>
        <v/>
      </c>
      <c r="I1125">
        <f>IF(D1125="","",H1125-F1125*IFERROR(INDEX(الأصناف!$D$2:$D$2000,MATCH(D1125,الأصناف!$A$2:$A$2000,0)),0))</f>
        <v/>
      </c>
      <c r="J1125" s="4" t="n"/>
      <c r="K1125" s="7">
        <f>IF(OR(B1125="",B1125&lt;&gt;الإيصال!$C$3),"",COUNTIF(B$2:B1125,الإيصال!$C$3))</f>
        <v/>
      </c>
    </row>
    <row r="1126">
      <c r="A1126" s="6" t="n"/>
      <c r="B1126" s="4" t="n"/>
      <c r="C1126" s="4" t="n"/>
      <c r="D1126" s="4" t="n"/>
      <c r="E1126">
        <f>IF(D1126="","",IFERROR(INDEX(الأصناف!$B$2:$B$2000,MATCH(D1126,الأصناف!$A$2:$A$2000,0)),"كود غير موجود"))</f>
        <v/>
      </c>
      <c r="F1126" s="4" t="n"/>
      <c r="G1126">
        <f>IF(D1126="","",IFERROR(INDEX(الأصناف!$C$2:$C$2000,MATCH(D1126,الأصناف!$A$2:$A$2000,0)),0))</f>
        <v/>
      </c>
      <c r="H1126">
        <f>IF(D1126="","",F1126*G1126)</f>
        <v/>
      </c>
      <c r="I1126">
        <f>IF(D1126="","",H1126-F1126*IFERROR(INDEX(الأصناف!$D$2:$D$2000,MATCH(D1126,الأصناف!$A$2:$A$2000,0)),0))</f>
        <v/>
      </c>
      <c r="J1126" s="4" t="n"/>
      <c r="K1126" s="7">
        <f>IF(OR(B1126="",B1126&lt;&gt;الإيصال!$C$3),"",COUNTIF(B$2:B1126,الإيصال!$C$3))</f>
        <v/>
      </c>
    </row>
    <row r="1127">
      <c r="A1127" s="6" t="n"/>
      <c r="B1127" s="4" t="n"/>
      <c r="C1127" s="4" t="n"/>
      <c r="D1127" s="4" t="n"/>
      <c r="E1127">
        <f>IF(D1127="","",IFERROR(INDEX(الأصناف!$B$2:$B$2000,MATCH(D1127,الأصناف!$A$2:$A$2000,0)),"كود غير موجود"))</f>
        <v/>
      </c>
      <c r="F1127" s="4" t="n"/>
      <c r="G1127">
        <f>IF(D1127="","",IFERROR(INDEX(الأصناف!$C$2:$C$2000,MATCH(D1127,الأصناف!$A$2:$A$2000,0)),0))</f>
        <v/>
      </c>
      <c r="H1127">
        <f>IF(D1127="","",F1127*G1127)</f>
        <v/>
      </c>
      <c r="I1127">
        <f>IF(D1127="","",H1127-F1127*IFERROR(INDEX(الأصناف!$D$2:$D$2000,MATCH(D1127,الأصناف!$A$2:$A$2000,0)),0))</f>
        <v/>
      </c>
      <c r="J1127" s="4" t="n"/>
      <c r="K1127" s="7">
        <f>IF(OR(B1127="",B1127&lt;&gt;الإيصال!$C$3),"",COUNTIF(B$2:B1127,الإيصال!$C$3))</f>
        <v/>
      </c>
    </row>
    <row r="1128">
      <c r="A1128" s="6" t="n"/>
      <c r="B1128" s="4" t="n"/>
      <c r="C1128" s="4" t="n"/>
      <c r="D1128" s="4" t="n"/>
      <c r="E1128">
        <f>IF(D1128="","",IFERROR(INDEX(الأصناف!$B$2:$B$2000,MATCH(D1128,الأصناف!$A$2:$A$2000,0)),"كود غير موجود"))</f>
        <v/>
      </c>
      <c r="F1128" s="4" t="n"/>
      <c r="G1128">
        <f>IF(D1128="","",IFERROR(INDEX(الأصناف!$C$2:$C$2000,MATCH(D1128,الأصناف!$A$2:$A$2000,0)),0))</f>
        <v/>
      </c>
      <c r="H1128">
        <f>IF(D1128="","",F1128*G1128)</f>
        <v/>
      </c>
      <c r="I1128">
        <f>IF(D1128="","",H1128-F1128*IFERROR(INDEX(الأصناف!$D$2:$D$2000,MATCH(D1128,الأصناف!$A$2:$A$2000,0)),0))</f>
        <v/>
      </c>
      <c r="J1128" s="4" t="n"/>
      <c r="K1128" s="7">
        <f>IF(OR(B1128="",B1128&lt;&gt;الإيصال!$C$3),"",COUNTIF(B$2:B1128,الإيصال!$C$3))</f>
        <v/>
      </c>
    </row>
    <row r="1129">
      <c r="A1129" s="6" t="n"/>
      <c r="B1129" s="4" t="n"/>
      <c r="C1129" s="4" t="n"/>
      <c r="D1129" s="4" t="n"/>
      <c r="E1129">
        <f>IF(D1129="","",IFERROR(INDEX(الأصناف!$B$2:$B$2000,MATCH(D1129,الأصناف!$A$2:$A$2000,0)),"كود غير موجود"))</f>
        <v/>
      </c>
      <c r="F1129" s="4" t="n"/>
      <c r="G1129">
        <f>IF(D1129="","",IFERROR(INDEX(الأصناف!$C$2:$C$2000,MATCH(D1129,الأصناف!$A$2:$A$2000,0)),0))</f>
        <v/>
      </c>
      <c r="H1129">
        <f>IF(D1129="","",F1129*G1129)</f>
        <v/>
      </c>
      <c r="I1129">
        <f>IF(D1129="","",H1129-F1129*IFERROR(INDEX(الأصناف!$D$2:$D$2000,MATCH(D1129,الأصناف!$A$2:$A$2000,0)),0))</f>
        <v/>
      </c>
      <c r="J1129" s="4" t="n"/>
      <c r="K1129" s="7">
        <f>IF(OR(B1129="",B1129&lt;&gt;الإيصال!$C$3),"",COUNTIF(B$2:B1129,الإيصال!$C$3))</f>
        <v/>
      </c>
    </row>
    <row r="1130">
      <c r="A1130" s="6" t="n"/>
      <c r="B1130" s="4" t="n"/>
      <c r="C1130" s="4" t="n"/>
      <c r="D1130" s="4" t="n"/>
      <c r="E1130">
        <f>IF(D1130="","",IFERROR(INDEX(الأصناف!$B$2:$B$2000,MATCH(D1130,الأصناف!$A$2:$A$2000,0)),"كود غير موجود"))</f>
        <v/>
      </c>
      <c r="F1130" s="4" t="n"/>
      <c r="G1130">
        <f>IF(D1130="","",IFERROR(INDEX(الأصناف!$C$2:$C$2000,MATCH(D1130,الأصناف!$A$2:$A$2000,0)),0))</f>
        <v/>
      </c>
      <c r="H1130">
        <f>IF(D1130="","",F1130*G1130)</f>
        <v/>
      </c>
      <c r="I1130">
        <f>IF(D1130="","",H1130-F1130*IFERROR(INDEX(الأصناف!$D$2:$D$2000,MATCH(D1130,الأصناف!$A$2:$A$2000,0)),0))</f>
        <v/>
      </c>
      <c r="J1130" s="4" t="n"/>
      <c r="K1130" s="7">
        <f>IF(OR(B1130="",B1130&lt;&gt;الإيصال!$C$3),"",COUNTIF(B$2:B1130,الإيصال!$C$3))</f>
        <v/>
      </c>
    </row>
    <row r="1131">
      <c r="A1131" s="6" t="n"/>
      <c r="B1131" s="4" t="n"/>
      <c r="C1131" s="4" t="n"/>
      <c r="D1131" s="4" t="n"/>
      <c r="E1131">
        <f>IF(D1131="","",IFERROR(INDEX(الأصناف!$B$2:$B$2000,MATCH(D1131,الأصناف!$A$2:$A$2000,0)),"كود غير موجود"))</f>
        <v/>
      </c>
      <c r="F1131" s="4" t="n"/>
      <c r="G1131">
        <f>IF(D1131="","",IFERROR(INDEX(الأصناف!$C$2:$C$2000,MATCH(D1131,الأصناف!$A$2:$A$2000,0)),0))</f>
        <v/>
      </c>
      <c r="H1131">
        <f>IF(D1131="","",F1131*G1131)</f>
        <v/>
      </c>
      <c r="I1131">
        <f>IF(D1131="","",H1131-F1131*IFERROR(INDEX(الأصناف!$D$2:$D$2000,MATCH(D1131,الأصناف!$A$2:$A$2000,0)),0))</f>
        <v/>
      </c>
      <c r="J1131" s="4" t="n"/>
      <c r="K1131" s="7">
        <f>IF(OR(B1131="",B1131&lt;&gt;الإيصال!$C$3),"",COUNTIF(B$2:B1131,الإيصال!$C$3))</f>
        <v/>
      </c>
    </row>
    <row r="1132">
      <c r="A1132" s="6" t="n"/>
      <c r="B1132" s="4" t="n"/>
      <c r="C1132" s="4" t="n"/>
      <c r="D1132" s="4" t="n"/>
      <c r="E1132">
        <f>IF(D1132="","",IFERROR(INDEX(الأصناف!$B$2:$B$2000,MATCH(D1132,الأصناف!$A$2:$A$2000,0)),"كود غير موجود"))</f>
        <v/>
      </c>
      <c r="F1132" s="4" t="n"/>
      <c r="G1132">
        <f>IF(D1132="","",IFERROR(INDEX(الأصناف!$C$2:$C$2000,MATCH(D1132,الأصناف!$A$2:$A$2000,0)),0))</f>
        <v/>
      </c>
      <c r="H1132">
        <f>IF(D1132="","",F1132*G1132)</f>
        <v/>
      </c>
      <c r="I1132">
        <f>IF(D1132="","",H1132-F1132*IFERROR(INDEX(الأصناف!$D$2:$D$2000,MATCH(D1132,الأصناف!$A$2:$A$2000,0)),0))</f>
        <v/>
      </c>
      <c r="J1132" s="4" t="n"/>
      <c r="K1132" s="7">
        <f>IF(OR(B1132="",B1132&lt;&gt;الإيصال!$C$3),"",COUNTIF(B$2:B1132,الإيصال!$C$3))</f>
        <v/>
      </c>
    </row>
    <row r="1133">
      <c r="A1133" s="6" t="n"/>
      <c r="B1133" s="4" t="n"/>
      <c r="C1133" s="4" t="n"/>
      <c r="D1133" s="4" t="n"/>
      <c r="E1133">
        <f>IF(D1133="","",IFERROR(INDEX(الأصناف!$B$2:$B$2000,MATCH(D1133,الأصناف!$A$2:$A$2000,0)),"كود غير موجود"))</f>
        <v/>
      </c>
      <c r="F1133" s="4" t="n"/>
      <c r="G1133">
        <f>IF(D1133="","",IFERROR(INDEX(الأصناف!$C$2:$C$2000,MATCH(D1133,الأصناف!$A$2:$A$2000,0)),0))</f>
        <v/>
      </c>
      <c r="H1133">
        <f>IF(D1133="","",F1133*G1133)</f>
        <v/>
      </c>
      <c r="I1133">
        <f>IF(D1133="","",H1133-F1133*IFERROR(INDEX(الأصناف!$D$2:$D$2000,MATCH(D1133,الأصناف!$A$2:$A$2000,0)),0))</f>
        <v/>
      </c>
      <c r="J1133" s="4" t="n"/>
      <c r="K1133" s="7">
        <f>IF(OR(B1133="",B1133&lt;&gt;الإيصال!$C$3),"",COUNTIF(B$2:B1133,الإيصال!$C$3))</f>
        <v/>
      </c>
    </row>
    <row r="1134">
      <c r="A1134" s="6" t="n"/>
      <c r="B1134" s="4" t="n"/>
      <c r="C1134" s="4" t="n"/>
      <c r="D1134" s="4" t="n"/>
      <c r="E1134">
        <f>IF(D1134="","",IFERROR(INDEX(الأصناف!$B$2:$B$2000,MATCH(D1134,الأصناف!$A$2:$A$2000,0)),"كود غير موجود"))</f>
        <v/>
      </c>
      <c r="F1134" s="4" t="n"/>
      <c r="G1134">
        <f>IF(D1134="","",IFERROR(INDEX(الأصناف!$C$2:$C$2000,MATCH(D1134,الأصناف!$A$2:$A$2000,0)),0))</f>
        <v/>
      </c>
      <c r="H1134">
        <f>IF(D1134="","",F1134*G1134)</f>
        <v/>
      </c>
      <c r="I1134">
        <f>IF(D1134="","",H1134-F1134*IFERROR(INDEX(الأصناف!$D$2:$D$2000,MATCH(D1134,الأصناف!$A$2:$A$2000,0)),0))</f>
        <v/>
      </c>
      <c r="J1134" s="4" t="n"/>
      <c r="K1134" s="7">
        <f>IF(OR(B1134="",B1134&lt;&gt;الإيصال!$C$3),"",COUNTIF(B$2:B1134,الإيصال!$C$3))</f>
        <v/>
      </c>
    </row>
    <row r="1135">
      <c r="A1135" s="6" t="n"/>
      <c r="B1135" s="4" t="n"/>
      <c r="C1135" s="4" t="n"/>
      <c r="D1135" s="4" t="n"/>
      <c r="E1135">
        <f>IF(D1135="","",IFERROR(INDEX(الأصناف!$B$2:$B$2000,MATCH(D1135,الأصناف!$A$2:$A$2000,0)),"كود غير موجود"))</f>
        <v/>
      </c>
      <c r="F1135" s="4" t="n"/>
      <c r="G1135">
        <f>IF(D1135="","",IFERROR(INDEX(الأصناف!$C$2:$C$2000,MATCH(D1135,الأصناف!$A$2:$A$2000,0)),0))</f>
        <v/>
      </c>
      <c r="H1135">
        <f>IF(D1135="","",F1135*G1135)</f>
        <v/>
      </c>
      <c r="I1135">
        <f>IF(D1135="","",H1135-F1135*IFERROR(INDEX(الأصناف!$D$2:$D$2000,MATCH(D1135,الأصناف!$A$2:$A$2000,0)),0))</f>
        <v/>
      </c>
      <c r="J1135" s="4" t="n"/>
      <c r="K1135" s="7">
        <f>IF(OR(B1135="",B1135&lt;&gt;الإيصال!$C$3),"",COUNTIF(B$2:B1135,الإيصال!$C$3))</f>
        <v/>
      </c>
    </row>
    <row r="1136">
      <c r="A1136" s="6" t="n"/>
      <c r="B1136" s="4" t="n"/>
      <c r="C1136" s="4" t="n"/>
      <c r="D1136" s="4" t="n"/>
      <c r="E1136">
        <f>IF(D1136="","",IFERROR(INDEX(الأصناف!$B$2:$B$2000,MATCH(D1136,الأصناف!$A$2:$A$2000,0)),"كود غير موجود"))</f>
        <v/>
      </c>
      <c r="F1136" s="4" t="n"/>
      <c r="G1136">
        <f>IF(D1136="","",IFERROR(INDEX(الأصناف!$C$2:$C$2000,MATCH(D1136,الأصناف!$A$2:$A$2000,0)),0))</f>
        <v/>
      </c>
      <c r="H1136">
        <f>IF(D1136="","",F1136*G1136)</f>
        <v/>
      </c>
      <c r="I1136">
        <f>IF(D1136="","",H1136-F1136*IFERROR(INDEX(الأصناف!$D$2:$D$2000,MATCH(D1136,الأصناف!$A$2:$A$2000,0)),0))</f>
        <v/>
      </c>
      <c r="J1136" s="4" t="n"/>
      <c r="K1136" s="7">
        <f>IF(OR(B1136="",B1136&lt;&gt;الإيصال!$C$3),"",COUNTIF(B$2:B1136,الإيصال!$C$3))</f>
        <v/>
      </c>
    </row>
    <row r="1137">
      <c r="A1137" s="6" t="n"/>
      <c r="B1137" s="4" t="n"/>
      <c r="C1137" s="4" t="n"/>
      <c r="D1137" s="4" t="n"/>
      <c r="E1137">
        <f>IF(D1137="","",IFERROR(INDEX(الأصناف!$B$2:$B$2000,MATCH(D1137,الأصناف!$A$2:$A$2000,0)),"كود غير موجود"))</f>
        <v/>
      </c>
      <c r="F1137" s="4" t="n"/>
      <c r="G1137">
        <f>IF(D1137="","",IFERROR(INDEX(الأصناف!$C$2:$C$2000,MATCH(D1137,الأصناف!$A$2:$A$2000,0)),0))</f>
        <v/>
      </c>
      <c r="H1137">
        <f>IF(D1137="","",F1137*G1137)</f>
        <v/>
      </c>
      <c r="I1137">
        <f>IF(D1137="","",H1137-F1137*IFERROR(INDEX(الأصناف!$D$2:$D$2000,MATCH(D1137,الأصناف!$A$2:$A$2000,0)),0))</f>
        <v/>
      </c>
      <c r="J1137" s="4" t="n"/>
      <c r="K1137" s="7">
        <f>IF(OR(B1137="",B1137&lt;&gt;الإيصال!$C$3),"",COUNTIF(B$2:B1137,الإيصال!$C$3))</f>
        <v/>
      </c>
    </row>
    <row r="1138">
      <c r="A1138" s="6" t="n"/>
      <c r="B1138" s="4" t="n"/>
      <c r="C1138" s="4" t="n"/>
      <c r="D1138" s="4" t="n"/>
      <c r="E1138">
        <f>IF(D1138="","",IFERROR(INDEX(الأصناف!$B$2:$B$2000,MATCH(D1138,الأصناف!$A$2:$A$2000,0)),"كود غير موجود"))</f>
        <v/>
      </c>
      <c r="F1138" s="4" t="n"/>
      <c r="G1138">
        <f>IF(D1138="","",IFERROR(INDEX(الأصناف!$C$2:$C$2000,MATCH(D1138,الأصناف!$A$2:$A$2000,0)),0))</f>
        <v/>
      </c>
      <c r="H1138">
        <f>IF(D1138="","",F1138*G1138)</f>
        <v/>
      </c>
      <c r="I1138">
        <f>IF(D1138="","",H1138-F1138*IFERROR(INDEX(الأصناف!$D$2:$D$2000,MATCH(D1138,الأصناف!$A$2:$A$2000,0)),0))</f>
        <v/>
      </c>
      <c r="J1138" s="4" t="n"/>
      <c r="K1138" s="7">
        <f>IF(OR(B1138="",B1138&lt;&gt;الإيصال!$C$3),"",COUNTIF(B$2:B1138,الإيصال!$C$3))</f>
        <v/>
      </c>
    </row>
    <row r="1139">
      <c r="A1139" s="6" t="n"/>
      <c r="B1139" s="4" t="n"/>
      <c r="C1139" s="4" t="n"/>
      <c r="D1139" s="4" t="n"/>
      <c r="E1139">
        <f>IF(D1139="","",IFERROR(INDEX(الأصناف!$B$2:$B$2000,MATCH(D1139,الأصناف!$A$2:$A$2000,0)),"كود غير موجود"))</f>
        <v/>
      </c>
      <c r="F1139" s="4" t="n"/>
      <c r="G1139">
        <f>IF(D1139="","",IFERROR(INDEX(الأصناف!$C$2:$C$2000,MATCH(D1139,الأصناف!$A$2:$A$2000,0)),0))</f>
        <v/>
      </c>
      <c r="H1139">
        <f>IF(D1139="","",F1139*G1139)</f>
        <v/>
      </c>
      <c r="I1139">
        <f>IF(D1139="","",H1139-F1139*IFERROR(INDEX(الأصناف!$D$2:$D$2000,MATCH(D1139,الأصناف!$A$2:$A$2000,0)),0))</f>
        <v/>
      </c>
      <c r="J1139" s="4" t="n"/>
      <c r="K1139" s="7">
        <f>IF(OR(B1139="",B1139&lt;&gt;الإيصال!$C$3),"",COUNTIF(B$2:B1139,الإيصال!$C$3))</f>
        <v/>
      </c>
    </row>
    <row r="1140">
      <c r="A1140" s="6" t="n"/>
      <c r="B1140" s="4" t="n"/>
      <c r="C1140" s="4" t="n"/>
      <c r="D1140" s="4" t="n"/>
      <c r="E1140">
        <f>IF(D1140="","",IFERROR(INDEX(الأصناف!$B$2:$B$2000,MATCH(D1140,الأصناف!$A$2:$A$2000,0)),"كود غير موجود"))</f>
        <v/>
      </c>
      <c r="F1140" s="4" t="n"/>
      <c r="G1140">
        <f>IF(D1140="","",IFERROR(INDEX(الأصناف!$C$2:$C$2000,MATCH(D1140,الأصناف!$A$2:$A$2000,0)),0))</f>
        <v/>
      </c>
      <c r="H1140">
        <f>IF(D1140="","",F1140*G1140)</f>
        <v/>
      </c>
      <c r="I1140">
        <f>IF(D1140="","",H1140-F1140*IFERROR(INDEX(الأصناف!$D$2:$D$2000,MATCH(D1140,الأصناف!$A$2:$A$2000,0)),0))</f>
        <v/>
      </c>
      <c r="J1140" s="4" t="n"/>
      <c r="K1140" s="7">
        <f>IF(OR(B1140="",B1140&lt;&gt;الإيصال!$C$3),"",COUNTIF(B$2:B1140,الإيصال!$C$3))</f>
        <v/>
      </c>
    </row>
    <row r="1141">
      <c r="A1141" s="6" t="n"/>
      <c r="B1141" s="4" t="n"/>
      <c r="C1141" s="4" t="n"/>
      <c r="D1141" s="4" t="n"/>
      <c r="E1141">
        <f>IF(D1141="","",IFERROR(INDEX(الأصناف!$B$2:$B$2000,MATCH(D1141,الأصناف!$A$2:$A$2000,0)),"كود غير موجود"))</f>
        <v/>
      </c>
      <c r="F1141" s="4" t="n"/>
      <c r="G1141">
        <f>IF(D1141="","",IFERROR(INDEX(الأصناف!$C$2:$C$2000,MATCH(D1141,الأصناف!$A$2:$A$2000,0)),0))</f>
        <v/>
      </c>
      <c r="H1141">
        <f>IF(D1141="","",F1141*G1141)</f>
        <v/>
      </c>
      <c r="I1141">
        <f>IF(D1141="","",H1141-F1141*IFERROR(INDEX(الأصناف!$D$2:$D$2000,MATCH(D1141,الأصناف!$A$2:$A$2000,0)),0))</f>
        <v/>
      </c>
      <c r="J1141" s="4" t="n"/>
      <c r="K1141" s="7">
        <f>IF(OR(B1141="",B1141&lt;&gt;الإيصال!$C$3),"",COUNTIF(B$2:B1141,الإيصال!$C$3))</f>
        <v/>
      </c>
    </row>
    <row r="1142">
      <c r="A1142" s="6" t="n"/>
      <c r="B1142" s="4" t="n"/>
      <c r="C1142" s="4" t="n"/>
      <c r="D1142" s="4" t="n"/>
      <c r="E1142">
        <f>IF(D1142="","",IFERROR(INDEX(الأصناف!$B$2:$B$2000,MATCH(D1142,الأصناف!$A$2:$A$2000,0)),"كود غير موجود"))</f>
        <v/>
      </c>
      <c r="F1142" s="4" t="n"/>
      <c r="G1142">
        <f>IF(D1142="","",IFERROR(INDEX(الأصناف!$C$2:$C$2000,MATCH(D1142,الأصناف!$A$2:$A$2000,0)),0))</f>
        <v/>
      </c>
      <c r="H1142">
        <f>IF(D1142="","",F1142*G1142)</f>
        <v/>
      </c>
      <c r="I1142">
        <f>IF(D1142="","",H1142-F1142*IFERROR(INDEX(الأصناف!$D$2:$D$2000,MATCH(D1142,الأصناف!$A$2:$A$2000,0)),0))</f>
        <v/>
      </c>
      <c r="J1142" s="4" t="n"/>
      <c r="K1142" s="7">
        <f>IF(OR(B1142="",B1142&lt;&gt;الإيصال!$C$3),"",COUNTIF(B$2:B1142,الإيصال!$C$3))</f>
        <v/>
      </c>
    </row>
    <row r="1143">
      <c r="A1143" s="6" t="n"/>
      <c r="B1143" s="4" t="n"/>
      <c r="C1143" s="4" t="n"/>
      <c r="D1143" s="4" t="n"/>
      <c r="E1143">
        <f>IF(D1143="","",IFERROR(INDEX(الأصناف!$B$2:$B$2000,MATCH(D1143,الأصناف!$A$2:$A$2000,0)),"كود غير موجود"))</f>
        <v/>
      </c>
      <c r="F1143" s="4" t="n"/>
      <c r="G1143">
        <f>IF(D1143="","",IFERROR(INDEX(الأصناف!$C$2:$C$2000,MATCH(D1143,الأصناف!$A$2:$A$2000,0)),0))</f>
        <v/>
      </c>
      <c r="H1143">
        <f>IF(D1143="","",F1143*G1143)</f>
        <v/>
      </c>
      <c r="I1143">
        <f>IF(D1143="","",H1143-F1143*IFERROR(INDEX(الأصناف!$D$2:$D$2000,MATCH(D1143,الأصناف!$A$2:$A$2000,0)),0))</f>
        <v/>
      </c>
      <c r="J1143" s="4" t="n"/>
      <c r="K1143" s="7">
        <f>IF(OR(B1143="",B1143&lt;&gt;الإيصال!$C$3),"",COUNTIF(B$2:B1143,الإيصال!$C$3))</f>
        <v/>
      </c>
    </row>
    <row r="1144">
      <c r="A1144" s="6" t="n"/>
      <c r="B1144" s="4" t="n"/>
      <c r="C1144" s="4" t="n"/>
      <c r="D1144" s="4" t="n"/>
      <c r="E1144">
        <f>IF(D1144="","",IFERROR(INDEX(الأصناف!$B$2:$B$2000,MATCH(D1144,الأصناف!$A$2:$A$2000,0)),"كود غير موجود"))</f>
        <v/>
      </c>
      <c r="F1144" s="4" t="n"/>
      <c r="G1144">
        <f>IF(D1144="","",IFERROR(INDEX(الأصناف!$C$2:$C$2000,MATCH(D1144,الأصناف!$A$2:$A$2000,0)),0))</f>
        <v/>
      </c>
      <c r="H1144">
        <f>IF(D1144="","",F1144*G1144)</f>
        <v/>
      </c>
      <c r="I1144">
        <f>IF(D1144="","",H1144-F1144*IFERROR(INDEX(الأصناف!$D$2:$D$2000,MATCH(D1144,الأصناف!$A$2:$A$2000,0)),0))</f>
        <v/>
      </c>
      <c r="J1144" s="4" t="n"/>
      <c r="K1144" s="7">
        <f>IF(OR(B1144="",B1144&lt;&gt;الإيصال!$C$3),"",COUNTIF(B$2:B1144,الإيصال!$C$3))</f>
        <v/>
      </c>
    </row>
    <row r="1145">
      <c r="A1145" s="6" t="n"/>
      <c r="B1145" s="4" t="n"/>
      <c r="C1145" s="4" t="n"/>
      <c r="D1145" s="4" t="n"/>
      <c r="E1145">
        <f>IF(D1145="","",IFERROR(INDEX(الأصناف!$B$2:$B$2000,MATCH(D1145,الأصناف!$A$2:$A$2000,0)),"كود غير موجود"))</f>
        <v/>
      </c>
      <c r="F1145" s="4" t="n"/>
      <c r="G1145">
        <f>IF(D1145="","",IFERROR(INDEX(الأصناف!$C$2:$C$2000,MATCH(D1145,الأصناف!$A$2:$A$2000,0)),0))</f>
        <v/>
      </c>
      <c r="H1145">
        <f>IF(D1145="","",F1145*G1145)</f>
        <v/>
      </c>
      <c r="I1145">
        <f>IF(D1145="","",H1145-F1145*IFERROR(INDEX(الأصناف!$D$2:$D$2000,MATCH(D1145,الأصناف!$A$2:$A$2000,0)),0))</f>
        <v/>
      </c>
      <c r="J1145" s="4" t="n"/>
      <c r="K1145" s="7">
        <f>IF(OR(B1145="",B1145&lt;&gt;الإيصال!$C$3),"",COUNTIF(B$2:B1145,الإيصال!$C$3))</f>
        <v/>
      </c>
    </row>
    <row r="1146">
      <c r="A1146" s="6" t="n"/>
      <c r="B1146" s="4" t="n"/>
      <c r="C1146" s="4" t="n"/>
      <c r="D1146" s="4" t="n"/>
      <c r="E1146">
        <f>IF(D1146="","",IFERROR(INDEX(الأصناف!$B$2:$B$2000,MATCH(D1146,الأصناف!$A$2:$A$2000,0)),"كود غير موجود"))</f>
        <v/>
      </c>
      <c r="F1146" s="4" t="n"/>
      <c r="G1146">
        <f>IF(D1146="","",IFERROR(INDEX(الأصناف!$C$2:$C$2000,MATCH(D1146,الأصناف!$A$2:$A$2000,0)),0))</f>
        <v/>
      </c>
      <c r="H1146">
        <f>IF(D1146="","",F1146*G1146)</f>
        <v/>
      </c>
      <c r="I1146">
        <f>IF(D1146="","",H1146-F1146*IFERROR(INDEX(الأصناف!$D$2:$D$2000,MATCH(D1146,الأصناف!$A$2:$A$2000,0)),0))</f>
        <v/>
      </c>
      <c r="J1146" s="4" t="n"/>
      <c r="K1146" s="7">
        <f>IF(OR(B1146="",B1146&lt;&gt;الإيصال!$C$3),"",COUNTIF(B$2:B1146,الإيصال!$C$3))</f>
        <v/>
      </c>
    </row>
    <row r="1147">
      <c r="A1147" s="6" t="n"/>
      <c r="B1147" s="4" t="n"/>
      <c r="C1147" s="4" t="n"/>
      <c r="D1147" s="4" t="n"/>
      <c r="E1147">
        <f>IF(D1147="","",IFERROR(INDEX(الأصناف!$B$2:$B$2000,MATCH(D1147,الأصناف!$A$2:$A$2000,0)),"كود غير موجود"))</f>
        <v/>
      </c>
      <c r="F1147" s="4" t="n"/>
      <c r="G1147">
        <f>IF(D1147="","",IFERROR(INDEX(الأصناف!$C$2:$C$2000,MATCH(D1147,الأصناف!$A$2:$A$2000,0)),0))</f>
        <v/>
      </c>
      <c r="H1147">
        <f>IF(D1147="","",F1147*G1147)</f>
        <v/>
      </c>
      <c r="I1147">
        <f>IF(D1147="","",H1147-F1147*IFERROR(INDEX(الأصناف!$D$2:$D$2000,MATCH(D1147,الأصناف!$A$2:$A$2000,0)),0))</f>
        <v/>
      </c>
      <c r="J1147" s="4" t="n"/>
      <c r="K1147" s="7">
        <f>IF(OR(B1147="",B1147&lt;&gt;الإيصال!$C$3),"",COUNTIF(B$2:B1147,الإيصال!$C$3))</f>
        <v/>
      </c>
    </row>
    <row r="1148">
      <c r="A1148" s="6" t="n"/>
      <c r="B1148" s="4" t="n"/>
      <c r="C1148" s="4" t="n"/>
      <c r="D1148" s="4" t="n"/>
      <c r="E1148">
        <f>IF(D1148="","",IFERROR(INDEX(الأصناف!$B$2:$B$2000,MATCH(D1148,الأصناف!$A$2:$A$2000,0)),"كود غير موجود"))</f>
        <v/>
      </c>
      <c r="F1148" s="4" t="n"/>
      <c r="G1148">
        <f>IF(D1148="","",IFERROR(INDEX(الأصناف!$C$2:$C$2000,MATCH(D1148,الأصناف!$A$2:$A$2000,0)),0))</f>
        <v/>
      </c>
      <c r="H1148">
        <f>IF(D1148="","",F1148*G1148)</f>
        <v/>
      </c>
      <c r="I1148">
        <f>IF(D1148="","",H1148-F1148*IFERROR(INDEX(الأصناف!$D$2:$D$2000,MATCH(D1148,الأصناف!$A$2:$A$2000,0)),0))</f>
        <v/>
      </c>
      <c r="J1148" s="4" t="n"/>
      <c r="K1148" s="7">
        <f>IF(OR(B1148="",B1148&lt;&gt;الإيصال!$C$3),"",COUNTIF(B$2:B1148,الإيصال!$C$3))</f>
        <v/>
      </c>
    </row>
    <row r="1149">
      <c r="A1149" s="6" t="n"/>
      <c r="B1149" s="4" t="n"/>
      <c r="C1149" s="4" t="n"/>
      <c r="D1149" s="4" t="n"/>
      <c r="E1149">
        <f>IF(D1149="","",IFERROR(INDEX(الأصناف!$B$2:$B$2000,MATCH(D1149,الأصناف!$A$2:$A$2000,0)),"كود غير موجود"))</f>
        <v/>
      </c>
      <c r="F1149" s="4" t="n"/>
      <c r="G1149">
        <f>IF(D1149="","",IFERROR(INDEX(الأصناف!$C$2:$C$2000,MATCH(D1149,الأصناف!$A$2:$A$2000,0)),0))</f>
        <v/>
      </c>
      <c r="H1149">
        <f>IF(D1149="","",F1149*G1149)</f>
        <v/>
      </c>
      <c r="I1149">
        <f>IF(D1149="","",H1149-F1149*IFERROR(INDEX(الأصناف!$D$2:$D$2000,MATCH(D1149,الأصناف!$A$2:$A$2000,0)),0))</f>
        <v/>
      </c>
      <c r="J1149" s="4" t="n"/>
      <c r="K1149" s="7">
        <f>IF(OR(B1149="",B1149&lt;&gt;الإيصال!$C$3),"",COUNTIF(B$2:B1149,الإيصال!$C$3))</f>
        <v/>
      </c>
    </row>
    <row r="1150">
      <c r="A1150" s="6" t="n"/>
      <c r="B1150" s="4" t="n"/>
      <c r="C1150" s="4" t="n"/>
      <c r="D1150" s="4" t="n"/>
      <c r="E1150">
        <f>IF(D1150="","",IFERROR(INDEX(الأصناف!$B$2:$B$2000,MATCH(D1150,الأصناف!$A$2:$A$2000,0)),"كود غير موجود"))</f>
        <v/>
      </c>
      <c r="F1150" s="4" t="n"/>
      <c r="G1150">
        <f>IF(D1150="","",IFERROR(INDEX(الأصناف!$C$2:$C$2000,MATCH(D1150,الأصناف!$A$2:$A$2000,0)),0))</f>
        <v/>
      </c>
      <c r="H1150">
        <f>IF(D1150="","",F1150*G1150)</f>
        <v/>
      </c>
      <c r="I1150">
        <f>IF(D1150="","",H1150-F1150*IFERROR(INDEX(الأصناف!$D$2:$D$2000,MATCH(D1150,الأصناف!$A$2:$A$2000,0)),0))</f>
        <v/>
      </c>
      <c r="J1150" s="4" t="n"/>
      <c r="K1150" s="7">
        <f>IF(OR(B1150="",B1150&lt;&gt;الإيصال!$C$3),"",COUNTIF(B$2:B1150,الإيصال!$C$3))</f>
        <v/>
      </c>
    </row>
    <row r="1151">
      <c r="A1151" s="6" t="n"/>
      <c r="B1151" s="4" t="n"/>
      <c r="C1151" s="4" t="n"/>
      <c r="D1151" s="4" t="n"/>
      <c r="E1151">
        <f>IF(D1151="","",IFERROR(INDEX(الأصناف!$B$2:$B$2000,MATCH(D1151,الأصناف!$A$2:$A$2000,0)),"كود غير موجود"))</f>
        <v/>
      </c>
      <c r="F1151" s="4" t="n"/>
      <c r="G1151">
        <f>IF(D1151="","",IFERROR(INDEX(الأصناف!$C$2:$C$2000,MATCH(D1151,الأصناف!$A$2:$A$2000,0)),0))</f>
        <v/>
      </c>
      <c r="H1151">
        <f>IF(D1151="","",F1151*G1151)</f>
        <v/>
      </c>
      <c r="I1151">
        <f>IF(D1151="","",H1151-F1151*IFERROR(INDEX(الأصناف!$D$2:$D$2000,MATCH(D1151,الأصناف!$A$2:$A$2000,0)),0))</f>
        <v/>
      </c>
      <c r="J1151" s="4" t="n"/>
      <c r="K1151" s="7">
        <f>IF(OR(B1151="",B1151&lt;&gt;الإيصال!$C$3),"",COUNTIF(B$2:B1151,الإيصال!$C$3))</f>
        <v/>
      </c>
    </row>
    <row r="1152">
      <c r="A1152" s="6" t="n"/>
      <c r="B1152" s="4" t="n"/>
      <c r="C1152" s="4" t="n"/>
      <c r="D1152" s="4" t="n"/>
      <c r="E1152">
        <f>IF(D1152="","",IFERROR(INDEX(الأصناف!$B$2:$B$2000,MATCH(D1152,الأصناف!$A$2:$A$2000,0)),"كود غير موجود"))</f>
        <v/>
      </c>
      <c r="F1152" s="4" t="n"/>
      <c r="G1152">
        <f>IF(D1152="","",IFERROR(INDEX(الأصناف!$C$2:$C$2000,MATCH(D1152,الأصناف!$A$2:$A$2000,0)),0))</f>
        <v/>
      </c>
      <c r="H1152">
        <f>IF(D1152="","",F1152*G1152)</f>
        <v/>
      </c>
      <c r="I1152">
        <f>IF(D1152="","",H1152-F1152*IFERROR(INDEX(الأصناف!$D$2:$D$2000,MATCH(D1152,الأصناف!$A$2:$A$2000,0)),0))</f>
        <v/>
      </c>
      <c r="J1152" s="4" t="n"/>
      <c r="K1152" s="7">
        <f>IF(OR(B1152="",B1152&lt;&gt;الإيصال!$C$3),"",COUNTIF(B$2:B1152,الإيصال!$C$3))</f>
        <v/>
      </c>
    </row>
    <row r="1153">
      <c r="A1153" s="6" t="n"/>
      <c r="B1153" s="4" t="n"/>
      <c r="C1153" s="4" t="n"/>
      <c r="D1153" s="4" t="n"/>
      <c r="E1153">
        <f>IF(D1153="","",IFERROR(INDEX(الأصناف!$B$2:$B$2000,MATCH(D1153,الأصناف!$A$2:$A$2000,0)),"كود غير موجود"))</f>
        <v/>
      </c>
      <c r="F1153" s="4" t="n"/>
      <c r="G1153">
        <f>IF(D1153="","",IFERROR(INDEX(الأصناف!$C$2:$C$2000,MATCH(D1153,الأصناف!$A$2:$A$2000,0)),0))</f>
        <v/>
      </c>
      <c r="H1153">
        <f>IF(D1153="","",F1153*G1153)</f>
        <v/>
      </c>
      <c r="I1153">
        <f>IF(D1153="","",H1153-F1153*IFERROR(INDEX(الأصناف!$D$2:$D$2000,MATCH(D1153,الأصناف!$A$2:$A$2000,0)),0))</f>
        <v/>
      </c>
      <c r="J1153" s="4" t="n"/>
      <c r="K1153" s="7">
        <f>IF(OR(B1153="",B1153&lt;&gt;الإيصال!$C$3),"",COUNTIF(B$2:B1153,الإيصال!$C$3))</f>
        <v/>
      </c>
    </row>
    <row r="1154">
      <c r="A1154" s="6" t="n"/>
      <c r="B1154" s="4" t="n"/>
      <c r="C1154" s="4" t="n"/>
      <c r="D1154" s="4" t="n"/>
      <c r="E1154">
        <f>IF(D1154="","",IFERROR(INDEX(الأصناف!$B$2:$B$2000,MATCH(D1154,الأصناف!$A$2:$A$2000,0)),"كود غير موجود"))</f>
        <v/>
      </c>
      <c r="F1154" s="4" t="n"/>
      <c r="G1154">
        <f>IF(D1154="","",IFERROR(INDEX(الأصناف!$C$2:$C$2000,MATCH(D1154,الأصناف!$A$2:$A$2000,0)),0))</f>
        <v/>
      </c>
      <c r="H1154">
        <f>IF(D1154="","",F1154*G1154)</f>
        <v/>
      </c>
      <c r="I1154">
        <f>IF(D1154="","",H1154-F1154*IFERROR(INDEX(الأصناف!$D$2:$D$2000,MATCH(D1154,الأصناف!$A$2:$A$2000,0)),0))</f>
        <v/>
      </c>
      <c r="J1154" s="4" t="n"/>
      <c r="K1154" s="7">
        <f>IF(OR(B1154="",B1154&lt;&gt;الإيصال!$C$3),"",COUNTIF(B$2:B1154,الإيصال!$C$3))</f>
        <v/>
      </c>
    </row>
    <row r="1155">
      <c r="A1155" s="6" t="n"/>
      <c r="B1155" s="4" t="n"/>
      <c r="C1155" s="4" t="n"/>
      <c r="D1155" s="4" t="n"/>
      <c r="E1155">
        <f>IF(D1155="","",IFERROR(INDEX(الأصناف!$B$2:$B$2000,MATCH(D1155,الأصناف!$A$2:$A$2000,0)),"كود غير موجود"))</f>
        <v/>
      </c>
      <c r="F1155" s="4" t="n"/>
      <c r="G1155">
        <f>IF(D1155="","",IFERROR(INDEX(الأصناف!$C$2:$C$2000,MATCH(D1155,الأصناف!$A$2:$A$2000,0)),0))</f>
        <v/>
      </c>
      <c r="H1155">
        <f>IF(D1155="","",F1155*G1155)</f>
        <v/>
      </c>
      <c r="I1155">
        <f>IF(D1155="","",H1155-F1155*IFERROR(INDEX(الأصناف!$D$2:$D$2000,MATCH(D1155,الأصناف!$A$2:$A$2000,0)),0))</f>
        <v/>
      </c>
      <c r="J1155" s="4" t="n"/>
      <c r="K1155" s="7">
        <f>IF(OR(B1155="",B1155&lt;&gt;الإيصال!$C$3),"",COUNTIF(B$2:B1155,الإيصال!$C$3))</f>
        <v/>
      </c>
    </row>
    <row r="1156">
      <c r="A1156" s="6" t="n"/>
      <c r="B1156" s="4" t="n"/>
      <c r="C1156" s="4" t="n"/>
      <c r="D1156" s="4" t="n"/>
      <c r="E1156">
        <f>IF(D1156="","",IFERROR(INDEX(الأصناف!$B$2:$B$2000,MATCH(D1156,الأصناف!$A$2:$A$2000,0)),"كود غير موجود"))</f>
        <v/>
      </c>
      <c r="F1156" s="4" t="n"/>
      <c r="G1156">
        <f>IF(D1156="","",IFERROR(INDEX(الأصناف!$C$2:$C$2000,MATCH(D1156,الأصناف!$A$2:$A$2000,0)),0))</f>
        <v/>
      </c>
      <c r="H1156">
        <f>IF(D1156="","",F1156*G1156)</f>
        <v/>
      </c>
      <c r="I1156">
        <f>IF(D1156="","",H1156-F1156*IFERROR(INDEX(الأصناف!$D$2:$D$2000,MATCH(D1156,الأصناف!$A$2:$A$2000,0)),0))</f>
        <v/>
      </c>
      <c r="J1156" s="4" t="n"/>
      <c r="K1156" s="7">
        <f>IF(OR(B1156="",B1156&lt;&gt;الإيصال!$C$3),"",COUNTIF(B$2:B1156,الإيصال!$C$3))</f>
        <v/>
      </c>
    </row>
    <row r="1157">
      <c r="A1157" s="6" t="n"/>
      <c r="B1157" s="4" t="n"/>
      <c r="C1157" s="4" t="n"/>
      <c r="D1157" s="4" t="n"/>
      <c r="E1157">
        <f>IF(D1157="","",IFERROR(INDEX(الأصناف!$B$2:$B$2000,MATCH(D1157,الأصناف!$A$2:$A$2000,0)),"كود غير موجود"))</f>
        <v/>
      </c>
      <c r="F1157" s="4" t="n"/>
      <c r="G1157">
        <f>IF(D1157="","",IFERROR(INDEX(الأصناف!$C$2:$C$2000,MATCH(D1157,الأصناف!$A$2:$A$2000,0)),0))</f>
        <v/>
      </c>
      <c r="H1157">
        <f>IF(D1157="","",F1157*G1157)</f>
        <v/>
      </c>
      <c r="I1157">
        <f>IF(D1157="","",H1157-F1157*IFERROR(INDEX(الأصناف!$D$2:$D$2000,MATCH(D1157,الأصناف!$A$2:$A$2000,0)),0))</f>
        <v/>
      </c>
      <c r="J1157" s="4" t="n"/>
      <c r="K1157" s="7">
        <f>IF(OR(B1157="",B1157&lt;&gt;الإيصال!$C$3),"",COUNTIF(B$2:B1157,الإيصال!$C$3))</f>
        <v/>
      </c>
    </row>
    <row r="1158">
      <c r="A1158" s="6" t="n"/>
      <c r="B1158" s="4" t="n"/>
      <c r="C1158" s="4" t="n"/>
      <c r="D1158" s="4" t="n"/>
      <c r="E1158">
        <f>IF(D1158="","",IFERROR(INDEX(الأصناف!$B$2:$B$2000,MATCH(D1158,الأصناف!$A$2:$A$2000,0)),"كود غير موجود"))</f>
        <v/>
      </c>
      <c r="F1158" s="4" t="n"/>
      <c r="G1158">
        <f>IF(D1158="","",IFERROR(INDEX(الأصناف!$C$2:$C$2000,MATCH(D1158,الأصناف!$A$2:$A$2000,0)),0))</f>
        <v/>
      </c>
      <c r="H1158">
        <f>IF(D1158="","",F1158*G1158)</f>
        <v/>
      </c>
      <c r="I1158">
        <f>IF(D1158="","",H1158-F1158*IFERROR(INDEX(الأصناف!$D$2:$D$2000,MATCH(D1158,الأصناف!$A$2:$A$2000,0)),0))</f>
        <v/>
      </c>
      <c r="J1158" s="4" t="n"/>
      <c r="K1158" s="7">
        <f>IF(OR(B1158="",B1158&lt;&gt;الإيصال!$C$3),"",COUNTIF(B$2:B1158,الإيصال!$C$3))</f>
        <v/>
      </c>
    </row>
    <row r="1159">
      <c r="A1159" s="6" t="n"/>
      <c r="B1159" s="4" t="n"/>
      <c r="C1159" s="4" t="n"/>
      <c r="D1159" s="4" t="n"/>
      <c r="E1159">
        <f>IF(D1159="","",IFERROR(INDEX(الأصناف!$B$2:$B$2000,MATCH(D1159,الأصناف!$A$2:$A$2000,0)),"كود غير موجود"))</f>
        <v/>
      </c>
      <c r="F1159" s="4" t="n"/>
      <c r="G1159">
        <f>IF(D1159="","",IFERROR(INDEX(الأصناف!$C$2:$C$2000,MATCH(D1159,الأصناف!$A$2:$A$2000,0)),0))</f>
        <v/>
      </c>
      <c r="H1159">
        <f>IF(D1159="","",F1159*G1159)</f>
        <v/>
      </c>
      <c r="I1159">
        <f>IF(D1159="","",H1159-F1159*IFERROR(INDEX(الأصناف!$D$2:$D$2000,MATCH(D1159,الأصناف!$A$2:$A$2000,0)),0))</f>
        <v/>
      </c>
      <c r="J1159" s="4" t="n"/>
      <c r="K1159" s="7">
        <f>IF(OR(B1159="",B1159&lt;&gt;الإيصال!$C$3),"",COUNTIF(B$2:B1159,الإيصال!$C$3))</f>
        <v/>
      </c>
    </row>
    <row r="1160">
      <c r="A1160" s="6" t="n"/>
      <c r="B1160" s="4" t="n"/>
      <c r="C1160" s="4" t="n"/>
      <c r="D1160" s="4" t="n"/>
      <c r="E1160">
        <f>IF(D1160="","",IFERROR(INDEX(الأصناف!$B$2:$B$2000,MATCH(D1160,الأصناف!$A$2:$A$2000,0)),"كود غير موجود"))</f>
        <v/>
      </c>
      <c r="F1160" s="4" t="n"/>
      <c r="G1160">
        <f>IF(D1160="","",IFERROR(INDEX(الأصناف!$C$2:$C$2000,MATCH(D1160,الأصناف!$A$2:$A$2000,0)),0))</f>
        <v/>
      </c>
      <c r="H1160">
        <f>IF(D1160="","",F1160*G1160)</f>
        <v/>
      </c>
      <c r="I1160">
        <f>IF(D1160="","",H1160-F1160*IFERROR(INDEX(الأصناف!$D$2:$D$2000,MATCH(D1160,الأصناف!$A$2:$A$2000,0)),0))</f>
        <v/>
      </c>
      <c r="J1160" s="4" t="n"/>
      <c r="K1160" s="7">
        <f>IF(OR(B1160="",B1160&lt;&gt;الإيصال!$C$3),"",COUNTIF(B$2:B1160,الإيصال!$C$3))</f>
        <v/>
      </c>
    </row>
    <row r="1161">
      <c r="A1161" s="6" t="n"/>
      <c r="B1161" s="4" t="n"/>
      <c r="C1161" s="4" t="n"/>
      <c r="D1161" s="4" t="n"/>
      <c r="E1161">
        <f>IF(D1161="","",IFERROR(INDEX(الأصناف!$B$2:$B$2000,MATCH(D1161,الأصناف!$A$2:$A$2000,0)),"كود غير موجود"))</f>
        <v/>
      </c>
      <c r="F1161" s="4" t="n"/>
      <c r="G1161">
        <f>IF(D1161="","",IFERROR(INDEX(الأصناف!$C$2:$C$2000,MATCH(D1161,الأصناف!$A$2:$A$2000,0)),0))</f>
        <v/>
      </c>
      <c r="H1161">
        <f>IF(D1161="","",F1161*G1161)</f>
        <v/>
      </c>
      <c r="I1161">
        <f>IF(D1161="","",H1161-F1161*IFERROR(INDEX(الأصناف!$D$2:$D$2000,MATCH(D1161,الأصناف!$A$2:$A$2000,0)),0))</f>
        <v/>
      </c>
      <c r="J1161" s="4" t="n"/>
      <c r="K1161" s="7">
        <f>IF(OR(B1161="",B1161&lt;&gt;الإيصال!$C$3),"",COUNTIF(B$2:B1161,الإيصال!$C$3))</f>
        <v/>
      </c>
    </row>
    <row r="1162">
      <c r="A1162" s="6" t="n"/>
      <c r="B1162" s="4" t="n"/>
      <c r="C1162" s="4" t="n"/>
      <c r="D1162" s="4" t="n"/>
      <c r="E1162">
        <f>IF(D1162="","",IFERROR(INDEX(الأصناف!$B$2:$B$2000,MATCH(D1162,الأصناف!$A$2:$A$2000,0)),"كود غير موجود"))</f>
        <v/>
      </c>
      <c r="F1162" s="4" t="n"/>
      <c r="G1162">
        <f>IF(D1162="","",IFERROR(INDEX(الأصناف!$C$2:$C$2000,MATCH(D1162,الأصناف!$A$2:$A$2000,0)),0))</f>
        <v/>
      </c>
      <c r="H1162">
        <f>IF(D1162="","",F1162*G1162)</f>
        <v/>
      </c>
      <c r="I1162">
        <f>IF(D1162="","",H1162-F1162*IFERROR(INDEX(الأصناف!$D$2:$D$2000,MATCH(D1162,الأصناف!$A$2:$A$2000,0)),0))</f>
        <v/>
      </c>
      <c r="J1162" s="4" t="n"/>
      <c r="K1162" s="7">
        <f>IF(OR(B1162="",B1162&lt;&gt;الإيصال!$C$3),"",COUNTIF(B$2:B1162,الإيصال!$C$3))</f>
        <v/>
      </c>
    </row>
    <row r="1163">
      <c r="A1163" s="6" t="n"/>
      <c r="B1163" s="4" t="n"/>
      <c r="C1163" s="4" t="n"/>
      <c r="D1163" s="4" t="n"/>
      <c r="E1163">
        <f>IF(D1163="","",IFERROR(INDEX(الأصناف!$B$2:$B$2000,MATCH(D1163,الأصناف!$A$2:$A$2000,0)),"كود غير موجود"))</f>
        <v/>
      </c>
      <c r="F1163" s="4" t="n"/>
      <c r="G1163">
        <f>IF(D1163="","",IFERROR(INDEX(الأصناف!$C$2:$C$2000,MATCH(D1163,الأصناف!$A$2:$A$2000,0)),0))</f>
        <v/>
      </c>
      <c r="H1163">
        <f>IF(D1163="","",F1163*G1163)</f>
        <v/>
      </c>
      <c r="I1163">
        <f>IF(D1163="","",H1163-F1163*IFERROR(INDEX(الأصناف!$D$2:$D$2000,MATCH(D1163,الأصناف!$A$2:$A$2000,0)),0))</f>
        <v/>
      </c>
      <c r="J1163" s="4" t="n"/>
      <c r="K1163" s="7">
        <f>IF(OR(B1163="",B1163&lt;&gt;الإيصال!$C$3),"",COUNTIF(B$2:B1163,الإيصال!$C$3))</f>
        <v/>
      </c>
    </row>
    <row r="1164">
      <c r="A1164" s="6" t="n"/>
      <c r="B1164" s="4" t="n"/>
      <c r="C1164" s="4" t="n"/>
      <c r="D1164" s="4" t="n"/>
      <c r="E1164">
        <f>IF(D1164="","",IFERROR(INDEX(الأصناف!$B$2:$B$2000,MATCH(D1164,الأصناف!$A$2:$A$2000,0)),"كود غير موجود"))</f>
        <v/>
      </c>
      <c r="F1164" s="4" t="n"/>
      <c r="G1164">
        <f>IF(D1164="","",IFERROR(INDEX(الأصناف!$C$2:$C$2000,MATCH(D1164,الأصناف!$A$2:$A$2000,0)),0))</f>
        <v/>
      </c>
      <c r="H1164">
        <f>IF(D1164="","",F1164*G1164)</f>
        <v/>
      </c>
      <c r="I1164">
        <f>IF(D1164="","",H1164-F1164*IFERROR(INDEX(الأصناف!$D$2:$D$2000,MATCH(D1164,الأصناف!$A$2:$A$2000,0)),0))</f>
        <v/>
      </c>
      <c r="J1164" s="4" t="n"/>
      <c r="K1164" s="7">
        <f>IF(OR(B1164="",B1164&lt;&gt;الإيصال!$C$3),"",COUNTIF(B$2:B1164,الإيصال!$C$3))</f>
        <v/>
      </c>
    </row>
    <row r="1165">
      <c r="A1165" s="6" t="n"/>
      <c r="B1165" s="4" t="n"/>
      <c r="C1165" s="4" t="n"/>
      <c r="D1165" s="4" t="n"/>
      <c r="E1165">
        <f>IF(D1165="","",IFERROR(INDEX(الأصناف!$B$2:$B$2000,MATCH(D1165,الأصناف!$A$2:$A$2000,0)),"كود غير موجود"))</f>
        <v/>
      </c>
      <c r="F1165" s="4" t="n"/>
      <c r="G1165">
        <f>IF(D1165="","",IFERROR(INDEX(الأصناف!$C$2:$C$2000,MATCH(D1165,الأصناف!$A$2:$A$2000,0)),0))</f>
        <v/>
      </c>
      <c r="H1165">
        <f>IF(D1165="","",F1165*G1165)</f>
        <v/>
      </c>
      <c r="I1165">
        <f>IF(D1165="","",H1165-F1165*IFERROR(INDEX(الأصناف!$D$2:$D$2000,MATCH(D1165,الأصناف!$A$2:$A$2000,0)),0))</f>
        <v/>
      </c>
      <c r="J1165" s="4" t="n"/>
      <c r="K1165" s="7">
        <f>IF(OR(B1165="",B1165&lt;&gt;الإيصال!$C$3),"",COUNTIF(B$2:B1165,الإيصال!$C$3))</f>
        <v/>
      </c>
    </row>
    <row r="1166">
      <c r="A1166" s="6" t="n"/>
      <c r="B1166" s="4" t="n"/>
      <c r="C1166" s="4" t="n"/>
      <c r="D1166" s="4" t="n"/>
      <c r="E1166">
        <f>IF(D1166="","",IFERROR(INDEX(الأصناف!$B$2:$B$2000,MATCH(D1166,الأصناف!$A$2:$A$2000,0)),"كود غير موجود"))</f>
        <v/>
      </c>
      <c r="F1166" s="4" t="n"/>
      <c r="G1166">
        <f>IF(D1166="","",IFERROR(INDEX(الأصناف!$C$2:$C$2000,MATCH(D1166,الأصناف!$A$2:$A$2000,0)),0))</f>
        <v/>
      </c>
      <c r="H1166">
        <f>IF(D1166="","",F1166*G1166)</f>
        <v/>
      </c>
      <c r="I1166">
        <f>IF(D1166="","",H1166-F1166*IFERROR(INDEX(الأصناف!$D$2:$D$2000,MATCH(D1166,الأصناف!$A$2:$A$2000,0)),0))</f>
        <v/>
      </c>
      <c r="J1166" s="4" t="n"/>
      <c r="K1166" s="7">
        <f>IF(OR(B1166="",B1166&lt;&gt;الإيصال!$C$3),"",COUNTIF(B$2:B1166,الإيصال!$C$3))</f>
        <v/>
      </c>
    </row>
    <row r="1167">
      <c r="A1167" s="6" t="n"/>
      <c r="B1167" s="4" t="n"/>
      <c r="C1167" s="4" t="n"/>
      <c r="D1167" s="4" t="n"/>
      <c r="E1167">
        <f>IF(D1167="","",IFERROR(INDEX(الأصناف!$B$2:$B$2000,MATCH(D1167,الأصناف!$A$2:$A$2000,0)),"كود غير موجود"))</f>
        <v/>
      </c>
      <c r="F1167" s="4" t="n"/>
      <c r="G1167">
        <f>IF(D1167="","",IFERROR(INDEX(الأصناف!$C$2:$C$2000,MATCH(D1167,الأصناف!$A$2:$A$2000,0)),0))</f>
        <v/>
      </c>
      <c r="H1167">
        <f>IF(D1167="","",F1167*G1167)</f>
        <v/>
      </c>
      <c r="I1167">
        <f>IF(D1167="","",H1167-F1167*IFERROR(INDEX(الأصناف!$D$2:$D$2000,MATCH(D1167,الأصناف!$A$2:$A$2000,0)),0))</f>
        <v/>
      </c>
      <c r="J1167" s="4" t="n"/>
      <c r="K1167" s="7">
        <f>IF(OR(B1167="",B1167&lt;&gt;الإيصال!$C$3),"",COUNTIF(B$2:B1167,الإيصال!$C$3))</f>
        <v/>
      </c>
    </row>
    <row r="1168">
      <c r="A1168" s="6" t="n"/>
      <c r="B1168" s="4" t="n"/>
      <c r="C1168" s="4" t="n"/>
      <c r="D1168" s="4" t="n"/>
      <c r="E1168">
        <f>IF(D1168="","",IFERROR(INDEX(الأصناف!$B$2:$B$2000,MATCH(D1168,الأصناف!$A$2:$A$2000,0)),"كود غير موجود"))</f>
        <v/>
      </c>
      <c r="F1168" s="4" t="n"/>
      <c r="G1168">
        <f>IF(D1168="","",IFERROR(INDEX(الأصناف!$C$2:$C$2000,MATCH(D1168,الأصناف!$A$2:$A$2000,0)),0))</f>
        <v/>
      </c>
      <c r="H1168">
        <f>IF(D1168="","",F1168*G1168)</f>
        <v/>
      </c>
      <c r="I1168">
        <f>IF(D1168="","",H1168-F1168*IFERROR(INDEX(الأصناف!$D$2:$D$2000,MATCH(D1168,الأصناف!$A$2:$A$2000,0)),0))</f>
        <v/>
      </c>
      <c r="J1168" s="4" t="n"/>
      <c r="K1168" s="7">
        <f>IF(OR(B1168="",B1168&lt;&gt;الإيصال!$C$3),"",COUNTIF(B$2:B1168,الإيصال!$C$3))</f>
        <v/>
      </c>
    </row>
    <row r="1169">
      <c r="A1169" s="6" t="n"/>
      <c r="B1169" s="4" t="n"/>
      <c r="C1169" s="4" t="n"/>
      <c r="D1169" s="4" t="n"/>
      <c r="E1169">
        <f>IF(D1169="","",IFERROR(INDEX(الأصناف!$B$2:$B$2000,MATCH(D1169,الأصناف!$A$2:$A$2000,0)),"كود غير موجود"))</f>
        <v/>
      </c>
      <c r="F1169" s="4" t="n"/>
      <c r="G1169">
        <f>IF(D1169="","",IFERROR(INDEX(الأصناف!$C$2:$C$2000,MATCH(D1169,الأصناف!$A$2:$A$2000,0)),0))</f>
        <v/>
      </c>
      <c r="H1169">
        <f>IF(D1169="","",F1169*G1169)</f>
        <v/>
      </c>
      <c r="I1169">
        <f>IF(D1169="","",H1169-F1169*IFERROR(INDEX(الأصناف!$D$2:$D$2000,MATCH(D1169,الأصناف!$A$2:$A$2000,0)),0))</f>
        <v/>
      </c>
      <c r="J1169" s="4" t="n"/>
      <c r="K1169" s="7">
        <f>IF(OR(B1169="",B1169&lt;&gt;الإيصال!$C$3),"",COUNTIF(B$2:B1169,الإيصال!$C$3))</f>
        <v/>
      </c>
    </row>
    <row r="1170">
      <c r="A1170" s="6" t="n"/>
      <c r="B1170" s="4" t="n"/>
      <c r="C1170" s="4" t="n"/>
      <c r="D1170" s="4" t="n"/>
      <c r="E1170">
        <f>IF(D1170="","",IFERROR(INDEX(الأصناف!$B$2:$B$2000,MATCH(D1170,الأصناف!$A$2:$A$2000,0)),"كود غير موجود"))</f>
        <v/>
      </c>
      <c r="F1170" s="4" t="n"/>
      <c r="G1170">
        <f>IF(D1170="","",IFERROR(INDEX(الأصناف!$C$2:$C$2000,MATCH(D1170,الأصناف!$A$2:$A$2000,0)),0))</f>
        <v/>
      </c>
      <c r="H1170">
        <f>IF(D1170="","",F1170*G1170)</f>
        <v/>
      </c>
      <c r="I1170">
        <f>IF(D1170="","",H1170-F1170*IFERROR(INDEX(الأصناف!$D$2:$D$2000,MATCH(D1170,الأصناف!$A$2:$A$2000,0)),0))</f>
        <v/>
      </c>
      <c r="J1170" s="4" t="n"/>
      <c r="K1170" s="7">
        <f>IF(OR(B1170="",B1170&lt;&gt;الإيصال!$C$3),"",COUNTIF(B$2:B1170,الإيصال!$C$3))</f>
        <v/>
      </c>
    </row>
    <row r="1171">
      <c r="A1171" s="6" t="n"/>
      <c r="B1171" s="4" t="n"/>
      <c r="C1171" s="4" t="n"/>
      <c r="D1171" s="4" t="n"/>
      <c r="E1171">
        <f>IF(D1171="","",IFERROR(INDEX(الأصناف!$B$2:$B$2000,MATCH(D1171,الأصناف!$A$2:$A$2000,0)),"كود غير موجود"))</f>
        <v/>
      </c>
      <c r="F1171" s="4" t="n"/>
      <c r="G1171">
        <f>IF(D1171="","",IFERROR(INDEX(الأصناف!$C$2:$C$2000,MATCH(D1171,الأصناف!$A$2:$A$2000,0)),0))</f>
        <v/>
      </c>
      <c r="H1171">
        <f>IF(D1171="","",F1171*G1171)</f>
        <v/>
      </c>
      <c r="I1171">
        <f>IF(D1171="","",H1171-F1171*IFERROR(INDEX(الأصناف!$D$2:$D$2000,MATCH(D1171,الأصناف!$A$2:$A$2000,0)),0))</f>
        <v/>
      </c>
      <c r="J1171" s="4" t="n"/>
      <c r="K1171" s="7">
        <f>IF(OR(B1171="",B1171&lt;&gt;الإيصال!$C$3),"",COUNTIF(B$2:B1171,الإيصال!$C$3))</f>
        <v/>
      </c>
    </row>
    <row r="1172">
      <c r="A1172" s="6" t="n"/>
      <c r="B1172" s="4" t="n"/>
      <c r="C1172" s="4" t="n"/>
      <c r="D1172" s="4" t="n"/>
      <c r="E1172">
        <f>IF(D1172="","",IFERROR(INDEX(الأصناف!$B$2:$B$2000,MATCH(D1172,الأصناف!$A$2:$A$2000,0)),"كود غير موجود"))</f>
        <v/>
      </c>
      <c r="F1172" s="4" t="n"/>
      <c r="G1172">
        <f>IF(D1172="","",IFERROR(INDEX(الأصناف!$C$2:$C$2000,MATCH(D1172,الأصناف!$A$2:$A$2000,0)),0))</f>
        <v/>
      </c>
      <c r="H1172">
        <f>IF(D1172="","",F1172*G1172)</f>
        <v/>
      </c>
      <c r="I1172">
        <f>IF(D1172="","",H1172-F1172*IFERROR(INDEX(الأصناف!$D$2:$D$2000,MATCH(D1172,الأصناف!$A$2:$A$2000,0)),0))</f>
        <v/>
      </c>
      <c r="J1172" s="4" t="n"/>
      <c r="K1172" s="7">
        <f>IF(OR(B1172="",B1172&lt;&gt;الإيصال!$C$3),"",COUNTIF(B$2:B1172,الإيصال!$C$3))</f>
        <v/>
      </c>
    </row>
    <row r="1173">
      <c r="A1173" s="6" t="n"/>
      <c r="B1173" s="4" t="n"/>
      <c r="C1173" s="4" t="n"/>
      <c r="D1173" s="4" t="n"/>
      <c r="E1173">
        <f>IF(D1173="","",IFERROR(INDEX(الأصناف!$B$2:$B$2000,MATCH(D1173,الأصناف!$A$2:$A$2000,0)),"كود غير موجود"))</f>
        <v/>
      </c>
      <c r="F1173" s="4" t="n"/>
      <c r="G1173">
        <f>IF(D1173="","",IFERROR(INDEX(الأصناف!$C$2:$C$2000,MATCH(D1173,الأصناف!$A$2:$A$2000,0)),0))</f>
        <v/>
      </c>
      <c r="H1173">
        <f>IF(D1173="","",F1173*G1173)</f>
        <v/>
      </c>
      <c r="I1173">
        <f>IF(D1173="","",H1173-F1173*IFERROR(INDEX(الأصناف!$D$2:$D$2000,MATCH(D1173,الأصناف!$A$2:$A$2000,0)),0))</f>
        <v/>
      </c>
      <c r="J1173" s="4" t="n"/>
      <c r="K1173" s="7">
        <f>IF(OR(B1173="",B1173&lt;&gt;الإيصال!$C$3),"",COUNTIF(B$2:B1173,الإيصال!$C$3))</f>
        <v/>
      </c>
    </row>
    <row r="1174">
      <c r="A1174" s="6" t="n"/>
      <c r="B1174" s="4" t="n"/>
      <c r="C1174" s="4" t="n"/>
      <c r="D1174" s="4" t="n"/>
      <c r="E1174">
        <f>IF(D1174="","",IFERROR(INDEX(الأصناف!$B$2:$B$2000,MATCH(D1174,الأصناف!$A$2:$A$2000,0)),"كود غير موجود"))</f>
        <v/>
      </c>
      <c r="F1174" s="4" t="n"/>
      <c r="G1174">
        <f>IF(D1174="","",IFERROR(INDEX(الأصناف!$C$2:$C$2000,MATCH(D1174,الأصناف!$A$2:$A$2000,0)),0))</f>
        <v/>
      </c>
      <c r="H1174">
        <f>IF(D1174="","",F1174*G1174)</f>
        <v/>
      </c>
      <c r="I1174">
        <f>IF(D1174="","",H1174-F1174*IFERROR(INDEX(الأصناف!$D$2:$D$2000,MATCH(D1174,الأصناف!$A$2:$A$2000,0)),0))</f>
        <v/>
      </c>
      <c r="J1174" s="4" t="n"/>
      <c r="K1174" s="7">
        <f>IF(OR(B1174="",B1174&lt;&gt;الإيصال!$C$3),"",COUNTIF(B$2:B1174,الإيصال!$C$3))</f>
        <v/>
      </c>
    </row>
    <row r="1175">
      <c r="A1175" s="6" t="n"/>
      <c r="B1175" s="4" t="n"/>
      <c r="C1175" s="4" t="n"/>
      <c r="D1175" s="4" t="n"/>
      <c r="E1175">
        <f>IF(D1175="","",IFERROR(INDEX(الأصناف!$B$2:$B$2000,MATCH(D1175,الأصناف!$A$2:$A$2000,0)),"كود غير موجود"))</f>
        <v/>
      </c>
      <c r="F1175" s="4" t="n"/>
      <c r="G1175">
        <f>IF(D1175="","",IFERROR(INDEX(الأصناف!$C$2:$C$2000,MATCH(D1175,الأصناف!$A$2:$A$2000,0)),0))</f>
        <v/>
      </c>
      <c r="H1175">
        <f>IF(D1175="","",F1175*G1175)</f>
        <v/>
      </c>
      <c r="I1175">
        <f>IF(D1175="","",H1175-F1175*IFERROR(INDEX(الأصناف!$D$2:$D$2000,MATCH(D1175,الأصناف!$A$2:$A$2000,0)),0))</f>
        <v/>
      </c>
      <c r="J1175" s="4" t="n"/>
      <c r="K1175" s="7">
        <f>IF(OR(B1175="",B1175&lt;&gt;الإيصال!$C$3),"",COUNTIF(B$2:B1175,الإيصال!$C$3))</f>
        <v/>
      </c>
    </row>
    <row r="1176">
      <c r="A1176" s="6" t="n"/>
      <c r="B1176" s="4" t="n"/>
      <c r="C1176" s="4" t="n"/>
      <c r="D1176" s="4" t="n"/>
      <c r="E1176">
        <f>IF(D1176="","",IFERROR(INDEX(الأصناف!$B$2:$B$2000,MATCH(D1176,الأصناف!$A$2:$A$2000,0)),"كود غير موجود"))</f>
        <v/>
      </c>
      <c r="F1176" s="4" t="n"/>
      <c r="G1176">
        <f>IF(D1176="","",IFERROR(INDEX(الأصناف!$C$2:$C$2000,MATCH(D1176,الأصناف!$A$2:$A$2000,0)),0))</f>
        <v/>
      </c>
      <c r="H1176">
        <f>IF(D1176="","",F1176*G1176)</f>
        <v/>
      </c>
      <c r="I1176">
        <f>IF(D1176="","",H1176-F1176*IFERROR(INDEX(الأصناف!$D$2:$D$2000,MATCH(D1176,الأصناف!$A$2:$A$2000,0)),0))</f>
        <v/>
      </c>
      <c r="J1176" s="4" t="n"/>
      <c r="K1176" s="7">
        <f>IF(OR(B1176="",B1176&lt;&gt;الإيصال!$C$3),"",COUNTIF(B$2:B1176,الإيصال!$C$3))</f>
        <v/>
      </c>
    </row>
    <row r="1177">
      <c r="A1177" s="6" t="n"/>
      <c r="B1177" s="4" t="n"/>
      <c r="C1177" s="4" t="n"/>
      <c r="D1177" s="4" t="n"/>
      <c r="E1177">
        <f>IF(D1177="","",IFERROR(INDEX(الأصناف!$B$2:$B$2000,MATCH(D1177,الأصناف!$A$2:$A$2000,0)),"كود غير موجود"))</f>
        <v/>
      </c>
      <c r="F1177" s="4" t="n"/>
      <c r="G1177">
        <f>IF(D1177="","",IFERROR(INDEX(الأصناف!$C$2:$C$2000,MATCH(D1177,الأصناف!$A$2:$A$2000,0)),0))</f>
        <v/>
      </c>
      <c r="H1177">
        <f>IF(D1177="","",F1177*G1177)</f>
        <v/>
      </c>
      <c r="I1177">
        <f>IF(D1177="","",H1177-F1177*IFERROR(INDEX(الأصناف!$D$2:$D$2000,MATCH(D1177,الأصناف!$A$2:$A$2000,0)),0))</f>
        <v/>
      </c>
      <c r="J1177" s="4" t="n"/>
      <c r="K1177" s="7">
        <f>IF(OR(B1177="",B1177&lt;&gt;الإيصال!$C$3),"",COUNTIF(B$2:B1177,الإيصال!$C$3))</f>
        <v/>
      </c>
    </row>
    <row r="1178">
      <c r="A1178" s="6" t="n"/>
      <c r="B1178" s="4" t="n"/>
      <c r="C1178" s="4" t="n"/>
      <c r="D1178" s="4" t="n"/>
      <c r="E1178">
        <f>IF(D1178="","",IFERROR(INDEX(الأصناف!$B$2:$B$2000,MATCH(D1178,الأصناف!$A$2:$A$2000,0)),"كود غير موجود"))</f>
        <v/>
      </c>
      <c r="F1178" s="4" t="n"/>
      <c r="G1178">
        <f>IF(D1178="","",IFERROR(INDEX(الأصناف!$C$2:$C$2000,MATCH(D1178,الأصناف!$A$2:$A$2000,0)),0))</f>
        <v/>
      </c>
      <c r="H1178">
        <f>IF(D1178="","",F1178*G1178)</f>
        <v/>
      </c>
      <c r="I1178">
        <f>IF(D1178="","",H1178-F1178*IFERROR(INDEX(الأصناف!$D$2:$D$2000,MATCH(D1178,الأصناف!$A$2:$A$2000,0)),0))</f>
        <v/>
      </c>
      <c r="J1178" s="4" t="n"/>
      <c r="K1178" s="7">
        <f>IF(OR(B1178="",B1178&lt;&gt;الإيصال!$C$3),"",COUNTIF(B$2:B1178,الإيصال!$C$3))</f>
        <v/>
      </c>
    </row>
    <row r="1179">
      <c r="A1179" s="6" t="n"/>
      <c r="B1179" s="4" t="n"/>
      <c r="C1179" s="4" t="n"/>
      <c r="D1179" s="4" t="n"/>
      <c r="E1179">
        <f>IF(D1179="","",IFERROR(INDEX(الأصناف!$B$2:$B$2000,MATCH(D1179,الأصناف!$A$2:$A$2000,0)),"كود غير موجود"))</f>
        <v/>
      </c>
      <c r="F1179" s="4" t="n"/>
      <c r="G1179">
        <f>IF(D1179="","",IFERROR(INDEX(الأصناف!$C$2:$C$2000,MATCH(D1179,الأصناف!$A$2:$A$2000,0)),0))</f>
        <v/>
      </c>
      <c r="H1179">
        <f>IF(D1179="","",F1179*G1179)</f>
        <v/>
      </c>
      <c r="I1179">
        <f>IF(D1179="","",H1179-F1179*IFERROR(INDEX(الأصناف!$D$2:$D$2000,MATCH(D1179,الأصناف!$A$2:$A$2000,0)),0))</f>
        <v/>
      </c>
      <c r="J1179" s="4" t="n"/>
      <c r="K1179" s="7">
        <f>IF(OR(B1179="",B1179&lt;&gt;الإيصال!$C$3),"",COUNTIF(B$2:B1179,الإيصال!$C$3))</f>
        <v/>
      </c>
    </row>
    <row r="1180">
      <c r="A1180" s="6" t="n"/>
      <c r="B1180" s="4" t="n"/>
      <c r="C1180" s="4" t="n"/>
      <c r="D1180" s="4" t="n"/>
      <c r="E1180">
        <f>IF(D1180="","",IFERROR(INDEX(الأصناف!$B$2:$B$2000,MATCH(D1180,الأصناف!$A$2:$A$2000,0)),"كود غير موجود"))</f>
        <v/>
      </c>
      <c r="F1180" s="4" t="n"/>
      <c r="G1180">
        <f>IF(D1180="","",IFERROR(INDEX(الأصناف!$C$2:$C$2000,MATCH(D1180,الأصناف!$A$2:$A$2000,0)),0))</f>
        <v/>
      </c>
      <c r="H1180">
        <f>IF(D1180="","",F1180*G1180)</f>
        <v/>
      </c>
      <c r="I1180">
        <f>IF(D1180="","",H1180-F1180*IFERROR(INDEX(الأصناف!$D$2:$D$2000,MATCH(D1180,الأصناف!$A$2:$A$2000,0)),0))</f>
        <v/>
      </c>
      <c r="J1180" s="4" t="n"/>
      <c r="K1180" s="7">
        <f>IF(OR(B1180="",B1180&lt;&gt;الإيصال!$C$3),"",COUNTIF(B$2:B1180,الإيصال!$C$3))</f>
        <v/>
      </c>
    </row>
    <row r="1181">
      <c r="A1181" s="6" t="n"/>
      <c r="B1181" s="4" t="n"/>
      <c r="C1181" s="4" t="n"/>
      <c r="D1181" s="4" t="n"/>
      <c r="E1181">
        <f>IF(D1181="","",IFERROR(INDEX(الأصناف!$B$2:$B$2000,MATCH(D1181,الأصناف!$A$2:$A$2000,0)),"كود غير موجود"))</f>
        <v/>
      </c>
      <c r="F1181" s="4" t="n"/>
      <c r="G1181">
        <f>IF(D1181="","",IFERROR(INDEX(الأصناف!$C$2:$C$2000,MATCH(D1181,الأصناف!$A$2:$A$2000,0)),0))</f>
        <v/>
      </c>
      <c r="H1181">
        <f>IF(D1181="","",F1181*G1181)</f>
        <v/>
      </c>
      <c r="I1181">
        <f>IF(D1181="","",H1181-F1181*IFERROR(INDEX(الأصناف!$D$2:$D$2000,MATCH(D1181,الأصناف!$A$2:$A$2000,0)),0))</f>
        <v/>
      </c>
      <c r="J1181" s="4" t="n"/>
      <c r="K1181" s="7">
        <f>IF(OR(B1181="",B1181&lt;&gt;الإيصال!$C$3),"",COUNTIF(B$2:B1181,الإيصال!$C$3))</f>
        <v/>
      </c>
    </row>
    <row r="1182">
      <c r="A1182" s="6" t="n"/>
      <c r="B1182" s="4" t="n"/>
      <c r="C1182" s="4" t="n"/>
      <c r="D1182" s="4" t="n"/>
      <c r="E1182">
        <f>IF(D1182="","",IFERROR(INDEX(الأصناف!$B$2:$B$2000,MATCH(D1182,الأصناف!$A$2:$A$2000,0)),"كود غير موجود"))</f>
        <v/>
      </c>
      <c r="F1182" s="4" t="n"/>
      <c r="G1182">
        <f>IF(D1182="","",IFERROR(INDEX(الأصناف!$C$2:$C$2000,MATCH(D1182,الأصناف!$A$2:$A$2000,0)),0))</f>
        <v/>
      </c>
      <c r="H1182">
        <f>IF(D1182="","",F1182*G1182)</f>
        <v/>
      </c>
      <c r="I1182">
        <f>IF(D1182="","",H1182-F1182*IFERROR(INDEX(الأصناف!$D$2:$D$2000,MATCH(D1182,الأصناف!$A$2:$A$2000,0)),0))</f>
        <v/>
      </c>
      <c r="J1182" s="4" t="n"/>
      <c r="K1182" s="7">
        <f>IF(OR(B1182="",B1182&lt;&gt;الإيصال!$C$3),"",COUNTIF(B$2:B1182,الإيصال!$C$3))</f>
        <v/>
      </c>
    </row>
    <row r="1183">
      <c r="A1183" s="6" t="n"/>
      <c r="B1183" s="4" t="n"/>
      <c r="C1183" s="4" t="n"/>
      <c r="D1183" s="4" t="n"/>
      <c r="E1183">
        <f>IF(D1183="","",IFERROR(INDEX(الأصناف!$B$2:$B$2000,MATCH(D1183,الأصناف!$A$2:$A$2000,0)),"كود غير موجود"))</f>
        <v/>
      </c>
      <c r="F1183" s="4" t="n"/>
      <c r="G1183">
        <f>IF(D1183="","",IFERROR(INDEX(الأصناف!$C$2:$C$2000,MATCH(D1183,الأصناف!$A$2:$A$2000,0)),0))</f>
        <v/>
      </c>
      <c r="H1183">
        <f>IF(D1183="","",F1183*G1183)</f>
        <v/>
      </c>
      <c r="I1183">
        <f>IF(D1183="","",H1183-F1183*IFERROR(INDEX(الأصناف!$D$2:$D$2000,MATCH(D1183,الأصناف!$A$2:$A$2000,0)),0))</f>
        <v/>
      </c>
      <c r="J1183" s="4" t="n"/>
      <c r="K1183" s="7">
        <f>IF(OR(B1183="",B1183&lt;&gt;الإيصال!$C$3),"",COUNTIF(B$2:B1183,الإيصال!$C$3))</f>
        <v/>
      </c>
    </row>
    <row r="1184">
      <c r="A1184" s="6" t="n"/>
      <c r="B1184" s="4" t="n"/>
      <c r="C1184" s="4" t="n"/>
      <c r="D1184" s="4" t="n"/>
      <c r="E1184">
        <f>IF(D1184="","",IFERROR(INDEX(الأصناف!$B$2:$B$2000,MATCH(D1184,الأصناف!$A$2:$A$2000,0)),"كود غير موجود"))</f>
        <v/>
      </c>
      <c r="F1184" s="4" t="n"/>
      <c r="G1184">
        <f>IF(D1184="","",IFERROR(INDEX(الأصناف!$C$2:$C$2000,MATCH(D1184,الأصناف!$A$2:$A$2000,0)),0))</f>
        <v/>
      </c>
      <c r="H1184">
        <f>IF(D1184="","",F1184*G1184)</f>
        <v/>
      </c>
      <c r="I1184">
        <f>IF(D1184="","",H1184-F1184*IFERROR(INDEX(الأصناف!$D$2:$D$2000,MATCH(D1184,الأصناف!$A$2:$A$2000,0)),0))</f>
        <v/>
      </c>
      <c r="J1184" s="4" t="n"/>
      <c r="K1184" s="7">
        <f>IF(OR(B1184="",B1184&lt;&gt;الإيصال!$C$3),"",COUNTIF(B$2:B1184,الإيصال!$C$3))</f>
        <v/>
      </c>
    </row>
    <row r="1185">
      <c r="A1185" s="6" t="n"/>
      <c r="B1185" s="4" t="n"/>
      <c r="C1185" s="4" t="n"/>
      <c r="D1185" s="4" t="n"/>
      <c r="E1185">
        <f>IF(D1185="","",IFERROR(INDEX(الأصناف!$B$2:$B$2000,MATCH(D1185,الأصناف!$A$2:$A$2000,0)),"كود غير موجود"))</f>
        <v/>
      </c>
      <c r="F1185" s="4" t="n"/>
      <c r="G1185">
        <f>IF(D1185="","",IFERROR(INDEX(الأصناف!$C$2:$C$2000,MATCH(D1185,الأصناف!$A$2:$A$2000,0)),0))</f>
        <v/>
      </c>
      <c r="H1185">
        <f>IF(D1185="","",F1185*G1185)</f>
        <v/>
      </c>
      <c r="I1185">
        <f>IF(D1185="","",H1185-F1185*IFERROR(INDEX(الأصناف!$D$2:$D$2000,MATCH(D1185,الأصناف!$A$2:$A$2000,0)),0))</f>
        <v/>
      </c>
      <c r="J1185" s="4" t="n"/>
      <c r="K1185" s="7">
        <f>IF(OR(B1185="",B1185&lt;&gt;الإيصال!$C$3),"",COUNTIF(B$2:B1185,الإيصال!$C$3))</f>
        <v/>
      </c>
    </row>
    <row r="1186">
      <c r="A1186" s="6" t="n"/>
      <c r="B1186" s="4" t="n"/>
      <c r="C1186" s="4" t="n"/>
      <c r="D1186" s="4" t="n"/>
      <c r="E1186">
        <f>IF(D1186="","",IFERROR(INDEX(الأصناف!$B$2:$B$2000,MATCH(D1186,الأصناف!$A$2:$A$2000,0)),"كود غير موجود"))</f>
        <v/>
      </c>
      <c r="F1186" s="4" t="n"/>
      <c r="G1186">
        <f>IF(D1186="","",IFERROR(INDEX(الأصناف!$C$2:$C$2000,MATCH(D1186,الأصناف!$A$2:$A$2000,0)),0))</f>
        <v/>
      </c>
      <c r="H1186">
        <f>IF(D1186="","",F1186*G1186)</f>
        <v/>
      </c>
      <c r="I1186">
        <f>IF(D1186="","",H1186-F1186*IFERROR(INDEX(الأصناف!$D$2:$D$2000,MATCH(D1186,الأصناف!$A$2:$A$2000,0)),0))</f>
        <v/>
      </c>
      <c r="J1186" s="4" t="n"/>
      <c r="K1186" s="7">
        <f>IF(OR(B1186="",B1186&lt;&gt;الإيصال!$C$3),"",COUNTIF(B$2:B1186,الإيصال!$C$3))</f>
        <v/>
      </c>
    </row>
    <row r="1187">
      <c r="A1187" s="6" t="n"/>
      <c r="B1187" s="4" t="n"/>
      <c r="C1187" s="4" t="n"/>
      <c r="D1187" s="4" t="n"/>
      <c r="E1187">
        <f>IF(D1187="","",IFERROR(INDEX(الأصناف!$B$2:$B$2000,MATCH(D1187,الأصناف!$A$2:$A$2000,0)),"كود غير موجود"))</f>
        <v/>
      </c>
      <c r="F1187" s="4" t="n"/>
      <c r="G1187">
        <f>IF(D1187="","",IFERROR(INDEX(الأصناف!$C$2:$C$2000,MATCH(D1187,الأصناف!$A$2:$A$2000,0)),0))</f>
        <v/>
      </c>
      <c r="H1187">
        <f>IF(D1187="","",F1187*G1187)</f>
        <v/>
      </c>
      <c r="I1187">
        <f>IF(D1187="","",H1187-F1187*IFERROR(INDEX(الأصناف!$D$2:$D$2000,MATCH(D1187,الأصناف!$A$2:$A$2000,0)),0))</f>
        <v/>
      </c>
      <c r="J1187" s="4" t="n"/>
      <c r="K1187" s="7">
        <f>IF(OR(B1187="",B1187&lt;&gt;الإيصال!$C$3),"",COUNTIF(B$2:B1187,الإيصال!$C$3))</f>
        <v/>
      </c>
    </row>
    <row r="1188">
      <c r="A1188" s="6" t="n"/>
      <c r="B1188" s="4" t="n"/>
      <c r="C1188" s="4" t="n"/>
      <c r="D1188" s="4" t="n"/>
      <c r="E1188">
        <f>IF(D1188="","",IFERROR(INDEX(الأصناف!$B$2:$B$2000,MATCH(D1188,الأصناف!$A$2:$A$2000,0)),"كود غير موجود"))</f>
        <v/>
      </c>
      <c r="F1188" s="4" t="n"/>
      <c r="G1188">
        <f>IF(D1188="","",IFERROR(INDEX(الأصناف!$C$2:$C$2000,MATCH(D1188,الأصناف!$A$2:$A$2000,0)),0))</f>
        <v/>
      </c>
      <c r="H1188">
        <f>IF(D1188="","",F1188*G1188)</f>
        <v/>
      </c>
      <c r="I1188">
        <f>IF(D1188="","",H1188-F1188*IFERROR(INDEX(الأصناف!$D$2:$D$2000,MATCH(D1188,الأصناف!$A$2:$A$2000,0)),0))</f>
        <v/>
      </c>
      <c r="J1188" s="4" t="n"/>
      <c r="K1188" s="7">
        <f>IF(OR(B1188="",B1188&lt;&gt;الإيصال!$C$3),"",COUNTIF(B$2:B1188,الإيصال!$C$3))</f>
        <v/>
      </c>
    </row>
    <row r="1189">
      <c r="A1189" s="6" t="n"/>
      <c r="B1189" s="4" t="n"/>
      <c r="C1189" s="4" t="n"/>
      <c r="D1189" s="4" t="n"/>
      <c r="E1189">
        <f>IF(D1189="","",IFERROR(INDEX(الأصناف!$B$2:$B$2000,MATCH(D1189,الأصناف!$A$2:$A$2000,0)),"كود غير موجود"))</f>
        <v/>
      </c>
      <c r="F1189" s="4" t="n"/>
      <c r="G1189">
        <f>IF(D1189="","",IFERROR(INDEX(الأصناف!$C$2:$C$2000,MATCH(D1189,الأصناف!$A$2:$A$2000,0)),0))</f>
        <v/>
      </c>
      <c r="H1189">
        <f>IF(D1189="","",F1189*G1189)</f>
        <v/>
      </c>
      <c r="I1189">
        <f>IF(D1189="","",H1189-F1189*IFERROR(INDEX(الأصناف!$D$2:$D$2000,MATCH(D1189,الأصناف!$A$2:$A$2000,0)),0))</f>
        <v/>
      </c>
      <c r="J1189" s="4" t="n"/>
      <c r="K1189" s="7">
        <f>IF(OR(B1189="",B1189&lt;&gt;الإيصال!$C$3),"",COUNTIF(B$2:B1189,الإيصال!$C$3))</f>
        <v/>
      </c>
    </row>
    <row r="1190">
      <c r="A1190" s="6" t="n"/>
      <c r="B1190" s="4" t="n"/>
      <c r="C1190" s="4" t="n"/>
      <c r="D1190" s="4" t="n"/>
      <c r="E1190">
        <f>IF(D1190="","",IFERROR(INDEX(الأصناف!$B$2:$B$2000,MATCH(D1190,الأصناف!$A$2:$A$2000,0)),"كود غير موجود"))</f>
        <v/>
      </c>
      <c r="F1190" s="4" t="n"/>
      <c r="G1190">
        <f>IF(D1190="","",IFERROR(INDEX(الأصناف!$C$2:$C$2000,MATCH(D1190,الأصناف!$A$2:$A$2000,0)),0))</f>
        <v/>
      </c>
      <c r="H1190">
        <f>IF(D1190="","",F1190*G1190)</f>
        <v/>
      </c>
      <c r="I1190">
        <f>IF(D1190="","",H1190-F1190*IFERROR(INDEX(الأصناف!$D$2:$D$2000,MATCH(D1190,الأصناف!$A$2:$A$2000,0)),0))</f>
        <v/>
      </c>
      <c r="J1190" s="4" t="n"/>
      <c r="K1190" s="7">
        <f>IF(OR(B1190="",B1190&lt;&gt;الإيصال!$C$3),"",COUNTIF(B$2:B1190,الإيصال!$C$3))</f>
        <v/>
      </c>
    </row>
    <row r="1191">
      <c r="A1191" s="6" t="n"/>
      <c r="B1191" s="4" t="n"/>
      <c r="C1191" s="4" t="n"/>
      <c r="D1191" s="4" t="n"/>
      <c r="E1191">
        <f>IF(D1191="","",IFERROR(INDEX(الأصناف!$B$2:$B$2000,MATCH(D1191,الأصناف!$A$2:$A$2000,0)),"كود غير موجود"))</f>
        <v/>
      </c>
      <c r="F1191" s="4" t="n"/>
      <c r="G1191">
        <f>IF(D1191="","",IFERROR(INDEX(الأصناف!$C$2:$C$2000,MATCH(D1191,الأصناف!$A$2:$A$2000,0)),0))</f>
        <v/>
      </c>
      <c r="H1191">
        <f>IF(D1191="","",F1191*G1191)</f>
        <v/>
      </c>
      <c r="I1191">
        <f>IF(D1191="","",H1191-F1191*IFERROR(INDEX(الأصناف!$D$2:$D$2000,MATCH(D1191,الأصناف!$A$2:$A$2000,0)),0))</f>
        <v/>
      </c>
      <c r="J1191" s="4" t="n"/>
      <c r="K1191" s="7">
        <f>IF(OR(B1191="",B1191&lt;&gt;الإيصال!$C$3),"",COUNTIF(B$2:B1191,الإيصال!$C$3))</f>
        <v/>
      </c>
    </row>
    <row r="1192">
      <c r="A1192" s="6" t="n"/>
      <c r="B1192" s="4" t="n"/>
      <c r="C1192" s="4" t="n"/>
      <c r="D1192" s="4" t="n"/>
      <c r="E1192">
        <f>IF(D1192="","",IFERROR(INDEX(الأصناف!$B$2:$B$2000,MATCH(D1192,الأصناف!$A$2:$A$2000,0)),"كود غير موجود"))</f>
        <v/>
      </c>
      <c r="F1192" s="4" t="n"/>
      <c r="G1192">
        <f>IF(D1192="","",IFERROR(INDEX(الأصناف!$C$2:$C$2000,MATCH(D1192,الأصناف!$A$2:$A$2000,0)),0))</f>
        <v/>
      </c>
      <c r="H1192">
        <f>IF(D1192="","",F1192*G1192)</f>
        <v/>
      </c>
      <c r="I1192">
        <f>IF(D1192="","",H1192-F1192*IFERROR(INDEX(الأصناف!$D$2:$D$2000,MATCH(D1192,الأصناف!$A$2:$A$2000,0)),0))</f>
        <v/>
      </c>
      <c r="J1192" s="4" t="n"/>
      <c r="K1192" s="7">
        <f>IF(OR(B1192="",B1192&lt;&gt;الإيصال!$C$3),"",COUNTIF(B$2:B1192,الإيصال!$C$3))</f>
        <v/>
      </c>
    </row>
    <row r="1193">
      <c r="A1193" s="6" t="n"/>
      <c r="B1193" s="4" t="n"/>
      <c r="C1193" s="4" t="n"/>
      <c r="D1193" s="4" t="n"/>
      <c r="E1193">
        <f>IF(D1193="","",IFERROR(INDEX(الأصناف!$B$2:$B$2000,MATCH(D1193,الأصناف!$A$2:$A$2000,0)),"كود غير موجود"))</f>
        <v/>
      </c>
      <c r="F1193" s="4" t="n"/>
      <c r="G1193">
        <f>IF(D1193="","",IFERROR(INDEX(الأصناف!$C$2:$C$2000,MATCH(D1193,الأصناف!$A$2:$A$2000,0)),0))</f>
        <v/>
      </c>
      <c r="H1193">
        <f>IF(D1193="","",F1193*G1193)</f>
        <v/>
      </c>
      <c r="I1193">
        <f>IF(D1193="","",H1193-F1193*IFERROR(INDEX(الأصناف!$D$2:$D$2000,MATCH(D1193,الأصناف!$A$2:$A$2000,0)),0))</f>
        <v/>
      </c>
      <c r="J1193" s="4" t="n"/>
      <c r="K1193" s="7">
        <f>IF(OR(B1193="",B1193&lt;&gt;الإيصال!$C$3),"",COUNTIF(B$2:B1193,الإيصال!$C$3))</f>
        <v/>
      </c>
    </row>
    <row r="1194">
      <c r="A1194" s="6" t="n"/>
      <c r="B1194" s="4" t="n"/>
      <c r="C1194" s="4" t="n"/>
      <c r="D1194" s="4" t="n"/>
      <c r="E1194">
        <f>IF(D1194="","",IFERROR(INDEX(الأصناف!$B$2:$B$2000,MATCH(D1194,الأصناف!$A$2:$A$2000,0)),"كود غير موجود"))</f>
        <v/>
      </c>
      <c r="F1194" s="4" t="n"/>
      <c r="G1194">
        <f>IF(D1194="","",IFERROR(INDEX(الأصناف!$C$2:$C$2000,MATCH(D1194,الأصناف!$A$2:$A$2000,0)),0))</f>
        <v/>
      </c>
      <c r="H1194">
        <f>IF(D1194="","",F1194*G1194)</f>
        <v/>
      </c>
      <c r="I1194">
        <f>IF(D1194="","",H1194-F1194*IFERROR(INDEX(الأصناف!$D$2:$D$2000,MATCH(D1194,الأصناف!$A$2:$A$2000,0)),0))</f>
        <v/>
      </c>
      <c r="J1194" s="4" t="n"/>
      <c r="K1194" s="7">
        <f>IF(OR(B1194="",B1194&lt;&gt;الإيصال!$C$3),"",COUNTIF(B$2:B1194,الإيصال!$C$3))</f>
        <v/>
      </c>
    </row>
    <row r="1195">
      <c r="A1195" s="6" t="n"/>
      <c r="B1195" s="4" t="n"/>
      <c r="C1195" s="4" t="n"/>
      <c r="D1195" s="4" t="n"/>
      <c r="E1195">
        <f>IF(D1195="","",IFERROR(INDEX(الأصناف!$B$2:$B$2000,MATCH(D1195,الأصناف!$A$2:$A$2000,0)),"كود غير موجود"))</f>
        <v/>
      </c>
      <c r="F1195" s="4" t="n"/>
      <c r="G1195">
        <f>IF(D1195="","",IFERROR(INDEX(الأصناف!$C$2:$C$2000,MATCH(D1195,الأصناف!$A$2:$A$2000,0)),0))</f>
        <v/>
      </c>
      <c r="H1195">
        <f>IF(D1195="","",F1195*G1195)</f>
        <v/>
      </c>
      <c r="I1195">
        <f>IF(D1195="","",H1195-F1195*IFERROR(INDEX(الأصناف!$D$2:$D$2000,MATCH(D1195,الأصناف!$A$2:$A$2000,0)),0))</f>
        <v/>
      </c>
      <c r="J1195" s="4" t="n"/>
      <c r="K1195" s="7">
        <f>IF(OR(B1195="",B1195&lt;&gt;الإيصال!$C$3),"",COUNTIF(B$2:B1195,الإيصال!$C$3))</f>
        <v/>
      </c>
    </row>
    <row r="1196">
      <c r="A1196" s="6" t="n"/>
      <c r="B1196" s="4" t="n"/>
      <c r="C1196" s="4" t="n"/>
      <c r="D1196" s="4" t="n"/>
      <c r="E1196">
        <f>IF(D1196="","",IFERROR(INDEX(الأصناف!$B$2:$B$2000,MATCH(D1196,الأصناف!$A$2:$A$2000,0)),"كود غير موجود"))</f>
        <v/>
      </c>
      <c r="F1196" s="4" t="n"/>
      <c r="G1196">
        <f>IF(D1196="","",IFERROR(INDEX(الأصناف!$C$2:$C$2000,MATCH(D1196,الأصناف!$A$2:$A$2000,0)),0))</f>
        <v/>
      </c>
      <c r="H1196">
        <f>IF(D1196="","",F1196*G1196)</f>
        <v/>
      </c>
      <c r="I1196">
        <f>IF(D1196="","",H1196-F1196*IFERROR(INDEX(الأصناف!$D$2:$D$2000,MATCH(D1196,الأصناف!$A$2:$A$2000,0)),0))</f>
        <v/>
      </c>
      <c r="J1196" s="4" t="n"/>
      <c r="K1196" s="7">
        <f>IF(OR(B1196="",B1196&lt;&gt;الإيصال!$C$3),"",COUNTIF(B$2:B1196,الإيصال!$C$3))</f>
        <v/>
      </c>
    </row>
    <row r="1197">
      <c r="A1197" s="6" t="n"/>
      <c r="B1197" s="4" t="n"/>
      <c r="C1197" s="4" t="n"/>
      <c r="D1197" s="4" t="n"/>
      <c r="E1197">
        <f>IF(D1197="","",IFERROR(INDEX(الأصناف!$B$2:$B$2000,MATCH(D1197,الأصناف!$A$2:$A$2000,0)),"كود غير موجود"))</f>
        <v/>
      </c>
      <c r="F1197" s="4" t="n"/>
      <c r="G1197">
        <f>IF(D1197="","",IFERROR(INDEX(الأصناف!$C$2:$C$2000,MATCH(D1197,الأصناف!$A$2:$A$2000,0)),0))</f>
        <v/>
      </c>
      <c r="H1197">
        <f>IF(D1197="","",F1197*G1197)</f>
        <v/>
      </c>
      <c r="I1197">
        <f>IF(D1197="","",H1197-F1197*IFERROR(INDEX(الأصناف!$D$2:$D$2000,MATCH(D1197,الأصناف!$A$2:$A$2000,0)),0))</f>
        <v/>
      </c>
      <c r="J1197" s="4" t="n"/>
      <c r="K1197" s="7">
        <f>IF(OR(B1197="",B1197&lt;&gt;الإيصال!$C$3),"",COUNTIF(B$2:B1197,الإيصال!$C$3))</f>
        <v/>
      </c>
    </row>
    <row r="1198">
      <c r="A1198" s="6" t="n"/>
      <c r="B1198" s="4" t="n"/>
      <c r="C1198" s="4" t="n"/>
      <c r="D1198" s="4" t="n"/>
      <c r="E1198">
        <f>IF(D1198="","",IFERROR(INDEX(الأصناف!$B$2:$B$2000,MATCH(D1198,الأصناف!$A$2:$A$2000,0)),"كود غير موجود"))</f>
        <v/>
      </c>
      <c r="F1198" s="4" t="n"/>
      <c r="G1198">
        <f>IF(D1198="","",IFERROR(INDEX(الأصناف!$C$2:$C$2000,MATCH(D1198,الأصناف!$A$2:$A$2000,0)),0))</f>
        <v/>
      </c>
      <c r="H1198">
        <f>IF(D1198="","",F1198*G1198)</f>
        <v/>
      </c>
      <c r="I1198">
        <f>IF(D1198="","",H1198-F1198*IFERROR(INDEX(الأصناف!$D$2:$D$2000,MATCH(D1198,الأصناف!$A$2:$A$2000,0)),0))</f>
        <v/>
      </c>
      <c r="J1198" s="4" t="n"/>
      <c r="K1198" s="7">
        <f>IF(OR(B1198="",B1198&lt;&gt;الإيصال!$C$3),"",COUNTIF(B$2:B1198,الإيصال!$C$3))</f>
        <v/>
      </c>
    </row>
    <row r="1199">
      <c r="A1199" s="6" t="n"/>
      <c r="B1199" s="4" t="n"/>
      <c r="C1199" s="4" t="n"/>
      <c r="D1199" s="4" t="n"/>
      <c r="E1199">
        <f>IF(D1199="","",IFERROR(INDEX(الأصناف!$B$2:$B$2000,MATCH(D1199,الأصناف!$A$2:$A$2000,0)),"كود غير موجود"))</f>
        <v/>
      </c>
      <c r="F1199" s="4" t="n"/>
      <c r="G1199">
        <f>IF(D1199="","",IFERROR(INDEX(الأصناف!$C$2:$C$2000,MATCH(D1199,الأصناف!$A$2:$A$2000,0)),0))</f>
        <v/>
      </c>
      <c r="H1199">
        <f>IF(D1199="","",F1199*G1199)</f>
        <v/>
      </c>
      <c r="I1199">
        <f>IF(D1199="","",H1199-F1199*IFERROR(INDEX(الأصناف!$D$2:$D$2000,MATCH(D1199,الأصناف!$A$2:$A$2000,0)),0))</f>
        <v/>
      </c>
      <c r="J1199" s="4" t="n"/>
      <c r="K1199" s="7">
        <f>IF(OR(B1199="",B1199&lt;&gt;الإيصال!$C$3),"",COUNTIF(B$2:B1199,الإيصال!$C$3))</f>
        <v/>
      </c>
    </row>
    <row r="1200">
      <c r="A1200" s="6" t="n"/>
      <c r="B1200" s="4" t="n"/>
      <c r="C1200" s="4" t="n"/>
      <c r="D1200" s="4" t="n"/>
      <c r="E1200">
        <f>IF(D1200="","",IFERROR(INDEX(الأصناف!$B$2:$B$2000,MATCH(D1200,الأصناف!$A$2:$A$2000,0)),"كود غير موجود"))</f>
        <v/>
      </c>
      <c r="F1200" s="4" t="n"/>
      <c r="G1200">
        <f>IF(D1200="","",IFERROR(INDEX(الأصناف!$C$2:$C$2000,MATCH(D1200,الأصناف!$A$2:$A$2000,0)),0))</f>
        <v/>
      </c>
      <c r="H1200">
        <f>IF(D1200="","",F1200*G1200)</f>
        <v/>
      </c>
      <c r="I1200">
        <f>IF(D1200="","",H1200-F1200*IFERROR(INDEX(الأصناف!$D$2:$D$2000,MATCH(D1200,الأصناف!$A$2:$A$2000,0)),0))</f>
        <v/>
      </c>
      <c r="J1200" s="4" t="n"/>
      <c r="K1200" s="7">
        <f>IF(OR(B1200="",B1200&lt;&gt;الإيصال!$C$3),"",COUNTIF(B$2:B1200,الإيصال!$C$3))</f>
        <v/>
      </c>
    </row>
    <row r="1201">
      <c r="A1201" s="6" t="n"/>
      <c r="B1201" s="4" t="n"/>
      <c r="C1201" s="4" t="n"/>
      <c r="D1201" s="4" t="n"/>
      <c r="E1201">
        <f>IF(D1201="","",IFERROR(INDEX(الأصناف!$B$2:$B$2000,MATCH(D1201,الأصناف!$A$2:$A$2000,0)),"كود غير موجود"))</f>
        <v/>
      </c>
      <c r="F1201" s="4" t="n"/>
      <c r="G1201">
        <f>IF(D1201="","",IFERROR(INDEX(الأصناف!$C$2:$C$2000,MATCH(D1201,الأصناف!$A$2:$A$2000,0)),0))</f>
        <v/>
      </c>
      <c r="H1201">
        <f>IF(D1201="","",F1201*G1201)</f>
        <v/>
      </c>
      <c r="I1201">
        <f>IF(D1201="","",H1201-F1201*IFERROR(INDEX(الأصناف!$D$2:$D$2000,MATCH(D1201,الأصناف!$A$2:$A$2000,0)),0))</f>
        <v/>
      </c>
      <c r="J1201" s="4" t="n"/>
      <c r="K1201" s="7">
        <f>IF(OR(B1201="",B1201&lt;&gt;الإيصال!$C$3),"",COUNTIF(B$2:B1201,الإيصال!$C$3))</f>
        <v/>
      </c>
    </row>
    <row r="1202">
      <c r="A1202" s="6" t="n"/>
      <c r="B1202" s="4" t="n"/>
      <c r="C1202" s="4" t="n"/>
      <c r="D1202" s="4" t="n"/>
      <c r="E1202">
        <f>IF(D1202="","",IFERROR(INDEX(الأصناف!$B$2:$B$2000,MATCH(D1202,الأصناف!$A$2:$A$2000,0)),"كود غير موجود"))</f>
        <v/>
      </c>
      <c r="F1202" s="4" t="n"/>
      <c r="G1202">
        <f>IF(D1202="","",IFERROR(INDEX(الأصناف!$C$2:$C$2000,MATCH(D1202,الأصناف!$A$2:$A$2000,0)),0))</f>
        <v/>
      </c>
      <c r="H1202">
        <f>IF(D1202="","",F1202*G1202)</f>
        <v/>
      </c>
      <c r="I1202">
        <f>IF(D1202="","",H1202-F1202*IFERROR(INDEX(الأصناف!$D$2:$D$2000,MATCH(D1202,الأصناف!$A$2:$A$2000,0)),0))</f>
        <v/>
      </c>
      <c r="J1202" s="4" t="n"/>
      <c r="K1202" s="7">
        <f>IF(OR(B1202="",B1202&lt;&gt;الإيصال!$C$3),"",COUNTIF(B$2:B1202,الإيصال!$C$3))</f>
        <v/>
      </c>
    </row>
    <row r="1203">
      <c r="A1203" s="6" t="n"/>
      <c r="B1203" s="4" t="n"/>
      <c r="C1203" s="4" t="n"/>
      <c r="D1203" s="4" t="n"/>
      <c r="E1203">
        <f>IF(D1203="","",IFERROR(INDEX(الأصناف!$B$2:$B$2000,MATCH(D1203,الأصناف!$A$2:$A$2000,0)),"كود غير موجود"))</f>
        <v/>
      </c>
      <c r="F1203" s="4" t="n"/>
      <c r="G1203">
        <f>IF(D1203="","",IFERROR(INDEX(الأصناف!$C$2:$C$2000,MATCH(D1203,الأصناف!$A$2:$A$2000,0)),0))</f>
        <v/>
      </c>
      <c r="H1203">
        <f>IF(D1203="","",F1203*G1203)</f>
        <v/>
      </c>
      <c r="I1203">
        <f>IF(D1203="","",H1203-F1203*IFERROR(INDEX(الأصناف!$D$2:$D$2000,MATCH(D1203,الأصناف!$A$2:$A$2000,0)),0))</f>
        <v/>
      </c>
      <c r="J1203" s="4" t="n"/>
      <c r="K1203" s="7">
        <f>IF(OR(B1203="",B1203&lt;&gt;الإيصال!$C$3),"",COUNTIF(B$2:B1203,الإيصال!$C$3))</f>
        <v/>
      </c>
    </row>
    <row r="1204">
      <c r="A1204" s="6" t="n"/>
      <c r="B1204" s="4" t="n"/>
      <c r="C1204" s="4" t="n"/>
      <c r="D1204" s="4" t="n"/>
      <c r="E1204">
        <f>IF(D1204="","",IFERROR(INDEX(الأصناف!$B$2:$B$2000,MATCH(D1204,الأصناف!$A$2:$A$2000,0)),"كود غير موجود"))</f>
        <v/>
      </c>
      <c r="F1204" s="4" t="n"/>
      <c r="G1204">
        <f>IF(D1204="","",IFERROR(INDEX(الأصناف!$C$2:$C$2000,MATCH(D1204,الأصناف!$A$2:$A$2000,0)),0))</f>
        <v/>
      </c>
      <c r="H1204">
        <f>IF(D1204="","",F1204*G1204)</f>
        <v/>
      </c>
      <c r="I1204">
        <f>IF(D1204="","",H1204-F1204*IFERROR(INDEX(الأصناف!$D$2:$D$2000,MATCH(D1204,الأصناف!$A$2:$A$2000,0)),0))</f>
        <v/>
      </c>
      <c r="J1204" s="4" t="n"/>
      <c r="K1204" s="7">
        <f>IF(OR(B1204="",B1204&lt;&gt;الإيصال!$C$3),"",COUNTIF(B$2:B1204,الإيصال!$C$3))</f>
        <v/>
      </c>
    </row>
    <row r="1205">
      <c r="A1205" s="6" t="n"/>
      <c r="B1205" s="4" t="n"/>
      <c r="C1205" s="4" t="n"/>
      <c r="D1205" s="4" t="n"/>
      <c r="E1205">
        <f>IF(D1205="","",IFERROR(INDEX(الأصناف!$B$2:$B$2000,MATCH(D1205,الأصناف!$A$2:$A$2000,0)),"كود غير موجود"))</f>
        <v/>
      </c>
      <c r="F1205" s="4" t="n"/>
      <c r="G1205">
        <f>IF(D1205="","",IFERROR(INDEX(الأصناف!$C$2:$C$2000,MATCH(D1205,الأصناف!$A$2:$A$2000,0)),0))</f>
        <v/>
      </c>
      <c r="H1205">
        <f>IF(D1205="","",F1205*G1205)</f>
        <v/>
      </c>
      <c r="I1205">
        <f>IF(D1205="","",H1205-F1205*IFERROR(INDEX(الأصناف!$D$2:$D$2000,MATCH(D1205,الأصناف!$A$2:$A$2000,0)),0))</f>
        <v/>
      </c>
      <c r="J1205" s="4" t="n"/>
      <c r="K1205" s="7">
        <f>IF(OR(B1205="",B1205&lt;&gt;الإيصال!$C$3),"",COUNTIF(B$2:B1205,الإيصال!$C$3))</f>
        <v/>
      </c>
    </row>
    <row r="1206">
      <c r="A1206" s="6" t="n"/>
      <c r="B1206" s="4" t="n"/>
      <c r="C1206" s="4" t="n"/>
      <c r="D1206" s="4" t="n"/>
      <c r="E1206">
        <f>IF(D1206="","",IFERROR(INDEX(الأصناف!$B$2:$B$2000,MATCH(D1206,الأصناف!$A$2:$A$2000,0)),"كود غير موجود"))</f>
        <v/>
      </c>
      <c r="F1206" s="4" t="n"/>
      <c r="G1206">
        <f>IF(D1206="","",IFERROR(INDEX(الأصناف!$C$2:$C$2000,MATCH(D1206,الأصناف!$A$2:$A$2000,0)),0))</f>
        <v/>
      </c>
      <c r="H1206">
        <f>IF(D1206="","",F1206*G1206)</f>
        <v/>
      </c>
      <c r="I1206">
        <f>IF(D1206="","",H1206-F1206*IFERROR(INDEX(الأصناف!$D$2:$D$2000,MATCH(D1206,الأصناف!$A$2:$A$2000,0)),0))</f>
        <v/>
      </c>
      <c r="J1206" s="4" t="n"/>
      <c r="K1206" s="7">
        <f>IF(OR(B1206="",B1206&lt;&gt;الإيصال!$C$3),"",COUNTIF(B$2:B1206,الإيصال!$C$3))</f>
        <v/>
      </c>
    </row>
    <row r="1207">
      <c r="A1207" s="6" t="n"/>
      <c r="B1207" s="4" t="n"/>
      <c r="C1207" s="4" t="n"/>
      <c r="D1207" s="4" t="n"/>
      <c r="E1207">
        <f>IF(D1207="","",IFERROR(INDEX(الأصناف!$B$2:$B$2000,MATCH(D1207,الأصناف!$A$2:$A$2000,0)),"كود غير موجود"))</f>
        <v/>
      </c>
      <c r="F1207" s="4" t="n"/>
      <c r="G1207">
        <f>IF(D1207="","",IFERROR(INDEX(الأصناف!$C$2:$C$2000,MATCH(D1207,الأصناف!$A$2:$A$2000,0)),0))</f>
        <v/>
      </c>
      <c r="H1207">
        <f>IF(D1207="","",F1207*G1207)</f>
        <v/>
      </c>
      <c r="I1207">
        <f>IF(D1207="","",H1207-F1207*IFERROR(INDEX(الأصناف!$D$2:$D$2000,MATCH(D1207,الأصناف!$A$2:$A$2000,0)),0))</f>
        <v/>
      </c>
      <c r="J1207" s="4" t="n"/>
      <c r="K1207" s="7">
        <f>IF(OR(B1207="",B1207&lt;&gt;الإيصال!$C$3),"",COUNTIF(B$2:B1207,الإيصال!$C$3))</f>
        <v/>
      </c>
    </row>
    <row r="1208">
      <c r="A1208" s="6" t="n"/>
      <c r="B1208" s="4" t="n"/>
      <c r="C1208" s="4" t="n"/>
      <c r="D1208" s="4" t="n"/>
      <c r="E1208">
        <f>IF(D1208="","",IFERROR(INDEX(الأصناف!$B$2:$B$2000,MATCH(D1208,الأصناف!$A$2:$A$2000,0)),"كود غير موجود"))</f>
        <v/>
      </c>
      <c r="F1208" s="4" t="n"/>
      <c r="G1208">
        <f>IF(D1208="","",IFERROR(INDEX(الأصناف!$C$2:$C$2000,MATCH(D1208,الأصناف!$A$2:$A$2000,0)),0))</f>
        <v/>
      </c>
      <c r="H1208">
        <f>IF(D1208="","",F1208*G1208)</f>
        <v/>
      </c>
      <c r="I1208">
        <f>IF(D1208="","",H1208-F1208*IFERROR(INDEX(الأصناف!$D$2:$D$2000,MATCH(D1208,الأصناف!$A$2:$A$2000,0)),0))</f>
        <v/>
      </c>
      <c r="J1208" s="4" t="n"/>
      <c r="K1208" s="7">
        <f>IF(OR(B1208="",B1208&lt;&gt;الإيصال!$C$3),"",COUNTIF(B$2:B1208,الإيصال!$C$3))</f>
        <v/>
      </c>
    </row>
    <row r="1209">
      <c r="A1209" s="6" t="n"/>
      <c r="B1209" s="4" t="n"/>
      <c r="C1209" s="4" t="n"/>
      <c r="D1209" s="4" t="n"/>
      <c r="E1209">
        <f>IF(D1209="","",IFERROR(INDEX(الأصناف!$B$2:$B$2000,MATCH(D1209,الأصناف!$A$2:$A$2000,0)),"كود غير موجود"))</f>
        <v/>
      </c>
      <c r="F1209" s="4" t="n"/>
      <c r="G1209">
        <f>IF(D1209="","",IFERROR(INDEX(الأصناف!$C$2:$C$2000,MATCH(D1209,الأصناف!$A$2:$A$2000,0)),0))</f>
        <v/>
      </c>
      <c r="H1209">
        <f>IF(D1209="","",F1209*G1209)</f>
        <v/>
      </c>
      <c r="I1209">
        <f>IF(D1209="","",H1209-F1209*IFERROR(INDEX(الأصناف!$D$2:$D$2000,MATCH(D1209,الأصناف!$A$2:$A$2000,0)),0))</f>
        <v/>
      </c>
      <c r="J1209" s="4" t="n"/>
      <c r="K1209" s="7">
        <f>IF(OR(B1209="",B1209&lt;&gt;الإيصال!$C$3),"",COUNTIF(B$2:B1209,الإيصال!$C$3))</f>
        <v/>
      </c>
    </row>
    <row r="1210">
      <c r="A1210" s="6" t="n"/>
      <c r="B1210" s="4" t="n"/>
      <c r="C1210" s="4" t="n"/>
      <c r="D1210" s="4" t="n"/>
      <c r="E1210">
        <f>IF(D1210="","",IFERROR(INDEX(الأصناف!$B$2:$B$2000,MATCH(D1210,الأصناف!$A$2:$A$2000,0)),"كود غير موجود"))</f>
        <v/>
      </c>
      <c r="F1210" s="4" t="n"/>
      <c r="G1210">
        <f>IF(D1210="","",IFERROR(INDEX(الأصناف!$C$2:$C$2000,MATCH(D1210,الأصناف!$A$2:$A$2000,0)),0))</f>
        <v/>
      </c>
      <c r="H1210">
        <f>IF(D1210="","",F1210*G1210)</f>
        <v/>
      </c>
      <c r="I1210">
        <f>IF(D1210="","",H1210-F1210*IFERROR(INDEX(الأصناف!$D$2:$D$2000,MATCH(D1210,الأصناف!$A$2:$A$2000,0)),0))</f>
        <v/>
      </c>
      <c r="J1210" s="4" t="n"/>
      <c r="K1210" s="7">
        <f>IF(OR(B1210="",B1210&lt;&gt;الإيصال!$C$3),"",COUNTIF(B$2:B1210,الإيصال!$C$3))</f>
        <v/>
      </c>
    </row>
    <row r="1211">
      <c r="A1211" s="6" t="n"/>
      <c r="B1211" s="4" t="n"/>
      <c r="C1211" s="4" t="n"/>
      <c r="D1211" s="4" t="n"/>
      <c r="E1211">
        <f>IF(D1211="","",IFERROR(INDEX(الأصناف!$B$2:$B$2000,MATCH(D1211,الأصناف!$A$2:$A$2000,0)),"كود غير موجود"))</f>
        <v/>
      </c>
      <c r="F1211" s="4" t="n"/>
      <c r="G1211">
        <f>IF(D1211="","",IFERROR(INDEX(الأصناف!$C$2:$C$2000,MATCH(D1211,الأصناف!$A$2:$A$2000,0)),0))</f>
        <v/>
      </c>
      <c r="H1211">
        <f>IF(D1211="","",F1211*G1211)</f>
        <v/>
      </c>
      <c r="I1211">
        <f>IF(D1211="","",H1211-F1211*IFERROR(INDEX(الأصناف!$D$2:$D$2000,MATCH(D1211,الأصناف!$A$2:$A$2000,0)),0))</f>
        <v/>
      </c>
      <c r="J1211" s="4" t="n"/>
      <c r="K1211" s="7">
        <f>IF(OR(B1211="",B1211&lt;&gt;الإيصال!$C$3),"",COUNTIF(B$2:B1211,الإيصال!$C$3))</f>
        <v/>
      </c>
    </row>
    <row r="1212">
      <c r="A1212" s="6" t="n"/>
      <c r="B1212" s="4" t="n"/>
      <c r="C1212" s="4" t="n"/>
      <c r="D1212" s="4" t="n"/>
      <c r="E1212">
        <f>IF(D1212="","",IFERROR(INDEX(الأصناف!$B$2:$B$2000,MATCH(D1212,الأصناف!$A$2:$A$2000,0)),"كود غير موجود"))</f>
        <v/>
      </c>
      <c r="F1212" s="4" t="n"/>
      <c r="G1212">
        <f>IF(D1212="","",IFERROR(INDEX(الأصناف!$C$2:$C$2000,MATCH(D1212,الأصناف!$A$2:$A$2000,0)),0))</f>
        <v/>
      </c>
      <c r="H1212">
        <f>IF(D1212="","",F1212*G1212)</f>
        <v/>
      </c>
      <c r="I1212">
        <f>IF(D1212="","",H1212-F1212*IFERROR(INDEX(الأصناف!$D$2:$D$2000,MATCH(D1212,الأصناف!$A$2:$A$2000,0)),0))</f>
        <v/>
      </c>
      <c r="J1212" s="4" t="n"/>
      <c r="K1212" s="7">
        <f>IF(OR(B1212="",B1212&lt;&gt;الإيصال!$C$3),"",COUNTIF(B$2:B1212,الإيصال!$C$3))</f>
        <v/>
      </c>
    </row>
    <row r="1213">
      <c r="A1213" s="6" t="n"/>
      <c r="B1213" s="4" t="n"/>
      <c r="C1213" s="4" t="n"/>
      <c r="D1213" s="4" t="n"/>
      <c r="E1213">
        <f>IF(D1213="","",IFERROR(INDEX(الأصناف!$B$2:$B$2000,MATCH(D1213,الأصناف!$A$2:$A$2000,0)),"كود غير موجود"))</f>
        <v/>
      </c>
      <c r="F1213" s="4" t="n"/>
      <c r="G1213">
        <f>IF(D1213="","",IFERROR(INDEX(الأصناف!$C$2:$C$2000,MATCH(D1213,الأصناف!$A$2:$A$2000,0)),0))</f>
        <v/>
      </c>
      <c r="H1213">
        <f>IF(D1213="","",F1213*G1213)</f>
        <v/>
      </c>
      <c r="I1213">
        <f>IF(D1213="","",H1213-F1213*IFERROR(INDEX(الأصناف!$D$2:$D$2000,MATCH(D1213,الأصناف!$A$2:$A$2000,0)),0))</f>
        <v/>
      </c>
      <c r="J1213" s="4" t="n"/>
      <c r="K1213" s="7">
        <f>IF(OR(B1213="",B1213&lt;&gt;الإيصال!$C$3),"",COUNTIF(B$2:B1213,الإيصال!$C$3))</f>
        <v/>
      </c>
    </row>
    <row r="1214">
      <c r="A1214" s="6" t="n"/>
      <c r="B1214" s="4" t="n"/>
      <c r="C1214" s="4" t="n"/>
      <c r="D1214" s="4" t="n"/>
      <c r="E1214">
        <f>IF(D1214="","",IFERROR(INDEX(الأصناف!$B$2:$B$2000,MATCH(D1214,الأصناف!$A$2:$A$2000,0)),"كود غير موجود"))</f>
        <v/>
      </c>
      <c r="F1214" s="4" t="n"/>
      <c r="G1214">
        <f>IF(D1214="","",IFERROR(INDEX(الأصناف!$C$2:$C$2000,MATCH(D1214,الأصناف!$A$2:$A$2000,0)),0))</f>
        <v/>
      </c>
      <c r="H1214">
        <f>IF(D1214="","",F1214*G1214)</f>
        <v/>
      </c>
      <c r="I1214">
        <f>IF(D1214="","",H1214-F1214*IFERROR(INDEX(الأصناف!$D$2:$D$2000,MATCH(D1214,الأصناف!$A$2:$A$2000,0)),0))</f>
        <v/>
      </c>
      <c r="J1214" s="4" t="n"/>
      <c r="K1214" s="7">
        <f>IF(OR(B1214="",B1214&lt;&gt;الإيصال!$C$3),"",COUNTIF(B$2:B1214,الإيصال!$C$3))</f>
        <v/>
      </c>
    </row>
    <row r="1215">
      <c r="A1215" s="6" t="n"/>
      <c r="B1215" s="4" t="n"/>
      <c r="C1215" s="4" t="n"/>
      <c r="D1215" s="4" t="n"/>
      <c r="E1215">
        <f>IF(D1215="","",IFERROR(INDEX(الأصناف!$B$2:$B$2000,MATCH(D1215,الأصناف!$A$2:$A$2000,0)),"كود غير موجود"))</f>
        <v/>
      </c>
      <c r="F1215" s="4" t="n"/>
      <c r="G1215">
        <f>IF(D1215="","",IFERROR(INDEX(الأصناف!$C$2:$C$2000,MATCH(D1215,الأصناف!$A$2:$A$2000,0)),0))</f>
        <v/>
      </c>
      <c r="H1215">
        <f>IF(D1215="","",F1215*G1215)</f>
        <v/>
      </c>
      <c r="I1215">
        <f>IF(D1215="","",H1215-F1215*IFERROR(INDEX(الأصناف!$D$2:$D$2000,MATCH(D1215,الأصناف!$A$2:$A$2000,0)),0))</f>
        <v/>
      </c>
      <c r="J1215" s="4" t="n"/>
      <c r="K1215" s="7">
        <f>IF(OR(B1215="",B1215&lt;&gt;الإيصال!$C$3),"",COUNTIF(B$2:B1215,الإيصال!$C$3))</f>
        <v/>
      </c>
    </row>
    <row r="1216">
      <c r="A1216" s="6" t="n"/>
      <c r="B1216" s="4" t="n"/>
      <c r="C1216" s="4" t="n"/>
      <c r="D1216" s="4" t="n"/>
      <c r="E1216">
        <f>IF(D1216="","",IFERROR(INDEX(الأصناف!$B$2:$B$2000,MATCH(D1216,الأصناف!$A$2:$A$2000,0)),"كود غير موجود"))</f>
        <v/>
      </c>
      <c r="F1216" s="4" t="n"/>
      <c r="G1216">
        <f>IF(D1216="","",IFERROR(INDEX(الأصناف!$C$2:$C$2000,MATCH(D1216,الأصناف!$A$2:$A$2000,0)),0))</f>
        <v/>
      </c>
      <c r="H1216">
        <f>IF(D1216="","",F1216*G1216)</f>
        <v/>
      </c>
      <c r="I1216">
        <f>IF(D1216="","",H1216-F1216*IFERROR(INDEX(الأصناف!$D$2:$D$2000,MATCH(D1216,الأصناف!$A$2:$A$2000,0)),0))</f>
        <v/>
      </c>
      <c r="J1216" s="4" t="n"/>
      <c r="K1216" s="7">
        <f>IF(OR(B1216="",B1216&lt;&gt;الإيصال!$C$3),"",COUNTIF(B$2:B1216,الإيصال!$C$3))</f>
        <v/>
      </c>
    </row>
    <row r="1217">
      <c r="A1217" s="6" t="n"/>
      <c r="B1217" s="4" t="n"/>
      <c r="C1217" s="4" t="n"/>
      <c r="D1217" s="4" t="n"/>
      <c r="E1217">
        <f>IF(D1217="","",IFERROR(INDEX(الأصناف!$B$2:$B$2000,MATCH(D1217,الأصناف!$A$2:$A$2000,0)),"كود غير موجود"))</f>
        <v/>
      </c>
      <c r="F1217" s="4" t="n"/>
      <c r="G1217">
        <f>IF(D1217="","",IFERROR(INDEX(الأصناف!$C$2:$C$2000,MATCH(D1217,الأصناف!$A$2:$A$2000,0)),0))</f>
        <v/>
      </c>
      <c r="H1217">
        <f>IF(D1217="","",F1217*G1217)</f>
        <v/>
      </c>
      <c r="I1217">
        <f>IF(D1217="","",H1217-F1217*IFERROR(INDEX(الأصناف!$D$2:$D$2000,MATCH(D1217,الأصناف!$A$2:$A$2000,0)),0))</f>
        <v/>
      </c>
      <c r="J1217" s="4" t="n"/>
      <c r="K1217" s="7">
        <f>IF(OR(B1217="",B1217&lt;&gt;الإيصال!$C$3),"",COUNTIF(B$2:B1217,الإيصال!$C$3))</f>
        <v/>
      </c>
    </row>
    <row r="1218">
      <c r="A1218" s="6" t="n"/>
      <c r="B1218" s="4" t="n"/>
      <c r="C1218" s="4" t="n"/>
      <c r="D1218" s="4" t="n"/>
      <c r="E1218">
        <f>IF(D1218="","",IFERROR(INDEX(الأصناف!$B$2:$B$2000,MATCH(D1218,الأصناف!$A$2:$A$2000,0)),"كود غير موجود"))</f>
        <v/>
      </c>
      <c r="F1218" s="4" t="n"/>
      <c r="G1218">
        <f>IF(D1218="","",IFERROR(INDEX(الأصناف!$C$2:$C$2000,MATCH(D1218,الأصناف!$A$2:$A$2000,0)),0))</f>
        <v/>
      </c>
      <c r="H1218">
        <f>IF(D1218="","",F1218*G1218)</f>
        <v/>
      </c>
      <c r="I1218">
        <f>IF(D1218="","",H1218-F1218*IFERROR(INDEX(الأصناف!$D$2:$D$2000,MATCH(D1218,الأصناف!$A$2:$A$2000,0)),0))</f>
        <v/>
      </c>
      <c r="J1218" s="4" t="n"/>
      <c r="K1218" s="7">
        <f>IF(OR(B1218="",B1218&lt;&gt;الإيصال!$C$3),"",COUNTIF(B$2:B1218,الإيصال!$C$3))</f>
        <v/>
      </c>
    </row>
    <row r="1219">
      <c r="A1219" s="6" t="n"/>
      <c r="B1219" s="4" t="n"/>
      <c r="C1219" s="4" t="n"/>
      <c r="D1219" s="4" t="n"/>
      <c r="E1219">
        <f>IF(D1219="","",IFERROR(INDEX(الأصناف!$B$2:$B$2000,MATCH(D1219,الأصناف!$A$2:$A$2000,0)),"كود غير موجود"))</f>
        <v/>
      </c>
      <c r="F1219" s="4" t="n"/>
      <c r="G1219">
        <f>IF(D1219="","",IFERROR(INDEX(الأصناف!$C$2:$C$2000,MATCH(D1219,الأصناف!$A$2:$A$2000,0)),0))</f>
        <v/>
      </c>
      <c r="H1219">
        <f>IF(D1219="","",F1219*G1219)</f>
        <v/>
      </c>
      <c r="I1219">
        <f>IF(D1219="","",H1219-F1219*IFERROR(INDEX(الأصناف!$D$2:$D$2000,MATCH(D1219,الأصناف!$A$2:$A$2000,0)),0))</f>
        <v/>
      </c>
      <c r="J1219" s="4" t="n"/>
      <c r="K1219" s="7">
        <f>IF(OR(B1219="",B1219&lt;&gt;الإيصال!$C$3),"",COUNTIF(B$2:B1219,الإيصال!$C$3))</f>
        <v/>
      </c>
    </row>
    <row r="1220">
      <c r="A1220" s="6" t="n"/>
      <c r="B1220" s="4" t="n"/>
      <c r="C1220" s="4" t="n"/>
      <c r="D1220" s="4" t="n"/>
      <c r="E1220">
        <f>IF(D1220="","",IFERROR(INDEX(الأصناف!$B$2:$B$2000,MATCH(D1220,الأصناف!$A$2:$A$2000,0)),"كود غير موجود"))</f>
        <v/>
      </c>
      <c r="F1220" s="4" t="n"/>
      <c r="G1220">
        <f>IF(D1220="","",IFERROR(INDEX(الأصناف!$C$2:$C$2000,MATCH(D1220,الأصناف!$A$2:$A$2000,0)),0))</f>
        <v/>
      </c>
      <c r="H1220">
        <f>IF(D1220="","",F1220*G1220)</f>
        <v/>
      </c>
      <c r="I1220">
        <f>IF(D1220="","",H1220-F1220*IFERROR(INDEX(الأصناف!$D$2:$D$2000,MATCH(D1220,الأصناف!$A$2:$A$2000,0)),0))</f>
        <v/>
      </c>
      <c r="J1220" s="4" t="n"/>
      <c r="K1220" s="7">
        <f>IF(OR(B1220="",B1220&lt;&gt;الإيصال!$C$3),"",COUNTIF(B$2:B1220,الإيصال!$C$3))</f>
        <v/>
      </c>
    </row>
    <row r="1221">
      <c r="A1221" s="6" t="n"/>
      <c r="B1221" s="4" t="n"/>
      <c r="C1221" s="4" t="n"/>
      <c r="D1221" s="4" t="n"/>
      <c r="E1221">
        <f>IF(D1221="","",IFERROR(INDEX(الأصناف!$B$2:$B$2000,MATCH(D1221,الأصناف!$A$2:$A$2000,0)),"كود غير موجود"))</f>
        <v/>
      </c>
      <c r="F1221" s="4" t="n"/>
      <c r="G1221">
        <f>IF(D1221="","",IFERROR(INDEX(الأصناف!$C$2:$C$2000,MATCH(D1221,الأصناف!$A$2:$A$2000,0)),0))</f>
        <v/>
      </c>
      <c r="H1221">
        <f>IF(D1221="","",F1221*G1221)</f>
        <v/>
      </c>
      <c r="I1221">
        <f>IF(D1221="","",H1221-F1221*IFERROR(INDEX(الأصناف!$D$2:$D$2000,MATCH(D1221,الأصناف!$A$2:$A$2000,0)),0))</f>
        <v/>
      </c>
      <c r="J1221" s="4" t="n"/>
      <c r="K1221" s="7">
        <f>IF(OR(B1221="",B1221&lt;&gt;الإيصال!$C$3),"",COUNTIF(B$2:B1221,الإيصال!$C$3))</f>
        <v/>
      </c>
    </row>
    <row r="1222">
      <c r="A1222" s="6" t="n"/>
      <c r="B1222" s="4" t="n"/>
      <c r="C1222" s="4" t="n"/>
      <c r="D1222" s="4" t="n"/>
      <c r="E1222">
        <f>IF(D1222="","",IFERROR(INDEX(الأصناف!$B$2:$B$2000,MATCH(D1222,الأصناف!$A$2:$A$2000,0)),"كود غير موجود"))</f>
        <v/>
      </c>
      <c r="F1222" s="4" t="n"/>
      <c r="G1222">
        <f>IF(D1222="","",IFERROR(INDEX(الأصناف!$C$2:$C$2000,MATCH(D1222,الأصناف!$A$2:$A$2000,0)),0))</f>
        <v/>
      </c>
      <c r="H1222">
        <f>IF(D1222="","",F1222*G1222)</f>
        <v/>
      </c>
      <c r="I1222">
        <f>IF(D1222="","",H1222-F1222*IFERROR(INDEX(الأصناف!$D$2:$D$2000,MATCH(D1222,الأصناف!$A$2:$A$2000,0)),0))</f>
        <v/>
      </c>
      <c r="J1222" s="4" t="n"/>
      <c r="K1222" s="7">
        <f>IF(OR(B1222="",B1222&lt;&gt;الإيصال!$C$3),"",COUNTIF(B$2:B1222,الإيصال!$C$3))</f>
        <v/>
      </c>
    </row>
    <row r="1223">
      <c r="A1223" s="6" t="n"/>
      <c r="B1223" s="4" t="n"/>
      <c r="C1223" s="4" t="n"/>
      <c r="D1223" s="4" t="n"/>
      <c r="E1223">
        <f>IF(D1223="","",IFERROR(INDEX(الأصناف!$B$2:$B$2000,MATCH(D1223,الأصناف!$A$2:$A$2000,0)),"كود غير موجود"))</f>
        <v/>
      </c>
      <c r="F1223" s="4" t="n"/>
      <c r="G1223">
        <f>IF(D1223="","",IFERROR(INDEX(الأصناف!$C$2:$C$2000,MATCH(D1223,الأصناف!$A$2:$A$2000,0)),0))</f>
        <v/>
      </c>
      <c r="H1223">
        <f>IF(D1223="","",F1223*G1223)</f>
        <v/>
      </c>
      <c r="I1223">
        <f>IF(D1223="","",H1223-F1223*IFERROR(INDEX(الأصناف!$D$2:$D$2000,MATCH(D1223,الأصناف!$A$2:$A$2000,0)),0))</f>
        <v/>
      </c>
      <c r="J1223" s="4" t="n"/>
      <c r="K1223" s="7">
        <f>IF(OR(B1223="",B1223&lt;&gt;الإيصال!$C$3),"",COUNTIF(B$2:B1223,الإيصال!$C$3))</f>
        <v/>
      </c>
    </row>
    <row r="1224">
      <c r="A1224" s="6" t="n"/>
      <c r="B1224" s="4" t="n"/>
      <c r="C1224" s="4" t="n"/>
      <c r="D1224" s="4" t="n"/>
      <c r="E1224">
        <f>IF(D1224="","",IFERROR(INDEX(الأصناف!$B$2:$B$2000,MATCH(D1224,الأصناف!$A$2:$A$2000,0)),"كود غير موجود"))</f>
        <v/>
      </c>
      <c r="F1224" s="4" t="n"/>
      <c r="G1224">
        <f>IF(D1224="","",IFERROR(INDEX(الأصناف!$C$2:$C$2000,MATCH(D1224,الأصناف!$A$2:$A$2000,0)),0))</f>
        <v/>
      </c>
      <c r="H1224">
        <f>IF(D1224="","",F1224*G1224)</f>
        <v/>
      </c>
      <c r="I1224">
        <f>IF(D1224="","",H1224-F1224*IFERROR(INDEX(الأصناف!$D$2:$D$2000,MATCH(D1224,الأصناف!$A$2:$A$2000,0)),0))</f>
        <v/>
      </c>
      <c r="J1224" s="4" t="n"/>
      <c r="K1224" s="7">
        <f>IF(OR(B1224="",B1224&lt;&gt;الإيصال!$C$3),"",COUNTIF(B$2:B1224,الإيصال!$C$3))</f>
        <v/>
      </c>
    </row>
    <row r="1225">
      <c r="A1225" s="6" t="n"/>
      <c r="B1225" s="4" t="n"/>
      <c r="C1225" s="4" t="n"/>
      <c r="D1225" s="4" t="n"/>
      <c r="E1225">
        <f>IF(D1225="","",IFERROR(INDEX(الأصناف!$B$2:$B$2000,MATCH(D1225,الأصناف!$A$2:$A$2000,0)),"كود غير موجود"))</f>
        <v/>
      </c>
      <c r="F1225" s="4" t="n"/>
      <c r="G1225">
        <f>IF(D1225="","",IFERROR(INDEX(الأصناف!$C$2:$C$2000,MATCH(D1225,الأصناف!$A$2:$A$2000,0)),0))</f>
        <v/>
      </c>
      <c r="H1225">
        <f>IF(D1225="","",F1225*G1225)</f>
        <v/>
      </c>
      <c r="I1225">
        <f>IF(D1225="","",H1225-F1225*IFERROR(INDEX(الأصناف!$D$2:$D$2000,MATCH(D1225,الأصناف!$A$2:$A$2000,0)),0))</f>
        <v/>
      </c>
      <c r="J1225" s="4" t="n"/>
      <c r="K1225" s="7">
        <f>IF(OR(B1225="",B1225&lt;&gt;الإيصال!$C$3),"",COUNTIF(B$2:B1225,الإيصال!$C$3))</f>
        <v/>
      </c>
    </row>
    <row r="1226">
      <c r="A1226" s="6" t="n"/>
      <c r="B1226" s="4" t="n"/>
      <c r="C1226" s="4" t="n"/>
      <c r="D1226" s="4" t="n"/>
      <c r="E1226">
        <f>IF(D1226="","",IFERROR(INDEX(الأصناف!$B$2:$B$2000,MATCH(D1226,الأصناف!$A$2:$A$2000,0)),"كود غير موجود"))</f>
        <v/>
      </c>
      <c r="F1226" s="4" t="n"/>
      <c r="G1226">
        <f>IF(D1226="","",IFERROR(INDEX(الأصناف!$C$2:$C$2000,MATCH(D1226,الأصناف!$A$2:$A$2000,0)),0))</f>
        <v/>
      </c>
      <c r="H1226">
        <f>IF(D1226="","",F1226*G1226)</f>
        <v/>
      </c>
      <c r="I1226">
        <f>IF(D1226="","",H1226-F1226*IFERROR(INDEX(الأصناف!$D$2:$D$2000,MATCH(D1226,الأصناف!$A$2:$A$2000,0)),0))</f>
        <v/>
      </c>
      <c r="J1226" s="4" t="n"/>
      <c r="K1226" s="7">
        <f>IF(OR(B1226="",B1226&lt;&gt;الإيصال!$C$3),"",COUNTIF(B$2:B1226,الإيصال!$C$3))</f>
        <v/>
      </c>
    </row>
    <row r="1227">
      <c r="A1227" s="6" t="n"/>
      <c r="B1227" s="4" t="n"/>
      <c r="C1227" s="4" t="n"/>
      <c r="D1227" s="4" t="n"/>
      <c r="E1227">
        <f>IF(D1227="","",IFERROR(INDEX(الأصناف!$B$2:$B$2000,MATCH(D1227,الأصناف!$A$2:$A$2000,0)),"كود غير موجود"))</f>
        <v/>
      </c>
      <c r="F1227" s="4" t="n"/>
      <c r="G1227">
        <f>IF(D1227="","",IFERROR(INDEX(الأصناف!$C$2:$C$2000,MATCH(D1227,الأصناف!$A$2:$A$2000,0)),0))</f>
        <v/>
      </c>
      <c r="H1227">
        <f>IF(D1227="","",F1227*G1227)</f>
        <v/>
      </c>
      <c r="I1227">
        <f>IF(D1227="","",H1227-F1227*IFERROR(INDEX(الأصناف!$D$2:$D$2000,MATCH(D1227,الأصناف!$A$2:$A$2000,0)),0))</f>
        <v/>
      </c>
      <c r="J1227" s="4" t="n"/>
      <c r="K1227" s="7">
        <f>IF(OR(B1227="",B1227&lt;&gt;الإيصال!$C$3),"",COUNTIF(B$2:B1227,الإيصال!$C$3))</f>
        <v/>
      </c>
    </row>
    <row r="1228">
      <c r="A1228" s="6" t="n"/>
      <c r="B1228" s="4" t="n"/>
      <c r="C1228" s="4" t="n"/>
      <c r="D1228" s="4" t="n"/>
      <c r="E1228">
        <f>IF(D1228="","",IFERROR(INDEX(الأصناف!$B$2:$B$2000,MATCH(D1228,الأصناف!$A$2:$A$2000,0)),"كود غير موجود"))</f>
        <v/>
      </c>
      <c r="F1228" s="4" t="n"/>
      <c r="G1228">
        <f>IF(D1228="","",IFERROR(INDEX(الأصناف!$C$2:$C$2000,MATCH(D1228,الأصناف!$A$2:$A$2000,0)),0))</f>
        <v/>
      </c>
      <c r="H1228">
        <f>IF(D1228="","",F1228*G1228)</f>
        <v/>
      </c>
      <c r="I1228">
        <f>IF(D1228="","",H1228-F1228*IFERROR(INDEX(الأصناف!$D$2:$D$2000,MATCH(D1228,الأصناف!$A$2:$A$2000,0)),0))</f>
        <v/>
      </c>
      <c r="J1228" s="4" t="n"/>
      <c r="K1228" s="7">
        <f>IF(OR(B1228="",B1228&lt;&gt;الإيصال!$C$3),"",COUNTIF(B$2:B1228,الإيصال!$C$3))</f>
        <v/>
      </c>
    </row>
    <row r="1229">
      <c r="A1229" s="6" t="n"/>
      <c r="B1229" s="4" t="n"/>
      <c r="C1229" s="4" t="n"/>
      <c r="D1229" s="4" t="n"/>
      <c r="E1229">
        <f>IF(D1229="","",IFERROR(INDEX(الأصناف!$B$2:$B$2000,MATCH(D1229,الأصناف!$A$2:$A$2000,0)),"كود غير موجود"))</f>
        <v/>
      </c>
      <c r="F1229" s="4" t="n"/>
      <c r="G1229">
        <f>IF(D1229="","",IFERROR(INDEX(الأصناف!$C$2:$C$2000,MATCH(D1229,الأصناف!$A$2:$A$2000,0)),0))</f>
        <v/>
      </c>
      <c r="H1229">
        <f>IF(D1229="","",F1229*G1229)</f>
        <v/>
      </c>
      <c r="I1229">
        <f>IF(D1229="","",H1229-F1229*IFERROR(INDEX(الأصناف!$D$2:$D$2000,MATCH(D1229,الأصناف!$A$2:$A$2000,0)),0))</f>
        <v/>
      </c>
      <c r="J1229" s="4" t="n"/>
      <c r="K1229" s="7">
        <f>IF(OR(B1229="",B1229&lt;&gt;الإيصال!$C$3),"",COUNTIF(B$2:B1229,الإيصال!$C$3))</f>
        <v/>
      </c>
    </row>
    <row r="1230">
      <c r="A1230" s="6" t="n"/>
      <c r="B1230" s="4" t="n"/>
      <c r="C1230" s="4" t="n"/>
      <c r="D1230" s="4" t="n"/>
      <c r="E1230">
        <f>IF(D1230="","",IFERROR(INDEX(الأصناف!$B$2:$B$2000,MATCH(D1230,الأصناف!$A$2:$A$2000,0)),"كود غير موجود"))</f>
        <v/>
      </c>
      <c r="F1230" s="4" t="n"/>
      <c r="G1230">
        <f>IF(D1230="","",IFERROR(INDEX(الأصناف!$C$2:$C$2000,MATCH(D1230,الأصناف!$A$2:$A$2000,0)),0))</f>
        <v/>
      </c>
      <c r="H1230">
        <f>IF(D1230="","",F1230*G1230)</f>
        <v/>
      </c>
      <c r="I1230">
        <f>IF(D1230="","",H1230-F1230*IFERROR(INDEX(الأصناف!$D$2:$D$2000,MATCH(D1230,الأصناف!$A$2:$A$2000,0)),0))</f>
        <v/>
      </c>
      <c r="J1230" s="4" t="n"/>
      <c r="K1230" s="7">
        <f>IF(OR(B1230="",B1230&lt;&gt;الإيصال!$C$3),"",COUNTIF(B$2:B1230,الإيصال!$C$3))</f>
        <v/>
      </c>
    </row>
    <row r="1231">
      <c r="A1231" s="6" t="n"/>
      <c r="B1231" s="4" t="n"/>
      <c r="C1231" s="4" t="n"/>
      <c r="D1231" s="4" t="n"/>
      <c r="E1231">
        <f>IF(D1231="","",IFERROR(INDEX(الأصناف!$B$2:$B$2000,MATCH(D1231,الأصناف!$A$2:$A$2000,0)),"كود غير موجود"))</f>
        <v/>
      </c>
      <c r="F1231" s="4" t="n"/>
      <c r="G1231">
        <f>IF(D1231="","",IFERROR(INDEX(الأصناف!$C$2:$C$2000,MATCH(D1231,الأصناف!$A$2:$A$2000,0)),0))</f>
        <v/>
      </c>
      <c r="H1231">
        <f>IF(D1231="","",F1231*G1231)</f>
        <v/>
      </c>
      <c r="I1231">
        <f>IF(D1231="","",H1231-F1231*IFERROR(INDEX(الأصناف!$D$2:$D$2000,MATCH(D1231,الأصناف!$A$2:$A$2000,0)),0))</f>
        <v/>
      </c>
      <c r="J1231" s="4" t="n"/>
      <c r="K1231" s="7">
        <f>IF(OR(B1231="",B1231&lt;&gt;الإيصال!$C$3),"",COUNTIF(B$2:B1231,الإيصال!$C$3))</f>
        <v/>
      </c>
    </row>
    <row r="1232">
      <c r="A1232" s="6" t="n"/>
      <c r="B1232" s="4" t="n"/>
      <c r="C1232" s="4" t="n"/>
      <c r="D1232" s="4" t="n"/>
      <c r="E1232">
        <f>IF(D1232="","",IFERROR(INDEX(الأصناف!$B$2:$B$2000,MATCH(D1232,الأصناف!$A$2:$A$2000,0)),"كود غير موجود"))</f>
        <v/>
      </c>
      <c r="F1232" s="4" t="n"/>
      <c r="G1232">
        <f>IF(D1232="","",IFERROR(INDEX(الأصناف!$C$2:$C$2000,MATCH(D1232,الأصناف!$A$2:$A$2000,0)),0))</f>
        <v/>
      </c>
      <c r="H1232">
        <f>IF(D1232="","",F1232*G1232)</f>
        <v/>
      </c>
      <c r="I1232">
        <f>IF(D1232="","",H1232-F1232*IFERROR(INDEX(الأصناف!$D$2:$D$2000,MATCH(D1232,الأصناف!$A$2:$A$2000,0)),0))</f>
        <v/>
      </c>
      <c r="J1232" s="4" t="n"/>
      <c r="K1232" s="7">
        <f>IF(OR(B1232="",B1232&lt;&gt;الإيصال!$C$3),"",COUNTIF(B$2:B1232,الإيصال!$C$3))</f>
        <v/>
      </c>
    </row>
    <row r="1233">
      <c r="A1233" s="6" t="n"/>
      <c r="B1233" s="4" t="n"/>
      <c r="C1233" s="4" t="n"/>
      <c r="D1233" s="4" t="n"/>
      <c r="E1233">
        <f>IF(D1233="","",IFERROR(INDEX(الأصناف!$B$2:$B$2000,MATCH(D1233,الأصناف!$A$2:$A$2000,0)),"كود غير موجود"))</f>
        <v/>
      </c>
      <c r="F1233" s="4" t="n"/>
      <c r="G1233">
        <f>IF(D1233="","",IFERROR(INDEX(الأصناف!$C$2:$C$2000,MATCH(D1233,الأصناف!$A$2:$A$2000,0)),0))</f>
        <v/>
      </c>
      <c r="H1233">
        <f>IF(D1233="","",F1233*G1233)</f>
        <v/>
      </c>
      <c r="I1233">
        <f>IF(D1233="","",H1233-F1233*IFERROR(INDEX(الأصناف!$D$2:$D$2000,MATCH(D1233,الأصناف!$A$2:$A$2000,0)),0))</f>
        <v/>
      </c>
      <c r="J1233" s="4" t="n"/>
      <c r="K1233" s="7">
        <f>IF(OR(B1233="",B1233&lt;&gt;الإيصال!$C$3),"",COUNTIF(B$2:B1233,الإيصال!$C$3))</f>
        <v/>
      </c>
    </row>
    <row r="1234">
      <c r="A1234" s="6" t="n"/>
      <c r="B1234" s="4" t="n"/>
      <c r="C1234" s="4" t="n"/>
      <c r="D1234" s="4" t="n"/>
      <c r="E1234">
        <f>IF(D1234="","",IFERROR(INDEX(الأصناف!$B$2:$B$2000,MATCH(D1234,الأصناف!$A$2:$A$2000,0)),"كود غير موجود"))</f>
        <v/>
      </c>
      <c r="F1234" s="4" t="n"/>
      <c r="G1234">
        <f>IF(D1234="","",IFERROR(INDEX(الأصناف!$C$2:$C$2000,MATCH(D1234,الأصناف!$A$2:$A$2000,0)),0))</f>
        <v/>
      </c>
      <c r="H1234">
        <f>IF(D1234="","",F1234*G1234)</f>
        <v/>
      </c>
      <c r="I1234">
        <f>IF(D1234="","",H1234-F1234*IFERROR(INDEX(الأصناف!$D$2:$D$2000,MATCH(D1234,الأصناف!$A$2:$A$2000,0)),0))</f>
        <v/>
      </c>
      <c r="J1234" s="4" t="n"/>
      <c r="K1234" s="7">
        <f>IF(OR(B1234="",B1234&lt;&gt;الإيصال!$C$3),"",COUNTIF(B$2:B1234,الإيصال!$C$3))</f>
        <v/>
      </c>
    </row>
    <row r="1235">
      <c r="A1235" s="6" t="n"/>
      <c r="B1235" s="4" t="n"/>
      <c r="C1235" s="4" t="n"/>
      <c r="D1235" s="4" t="n"/>
      <c r="E1235">
        <f>IF(D1235="","",IFERROR(INDEX(الأصناف!$B$2:$B$2000,MATCH(D1235,الأصناف!$A$2:$A$2000,0)),"كود غير موجود"))</f>
        <v/>
      </c>
      <c r="F1235" s="4" t="n"/>
      <c r="G1235">
        <f>IF(D1235="","",IFERROR(INDEX(الأصناف!$C$2:$C$2000,MATCH(D1235,الأصناف!$A$2:$A$2000,0)),0))</f>
        <v/>
      </c>
      <c r="H1235">
        <f>IF(D1235="","",F1235*G1235)</f>
        <v/>
      </c>
      <c r="I1235">
        <f>IF(D1235="","",H1235-F1235*IFERROR(INDEX(الأصناف!$D$2:$D$2000,MATCH(D1235,الأصناف!$A$2:$A$2000,0)),0))</f>
        <v/>
      </c>
      <c r="J1235" s="4" t="n"/>
      <c r="K1235" s="7">
        <f>IF(OR(B1235="",B1235&lt;&gt;الإيصال!$C$3),"",COUNTIF(B$2:B1235,الإيصال!$C$3))</f>
        <v/>
      </c>
    </row>
    <row r="1236">
      <c r="A1236" s="6" t="n"/>
      <c r="B1236" s="4" t="n"/>
      <c r="C1236" s="4" t="n"/>
      <c r="D1236" s="4" t="n"/>
      <c r="E1236">
        <f>IF(D1236="","",IFERROR(INDEX(الأصناف!$B$2:$B$2000,MATCH(D1236,الأصناف!$A$2:$A$2000,0)),"كود غير موجود"))</f>
        <v/>
      </c>
      <c r="F1236" s="4" t="n"/>
      <c r="G1236">
        <f>IF(D1236="","",IFERROR(INDEX(الأصناف!$C$2:$C$2000,MATCH(D1236,الأصناف!$A$2:$A$2000,0)),0))</f>
        <v/>
      </c>
      <c r="H1236">
        <f>IF(D1236="","",F1236*G1236)</f>
        <v/>
      </c>
      <c r="I1236">
        <f>IF(D1236="","",H1236-F1236*IFERROR(INDEX(الأصناف!$D$2:$D$2000,MATCH(D1236,الأصناف!$A$2:$A$2000,0)),0))</f>
        <v/>
      </c>
      <c r="J1236" s="4" t="n"/>
      <c r="K1236" s="7">
        <f>IF(OR(B1236="",B1236&lt;&gt;الإيصال!$C$3),"",COUNTIF(B$2:B1236,الإيصال!$C$3))</f>
        <v/>
      </c>
    </row>
    <row r="1237">
      <c r="A1237" s="6" t="n"/>
      <c r="B1237" s="4" t="n"/>
      <c r="C1237" s="4" t="n"/>
      <c r="D1237" s="4" t="n"/>
      <c r="E1237">
        <f>IF(D1237="","",IFERROR(INDEX(الأصناف!$B$2:$B$2000,MATCH(D1237,الأصناف!$A$2:$A$2000,0)),"كود غير موجود"))</f>
        <v/>
      </c>
      <c r="F1237" s="4" t="n"/>
      <c r="G1237">
        <f>IF(D1237="","",IFERROR(INDEX(الأصناف!$C$2:$C$2000,MATCH(D1237,الأصناف!$A$2:$A$2000,0)),0))</f>
        <v/>
      </c>
      <c r="H1237">
        <f>IF(D1237="","",F1237*G1237)</f>
        <v/>
      </c>
      <c r="I1237">
        <f>IF(D1237="","",H1237-F1237*IFERROR(INDEX(الأصناف!$D$2:$D$2000,MATCH(D1237,الأصناف!$A$2:$A$2000,0)),0))</f>
        <v/>
      </c>
      <c r="J1237" s="4" t="n"/>
      <c r="K1237" s="7">
        <f>IF(OR(B1237="",B1237&lt;&gt;الإيصال!$C$3),"",COUNTIF(B$2:B1237,الإيصال!$C$3))</f>
        <v/>
      </c>
    </row>
    <row r="1238">
      <c r="A1238" s="6" t="n"/>
      <c r="B1238" s="4" t="n"/>
      <c r="C1238" s="4" t="n"/>
      <c r="D1238" s="4" t="n"/>
      <c r="E1238">
        <f>IF(D1238="","",IFERROR(INDEX(الأصناف!$B$2:$B$2000,MATCH(D1238,الأصناف!$A$2:$A$2000,0)),"كود غير موجود"))</f>
        <v/>
      </c>
      <c r="F1238" s="4" t="n"/>
      <c r="G1238">
        <f>IF(D1238="","",IFERROR(INDEX(الأصناف!$C$2:$C$2000,MATCH(D1238,الأصناف!$A$2:$A$2000,0)),0))</f>
        <v/>
      </c>
      <c r="H1238">
        <f>IF(D1238="","",F1238*G1238)</f>
        <v/>
      </c>
      <c r="I1238">
        <f>IF(D1238="","",H1238-F1238*IFERROR(INDEX(الأصناف!$D$2:$D$2000,MATCH(D1238,الأصناف!$A$2:$A$2000,0)),0))</f>
        <v/>
      </c>
      <c r="J1238" s="4" t="n"/>
      <c r="K1238" s="7">
        <f>IF(OR(B1238="",B1238&lt;&gt;الإيصال!$C$3),"",COUNTIF(B$2:B1238,الإيصال!$C$3))</f>
        <v/>
      </c>
    </row>
    <row r="1239">
      <c r="A1239" s="6" t="n"/>
      <c r="B1239" s="4" t="n"/>
      <c r="C1239" s="4" t="n"/>
      <c r="D1239" s="4" t="n"/>
      <c r="E1239">
        <f>IF(D1239="","",IFERROR(INDEX(الأصناف!$B$2:$B$2000,MATCH(D1239,الأصناف!$A$2:$A$2000,0)),"كود غير موجود"))</f>
        <v/>
      </c>
      <c r="F1239" s="4" t="n"/>
      <c r="G1239">
        <f>IF(D1239="","",IFERROR(INDEX(الأصناف!$C$2:$C$2000,MATCH(D1239,الأصناف!$A$2:$A$2000,0)),0))</f>
        <v/>
      </c>
      <c r="H1239">
        <f>IF(D1239="","",F1239*G1239)</f>
        <v/>
      </c>
      <c r="I1239">
        <f>IF(D1239="","",H1239-F1239*IFERROR(INDEX(الأصناف!$D$2:$D$2000,MATCH(D1239,الأصناف!$A$2:$A$2000,0)),0))</f>
        <v/>
      </c>
      <c r="J1239" s="4" t="n"/>
      <c r="K1239" s="7">
        <f>IF(OR(B1239="",B1239&lt;&gt;الإيصال!$C$3),"",COUNTIF(B$2:B1239,الإيصال!$C$3))</f>
        <v/>
      </c>
    </row>
    <row r="1240">
      <c r="A1240" s="6" t="n"/>
      <c r="B1240" s="4" t="n"/>
      <c r="C1240" s="4" t="n"/>
      <c r="D1240" s="4" t="n"/>
      <c r="E1240">
        <f>IF(D1240="","",IFERROR(INDEX(الأصناف!$B$2:$B$2000,MATCH(D1240,الأصناف!$A$2:$A$2000,0)),"كود غير موجود"))</f>
        <v/>
      </c>
      <c r="F1240" s="4" t="n"/>
      <c r="G1240">
        <f>IF(D1240="","",IFERROR(INDEX(الأصناف!$C$2:$C$2000,MATCH(D1240,الأصناف!$A$2:$A$2000,0)),0))</f>
        <v/>
      </c>
      <c r="H1240">
        <f>IF(D1240="","",F1240*G1240)</f>
        <v/>
      </c>
      <c r="I1240">
        <f>IF(D1240="","",H1240-F1240*IFERROR(INDEX(الأصناف!$D$2:$D$2000,MATCH(D1240,الأصناف!$A$2:$A$2000,0)),0))</f>
        <v/>
      </c>
      <c r="J1240" s="4" t="n"/>
      <c r="K1240" s="7">
        <f>IF(OR(B1240="",B1240&lt;&gt;الإيصال!$C$3),"",COUNTIF(B$2:B1240,الإيصال!$C$3))</f>
        <v/>
      </c>
    </row>
    <row r="1241">
      <c r="A1241" s="6" t="n"/>
      <c r="B1241" s="4" t="n"/>
      <c r="C1241" s="4" t="n"/>
      <c r="D1241" s="4" t="n"/>
      <c r="E1241">
        <f>IF(D1241="","",IFERROR(INDEX(الأصناف!$B$2:$B$2000,MATCH(D1241,الأصناف!$A$2:$A$2000,0)),"كود غير موجود"))</f>
        <v/>
      </c>
      <c r="F1241" s="4" t="n"/>
      <c r="G1241">
        <f>IF(D1241="","",IFERROR(INDEX(الأصناف!$C$2:$C$2000,MATCH(D1241,الأصناف!$A$2:$A$2000,0)),0))</f>
        <v/>
      </c>
      <c r="H1241">
        <f>IF(D1241="","",F1241*G1241)</f>
        <v/>
      </c>
      <c r="I1241">
        <f>IF(D1241="","",H1241-F1241*IFERROR(INDEX(الأصناف!$D$2:$D$2000,MATCH(D1241,الأصناف!$A$2:$A$2000,0)),0))</f>
        <v/>
      </c>
      <c r="J1241" s="4" t="n"/>
      <c r="K1241" s="7">
        <f>IF(OR(B1241="",B1241&lt;&gt;الإيصال!$C$3),"",COUNTIF(B$2:B1241,الإيصال!$C$3))</f>
        <v/>
      </c>
    </row>
    <row r="1242">
      <c r="A1242" s="6" t="n"/>
      <c r="B1242" s="4" t="n"/>
      <c r="C1242" s="4" t="n"/>
      <c r="D1242" s="4" t="n"/>
      <c r="E1242">
        <f>IF(D1242="","",IFERROR(INDEX(الأصناف!$B$2:$B$2000,MATCH(D1242,الأصناف!$A$2:$A$2000,0)),"كود غير موجود"))</f>
        <v/>
      </c>
      <c r="F1242" s="4" t="n"/>
      <c r="G1242">
        <f>IF(D1242="","",IFERROR(INDEX(الأصناف!$C$2:$C$2000,MATCH(D1242,الأصناف!$A$2:$A$2000,0)),0))</f>
        <v/>
      </c>
      <c r="H1242">
        <f>IF(D1242="","",F1242*G1242)</f>
        <v/>
      </c>
      <c r="I1242">
        <f>IF(D1242="","",H1242-F1242*IFERROR(INDEX(الأصناف!$D$2:$D$2000,MATCH(D1242,الأصناف!$A$2:$A$2000,0)),0))</f>
        <v/>
      </c>
      <c r="J1242" s="4" t="n"/>
      <c r="K1242" s="7">
        <f>IF(OR(B1242="",B1242&lt;&gt;الإيصال!$C$3),"",COUNTIF(B$2:B1242,الإيصال!$C$3))</f>
        <v/>
      </c>
    </row>
    <row r="1243">
      <c r="A1243" s="6" t="n"/>
      <c r="B1243" s="4" t="n"/>
      <c r="C1243" s="4" t="n"/>
      <c r="D1243" s="4" t="n"/>
      <c r="E1243">
        <f>IF(D1243="","",IFERROR(INDEX(الأصناف!$B$2:$B$2000,MATCH(D1243,الأصناف!$A$2:$A$2000,0)),"كود غير موجود"))</f>
        <v/>
      </c>
      <c r="F1243" s="4" t="n"/>
      <c r="G1243">
        <f>IF(D1243="","",IFERROR(INDEX(الأصناف!$C$2:$C$2000,MATCH(D1243,الأصناف!$A$2:$A$2000,0)),0))</f>
        <v/>
      </c>
      <c r="H1243">
        <f>IF(D1243="","",F1243*G1243)</f>
        <v/>
      </c>
      <c r="I1243">
        <f>IF(D1243="","",H1243-F1243*IFERROR(INDEX(الأصناف!$D$2:$D$2000,MATCH(D1243,الأصناف!$A$2:$A$2000,0)),0))</f>
        <v/>
      </c>
      <c r="J1243" s="4" t="n"/>
      <c r="K1243" s="7">
        <f>IF(OR(B1243="",B1243&lt;&gt;الإيصال!$C$3),"",COUNTIF(B$2:B1243,الإيصال!$C$3))</f>
        <v/>
      </c>
    </row>
    <row r="1244">
      <c r="A1244" s="6" t="n"/>
      <c r="B1244" s="4" t="n"/>
      <c r="C1244" s="4" t="n"/>
      <c r="D1244" s="4" t="n"/>
      <c r="E1244">
        <f>IF(D1244="","",IFERROR(INDEX(الأصناف!$B$2:$B$2000,MATCH(D1244,الأصناف!$A$2:$A$2000,0)),"كود غير موجود"))</f>
        <v/>
      </c>
      <c r="F1244" s="4" t="n"/>
      <c r="G1244">
        <f>IF(D1244="","",IFERROR(INDEX(الأصناف!$C$2:$C$2000,MATCH(D1244,الأصناف!$A$2:$A$2000,0)),0))</f>
        <v/>
      </c>
      <c r="H1244">
        <f>IF(D1244="","",F1244*G1244)</f>
        <v/>
      </c>
      <c r="I1244">
        <f>IF(D1244="","",H1244-F1244*IFERROR(INDEX(الأصناف!$D$2:$D$2000,MATCH(D1244,الأصناف!$A$2:$A$2000,0)),0))</f>
        <v/>
      </c>
      <c r="J1244" s="4" t="n"/>
      <c r="K1244" s="7">
        <f>IF(OR(B1244="",B1244&lt;&gt;الإيصال!$C$3),"",COUNTIF(B$2:B1244,الإيصال!$C$3))</f>
        <v/>
      </c>
    </row>
    <row r="1245">
      <c r="A1245" s="6" t="n"/>
      <c r="B1245" s="4" t="n"/>
      <c r="C1245" s="4" t="n"/>
      <c r="D1245" s="4" t="n"/>
      <c r="E1245">
        <f>IF(D1245="","",IFERROR(INDEX(الأصناف!$B$2:$B$2000,MATCH(D1245,الأصناف!$A$2:$A$2000,0)),"كود غير موجود"))</f>
        <v/>
      </c>
      <c r="F1245" s="4" t="n"/>
      <c r="G1245">
        <f>IF(D1245="","",IFERROR(INDEX(الأصناف!$C$2:$C$2000,MATCH(D1245,الأصناف!$A$2:$A$2000,0)),0))</f>
        <v/>
      </c>
      <c r="H1245">
        <f>IF(D1245="","",F1245*G1245)</f>
        <v/>
      </c>
      <c r="I1245">
        <f>IF(D1245="","",H1245-F1245*IFERROR(INDEX(الأصناف!$D$2:$D$2000,MATCH(D1245,الأصناف!$A$2:$A$2000,0)),0))</f>
        <v/>
      </c>
      <c r="J1245" s="4" t="n"/>
      <c r="K1245" s="7">
        <f>IF(OR(B1245="",B1245&lt;&gt;الإيصال!$C$3),"",COUNTIF(B$2:B1245,الإيصال!$C$3))</f>
        <v/>
      </c>
    </row>
    <row r="1246">
      <c r="A1246" s="6" t="n"/>
      <c r="B1246" s="4" t="n"/>
      <c r="C1246" s="4" t="n"/>
      <c r="D1246" s="4" t="n"/>
      <c r="E1246">
        <f>IF(D1246="","",IFERROR(INDEX(الأصناف!$B$2:$B$2000,MATCH(D1246,الأصناف!$A$2:$A$2000,0)),"كود غير موجود"))</f>
        <v/>
      </c>
      <c r="F1246" s="4" t="n"/>
      <c r="G1246">
        <f>IF(D1246="","",IFERROR(INDEX(الأصناف!$C$2:$C$2000,MATCH(D1246,الأصناف!$A$2:$A$2000,0)),0))</f>
        <v/>
      </c>
      <c r="H1246">
        <f>IF(D1246="","",F1246*G1246)</f>
        <v/>
      </c>
      <c r="I1246">
        <f>IF(D1246="","",H1246-F1246*IFERROR(INDEX(الأصناف!$D$2:$D$2000,MATCH(D1246,الأصناف!$A$2:$A$2000,0)),0))</f>
        <v/>
      </c>
      <c r="J1246" s="4" t="n"/>
      <c r="K1246" s="7">
        <f>IF(OR(B1246="",B1246&lt;&gt;الإيصال!$C$3),"",COUNTIF(B$2:B1246,الإيصال!$C$3))</f>
        <v/>
      </c>
    </row>
    <row r="1247">
      <c r="A1247" s="6" t="n"/>
      <c r="B1247" s="4" t="n"/>
      <c r="C1247" s="4" t="n"/>
      <c r="D1247" s="4" t="n"/>
      <c r="E1247">
        <f>IF(D1247="","",IFERROR(INDEX(الأصناف!$B$2:$B$2000,MATCH(D1247,الأصناف!$A$2:$A$2000,0)),"كود غير موجود"))</f>
        <v/>
      </c>
      <c r="F1247" s="4" t="n"/>
      <c r="G1247">
        <f>IF(D1247="","",IFERROR(INDEX(الأصناف!$C$2:$C$2000,MATCH(D1247,الأصناف!$A$2:$A$2000,0)),0))</f>
        <v/>
      </c>
      <c r="H1247">
        <f>IF(D1247="","",F1247*G1247)</f>
        <v/>
      </c>
      <c r="I1247">
        <f>IF(D1247="","",H1247-F1247*IFERROR(INDEX(الأصناف!$D$2:$D$2000,MATCH(D1247,الأصناف!$A$2:$A$2000,0)),0))</f>
        <v/>
      </c>
      <c r="J1247" s="4" t="n"/>
      <c r="K1247" s="7">
        <f>IF(OR(B1247="",B1247&lt;&gt;الإيصال!$C$3),"",COUNTIF(B$2:B1247,الإيصال!$C$3))</f>
        <v/>
      </c>
    </row>
    <row r="1248">
      <c r="A1248" s="6" t="n"/>
      <c r="B1248" s="4" t="n"/>
      <c r="C1248" s="4" t="n"/>
      <c r="D1248" s="4" t="n"/>
      <c r="E1248">
        <f>IF(D1248="","",IFERROR(INDEX(الأصناف!$B$2:$B$2000,MATCH(D1248,الأصناف!$A$2:$A$2000,0)),"كود غير موجود"))</f>
        <v/>
      </c>
      <c r="F1248" s="4" t="n"/>
      <c r="G1248">
        <f>IF(D1248="","",IFERROR(INDEX(الأصناف!$C$2:$C$2000,MATCH(D1248,الأصناف!$A$2:$A$2000,0)),0))</f>
        <v/>
      </c>
      <c r="H1248">
        <f>IF(D1248="","",F1248*G1248)</f>
        <v/>
      </c>
      <c r="I1248">
        <f>IF(D1248="","",H1248-F1248*IFERROR(INDEX(الأصناف!$D$2:$D$2000,MATCH(D1248,الأصناف!$A$2:$A$2000,0)),0))</f>
        <v/>
      </c>
      <c r="J1248" s="4" t="n"/>
      <c r="K1248" s="7">
        <f>IF(OR(B1248="",B1248&lt;&gt;الإيصال!$C$3),"",COUNTIF(B$2:B1248,الإيصال!$C$3))</f>
        <v/>
      </c>
    </row>
    <row r="1249">
      <c r="A1249" s="6" t="n"/>
      <c r="B1249" s="4" t="n"/>
      <c r="C1249" s="4" t="n"/>
      <c r="D1249" s="4" t="n"/>
      <c r="E1249">
        <f>IF(D1249="","",IFERROR(INDEX(الأصناف!$B$2:$B$2000,MATCH(D1249,الأصناف!$A$2:$A$2000,0)),"كود غير موجود"))</f>
        <v/>
      </c>
      <c r="F1249" s="4" t="n"/>
      <c r="G1249">
        <f>IF(D1249="","",IFERROR(INDEX(الأصناف!$C$2:$C$2000,MATCH(D1249,الأصناف!$A$2:$A$2000,0)),0))</f>
        <v/>
      </c>
      <c r="H1249">
        <f>IF(D1249="","",F1249*G1249)</f>
        <v/>
      </c>
      <c r="I1249">
        <f>IF(D1249="","",H1249-F1249*IFERROR(INDEX(الأصناف!$D$2:$D$2000,MATCH(D1249,الأصناف!$A$2:$A$2000,0)),0))</f>
        <v/>
      </c>
      <c r="J1249" s="4" t="n"/>
      <c r="K1249" s="7">
        <f>IF(OR(B1249="",B1249&lt;&gt;الإيصال!$C$3),"",COUNTIF(B$2:B1249,الإيصال!$C$3))</f>
        <v/>
      </c>
    </row>
    <row r="1250">
      <c r="A1250" s="6" t="n"/>
      <c r="B1250" s="4" t="n"/>
      <c r="C1250" s="4" t="n"/>
      <c r="D1250" s="4" t="n"/>
      <c r="E1250">
        <f>IF(D1250="","",IFERROR(INDEX(الأصناف!$B$2:$B$2000,MATCH(D1250,الأصناف!$A$2:$A$2000,0)),"كود غير موجود"))</f>
        <v/>
      </c>
      <c r="F1250" s="4" t="n"/>
      <c r="G1250">
        <f>IF(D1250="","",IFERROR(INDEX(الأصناف!$C$2:$C$2000,MATCH(D1250,الأصناف!$A$2:$A$2000,0)),0))</f>
        <v/>
      </c>
      <c r="H1250">
        <f>IF(D1250="","",F1250*G1250)</f>
        <v/>
      </c>
      <c r="I1250">
        <f>IF(D1250="","",H1250-F1250*IFERROR(INDEX(الأصناف!$D$2:$D$2000,MATCH(D1250,الأصناف!$A$2:$A$2000,0)),0))</f>
        <v/>
      </c>
      <c r="J1250" s="4" t="n"/>
      <c r="K1250" s="7">
        <f>IF(OR(B1250="",B1250&lt;&gt;الإيصال!$C$3),"",COUNTIF(B$2:B1250,الإيصال!$C$3))</f>
        <v/>
      </c>
    </row>
    <row r="1251">
      <c r="A1251" s="6" t="n"/>
      <c r="B1251" s="4" t="n"/>
      <c r="C1251" s="4" t="n"/>
      <c r="D1251" s="4" t="n"/>
      <c r="E1251">
        <f>IF(D1251="","",IFERROR(INDEX(الأصناف!$B$2:$B$2000,MATCH(D1251,الأصناف!$A$2:$A$2000,0)),"كود غير موجود"))</f>
        <v/>
      </c>
      <c r="F1251" s="4" t="n"/>
      <c r="G1251">
        <f>IF(D1251="","",IFERROR(INDEX(الأصناف!$C$2:$C$2000,MATCH(D1251,الأصناف!$A$2:$A$2000,0)),0))</f>
        <v/>
      </c>
      <c r="H1251">
        <f>IF(D1251="","",F1251*G1251)</f>
        <v/>
      </c>
      <c r="I1251">
        <f>IF(D1251="","",H1251-F1251*IFERROR(INDEX(الأصناف!$D$2:$D$2000,MATCH(D1251,الأصناف!$A$2:$A$2000,0)),0))</f>
        <v/>
      </c>
      <c r="J1251" s="4" t="n"/>
      <c r="K1251" s="7">
        <f>IF(OR(B1251="",B1251&lt;&gt;الإيصال!$C$3),"",COUNTIF(B$2:B1251,الإيصال!$C$3))</f>
        <v/>
      </c>
    </row>
    <row r="1252">
      <c r="A1252" s="6" t="n"/>
      <c r="B1252" s="4" t="n"/>
      <c r="C1252" s="4" t="n"/>
      <c r="D1252" s="4" t="n"/>
      <c r="E1252">
        <f>IF(D1252="","",IFERROR(INDEX(الأصناف!$B$2:$B$2000,MATCH(D1252,الأصناف!$A$2:$A$2000,0)),"كود غير موجود"))</f>
        <v/>
      </c>
      <c r="F1252" s="4" t="n"/>
      <c r="G1252">
        <f>IF(D1252="","",IFERROR(INDEX(الأصناف!$C$2:$C$2000,MATCH(D1252,الأصناف!$A$2:$A$2000,0)),0))</f>
        <v/>
      </c>
      <c r="H1252">
        <f>IF(D1252="","",F1252*G1252)</f>
        <v/>
      </c>
      <c r="I1252">
        <f>IF(D1252="","",H1252-F1252*IFERROR(INDEX(الأصناف!$D$2:$D$2000,MATCH(D1252,الأصناف!$A$2:$A$2000,0)),0))</f>
        <v/>
      </c>
      <c r="J1252" s="4" t="n"/>
      <c r="K1252" s="7">
        <f>IF(OR(B1252="",B1252&lt;&gt;الإيصال!$C$3),"",COUNTIF(B$2:B1252,الإيصال!$C$3))</f>
        <v/>
      </c>
    </row>
    <row r="1253">
      <c r="A1253" s="6" t="n"/>
      <c r="B1253" s="4" t="n"/>
      <c r="C1253" s="4" t="n"/>
      <c r="D1253" s="4" t="n"/>
      <c r="E1253">
        <f>IF(D1253="","",IFERROR(INDEX(الأصناف!$B$2:$B$2000,MATCH(D1253,الأصناف!$A$2:$A$2000,0)),"كود غير موجود"))</f>
        <v/>
      </c>
      <c r="F1253" s="4" t="n"/>
      <c r="G1253">
        <f>IF(D1253="","",IFERROR(INDEX(الأصناف!$C$2:$C$2000,MATCH(D1253,الأصناف!$A$2:$A$2000,0)),0))</f>
        <v/>
      </c>
      <c r="H1253">
        <f>IF(D1253="","",F1253*G1253)</f>
        <v/>
      </c>
      <c r="I1253">
        <f>IF(D1253="","",H1253-F1253*IFERROR(INDEX(الأصناف!$D$2:$D$2000,MATCH(D1253,الأصناف!$A$2:$A$2000,0)),0))</f>
        <v/>
      </c>
      <c r="J1253" s="4" t="n"/>
      <c r="K1253" s="7">
        <f>IF(OR(B1253="",B1253&lt;&gt;الإيصال!$C$3),"",COUNTIF(B$2:B1253,الإيصال!$C$3))</f>
        <v/>
      </c>
    </row>
    <row r="1254">
      <c r="A1254" s="6" t="n"/>
      <c r="B1254" s="4" t="n"/>
      <c r="C1254" s="4" t="n"/>
      <c r="D1254" s="4" t="n"/>
      <c r="E1254">
        <f>IF(D1254="","",IFERROR(INDEX(الأصناف!$B$2:$B$2000,MATCH(D1254,الأصناف!$A$2:$A$2000,0)),"كود غير موجود"))</f>
        <v/>
      </c>
      <c r="F1254" s="4" t="n"/>
      <c r="G1254">
        <f>IF(D1254="","",IFERROR(INDEX(الأصناف!$C$2:$C$2000,MATCH(D1254,الأصناف!$A$2:$A$2000,0)),0))</f>
        <v/>
      </c>
      <c r="H1254">
        <f>IF(D1254="","",F1254*G1254)</f>
        <v/>
      </c>
      <c r="I1254">
        <f>IF(D1254="","",H1254-F1254*IFERROR(INDEX(الأصناف!$D$2:$D$2000,MATCH(D1254,الأصناف!$A$2:$A$2000,0)),0))</f>
        <v/>
      </c>
      <c r="J1254" s="4" t="n"/>
      <c r="K1254" s="7">
        <f>IF(OR(B1254="",B1254&lt;&gt;الإيصال!$C$3),"",COUNTIF(B$2:B1254,الإيصال!$C$3))</f>
        <v/>
      </c>
    </row>
    <row r="1255">
      <c r="A1255" s="6" t="n"/>
      <c r="B1255" s="4" t="n"/>
      <c r="C1255" s="4" t="n"/>
      <c r="D1255" s="4" t="n"/>
      <c r="E1255">
        <f>IF(D1255="","",IFERROR(INDEX(الأصناف!$B$2:$B$2000,MATCH(D1255,الأصناف!$A$2:$A$2000,0)),"كود غير موجود"))</f>
        <v/>
      </c>
      <c r="F1255" s="4" t="n"/>
      <c r="G1255">
        <f>IF(D1255="","",IFERROR(INDEX(الأصناف!$C$2:$C$2000,MATCH(D1255,الأصناف!$A$2:$A$2000,0)),0))</f>
        <v/>
      </c>
      <c r="H1255">
        <f>IF(D1255="","",F1255*G1255)</f>
        <v/>
      </c>
      <c r="I1255">
        <f>IF(D1255="","",H1255-F1255*IFERROR(INDEX(الأصناف!$D$2:$D$2000,MATCH(D1255,الأصناف!$A$2:$A$2000,0)),0))</f>
        <v/>
      </c>
      <c r="J1255" s="4" t="n"/>
      <c r="K1255" s="7">
        <f>IF(OR(B1255="",B1255&lt;&gt;الإيصال!$C$3),"",COUNTIF(B$2:B1255,الإيصال!$C$3))</f>
        <v/>
      </c>
    </row>
    <row r="1256">
      <c r="A1256" s="6" t="n"/>
      <c r="B1256" s="4" t="n"/>
      <c r="C1256" s="4" t="n"/>
      <c r="D1256" s="4" t="n"/>
      <c r="E1256">
        <f>IF(D1256="","",IFERROR(INDEX(الأصناف!$B$2:$B$2000,MATCH(D1256,الأصناف!$A$2:$A$2000,0)),"كود غير موجود"))</f>
        <v/>
      </c>
      <c r="F1256" s="4" t="n"/>
      <c r="G1256">
        <f>IF(D1256="","",IFERROR(INDEX(الأصناف!$C$2:$C$2000,MATCH(D1256,الأصناف!$A$2:$A$2000,0)),0))</f>
        <v/>
      </c>
      <c r="H1256">
        <f>IF(D1256="","",F1256*G1256)</f>
        <v/>
      </c>
      <c r="I1256">
        <f>IF(D1256="","",H1256-F1256*IFERROR(INDEX(الأصناف!$D$2:$D$2000,MATCH(D1256,الأصناف!$A$2:$A$2000,0)),0))</f>
        <v/>
      </c>
      <c r="J1256" s="4" t="n"/>
      <c r="K1256" s="7">
        <f>IF(OR(B1256="",B1256&lt;&gt;الإيصال!$C$3),"",COUNTIF(B$2:B1256,الإيصال!$C$3))</f>
        <v/>
      </c>
    </row>
    <row r="1257">
      <c r="A1257" s="6" t="n"/>
      <c r="B1257" s="4" t="n"/>
      <c r="C1257" s="4" t="n"/>
      <c r="D1257" s="4" t="n"/>
      <c r="E1257">
        <f>IF(D1257="","",IFERROR(INDEX(الأصناف!$B$2:$B$2000,MATCH(D1257,الأصناف!$A$2:$A$2000,0)),"كود غير موجود"))</f>
        <v/>
      </c>
      <c r="F1257" s="4" t="n"/>
      <c r="G1257">
        <f>IF(D1257="","",IFERROR(INDEX(الأصناف!$C$2:$C$2000,MATCH(D1257,الأصناف!$A$2:$A$2000,0)),0))</f>
        <v/>
      </c>
      <c r="H1257">
        <f>IF(D1257="","",F1257*G1257)</f>
        <v/>
      </c>
      <c r="I1257">
        <f>IF(D1257="","",H1257-F1257*IFERROR(INDEX(الأصناف!$D$2:$D$2000,MATCH(D1257,الأصناف!$A$2:$A$2000,0)),0))</f>
        <v/>
      </c>
      <c r="J1257" s="4" t="n"/>
      <c r="K1257" s="7">
        <f>IF(OR(B1257="",B1257&lt;&gt;الإيصال!$C$3),"",COUNTIF(B$2:B1257,الإيصال!$C$3))</f>
        <v/>
      </c>
    </row>
    <row r="1258">
      <c r="A1258" s="6" t="n"/>
      <c r="B1258" s="4" t="n"/>
      <c r="C1258" s="4" t="n"/>
      <c r="D1258" s="4" t="n"/>
      <c r="E1258">
        <f>IF(D1258="","",IFERROR(INDEX(الأصناف!$B$2:$B$2000,MATCH(D1258,الأصناف!$A$2:$A$2000,0)),"كود غير موجود"))</f>
        <v/>
      </c>
      <c r="F1258" s="4" t="n"/>
      <c r="G1258">
        <f>IF(D1258="","",IFERROR(INDEX(الأصناف!$C$2:$C$2000,MATCH(D1258,الأصناف!$A$2:$A$2000,0)),0))</f>
        <v/>
      </c>
      <c r="H1258">
        <f>IF(D1258="","",F1258*G1258)</f>
        <v/>
      </c>
      <c r="I1258">
        <f>IF(D1258="","",H1258-F1258*IFERROR(INDEX(الأصناف!$D$2:$D$2000,MATCH(D1258,الأصناف!$A$2:$A$2000,0)),0))</f>
        <v/>
      </c>
      <c r="J1258" s="4" t="n"/>
      <c r="K1258" s="7">
        <f>IF(OR(B1258="",B1258&lt;&gt;الإيصال!$C$3),"",COUNTIF(B$2:B1258,الإيصال!$C$3))</f>
        <v/>
      </c>
    </row>
    <row r="1259">
      <c r="A1259" s="6" t="n"/>
      <c r="B1259" s="4" t="n"/>
      <c r="C1259" s="4" t="n"/>
      <c r="D1259" s="4" t="n"/>
      <c r="E1259">
        <f>IF(D1259="","",IFERROR(INDEX(الأصناف!$B$2:$B$2000,MATCH(D1259,الأصناف!$A$2:$A$2000,0)),"كود غير موجود"))</f>
        <v/>
      </c>
      <c r="F1259" s="4" t="n"/>
      <c r="G1259">
        <f>IF(D1259="","",IFERROR(INDEX(الأصناف!$C$2:$C$2000,MATCH(D1259,الأصناف!$A$2:$A$2000,0)),0))</f>
        <v/>
      </c>
      <c r="H1259">
        <f>IF(D1259="","",F1259*G1259)</f>
        <v/>
      </c>
      <c r="I1259">
        <f>IF(D1259="","",H1259-F1259*IFERROR(INDEX(الأصناف!$D$2:$D$2000,MATCH(D1259,الأصناف!$A$2:$A$2000,0)),0))</f>
        <v/>
      </c>
      <c r="J1259" s="4" t="n"/>
      <c r="K1259" s="7">
        <f>IF(OR(B1259="",B1259&lt;&gt;الإيصال!$C$3),"",COUNTIF(B$2:B1259,الإيصال!$C$3))</f>
        <v/>
      </c>
    </row>
    <row r="1260">
      <c r="A1260" s="6" t="n"/>
      <c r="B1260" s="4" t="n"/>
      <c r="C1260" s="4" t="n"/>
      <c r="D1260" s="4" t="n"/>
      <c r="E1260">
        <f>IF(D1260="","",IFERROR(INDEX(الأصناف!$B$2:$B$2000,MATCH(D1260,الأصناف!$A$2:$A$2000,0)),"كود غير موجود"))</f>
        <v/>
      </c>
      <c r="F1260" s="4" t="n"/>
      <c r="G1260">
        <f>IF(D1260="","",IFERROR(INDEX(الأصناف!$C$2:$C$2000,MATCH(D1260,الأصناف!$A$2:$A$2000,0)),0))</f>
        <v/>
      </c>
      <c r="H1260">
        <f>IF(D1260="","",F1260*G1260)</f>
        <v/>
      </c>
      <c r="I1260">
        <f>IF(D1260="","",H1260-F1260*IFERROR(INDEX(الأصناف!$D$2:$D$2000,MATCH(D1260,الأصناف!$A$2:$A$2000,0)),0))</f>
        <v/>
      </c>
      <c r="J1260" s="4" t="n"/>
      <c r="K1260" s="7">
        <f>IF(OR(B1260="",B1260&lt;&gt;الإيصال!$C$3),"",COUNTIF(B$2:B1260,الإيصال!$C$3))</f>
        <v/>
      </c>
    </row>
    <row r="1261">
      <c r="A1261" s="6" t="n"/>
      <c r="B1261" s="4" t="n"/>
      <c r="C1261" s="4" t="n"/>
      <c r="D1261" s="4" t="n"/>
      <c r="E1261">
        <f>IF(D1261="","",IFERROR(INDEX(الأصناف!$B$2:$B$2000,MATCH(D1261,الأصناف!$A$2:$A$2000,0)),"كود غير موجود"))</f>
        <v/>
      </c>
      <c r="F1261" s="4" t="n"/>
      <c r="G1261">
        <f>IF(D1261="","",IFERROR(INDEX(الأصناف!$C$2:$C$2000,MATCH(D1261,الأصناف!$A$2:$A$2000,0)),0))</f>
        <v/>
      </c>
      <c r="H1261">
        <f>IF(D1261="","",F1261*G1261)</f>
        <v/>
      </c>
      <c r="I1261">
        <f>IF(D1261="","",H1261-F1261*IFERROR(INDEX(الأصناف!$D$2:$D$2000,MATCH(D1261,الأصناف!$A$2:$A$2000,0)),0))</f>
        <v/>
      </c>
      <c r="J1261" s="4" t="n"/>
      <c r="K1261" s="7">
        <f>IF(OR(B1261="",B1261&lt;&gt;الإيصال!$C$3),"",COUNTIF(B$2:B1261,الإيصال!$C$3))</f>
        <v/>
      </c>
    </row>
    <row r="1262">
      <c r="A1262" s="6" t="n"/>
      <c r="B1262" s="4" t="n"/>
      <c r="C1262" s="4" t="n"/>
      <c r="D1262" s="4" t="n"/>
      <c r="E1262">
        <f>IF(D1262="","",IFERROR(INDEX(الأصناف!$B$2:$B$2000,MATCH(D1262,الأصناف!$A$2:$A$2000,0)),"كود غير موجود"))</f>
        <v/>
      </c>
      <c r="F1262" s="4" t="n"/>
      <c r="G1262">
        <f>IF(D1262="","",IFERROR(INDEX(الأصناف!$C$2:$C$2000,MATCH(D1262,الأصناف!$A$2:$A$2000,0)),0))</f>
        <v/>
      </c>
      <c r="H1262">
        <f>IF(D1262="","",F1262*G1262)</f>
        <v/>
      </c>
      <c r="I1262">
        <f>IF(D1262="","",H1262-F1262*IFERROR(INDEX(الأصناف!$D$2:$D$2000,MATCH(D1262,الأصناف!$A$2:$A$2000,0)),0))</f>
        <v/>
      </c>
      <c r="J1262" s="4" t="n"/>
      <c r="K1262" s="7">
        <f>IF(OR(B1262="",B1262&lt;&gt;الإيصال!$C$3),"",COUNTIF(B$2:B1262,الإيصال!$C$3))</f>
        <v/>
      </c>
    </row>
    <row r="1263">
      <c r="A1263" s="6" t="n"/>
      <c r="B1263" s="4" t="n"/>
      <c r="C1263" s="4" t="n"/>
      <c r="D1263" s="4" t="n"/>
      <c r="E1263">
        <f>IF(D1263="","",IFERROR(INDEX(الأصناف!$B$2:$B$2000,MATCH(D1263,الأصناف!$A$2:$A$2000,0)),"كود غير موجود"))</f>
        <v/>
      </c>
      <c r="F1263" s="4" t="n"/>
      <c r="G1263">
        <f>IF(D1263="","",IFERROR(INDEX(الأصناف!$C$2:$C$2000,MATCH(D1263,الأصناف!$A$2:$A$2000,0)),0))</f>
        <v/>
      </c>
      <c r="H1263">
        <f>IF(D1263="","",F1263*G1263)</f>
        <v/>
      </c>
      <c r="I1263">
        <f>IF(D1263="","",H1263-F1263*IFERROR(INDEX(الأصناف!$D$2:$D$2000,MATCH(D1263,الأصناف!$A$2:$A$2000,0)),0))</f>
        <v/>
      </c>
      <c r="J1263" s="4" t="n"/>
      <c r="K1263" s="7">
        <f>IF(OR(B1263="",B1263&lt;&gt;الإيصال!$C$3),"",COUNTIF(B$2:B1263,الإيصال!$C$3))</f>
        <v/>
      </c>
    </row>
    <row r="1264">
      <c r="A1264" s="6" t="n"/>
      <c r="B1264" s="4" t="n"/>
      <c r="C1264" s="4" t="n"/>
      <c r="D1264" s="4" t="n"/>
      <c r="E1264">
        <f>IF(D1264="","",IFERROR(INDEX(الأصناف!$B$2:$B$2000,MATCH(D1264,الأصناف!$A$2:$A$2000,0)),"كود غير موجود"))</f>
        <v/>
      </c>
      <c r="F1264" s="4" t="n"/>
      <c r="G1264">
        <f>IF(D1264="","",IFERROR(INDEX(الأصناف!$C$2:$C$2000,MATCH(D1264,الأصناف!$A$2:$A$2000,0)),0))</f>
        <v/>
      </c>
      <c r="H1264">
        <f>IF(D1264="","",F1264*G1264)</f>
        <v/>
      </c>
      <c r="I1264">
        <f>IF(D1264="","",H1264-F1264*IFERROR(INDEX(الأصناف!$D$2:$D$2000,MATCH(D1264,الأصناف!$A$2:$A$2000,0)),0))</f>
        <v/>
      </c>
      <c r="J1264" s="4" t="n"/>
      <c r="K1264" s="7">
        <f>IF(OR(B1264="",B1264&lt;&gt;الإيصال!$C$3),"",COUNTIF(B$2:B1264,الإيصال!$C$3))</f>
        <v/>
      </c>
    </row>
    <row r="1265">
      <c r="A1265" s="6" t="n"/>
      <c r="B1265" s="4" t="n"/>
      <c r="C1265" s="4" t="n"/>
      <c r="D1265" s="4" t="n"/>
      <c r="E1265">
        <f>IF(D1265="","",IFERROR(INDEX(الأصناف!$B$2:$B$2000,MATCH(D1265,الأصناف!$A$2:$A$2000,0)),"كود غير موجود"))</f>
        <v/>
      </c>
      <c r="F1265" s="4" t="n"/>
      <c r="G1265">
        <f>IF(D1265="","",IFERROR(INDEX(الأصناف!$C$2:$C$2000,MATCH(D1265,الأصناف!$A$2:$A$2000,0)),0))</f>
        <v/>
      </c>
      <c r="H1265">
        <f>IF(D1265="","",F1265*G1265)</f>
        <v/>
      </c>
      <c r="I1265">
        <f>IF(D1265="","",H1265-F1265*IFERROR(INDEX(الأصناف!$D$2:$D$2000,MATCH(D1265,الأصناف!$A$2:$A$2000,0)),0))</f>
        <v/>
      </c>
      <c r="J1265" s="4" t="n"/>
      <c r="K1265" s="7">
        <f>IF(OR(B1265="",B1265&lt;&gt;الإيصال!$C$3),"",COUNTIF(B$2:B1265,الإيصال!$C$3))</f>
        <v/>
      </c>
    </row>
    <row r="1266">
      <c r="A1266" s="6" t="n"/>
      <c r="B1266" s="4" t="n"/>
      <c r="C1266" s="4" t="n"/>
      <c r="D1266" s="4" t="n"/>
      <c r="E1266">
        <f>IF(D1266="","",IFERROR(INDEX(الأصناف!$B$2:$B$2000,MATCH(D1266,الأصناف!$A$2:$A$2000,0)),"كود غير موجود"))</f>
        <v/>
      </c>
      <c r="F1266" s="4" t="n"/>
      <c r="G1266">
        <f>IF(D1266="","",IFERROR(INDEX(الأصناف!$C$2:$C$2000,MATCH(D1266,الأصناف!$A$2:$A$2000,0)),0))</f>
        <v/>
      </c>
      <c r="H1266">
        <f>IF(D1266="","",F1266*G1266)</f>
        <v/>
      </c>
      <c r="I1266">
        <f>IF(D1266="","",H1266-F1266*IFERROR(INDEX(الأصناف!$D$2:$D$2000,MATCH(D1266,الأصناف!$A$2:$A$2000,0)),0))</f>
        <v/>
      </c>
      <c r="J1266" s="4" t="n"/>
      <c r="K1266" s="7">
        <f>IF(OR(B1266="",B1266&lt;&gt;الإيصال!$C$3),"",COUNTIF(B$2:B1266,الإيصال!$C$3))</f>
        <v/>
      </c>
    </row>
    <row r="1267">
      <c r="A1267" s="6" t="n"/>
      <c r="B1267" s="4" t="n"/>
      <c r="C1267" s="4" t="n"/>
      <c r="D1267" s="4" t="n"/>
      <c r="E1267">
        <f>IF(D1267="","",IFERROR(INDEX(الأصناف!$B$2:$B$2000,MATCH(D1267,الأصناف!$A$2:$A$2000,0)),"كود غير موجود"))</f>
        <v/>
      </c>
      <c r="F1267" s="4" t="n"/>
      <c r="G1267">
        <f>IF(D1267="","",IFERROR(INDEX(الأصناف!$C$2:$C$2000,MATCH(D1267,الأصناف!$A$2:$A$2000,0)),0))</f>
        <v/>
      </c>
      <c r="H1267">
        <f>IF(D1267="","",F1267*G1267)</f>
        <v/>
      </c>
      <c r="I1267">
        <f>IF(D1267="","",H1267-F1267*IFERROR(INDEX(الأصناف!$D$2:$D$2000,MATCH(D1267,الأصناف!$A$2:$A$2000,0)),0))</f>
        <v/>
      </c>
      <c r="J1267" s="4" t="n"/>
      <c r="K1267" s="7">
        <f>IF(OR(B1267="",B1267&lt;&gt;الإيصال!$C$3),"",COUNTIF(B$2:B1267,الإيصال!$C$3))</f>
        <v/>
      </c>
    </row>
    <row r="1268">
      <c r="A1268" s="6" t="n"/>
      <c r="B1268" s="4" t="n"/>
      <c r="C1268" s="4" t="n"/>
      <c r="D1268" s="4" t="n"/>
      <c r="E1268">
        <f>IF(D1268="","",IFERROR(INDEX(الأصناف!$B$2:$B$2000,MATCH(D1268,الأصناف!$A$2:$A$2000,0)),"كود غير موجود"))</f>
        <v/>
      </c>
      <c r="F1268" s="4" t="n"/>
      <c r="G1268">
        <f>IF(D1268="","",IFERROR(INDEX(الأصناف!$C$2:$C$2000,MATCH(D1268,الأصناف!$A$2:$A$2000,0)),0))</f>
        <v/>
      </c>
      <c r="H1268">
        <f>IF(D1268="","",F1268*G1268)</f>
        <v/>
      </c>
      <c r="I1268">
        <f>IF(D1268="","",H1268-F1268*IFERROR(INDEX(الأصناف!$D$2:$D$2000,MATCH(D1268,الأصناف!$A$2:$A$2000,0)),0))</f>
        <v/>
      </c>
      <c r="J1268" s="4" t="n"/>
      <c r="K1268" s="7">
        <f>IF(OR(B1268="",B1268&lt;&gt;الإيصال!$C$3),"",COUNTIF(B$2:B1268,الإيصال!$C$3))</f>
        <v/>
      </c>
    </row>
    <row r="1269">
      <c r="A1269" s="6" t="n"/>
      <c r="B1269" s="4" t="n"/>
      <c r="C1269" s="4" t="n"/>
      <c r="D1269" s="4" t="n"/>
      <c r="E1269">
        <f>IF(D1269="","",IFERROR(INDEX(الأصناف!$B$2:$B$2000,MATCH(D1269,الأصناف!$A$2:$A$2000,0)),"كود غير موجود"))</f>
        <v/>
      </c>
      <c r="F1269" s="4" t="n"/>
      <c r="G1269">
        <f>IF(D1269="","",IFERROR(INDEX(الأصناف!$C$2:$C$2000,MATCH(D1269,الأصناف!$A$2:$A$2000,0)),0))</f>
        <v/>
      </c>
      <c r="H1269">
        <f>IF(D1269="","",F1269*G1269)</f>
        <v/>
      </c>
      <c r="I1269">
        <f>IF(D1269="","",H1269-F1269*IFERROR(INDEX(الأصناف!$D$2:$D$2000,MATCH(D1269,الأصناف!$A$2:$A$2000,0)),0))</f>
        <v/>
      </c>
      <c r="J1269" s="4" t="n"/>
      <c r="K1269" s="7">
        <f>IF(OR(B1269="",B1269&lt;&gt;الإيصال!$C$3),"",COUNTIF(B$2:B1269,الإيصال!$C$3))</f>
        <v/>
      </c>
    </row>
    <row r="1270">
      <c r="A1270" s="6" t="n"/>
      <c r="B1270" s="4" t="n"/>
      <c r="C1270" s="4" t="n"/>
      <c r="D1270" s="4" t="n"/>
      <c r="E1270">
        <f>IF(D1270="","",IFERROR(INDEX(الأصناف!$B$2:$B$2000,MATCH(D1270,الأصناف!$A$2:$A$2000,0)),"كود غير موجود"))</f>
        <v/>
      </c>
      <c r="F1270" s="4" t="n"/>
      <c r="G1270">
        <f>IF(D1270="","",IFERROR(INDEX(الأصناف!$C$2:$C$2000,MATCH(D1270,الأصناف!$A$2:$A$2000,0)),0))</f>
        <v/>
      </c>
      <c r="H1270">
        <f>IF(D1270="","",F1270*G1270)</f>
        <v/>
      </c>
      <c r="I1270">
        <f>IF(D1270="","",H1270-F1270*IFERROR(INDEX(الأصناف!$D$2:$D$2000,MATCH(D1270,الأصناف!$A$2:$A$2000,0)),0))</f>
        <v/>
      </c>
      <c r="J1270" s="4" t="n"/>
      <c r="K1270" s="7">
        <f>IF(OR(B1270="",B1270&lt;&gt;الإيصال!$C$3),"",COUNTIF(B$2:B1270,الإيصال!$C$3))</f>
        <v/>
      </c>
    </row>
    <row r="1271">
      <c r="A1271" s="6" t="n"/>
      <c r="B1271" s="4" t="n"/>
      <c r="C1271" s="4" t="n"/>
      <c r="D1271" s="4" t="n"/>
      <c r="E1271">
        <f>IF(D1271="","",IFERROR(INDEX(الأصناف!$B$2:$B$2000,MATCH(D1271,الأصناف!$A$2:$A$2000,0)),"كود غير موجود"))</f>
        <v/>
      </c>
      <c r="F1271" s="4" t="n"/>
      <c r="G1271">
        <f>IF(D1271="","",IFERROR(INDEX(الأصناف!$C$2:$C$2000,MATCH(D1271,الأصناف!$A$2:$A$2000,0)),0))</f>
        <v/>
      </c>
      <c r="H1271">
        <f>IF(D1271="","",F1271*G1271)</f>
        <v/>
      </c>
      <c r="I1271">
        <f>IF(D1271="","",H1271-F1271*IFERROR(INDEX(الأصناف!$D$2:$D$2000,MATCH(D1271,الأصناف!$A$2:$A$2000,0)),0))</f>
        <v/>
      </c>
      <c r="J1271" s="4" t="n"/>
      <c r="K1271" s="7">
        <f>IF(OR(B1271="",B1271&lt;&gt;الإيصال!$C$3),"",COUNTIF(B$2:B1271,الإيصال!$C$3))</f>
        <v/>
      </c>
    </row>
    <row r="1272">
      <c r="A1272" s="6" t="n"/>
      <c r="B1272" s="4" t="n"/>
      <c r="C1272" s="4" t="n"/>
      <c r="D1272" s="4" t="n"/>
      <c r="E1272">
        <f>IF(D1272="","",IFERROR(INDEX(الأصناف!$B$2:$B$2000,MATCH(D1272,الأصناف!$A$2:$A$2000,0)),"كود غير موجود"))</f>
        <v/>
      </c>
      <c r="F1272" s="4" t="n"/>
      <c r="G1272">
        <f>IF(D1272="","",IFERROR(INDEX(الأصناف!$C$2:$C$2000,MATCH(D1272,الأصناف!$A$2:$A$2000,0)),0))</f>
        <v/>
      </c>
      <c r="H1272">
        <f>IF(D1272="","",F1272*G1272)</f>
        <v/>
      </c>
      <c r="I1272">
        <f>IF(D1272="","",H1272-F1272*IFERROR(INDEX(الأصناف!$D$2:$D$2000,MATCH(D1272,الأصناف!$A$2:$A$2000,0)),0))</f>
        <v/>
      </c>
      <c r="J1272" s="4" t="n"/>
      <c r="K1272" s="7">
        <f>IF(OR(B1272="",B1272&lt;&gt;الإيصال!$C$3),"",COUNTIF(B$2:B1272,الإيصال!$C$3))</f>
        <v/>
      </c>
    </row>
    <row r="1273">
      <c r="A1273" s="6" t="n"/>
      <c r="B1273" s="4" t="n"/>
      <c r="C1273" s="4" t="n"/>
      <c r="D1273" s="4" t="n"/>
      <c r="E1273">
        <f>IF(D1273="","",IFERROR(INDEX(الأصناف!$B$2:$B$2000,MATCH(D1273,الأصناف!$A$2:$A$2000,0)),"كود غير موجود"))</f>
        <v/>
      </c>
      <c r="F1273" s="4" t="n"/>
      <c r="G1273">
        <f>IF(D1273="","",IFERROR(INDEX(الأصناف!$C$2:$C$2000,MATCH(D1273,الأصناف!$A$2:$A$2000,0)),0))</f>
        <v/>
      </c>
      <c r="H1273">
        <f>IF(D1273="","",F1273*G1273)</f>
        <v/>
      </c>
      <c r="I1273">
        <f>IF(D1273="","",H1273-F1273*IFERROR(INDEX(الأصناف!$D$2:$D$2000,MATCH(D1273,الأصناف!$A$2:$A$2000,0)),0))</f>
        <v/>
      </c>
      <c r="J1273" s="4" t="n"/>
      <c r="K1273" s="7">
        <f>IF(OR(B1273="",B1273&lt;&gt;الإيصال!$C$3),"",COUNTIF(B$2:B1273,الإيصال!$C$3))</f>
        <v/>
      </c>
    </row>
    <row r="1274">
      <c r="A1274" s="6" t="n"/>
      <c r="B1274" s="4" t="n"/>
      <c r="C1274" s="4" t="n"/>
      <c r="D1274" s="4" t="n"/>
      <c r="E1274">
        <f>IF(D1274="","",IFERROR(INDEX(الأصناف!$B$2:$B$2000,MATCH(D1274,الأصناف!$A$2:$A$2000,0)),"كود غير موجود"))</f>
        <v/>
      </c>
      <c r="F1274" s="4" t="n"/>
      <c r="G1274">
        <f>IF(D1274="","",IFERROR(INDEX(الأصناف!$C$2:$C$2000,MATCH(D1274,الأصناف!$A$2:$A$2000,0)),0))</f>
        <v/>
      </c>
      <c r="H1274">
        <f>IF(D1274="","",F1274*G1274)</f>
        <v/>
      </c>
      <c r="I1274">
        <f>IF(D1274="","",H1274-F1274*IFERROR(INDEX(الأصناف!$D$2:$D$2000,MATCH(D1274,الأصناف!$A$2:$A$2000,0)),0))</f>
        <v/>
      </c>
      <c r="J1274" s="4" t="n"/>
      <c r="K1274" s="7">
        <f>IF(OR(B1274="",B1274&lt;&gt;الإيصال!$C$3),"",COUNTIF(B$2:B1274,الإيصال!$C$3))</f>
        <v/>
      </c>
    </row>
    <row r="1275">
      <c r="A1275" s="6" t="n"/>
      <c r="B1275" s="4" t="n"/>
      <c r="C1275" s="4" t="n"/>
      <c r="D1275" s="4" t="n"/>
      <c r="E1275">
        <f>IF(D1275="","",IFERROR(INDEX(الأصناف!$B$2:$B$2000,MATCH(D1275,الأصناف!$A$2:$A$2000,0)),"كود غير موجود"))</f>
        <v/>
      </c>
      <c r="F1275" s="4" t="n"/>
      <c r="G1275">
        <f>IF(D1275="","",IFERROR(INDEX(الأصناف!$C$2:$C$2000,MATCH(D1275,الأصناف!$A$2:$A$2000,0)),0))</f>
        <v/>
      </c>
      <c r="H1275">
        <f>IF(D1275="","",F1275*G1275)</f>
        <v/>
      </c>
      <c r="I1275">
        <f>IF(D1275="","",H1275-F1275*IFERROR(INDEX(الأصناف!$D$2:$D$2000,MATCH(D1275,الأصناف!$A$2:$A$2000,0)),0))</f>
        <v/>
      </c>
      <c r="J1275" s="4" t="n"/>
      <c r="K1275" s="7">
        <f>IF(OR(B1275="",B1275&lt;&gt;الإيصال!$C$3),"",COUNTIF(B$2:B1275,الإيصال!$C$3))</f>
        <v/>
      </c>
    </row>
    <row r="1276">
      <c r="A1276" s="6" t="n"/>
      <c r="B1276" s="4" t="n"/>
      <c r="C1276" s="4" t="n"/>
      <c r="D1276" s="4" t="n"/>
      <c r="E1276">
        <f>IF(D1276="","",IFERROR(INDEX(الأصناف!$B$2:$B$2000,MATCH(D1276,الأصناف!$A$2:$A$2000,0)),"كود غير موجود"))</f>
        <v/>
      </c>
      <c r="F1276" s="4" t="n"/>
      <c r="G1276">
        <f>IF(D1276="","",IFERROR(INDEX(الأصناف!$C$2:$C$2000,MATCH(D1276,الأصناف!$A$2:$A$2000,0)),0))</f>
        <v/>
      </c>
      <c r="H1276">
        <f>IF(D1276="","",F1276*G1276)</f>
        <v/>
      </c>
      <c r="I1276">
        <f>IF(D1276="","",H1276-F1276*IFERROR(INDEX(الأصناف!$D$2:$D$2000,MATCH(D1276,الأصناف!$A$2:$A$2000,0)),0))</f>
        <v/>
      </c>
      <c r="J1276" s="4" t="n"/>
      <c r="K1276" s="7">
        <f>IF(OR(B1276="",B1276&lt;&gt;الإيصال!$C$3),"",COUNTIF(B$2:B1276,الإيصال!$C$3))</f>
        <v/>
      </c>
    </row>
    <row r="1277">
      <c r="A1277" s="6" t="n"/>
      <c r="B1277" s="4" t="n"/>
      <c r="C1277" s="4" t="n"/>
      <c r="D1277" s="4" t="n"/>
      <c r="E1277">
        <f>IF(D1277="","",IFERROR(INDEX(الأصناف!$B$2:$B$2000,MATCH(D1277,الأصناف!$A$2:$A$2000,0)),"كود غير موجود"))</f>
        <v/>
      </c>
      <c r="F1277" s="4" t="n"/>
      <c r="G1277">
        <f>IF(D1277="","",IFERROR(INDEX(الأصناف!$C$2:$C$2000,MATCH(D1277,الأصناف!$A$2:$A$2000,0)),0))</f>
        <v/>
      </c>
      <c r="H1277">
        <f>IF(D1277="","",F1277*G1277)</f>
        <v/>
      </c>
      <c r="I1277">
        <f>IF(D1277="","",H1277-F1277*IFERROR(INDEX(الأصناف!$D$2:$D$2000,MATCH(D1277,الأصناف!$A$2:$A$2000,0)),0))</f>
        <v/>
      </c>
      <c r="J1277" s="4" t="n"/>
      <c r="K1277" s="7">
        <f>IF(OR(B1277="",B1277&lt;&gt;الإيصال!$C$3),"",COUNTIF(B$2:B1277,الإيصال!$C$3))</f>
        <v/>
      </c>
    </row>
    <row r="1278">
      <c r="A1278" s="6" t="n"/>
      <c r="B1278" s="4" t="n"/>
      <c r="C1278" s="4" t="n"/>
      <c r="D1278" s="4" t="n"/>
      <c r="E1278">
        <f>IF(D1278="","",IFERROR(INDEX(الأصناف!$B$2:$B$2000,MATCH(D1278,الأصناف!$A$2:$A$2000,0)),"كود غير موجود"))</f>
        <v/>
      </c>
      <c r="F1278" s="4" t="n"/>
      <c r="G1278">
        <f>IF(D1278="","",IFERROR(INDEX(الأصناف!$C$2:$C$2000,MATCH(D1278,الأصناف!$A$2:$A$2000,0)),0))</f>
        <v/>
      </c>
      <c r="H1278">
        <f>IF(D1278="","",F1278*G1278)</f>
        <v/>
      </c>
      <c r="I1278">
        <f>IF(D1278="","",H1278-F1278*IFERROR(INDEX(الأصناف!$D$2:$D$2000,MATCH(D1278,الأصناف!$A$2:$A$2000,0)),0))</f>
        <v/>
      </c>
      <c r="J1278" s="4" t="n"/>
      <c r="K1278" s="7">
        <f>IF(OR(B1278="",B1278&lt;&gt;الإيصال!$C$3),"",COUNTIF(B$2:B1278,الإيصال!$C$3))</f>
        <v/>
      </c>
    </row>
    <row r="1279">
      <c r="A1279" s="6" t="n"/>
      <c r="B1279" s="4" t="n"/>
      <c r="C1279" s="4" t="n"/>
      <c r="D1279" s="4" t="n"/>
      <c r="E1279">
        <f>IF(D1279="","",IFERROR(INDEX(الأصناف!$B$2:$B$2000,MATCH(D1279,الأصناف!$A$2:$A$2000,0)),"كود غير موجود"))</f>
        <v/>
      </c>
      <c r="F1279" s="4" t="n"/>
      <c r="G1279">
        <f>IF(D1279="","",IFERROR(INDEX(الأصناف!$C$2:$C$2000,MATCH(D1279,الأصناف!$A$2:$A$2000,0)),0))</f>
        <v/>
      </c>
      <c r="H1279">
        <f>IF(D1279="","",F1279*G1279)</f>
        <v/>
      </c>
      <c r="I1279">
        <f>IF(D1279="","",H1279-F1279*IFERROR(INDEX(الأصناف!$D$2:$D$2000,MATCH(D1279,الأصناف!$A$2:$A$2000,0)),0))</f>
        <v/>
      </c>
      <c r="J1279" s="4" t="n"/>
      <c r="K1279" s="7">
        <f>IF(OR(B1279="",B1279&lt;&gt;الإيصال!$C$3),"",COUNTIF(B$2:B1279,الإيصال!$C$3))</f>
        <v/>
      </c>
    </row>
    <row r="1280">
      <c r="A1280" s="6" t="n"/>
      <c r="B1280" s="4" t="n"/>
      <c r="C1280" s="4" t="n"/>
      <c r="D1280" s="4" t="n"/>
      <c r="E1280">
        <f>IF(D1280="","",IFERROR(INDEX(الأصناف!$B$2:$B$2000,MATCH(D1280,الأصناف!$A$2:$A$2000,0)),"كود غير موجود"))</f>
        <v/>
      </c>
      <c r="F1280" s="4" t="n"/>
      <c r="G1280">
        <f>IF(D1280="","",IFERROR(INDEX(الأصناف!$C$2:$C$2000,MATCH(D1280,الأصناف!$A$2:$A$2000,0)),0))</f>
        <v/>
      </c>
      <c r="H1280">
        <f>IF(D1280="","",F1280*G1280)</f>
        <v/>
      </c>
      <c r="I1280">
        <f>IF(D1280="","",H1280-F1280*IFERROR(INDEX(الأصناف!$D$2:$D$2000,MATCH(D1280,الأصناف!$A$2:$A$2000,0)),0))</f>
        <v/>
      </c>
      <c r="J1280" s="4" t="n"/>
      <c r="K1280" s="7">
        <f>IF(OR(B1280="",B1280&lt;&gt;الإيصال!$C$3),"",COUNTIF(B$2:B1280,الإيصال!$C$3))</f>
        <v/>
      </c>
    </row>
    <row r="1281">
      <c r="A1281" s="6" t="n"/>
      <c r="B1281" s="4" t="n"/>
      <c r="C1281" s="4" t="n"/>
      <c r="D1281" s="4" t="n"/>
      <c r="E1281">
        <f>IF(D1281="","",IFERROR(INDEX(الأصناف!$B$2:$B$2000,MATCH(D1281,الأصناف!$A$2:$A$2000,0)),"كود غير موجود"))</f>
        <v/>
      </c>
      <c r="F1281" s="4" t="n"/>
      <c r="G1281">
        <f>IF(D1281="","",IFERROR(INDEX(الأصناف!$C$2:$C$2000,MATCH(D1281,الأصناف!$A$2:$A$2000,0)),0))</f>
        <v/>
      </c>
      <c r="H1281">
        <f>IF(D1281="","",F1281*G1281)</f>
        <v/>
      </c>
      <c r="I1281">
        <f>IF(D1281="","",H1281-F1281*IFERROR(INDEX(الأصناف!$D$2:$D$2000,MATCH(D1281,الأصناف!$A$2:$A$2000,0)),0))</f>
        <v/>
      </c>
      <c r="J1281" s="4" t="n"/>
      <c r="K1281" s="7">
        <f>IF(OR(B1281="",B1281&lt;&gt;الإيصال!$C$3),"",COUNTIF(B$2:B1281,الإيصال!$C$3))</f>
        <v/>
      </c>
    </row>
    <row r="1282">
      <c r="A1282" s="6" t="n"/>
      <c r="B1282" s="4" t="n"/>
      <c r="C1282" s="4" t="n"/>
      <c r="D1282" s="4" t="n"/>
      <c r="E1282">
        <f>IF(D1282="","",IFERROR(INDEX(الأصناف!$B$2:$B$2000,MATCH(D1282,الأصناف!$A$2:$A$2000,0)),"كود غير موجود"))</f>
        <v/>
      </c>
      <c r="F1282" s="4" t="n"/>
      <c r="G1282">
        <f>IF(D1282="","",IFERROR(INDEX(الأصناف!$C$2:$C$2000,MATCH(D1282,الأصناف!$A$2:$A$2000,0)),0))</f>
        <v/>
      </c>
      <c r="H1282">
        <f>IF(D1282="","",F1282*G1282)</f>
        <v/>
      </c>
      <c r="I1282">
        <f>IF(D1282="","",H1282-F1282*IFERROR(INDEX(الأصناف!$D$2:$D$2000,MATCH(D1282,الأصناف!$A$2:$A$2000,0)),0))</f>
        <v/>
      </c>
      <c r="J1282" s="4" t="n"/>
      <c r="K1282" s="7">
        <f>IF(OR(B1282="",B1282&lt;&gt;الإيصال!$C$3),"",COUNTIF(B$2:B1282,الإيصال!$C$3))</f>
        <v/>
      </c>
    </row>
    <row r="1283">
      <c r="A1283" s="6" t="n"/>
      <c r="B1283" s="4" t="n"/>
      <c r="C1283" s="4" t="n"/>
      <c r="D1283" s="4" t="n"/>
      <c r="E1283">
        <f>IF(D1283="","",IFERROR(INDEX(الأصناف!$B$2:$B$2000,MATCH(D1283,الأصناف!$A$2:$A$2000,0)),"كود غير موجود"))</f>
        <v/>
      </c>
      <c r="F1283" s="4" t="n"/>
      <c r="G1283">
        <f>IF(D1283="","",IFERROR(INDEX(الأصناف!$C$2:$C$2000,MATCH(D1283,الأصناف!$A$2:$A$2000,0)),0))</f>
        <v/>
      </c>
      <c r="H1283">
        <f>IF(D1283="","",F1283*G1283)</f>
        <v/>
      </c>
      <c r="I1283">
        <f>IF(D1283="","",H1283-F1283*IFERROR(INDEX(الأصناف!$D$2:$D$2000,MATCH(D1283,الأصناف!$A$2:$A$2000,0)),0))</f>
        <v/>
      </c>
      <c r="J1283" s="4" t="n"/>
      <c r="K1283" s="7">
        <f>IF(OR(B1283="",B1283&lt;&gt;الإيصال!$C$3),"",COUNTIF(B$2:B1283,الإيصال!$C$3))</f>
        <v/>
      </c>
    </row>
    <row r="1284">
      <c r="A1284" s="6" t="n"/>
      <c r="B1284" s="4" t="n"/>
      <c r="C1284" s="4" t="n"/>
      <c r="D1284" s="4" t="n"/>
      <c r="E1284">
        <f>IF(D1284="","",IFERROR(INDEX(الأصناف!$B$2:$B$2000,MATCH(D1284,الأصناف!$A$2:$A$2000,0)),"كود غير موجود"))</f>
        <v/>
      </c>
      <c r="F1284" s="4" t="n"/>
      <c r="G1284">
        <f>IF(D1284="","",IFERROR(INDEX(الأصناف!$C$2:$C$2000,MATCH(D1284,الأصناف!$A$2:$A$2000,0)),0))</f>
        <v/>
      </c>
      <c r="H1284">
        <f>IF(D1284="","",F1284*G1284)</f>
        <v/>
      </c>
      <c r="I1284">
        <f>IF(D1284="","",H1284-F1284*IFERROR(INDEX(الأصناف!$D$2:$D$2000,MATCH(D1284,الأصناف!$A$2:$A$2000,0)),0))</f>
        <v/>
      </c>
      <c r="J1284" s="4" t="n"/>
      <c r="K1284" s="7">
        <f>IF(OR(B1284="",B1284&lt;&gt;الإيصال!$C$3),"",COUNTIF(B$2:B1284,الإيصال!$C$3))</f>
        <v/>
      </c>
    </row>
    <row r="1285">
      <c r="A1285" s="6" t="n"/>
      <c r="B1285" s="4" t="n"/>
      <c r="C1285" s="4" t="n"/>
      <c r="D1285" s="4" t="n"/>
      <c r="E1285">
        <f>IF(D1285="","",IFERROR(INDEX(الأصناف!$B$2:$B$2000,MATCH(D1285,الأصناف!$A$2:$A$2000,0)),"كود غير موجود"))</f>
        <v/>
      </c>
      <c r="F1285" s="4" t="n"/>
      <c r="G1285">
        <f>IF(D1285="","",IFERROR(INDEX(الأصناف!$C$2:$C$2000,MATCH(D1285,الأصناف!$A$2:$A$2000,0)),0))</f>
        <v/>
      </c>
      <c r="H1285">
        <f>IF(D1285="","",F1285*G1285)</f>
        <v/>
      </c>
      <c r="I1285">
        <f>IF(D1285="","",H1285-F1285*IFERROR(INDEX(الأصناف!$D$2:$D$2000,MATCH(D1285,الأصناف!$A$2:$A$2000,0)),0))</f>
        <v/>
      </c>
      <c r="J1285" s="4" t="n"/>
      <c r="K1285" s="7">
        <f>IF(OR(B1285="",B1285&lt;&gt;الإيصال!$C$3),"",COUNTIF(B$2:B1285,الإيصال!$C$3))</f>
        <v/>
      </c>
    </row>
    <row r="1286">
      <c r="A1286" s="6" t="n"/>
      <c r="B1286" s="4" t="n"/>
      <c r="C1286" s="4" t="n"/>
      <c r="D1286" s="4" t="n"/>
      <c r="E1286">
        <f>IF(D1286="","",IFERROR(INDEX(الأصناف!$B$2:$B$2000,MATCH(D1286,الأصناف!$A$2:$A$2000,0)),"كود غير موجود"))</f>
        <v/>
      </c>
      <c r="F1286" s="4" t="n"/>
      <c r="G1286">
        <f>IF(D1286="","",IFERROR(INDEX(الأصناف!$C$2:$C$2000,MATCH(D1286,الأصناف!$A$2:$A$2000,0)),0))</f>
        <v/>
      </c>
      <c r="H1286">
        <f>IF(D1286="","",F1286*G1286)</f>
        <v/>
      </c>
      <c r="I1286">
        <f>IF(D1286="","",H1286-F1286*IFERROR(INDEX(الأصناف!$D$2:$D$2000,MATCH(D1286,الأصناف!$A$2:$A$2000,0)),0))</f>
        <v/>
      </c>
      <c r="J1286" s="4" t="n"/>
      <c r="K1286" s="7">
        <f>IF(OR(B1286="",B1286&lt;&gt;الإيصال!$C$3),"",COUNTIF(B$2:B1286,الإيصال!$C$3))</f>
        <v/>
      </c>
    </row>
    <row r="1287">
      <c r="A1287" s="6" t="n"/>
      <c r="B1287" s="4" t="n"/>
      <c r="C1287" s="4" t="n"/>
      <c r="D1287" s="4" t="n"/>
      <c r="E1287">
        <f>IF(D1287="","",IFERROR(INDEX(الأصناف!$B$2:$B$2000,MATCH(D1287,الأصناف!$A$2:$A$2000,0)),"كود غير موجود"))</f>
        <v/>
      </c>
      <c r="F1287" s="4" t="n"/>
      <c r="G1287">
        <f>IF(D1287="","",IFERROR(INDEX(الأصناف!$C$2:$C$2000,MATCH(D1287,الأصناف!$A$2:$A$2000,0)),0))</f>
        <v/>
      </c>
      <c r="H1287">
        <f>IF(D1287="","",F1287*G1287)</f>
        <v/>
      </c>
      <c r="I1287">
        <f>IF(D1287="","",H1287-F1287*IFERROR(INDEX(الأصناف!$D$2:$D$2000,MATCH(D1287,الأصناف!$A$2:$A$2000,0)),0))</f>
        <v/>
      </c>
      <c r="J1287" s="4" t="n"/>
      <c r="K1287" s="7">
        <f>IF(OR(B1287="",B1287&lt;&gt;الإيصال!$C$3),"",COUNTIF(B$2:B1287,الإيصال!$C$3))</f>
        <v/>
      </c>
    </row>
    <row r="1288">
      <c r="A1288" s="6" t="n"/>
      <c r="B1288" s="4" t="n"/>
      <c r="C1288" s="4" t="n"/>
      <c r="D1288" s="4" t="n"/>
      <c r="E1288">
        <f>IF(D1288="","",IFERROR(INDEX(الأصناف!$B$2:$B$2000,MATCH(D1288,الأصناف!$A$2:$A$2000,0)),"كود غير موجود"))</f>
        <v/>
      </c>
      <c r="F1288" s="4" t="n"/>
      <c r="G1288">
        <f>IF(D1288="","",IFERROR(INDEX(الأصناف!$C$2:$C$2000,MATCH(D1288,الأصناف!$A$2:$A$2000,0)),0))</f>
        <v/>
      </c>
      <c r="H1288">
        <f>IF(D1288="","",F1288*G1288)</f>
        <v/>
      </c>
      <c r="I1288">
        <f>IF(D1288="","",H1288-F1288*IFERROR(INDEX(الأصناف!$D$2:$D$2000,MATCH(D1288,الأصناف!$A$2:$A$2000,0)),0))</f>
        <v/>
      </c>
      <c r="J1288" s="4" t="n"/>
      <c r="K1288" s="7">
        <f>IF(OR(B1288="",B1288&lt;&gt;الإيصال!$C$3),"",COUNTIF(B$2:B1288,الإيصال!$C$3))</f>
        <v/>
      </c>
    </row>
    <row r="1289">
      <c r="A1289" s="6" t="n"/>
      <c r="B1289" s="4" t="n"/>
      <c r="C1289" s="4" t="n"/>
      <c r="D1289" s="4" t="n"/>
      <c r="E1289">
        <f>IF(D1289="","",IFERROR(INDEX(الأصناف!$B$2:$B$2000,MATCH(D1289,الأصناف!$A$2:$A$2000,0)),"كود غير موجود"))</f>
        <v/>
      </c>
      <c r="F1289" s="4" t="n"/>
      <c r="G1289">
        <f>IF(D1289="","",IFERROR(INDEX(الأصناف!$C$2:$C$2000,MATCH(D1289,الأصناف!$A$2:$A$2000,0)),0))</f>
        <v/>
      </c>
      <c r="H1289">
        <f>IF(D1289="","",F1289*G1289)</f>
        <v/>
      </c>
      <c r="I1289">
        <f>IF(D1289="","",H1289-F1289*IFERROR(INDEX(الأصناف!$D$2:$D$2000,MATCH(D1289,الأصناف!$A$2:$A$2000,0)),0))</f>
        <v/>
      </c>
      <c r="J1289" s="4" t="n"/>
      <c r="K1289" s="7">
        <f>IF(OR(B1289="",B1289&lt;&gt;الإيصال!$C$3),"",COUNTIF(B$2:B1289,الإيصال!$C$3))</f>
        <v/>
      </c>
    </row>
    <row r="1290">
      <c r="A1290" s="6" t="n"/>
      <c r="B1290" s="4" t="n"/>
      <c r="C1290" s="4" t="n"/>
      <c r="D1290" s="4" t="n"/>
      <c r="E1290">
        <f>IF(D1290="","",IFERROR(INDEX(الأصناف!$B$2:$B$2000,MATCH(D1290,الأصناف!$A$2:$A$2000,0)),"كود غير موجود"))</f>
        <v/>
      </c>
      <c r="F1290" s="4" t="n"/>
      <c r="G1290">
        <f>IF(D1290="","",IFERROR(INDEX(الأصناف!$C$2:$C$2000,MATCH(D1290,الأصناف!$A$2:$A$2000,0)),0))</f>
        <v/>
      </c>
      <c r="H1290">
        <f>IF(D1290="","",F1290*G1290)</f>
        <v/>
      </c>
      <c r="I1290">
        <f>IF(D1290="","",H1290-F1290*IFERROR(INDEX(الأصناف!$D$2:$D$2000,MATCH(D1290,الأصناف!$A$2:$A$2000,0)),0))</f>
        <v/>
      </c>
      <c r="J1290" s="4" t="n"/>
      <c r="K1290" s="7">
        <f>IF(OR(B1290="",B1290&lt;&gt;الإيصال!$C$3),"",COUNTIF(B$2:B1290,الإيصال!$C$3))</f>
        <v/>
      </c>
    </row>
    <row r="1291">
      <c r="A1291" s="6" t="n"/>
      <c r="B1291" s="4" t="n"/>
      <c r="C1291" s="4" t="n"/>
      <c r="D1291" s="4" t="n"/>
      <c r="E1291">
        <f>IF(D1291="","",IFERROR(INDEX(الأصناف!$B$2:$B$2000,MATCH(D1291,الأصناف!$A$2:$A$2000,0)),"كود غير موجود"))</f>
        <v/>
      </c>
      <c r="F1291" s="4" t="n"/>
      <c r="G1291">
        <f>IF(D1291="","",IFERROR(INDEX(الأصناف!$C$2:$C$2000,MATCH(D1291,الأصناف!$A$2:$A$2000,0)),0))</f>
        <v/>
      </c>
      <c r="H1291">
        <f>IF(D1291="","",F1291*G1291)</f>
        <v/>
      </c>
      <c r="I1291">
        <f>IF(D1291="","",H1291-F1291*IFERROR(INDEX(الأصناف!$D$2:$D$2000,MATCH(D1291,الأصناف!$A$2:$A$2000,0)),0))</f>
        <v/>
      </c>
      <c r="J1291" s="4" t="n"/>
      <c r="K1291" s="7">
        <f>IF(OR(B1291="",B1291&lt;&gt;الإيصال!$C$3),"",COUNTIF(B$2:B1291,الإيصال!$C$3))</f>
        <v/>
      </c>
    </row>
    <row r="1292">
      <c r="A1292" s="6" t="n"/>
      <c r="B1292" s="4" t="n"/>
      <c r="C1292" s="4" t="n"/>
      <c r="D1292" s="4" t="n"/>
      <c r="E1292">
        <f>IF(D1292="","",IFERROR(INDEX(الأصناف!$B$2:$B$2000,MATCH(D1292,الأصناف!$A$2:$A$2000,0)),"كود غير موجود"))</f>
        <v/>
      </c>
      <c r="F1292" s="4" t="n"/>
      <c r="G1292">
        <f>IF(D1292="","",IFERROR(INDEX(الأصناف!$C$2:$C$2000,MATCH(D1292,الأصناف!$A$2:$A$2000,0)),0))</f>
        <v/>
      </c>
      <c r="H1292">
        <f>IF(D1292="","",F1292*G1292)</f>
        <v/>
      </c>
      <c r="I1292">
        <f>IF(D1292="","",H1292-F1292*IFERROR(INDEX(الأصناف!$D$2:$D$2000,MATCH(D1292,الأصناف!$A$2:$A$2000,0)),0))</f>
        <v/>
      </c>
      <c r="J1292" s="4" t="n"/>
      <c r="K1292" s="7">
        <f>IF(OR(B1292="",B1292&lt;&gt;الإيصال!$C$3),"",COUNTIF(B$2:B1292,الإيصال!$C$3))</f>
        <v/>
      </c>
    </row>
    <row r="1293">
      <c r="A1293" s="6" t="n"/>
      <c r="B1293" s="4" t="n"/>
      <c r="C1293" s="4" t="n"/>
      <c r="D1293" s="4" t="n"/>
      <c r="E1293">
        <f>IF(D1293="","",IFERROR(INDEX(الأصناف!$B$2:$B$2000,MATCH(D1293,الأصناف!$A$2:$A$2000,0)),"كود غير موجود"))</f>
        <v/>
      </c>
      <c r="F1293" s="4" t="n"/>
      <c r="G1293">
        <f>IF(D1293="","",IFERROR(INDEX(الأصناف!$C$2:$C$2000,MATCH(D1293,الأصناف!$A$2:$A$2000,0)),0))</f>
        <v/>
      </c>
      <c r="H1293">
        <f>IF(D1293="","",F1293*G1293)</f>
        <v/>
      </c>
      <c r="I1293">
        <f>IF(D1293="","",H1293-F1293*IFERROR(INDEX(الأصناف!$D$2:$D$2000,MATCH(D1293,الأصناف!$A$2:$A$2000,0)),0))</f>
        <v/>
      </c>
      <c r="J1293" s="4" t="n"/>
      <c r="K1293" s="7">
        <f>IF(OR(B1293="",B1293&lt;&gt;الإيصال!$C$3),"",COUNTIF(B$2:B1293,الإيصال!$C$3))</f>
        <v/>
      </c>
    </row>
    <row r="1294">
      <c r="A1294" s="6" t="n"/>
      <c r="B1294" s="4" t="n"/>
      <c r="C1294" s="4" t="n"/>
      <c r="D1294" s="4" t="n"/>
      <c r="E1294">
        <f>IF(D1294="","",IFERROR(INDEX(الأصناف!$B$2:$B$2000,MATCH(D1294,الأصناف!$A$2:$A$2000,0)),"كود غير موجود"))</f>
        <v/>
      </c>
      <c r="F1294" s="4" t="n"/>
      <c r="G1294">
        <f>IF(D1294="","",IFERROR(INDEX(الأصناف!$C$2:$C$2000,MATCH(D1294,الأصناف!$A$2:$A$2000,0)),0))</f>
        <v/>
      </c>
      <c r="H1294">
        <f>IF(D1294="","",F1294*G1294)</f>
        <v/>
      </c>
      <c r="I1294">
        <f>IF(D1294="","",H1294-F1294*IFERROR(INDEX(الأصناف!$D$2:$D$2000,MATCH(D1294,الأصناف!$A$2:$A$2000,0)),0))</f>
        <v/>
      </c>
      <c r="J1294" s="4" t="n"/>
      <c r="K1294" s="7">
        <f>IF(OR(B1294="",B1294&lt;&gt;الإيصال!$C$3),"",COUNTIF(B$2:B1294,الإيصال!$C$3))</f>
        <v/>
      </c>
    </row>
    <row r="1295">
      <c r="A1295" s="6" t="n"/>
      <c r="B1295" s="4" t="n"/>
      <c r="C1295" s="4" t="n"/>
      <c r="D1295" s="4" t="n"/>
      <c r="E1295">
        <f>IF(D1295="","",IFERROR(INDEX(الأصناف!$B$2:$B$2000,MATCH(D1295,الأصناف!$A$2:$A$2000,0)),"كود غير موجود"))</f>
        <v/>
      </c>
      <c r="F1295" s="4" t="n"/>
      <c r="G1295">
        <f>IF(D1295="","",IFERROR(INDEX(الأصناف!$C$2:$C$2000,MATCH(D1295,الأصناف!$A$2:$A$2000,0)),0))</f>
        <v/>
      </c>
      <c r="H1295">
        <f>IF(D1295="","",F1295*G1295)</f>
        <v/>
      </c>
      <c r="I1295">
        <f>IF(D1295="","",H1295-F1295*IFERROR(INDEX(الأصناف!$D$2:$D$2000,MATCH(D1295,الأصناف!$A$2:$A$2000,0)),0))</f>
        <v/>
      </c>
      <c r="J1295" s="4" t="n"/>
      <c r="K1295" s="7">
        <f>IF(OR(B1295="",B1295&lt;&gt;الإيصال!$C$3),"",COUNTIF(B$2:B1295,الإيصال!$C$3))</f>
        <v/>
      </c>
    </row>
    <row r="1296">
      <c r="A1296" s="6" t="n"/>
      <c r="B1296" s="4" t="n"/>
      <c r="C1296" s="4" t="n"/>
      <c r="D1296" s="4" t="n"/>
      <c r="E1296">
        <f>IF(D1296="","",IFERROR(INDEX(الأصناف!$B$2:$B$2000,MATCH(D1296,الأصناف!$A$2:$A$2000,0)),"كود غير موجود"))</f>
        <v/>
      </c>
      <c r="F1296" s="4" t="n"/>
      <c r="G1296">
        <f>IF(D1296="","",IFERROR(INDEX(الأصناف!$C$2:$C$2000,MATCH(D1296,الأصناف!$A$2:$A$2000,0)),0))</f>
        <v/>
      </c>
      <c r="H1296">
        <f>IF(D1296="","",F1296*G1296)</f>
        <v/>
      </c>
      <c r="I1296">
        <f>IF(D1296="","",H1296-F1296*IFERROR(INDEX(الأصناف!$D$2:$D$2000,MATCH(D1296,الأصناف!$A$2:$A$2000,0)),0))</f>
        <v/>
      </c>
      <c r="J1296" s="4" t="n"/>
      <c r="K1296" s="7">
        <f>IF(OR(B1296="",B1296&lt;&gt;الإيصال!$C$3),"",COUNTIF(B$2:B1296,الإيصال!$C$3))</f>
        <v/>
      </c>
    </row>
    <row r="1297">
      <c r="A1297" s="6" t="n"/>
      <c r="B1297" s="4" t="n"/>
      <c r="C1297" s="4" t="n"/>
      <c r="D1297" s="4" t="n"/>
      <c r="E1297">
        <f>IF(D1297="","",IFERROR(INDEX(الأصناف!$B$2:$B$2000,MATCH(D1297,الأصناف!$A$2:$A$2000,0)),"كود غير موجود"))</f>
        <v/>
      </c>
      <c r="F1297" s="4" t="n"/>
      <c r="G1297">
        <f>IF(D1297="","",IFERROR(INDEX(الأصناف!$C$2:$C$2000,MATCH(D1297,الأصناف!$A$2:$A$2000,0)),0))</f>
        <v/>
      </c>
      <c r="H1297">
        <f>IF(D1297="","",F1297*G1297)</f>
        <v/>
      </c>
      <c r="I1297">
        <f>IF(D1297="","",H1297-F1297*IFERROR(INDEX(الأصناف!$D$2:$D$2000,MATCH(D1297,الأصناف!$A$2:$A$2000,0)),0))</f>
        <v/>
      </c>
      <c r="J1297" s="4" t="n"/>
      <c r="K1297" s="7">
        <f>IF(OR(B1297="",B1297&lt;&gt;الإيصال!$C$3),"",COUNTIF(B$2:B1297,الإيصال!$C$3))</f>
        <v/>
      </c>
    </row>
    <row r="1298">
      <c r="A1298" s="6" t="n"/>
      <c r="B1298" s="4" t="n"/>
      <c r="C1298" s="4" t="n"/>
      <c r="D1298" s="4" t="n"/>
      <c r="E1298">
        <f>IF(D1298="","",IFERROR(INDEX(الأصناف!$B$2:$B$2000,MATCH(D1298,الأصناف!$A$2:$A$2000,0)),"كود غير موجود"))</f>
        <v/>
      </c>
      <c r="F1298" s="4" t="n"/>
      <c r="G1298">
        <f>IF(D1298="","",IFERROR(INDEX(الأصناف!$C$2:$C$2000,MATCH(D1298,الأصناف!$A$2:$A$2000,0)),0))</f>
        <v/>
      </c>
      <c r="H1298">
        <f>IF(D1298="","",F1298*G1298)</f>
        <v/>
      </c>
      <c r="I1298">
        <f>IF(D1298="","",H1298-F1298*IFERROR(INDEX(الأصناف!$D$2:$D$2000,MATCH(D1298,الأصناف!$A$2:$A$2000,0)),0))</f>
        <v/>
      </c>
      <c r="J1298" s="4" t="n"/>
      <c r="K1298" s="7">
        <f>IF(OR(B1298="",B1298&lt;&gt;الإيصال!$C$3),"",COUNTIF(B$2:B1298,الإيصال!$C$3))</f>
        <v/>
      </c>
    </row>
    <row r="1299">
      <c r="A1299" s="6" t="n"/>
      <c r="B1299" s="4" t="n"/>
      <c r="C1299" s="4" t="n"/>
      <c r="D1299" s="4" t="n"/>
      <c r="E1299">
        <f>IF(D1299="","",IFERROR(INDEX(الأصناف!$B$2:$B$2000,MATCH(D1299,الأصناف!$A$2:$A$2000,0)),"كود غير موجود"))</f>
        <v/>
      </c>
      <c r="F1299" s="4" t="n"/>
      <c r="G1299">
        <f>IF(D1299="","",IFERROR(INDEX(الأصناف!$C$2:$C$2000,MATCH(D1299,الأصناف!$A$2:$A$2000,0)),0))</f>
        <v/>
      </c>
      <c r="H1299">
        <f>IF(D1299="","",F1299*G1299)</f>
        <v/>
      </c>
      <c r="I1299">
        <f>IF(D1299="","",H1299-F1299*IFERROR(INDEX(الأصناف!$D$2:$D$2000,MATCH(D1299,الأصناف!$A$2:$A$2000,0)),0))</f>
        <v/>
      </c>
      <c r="J1299" s="4" t="n"/>
      <c r="K1299" s="7">
        <f>IF(OR(B1299="",B1299&lt;&gt;الإيصال!$C$3),"",COUNTIF(B$2:B1299,الإيصال!$C$3))</f>
        <v/>
      </c>
    </row>
    <row r="1300">
      <c r="A1300" s="6" t="n"/>
      <c r="B1300" s="4" t="n"/>
      <c r="C1300" s="4" t="n"/>
      <c r="D1300" s="4" t="n"/>
      <c r="E1300">
        <f>IF(D1300="","",IFERROR(INDEX(الأصناف!$B$2:$B$2000,MATCH(D1300,الأصناف!$A$2:$A$2000,0)),"كود غير موجود"))</f>
        <v/>
      </c>
      <c r="F1300" s="4" t="n"/>
      <c r="G1300">
        <f>IF(D1300="","",IFERROR(INDEX(الأصناف!$C$2:$C$2000,MATCH(D1300,الأصناف!$A$2:$A$2000,0)),0))</f>
        <v/>
      </c>
      <c r="H1300">
        <f>IF(D1300="","",F1300*G1300)</f>
        <v/>
      </c>
      <c r="I1300">
        <f>IF(D1300="","",H1300-F1300*IFERROR(INDEX(الأصناف!$D$2:$D$2000,MATCH(D1300,الأصناف!$A$2:$A$2000,0)),0))</f>
        <v/>
      </c>
      <c r="J1300" s="4" t="n"/>
      <c r="K1300" s="7">
        <f>IF(OR(B1300="",B1300&lt;&gt;الإيصال!$C$3),"",COUNTIF(B$2:B1300,الإيصال!$C$3))</f>
        <v/>
      </c>
    </row>
    <row r="1301">
      <c r="A1301" s="6" t="n"/>
      <c r="B1301" s="4" t="n"/>
      <c r="C1301" s="4" t="n"/>
      <c r="D1301" s="4" t="n"/>
      <c r="E1301">
        <f>IF(D1301="","",IFERROR(INDEX(الأصناف!$B$2:$B$2000,MATCH(D1301,الأصناف!$A$2:$A$2000,0)),"كود غير موجود"))</f>
        <v/>
      </c>
      <c r="F1301" s="4" t="n"/>
      <c r="G1301">
        <f>IF(D1301="","",IFERROR(INDEX(الأصناف!$C$2:$C$2000,MATCH(D1301,الأصناف!$A$2:$A$2000,0)),0))</f>
        <v/>
      </c>
      <c r="H1301">
        <f>IF(D1301="","",F1301*G1301)</f>
        <v/>
      </c>
      <c r="I1301">
        <f>IF(D1301="","",H1301-F1301*IFERROR(INDEX(الأصناف!$D$2:$D$2000,MATCH(D1301,الأصناف!$A$2:$A$2000,0)),0))</f>
        <v/>
      </c>
      <c r="J1301" s="4" t="n"/>
      <c r="K1301" s="7">
        <f>IF(OR(B1301="",B1301&lt;&gt;الإيصال!$C$3),"",COUNTIF(B$2:B1301,الإيصال!$C$3))</f>
        <v/>
      </c>
    </row>
    <row r="1302">
      <c r="A1302" s="6" t="n"/>
      <c r="B1302" s="4" t="n"/>
      <c r="C1302" s="4" t="n"/>
      <c r="D1302" s="4" t="n"/>
      <c r="E1302">
        <f>IF(D1302="","",IFERROR(INDEX(الأصناف!$B$2:$B$2000,MATCH(D1302,الأصناف!$A$2:$A$2000,0)),"كود غير موجود"))</f>
        <v/>
      </c>
      <c r="F1302" s="4" t="n"/>
      <c r="G1302">
        <f>IF(D1302="","",IFERROR(INDEX(الأصناف!$C$2:$C$2000,MATCH(D1302,الأصناف!$A$2:$A$2000,0)),0))</f>
        <v/>
      </c>
      <c r="H1302">
        <f>IF(D1302="","",F1302*G1302)</f>
        <v/>
      </c>
      <c r="I1302">
        <f>IF(D1302="","",H1302-F1302*IFERROR(INDEX(الأصناف!$D$2:$D$2000,MATCH(D1302,الأصناف!$A$2:$A$2000,0)),0))</f>
        <v/>
      </c>
      <c r="J1302" s="4" t="n"/>
      <c r="K1302" s="7">
        <f>IF(OR(B1302="",B1302&lt;&gt;الإيصال!$C$3),"",COUNTIF(B$2:B1302,الإيصال!$C$3))</f>
        <v/>
      </c>
    </row>
    <row r="1303">
      <c r="A1303" s="6" t="n"/>
      <c r="B1303" s="4" t="n"/>
      <c r="C1303" s="4" t="n"/>
      <c r="D1303" s="4" t="n"/>
      <c r="E1303">
        <f>IF(D1303="","",IFERROR(INDEX(الأصناف!$B$2:$B$2000,MATCH(D1303,الأصناف!$A$2:$A$2000,0)),"كود غير موجود"))</f>
        <v/>
      </c>
      <c r="F1303" s="4" t="n"/>
      <c r="G1303">
        <f>IF(D1303="","",IFERROR(INDEX(الأصناف!$C$2:$C$2000,MATCH(D1303,الأصناف!$A$2:$A$2000,0)),0))</f>
        <v/>
      </c>
      <c r="H1303">
        <f>IF(D1303="","",F1303*G1303)</f>
        <v/>
      </c>
      <c r="I1303">
        <f>IF(D1303="","",H1303-F1303*IFERROR(INDEX(الأصناف!$D$2:$D$2000,MATCH(D1303,الأصناف!$A$2:$A$2000,0)),0))</f>
        <v/>
      </c>
      <c r="J1303" s="4" t="n"/>
      <c r="K1303" s="7">
        <f>IF(OR(B1303="",B1303&lt;&gt;الإيصال!$C$3),"",COUNTIF(B$2:B1303,الإيصال!$C$3))</f>
        <v/>
      </c>
    </row>
    <row r="1304">
      <c r="A1304" s="6" t="n"/>
      <c r="B1304" s="4" t="n"/>
      <c r="C1304" s="4" t="n"/>
      <c r="D1304" s="4" t="n"/>
      <c r="E1304">
        <f>IF(D1304="","",IFERROR(INDEX(الأصناف!$B$2:$B$2000,MATCH(D1304,الأصناف!$A$2:$A$2000,0)),"كود غير موجود"))</f>
        <v/>
      </c>
      <c r="F1304" s="4" t="n"/>
      <c r="G1304">
        <f>IF(D1304="","",IFERROR(INDEX(الأصناف!$C$2:$C$2000,MATCH(D1304,الأصناف!$A$2:$A$2000,0)),0))</f>
        <v/>
      </c>
      <c r="H1304">
        <f>IF(D1304="","",F1304*G1304)</f>
        <v/>
      </c>
      <c r="I1304">
        <f>IF(D1304="","",H1304-F1304*IFERROR(INDEX(الأصناف!$D$2:$D$2000,MATCH(D1304,الأصناف!$A$2:$A$2000,0)),0))</f>
        <v/>
      </c>
      <c r="J1304" s="4" t="n"/>
      <c r="K1304" s="7">
        <f>IF(OR(B1304="",B1304&lt;&gt;الإيصال!$C$3),"",COUNTIF(B$2:B1304,الإيصال!$C$3))</f>
        <v/>
      </c>
    </row>
    <row r="1305">
      <c r="A1305" s="6" t="n"/>
      <c r="B1305" s="4" t="n"/>
      <c r="C1305" s="4" t="n"/>
      <c r="D1305" s="4" t="n"/>
      <c r="E1305">
        <f>IF(D1305="","",IFERROR(INDEX(الأصناف!$B$2:$B$2000,MATCH(D1305,الأصناف!$A$2:$A$2000,0)),"كود غير موجود"))</f>
        <v/>
      </c>
      <c r="F1305" s="4" t="n"/>
      <c r="G1305">
        <f>IF(D1305="","",IFERROR(INDEX(الأصناف!$C$2:$C$2000,MATCH(D1305,الأصناف!$A$2:$A$2000,0)),0))</f>
        <v/>
      </c>
      <c r="H1305">
        <f>IF(D1305="","",F1305*G1305)</f>
        <v/>
      </c>
      <c r="I1305">
        <f>IF(D1305="","",H1305-F1305*IFERROR(INDEX(الأصناف!$D$2:$D$2000,MATCH(D1305,الأصناف!$A$2:$A$2000,0)),0))</f>
        <v/>
      </c>
      <c r="J1305" s="4" t="n"/>
      <c r="K1305" s="7">
        <f>IF(OR(B1305="",B1305&lt;&gt;الإيصال!$C$3),"",COUNTIF(B$2:B1305,الإيصال!$C$3))</f>
        <v/>
      </c>
    </row>
    <row r="1306">
      <c r="A1306" s="6" t="n"/>
      <c r="B1306" s="4" t="n"/>
      <c r="C1306" s="4" t="n"/>
      <c r="D1306" s="4" t="n"/>
      <c r="E1306">
        <f>IF(D1306="","",IFERROR(INDEX(الأصناف!$B$2:$B$2000,MATCH(D1306,الأصناف!$A$2:$A$2000,0)),"كود غير موجود"))</f>
        <v/>
      </c>
      <c r="F1306" s="4" t="n"/>
      <c r="G1306">
        <f>IF(D1306="","",IFERROR(INDEX(الأصناف!$C$2:$C$2000,MATCH(D1306,الأصناف!$A$2:$A$2000,0)),0))</f>
        <v/>
      </c>
      <c r="H1306">
        <f>IF(D1306="","",F1306*G1306)</f>
        <v/>
      </c>
      <c r="I1306">
        <f>IF(D1306="","",H1306-F1306*IFERROR(INDEX(الأصناف!$D$2:$D$2000,MATCH(D1306,الأصناف!$A$2:$A$2000,0)),0))</f>
        <v/>
      </c>
      <c r="J1306" s="4" t="n"/>
      <c r="K1306" s="7">
        <f>IF(OR(B1306="",B1306&lt;&gt;الإيصال!$C$3),"",COUNTIF(B$2:B1306,الإيصال!$C$3))</f>
        <v/>
      </c>
    </row>
    <row r="1307">
      <c r="A1307" s="6" t="n"/>
      <c r="B1307" s="4" t="n"/>
      <c r="C1307" s="4" t="n"/>
      <c r="D1307" s="4" t="n"/>
      <c r="E1307">
        <f>IF(D1307="","",IFERROR(INDEX(الأصناف!$B$2:$B$2000,MATCH(D1307,الأصناف!$A$2:$A$2000,0)),"كود غير موجود"))</f>
        <v/>
      </c>
      <c r="F1307" s="4" t="n"/>
      <c r="G1307">
        <f>IF(D1307="","",IFERROR(INDEX(الأصناف!$C$2:$C$2000,MATCH(D1307,الأصناف!$A$2:$A$2000,0)),0))</f>
        <v/>
      </c>
      <c r="H1307">
        <f>IF(D1307="","",F1307*G1307)</f>
        <v/>
      </c>
      <c r="I1307">
        <f>IF(D1307="","",H1307-F1307*IFERROR(INDEX(الأصناف!$D$2:$D$2000,MATCH(D1307,الأصناف!$A$2:$A$2000,0)),0))</f>
        <v/>
      </c>
      <c r="J1307" s="4" t="n"/>
      <c r="K1307" s="7">
        <f>IF(OR(B1307="",B1307&lt;&gt;الإيصال!$C$3),"",COUNTIF(B$2:B1307,الإيصال!$C$3))</f>
        <v/>
      </c>
    </row>
    <row r="1308">
      <c r="A1308" s="6" t="n"/>
      <c r="B1308" s="4" t="n"/>
      <c r="C1308" s="4" t="n"/>
      <c r="D1308" s="4" t="n"/>
      <c r="E1308">
        <f>IF(D1308="","",IFERROR(INDEX(الأصناف!$B$2:$B$2000,MATCH(D1308,الأصناف!$A$2:$A$2000,0)),"كود غير موجود"))</f>
        <v/>
      </c>
      <c r="F1308" s="4" t="n"/>
      <c r="G1308">
        <f>IF(D1308="","",IFERROR(INDEX(الأصناف!$C$2:$C$2000,MATCH(D1308,الأصناف!$A$2:$A$2000,0)),0))</f>
        <v/>
      </c>
      <c r="H1308">
        <f>IF(D1308="","",F1308*G1308)</f>
        <v/>
      </c>
      <c r="I1308">
        <f>IF(D1308="","",H1308-F1308*IFERROR(INDEX(الأصناف!$D$2:$D$2000,MATCH(D1308,الأصناف!$A$2:$A$2000,0)),0))</f>
        <v/>
      </c>
      <c r="J1308" s="4" t="n"/>
      <c r="K1308" s="7">
        <f>IF(OR(B1308="",B1308&lt;&gt;الإيصال!$C$3),"",COUNTIF(B$2:B1308,الإيصال!$C$3))</f>
        <v/>
      </c>
    </row>
    <row r="1309">
      <c r="A1309" s="6" t="n"/>
      <c r="B1309" s="4" t="n"/>
      <c r="C1309" s="4" t="n"/>
      <c r="D1309" s="4" t="n"/>
      <c r="E1309">
        <f>IF(D1309="","",IFERROR(INDEX(الأصناف!$B$2:$B$2000,MATCH(D1309,الأصناف!$A$2:$A$2000,0)),"كود غير موجود"))</f>
        <v/>
      </c>
      <c r="F1309" s="4" t="n"/>
      <c r="G1309">
        <f>IF(D1309="","",IFERROR(INDEX(الأصناف!$C$2:$C$2000,MATCH(D1309,الأصناف!$A$2:$A$2000,0)),0))</f>
        <v/>
      </c>
      <c r="H1309">
        <f>IF(D1309="","",F1309*G1309)</f>
        <v/>
      </c>
      <c r="I1309">
        <f>IF(D1309="","",H1309-F1309*IFERROR(INDEX(الأصناف!$D$2:$D$2000,MATCH(D1309,الأصناف!$A$2:$A$2000,0)),0))</f>
        <v/>
      </c>
      <c r="J1309" s="4" t="n"/>
      <c r="K1309" s="7">
        <f>IF(OR(B1309="",B1309&lt;&gt;الإيصال!$C$3),"",COUNTIF(B$2:B1309,الإيصال!$C$3))</f>
        <v/>
      </c>
    </row>
    <row r="1310">
      <c r="A1310" s="6" t="n"/>
      <c r="B1310" s="4" t="n"/>
      <c r="C1310" s="4" t="n"/>
      <c r="D1310" s="4" t="n"/>
      <c r="E1310">
        <f>IF(D1310="","",IFERROR(INDEX(الأصناف!$B$2:$B$2000,MATCH(D1310,الأصناف!$A$2:$A$2000,0)),"كود غير موجود"))</f>
        <v/>
      </c>
      <c r="F1310" s="4" t="n"/>
      <c r="G1310">
        <f>IF(D1310="","",IFERROR(INDEX(الأصناف!$C$2:$C$2000,MATCH(D1310,الأصناف!$A$2:$A$2000,0)),0))</f>
        <v/>
      </c>
      <c r="H1310">
        <f>IF(D1310="","",F1310*G1310)</f>
        <v/>
      </c>
      <c r="I1310">
        <f>IF(D1310="","",H1310-F1310*IFERROR(INDEX(الأصناف!$D$2:$D$2000,MATCH(D1310,الأصناف!$A$2:$A$2000,0)),0))</f>
        <v/>
      </c>
      <c r="J1310" s="4" t="n"/>
      <c r="K1310" s="7">
        <f>IF(OR(B1310="",B1310&lt;&gt;الإيصال!$C$3),"",COUNTIF(B$2:B1310,الإيصال!$C$3))</f>
        <v/>
      </c>
    </row>
    <row r="1311">
      <c r="A1311" s="6" t="n"/>
      <c r="B1311" s="4" t="n"/>
      <c r="C1311" s="4" t="n"/>
      <c r="D1311" s="4" t="n"/>
      <c r="E1311">
        <f>IF(D1311="","",IFERROR(INDEX(الأصناف!$B$2:$B$2000,MATCH(D1311,الأصناف!$A$2:$A$2000,0)),"كود غير موجود"))</f>
        <v/>
      </c>
      <c r="F1311" s="4" t="n"/>
      <c r="G1311">
        <f>IF(D1311="","",IFERROR(INDEX(الأصناف!$C$2:$C$2000,MATCH(D1311,الأصناف!$A$2:$A$2000,0)),0))</f>
        <v/>
      </c>
      <c r="H1311">
        <f>IF(D1311="","",F1311*G1311)</f>
        <v/>
      </c>
      <c r="I1311">
        <f>IF(D1311="","",H1311-F1311*IFERROR(INDEX(الأصناف!$D$2:$D$2000,MATCH(D1311,الأصناف!$A$2:$A$2000,0)),0))</f>
        <v/>
      </c>
      <c r="J1311" s="4" t="n"/>
      <c r="K1311" s="7">
        <f>IF(OR(B1311="",B1311&lt;&gt;الإيصال!$C$3),"",COUNTIF(B$2:B1311,الإيصال!$C$3))</f>
        <v/>
      </c>
    </row>
    <row r="1312">
      <c r="A1312" s="6" t="n"/>
      <c r="B1312" s="4" t="n"/>
      <c r="C1312" s="4" t="n"/>
      <c r="D1312" s="4" t="n"/>
      <c r="E1312">
        <f>IF(D1312="","",IFERROR(INDEX(الأصناف!$B$2:$B$2000,MATCH(D1312,الأصناف!$A$2:$A$2000,0)),"كود غير موجود"))</f>
        <v/>
      </c>
      <c r="F1312" s="4" t="n"/>
      <c r="G1312">
        <f>IF(D1312="","",IFERROR(INDEX(الأصناف!$C$2:$C$2000,MATCH(D1312,الأصناف!$A$2:$A$2000,0)),0))</f>
        <v/>
      </c>
      <c r="H1312">
        <f>IF(D1312="","",F1312*G1312)</f>
        <v/>
      </c>
      <c r="I1312">
        <f>IF(D1312="","",H1312-F1312*IFERROR(INDEX(الأصناف!$D$2:$D$2000,MATCH(D1312,الأصناف!$A$2:$A$2000,0)),0))</f>
        <v/>
      </c>
      <c r="J1312" s="4" t="n"/>
      <c r="K1312" s="7">
        <f>IF(OR(B1312="",B1312&lt;&gt;الإيصال!$C$3),"",COUNTIF(B$2:B1312,الإيصال!$C$3))</f>
        <v/>
      </c>
    </row>
    <row r="1313">
      <c r="A1313" s="6" t="n"/>
      <c r="B1313" s="4" t="n"/>
      <c r="C1313" s="4" t="n"/>
      <c r="D1313" s="4" t="n"/>
      <c r="E1313">
        <f>IF(D1313="","",IFERROR(INDEX(الأصناف!$B$2:$B$2000,MATCH(D1313,الأصناف!$A$2:$A$2000,0)),"كود غير موجود"))</f>
        <v/>
      </c>
      <c r="F1313" s="4" t="n"/>
      <c r="G1313">
        <f>IF(D1313="","",IFERROR(INDEX(الأصناف!$C$2:$C$2000,MATCH(D1313,الأصناف!$A$2:$A$2000,0)),0))</f>
        <v/>
      </c>
      <c r="H1313">
        <f>IF(D1313="","",F1313*G1313)</f>
        <v/>
      </c>
      <c r="I1313">
        <f>IF(D1313="","",H1313-F1313*IFERROR(INDEX(الأصناف!$D$2:$D$2000,MATCH(D1313,الأصناف!$A$2:$A$2000,0)),0))</f>
        <v/>
      </c>
      <c r="J1313" s="4" t="n"/>
      <c r="K1313" s="7">
        <f>IF(OR(B1313="",B1313&lt;&gt;الإيصال!$C$3),"",COUNTIF(B$2:B1313,الإيصال!$C$3))</f>
        <v/>
      </c>
    </row>
    <row r="1314">
      <c r="A1314" s="6" t="n"/>
      <c r="B1314" s="4" t="n"/>
      <c r="C1314" s="4" t="n"/>
      <c r="D1314" s="4" t="n"/>
      <c r="E1314">
        <f>IF(D1314="","",IFERROR(INDEX(الأصناف!$B$2:$B$2000,MATCH(D1314,الأصناف!$A$2:$A$2000,0)),"كود غير موجود"))</f>
        <v/>
      </c>
      <c r="F1314" s="4" t="n"/>
      <c r="G1314">
        <f>IF(D1314="","",IFERROR(INDEX(الأصناف!$C$2:$C$2000,MATCH(D1314,الأصناف!$A$2:$A$2000,0)),0))</f>
        <v/>
      </c>
      <c r="H1314">
        <f>IF(D1314="","",F1314*G1314)</f>
        <v/>
      </c>
      <c r="I1314">
        <f>IF(D1314="","",H1314-F1314*IFERROR(INDEX(الأصناف!$D$2:$D$2000,MATCH(D1314,الأصناف!$A$2:$A$2000,0)),0))</f>
        <v/>
      </c>
      <c r="J1314" s="4" t="n"/>
      <c r="K1314" s="7">
        <f>IF(OR(B1314="",B1314&lt;&gt;الإيصال!$C$3),"",COUNTIF(B$2:B1314,الإيصال!$C$3))</f>
        <v/>
      </c>
    </row>
    <row r="1315">
      <c r="A1315" s="6" t="n"/>
      <c r="B1315" s="4" t="n"/>
      <c r="C1315" s="4" t="n"/>
      <c r="D1315" s="4" t="n"/>
      <c r="E1315">
        <f>IF(D1315="","",IFERROR(INDEX(الأصناف!$B$2:$B$2000,MATCH(D1315,الأصناف!$A$2:$A$2000,0)),"كود غير موجود"))</f>
        <v/>
      </c>
      <c r="F1315" s="4" t="n"/>
      <c r="G1315">
        <f>IF(D1315="","",IFERROR(INDEX(الأصناف!$C$2:$C$2000,MATCH(D1315,الأصناف!$A$2:$A$2000,0)),0))</f>
        <v/>
      </c>
      <c r="H1315">
        <f>IF(D1315="","",F1315*G1315)</f>
        <v/>
      </c>
      <c r="I1315">
        <f>IF(D1315="","",H1315-F1315*IFERROR(INDEX(الأصناف!$D$2:$D$2000,MATCH(D1315,الأصناف!$A$2:$A$2000,0)),0))</f>
        <v/>
      </c>
      <c r="J1315" s="4" t="n"/>
      <c r="K1315" s="7">
        <f>IF(OR(B1315="",B1315&lt;&gt;الإيصال!$C$3),"",COUNTIF(B$2:B1315,الإيصال!$C$3))</f>
        <v/>
      </c>
    </row>
    <row r="1316">
      <c r="A1316" s="6" t="n"/>
      <c r="B1316" s="4" t="n"/>
      <c r="C1316" s="4" t="n"/>
      <c r="D1316" s="4" t="n"/>
      <c r="E1316">
        <f>IF(D1316="","",IFERROR(INDEX(الأصناف!$B$2:$B$2000,MATCH(D1316,الأصناف!$A$2:$A$2000,0)),"كود غير موجود"))</f>
        <v/>
      </c>
      <c r="F1316" s="4" t="n"/>
      <c r="G1316">
        <f>IF(D1316="","",IFERROR(INDEX(الأصناف!$C$2:$C$2000,MATCH(D1316,الأصناف!$A$2:$A$2000,0)),0))</f>
        <v/>
      </c>
      <c r="H1316">
        <f>IF(D1316="","",F1316*G1316)</f>
        <v/>
      </c>
      <c r="I1316">
        <f>IF(D1316="","",H1316-F1316*IFERROR(INDEX(الأصناف!$D$2:$D$2000,MATCH(D1316,الأصناف!$A$2:$A$2000,0)),0))</f>
        <v/>
      </c>
      <c r="J1316" s="4" t="n"/>
      <c r="K1316" s="7">
        <f>IF(OR(B1316="",B1316&lt;&gt;الإيصال!$C$3),"",COUNTIF(B$2:B1316,الإيصال!$C$3))</f>
        <v/>
      </c>
    </row>
    <row r="1317">
      <c r="A1317" s="6" t="n"/>
      <c r="B1317" s="4" t="n"/>
      <c r="C1317" s="4" t="n"/>
      <c r="D1317" s="4" t="n"/>
      <c r="E1317">
        <f>IF(D1317="","",IFERROR(INDEX(الأصناف!$B$2:$B$2000,MATCH(D1317,الأصناف!$A$2:$A$2000,0)),"كود غير موجود"))</f>
        <v/>
      </c>
      <c r="F1317" s="4" t="n"/>
      <c r="G1317">
        <f>IF(D1317="","",IFERROR(INDEX(الأصناف!$C$2:$C$2000,MATCH(D1317,الأصناف!$A$2:$A$2000,0)),0))</f>
        <v/>
      </c>
      <c r="H1317">
        <f>IF(D1317="","",F1317*G1317)</f>
        <v/>
      </c>
      <c r="I1317">
        <f>IF(D1317="","",H1317-F1317*IFERROR(INDEX(الأصناف!$D$2:$D$2000,MATCH(D1317,الأصناف!$A$2:$A$2000,0)),0))</f>
        <v/>
      </c>
      <c r="J1317" s="4" t="n"/>
      <c r="K1317" s="7">
        <f>IF(OR(B1317="",B1317&lt;&gt;الإيصال!$C$3),"",COUNTIF(B$2:B1317,الإيصال!$C$3))</f>
        <v/>
      </c>
    </row>
    <row r="1318">
      <c r="A1318" s="6" t="n"/>
      <c r="B1318" s="4" t="n"/>
      <c r="C1318" s="4" t="n"/>
      <c r="D1318" s="4" t="n"/>
      <c r="E1318">
        <f>IF(D1318="","",IFERROR(INDEX(الأصناف!$B$2:$B$2000,MATCH(D1318,الأصناف!$A$2:$A$2000,0)),"كود غير موجود"))</f>
        <v/>
      </c>
      <c r="F1318" s="4" t="n"/>
      <c r="G1318">
        <f>IF(D1318="","",IFERROR(INDEX(الأصناف!$C$2:$C$2000,MATCH(D1318,الأصناف!$A$2:$A$2000,0)),0))</f>
        <v/>
      </c>
      <c r="H1318">
        <f>IF(D1318="","",F1318*G1318)</f>
        <v/>
      </c>
      <c r="I1318">
        <f>IF(D1318="","",H1318-F1318*IFERROR(INDEX(الأصناف!$D$2:$D$2000,MATCH(D1318,الأصناف!$A$2:$A$2000,0)),0))</f>
        <v/>
      </c>
      <c r="J1318" s="4" t="n"/>
      <c r="K1318" s="7">
        <f>IF(OR(B1318="",B1318&lt;&gt;الإيصال!$C$3),"",COUNTIF(B$2:B1318,الإيصال!$C$3))</f>
        <v/>
      </c>
    </row>
    <row r="1319">
      <c r="A1319" s="6" t="n"/>
      <c r="B1319" s="4" t="n"/>
      <c r="C1319" s="4" t="n"/>
      <c r="D1319" s="4" t="n"/>
      <c r="E1319">
        <f>IF(D1319="","",IFERROR(INDEX(الأصناف!$B$2:$B$2000,MATCH(D1319,الأصناف!$A$2:$A$2000,0)),"كود غير موجود"))</f>
        <v/>
      </c>
      <c r="F1319" s="4" t="n"/>
      <c r="G1319">
        <f>IF(D1319="","",IFERROR(INDEX(الأصناف!$C$2:$C$2000,MATCH(D1319,الأصناف!$A$2:$A$2000,0)),0))</f>
        <v/>
      </c>
      <c r="H1319">
        <f>IF(D1319="","",F1319*G1319)</f>
        <v/>
      </c>
      <c r="I1319">
        <f>IF(D1319="","",H1319-F1319*IFERROR(INDEX(الأصناف!$D$2:$D$2000,MATCH(D1319,الأصناف!$A$2:$A$2000,0)),0))</f>
        <v/>
      </c>
      <c r="J1319" s="4" t="n"/>
      <c r="K1319" s="7">
        <f>IF(OR(B1319="",B1319&lt;&gt;الإيصال!$C$3),"",COUNTIF(B$2:B1319,الإيصال!$C$3))</f>
        <v/>
      </c>
    </row>
    <row r="1320">
      <c r="A1320" s="6" t="n"/>
      <c r="B1320" s="4" t="n"/>
      <c r="C1320" s="4" t="n"/>
      <c r="D1320" s="4" t="n"/>
      <c r="E1320">
        <f>IF(D1320="","",IFERROR(INDEX(الأصناف!$B$2:$B$2000,MATCH(D1320,الأصناف!$A$2:$A$2000,0)),"كود غير موجود"))</f>
        <v/>
      </c>
      <c r="F1320" s="4" t="n"/>
      <c r="G1320">
        <f>IF(D1320="","",IFERROR(INDEX(الأصناف!$C$2:$C$2000,MATCH(D1320,الأصناف!$A$2:$A$2000,0)),0))</f>
        <v/>
      </c>
      <c r="H1320">
        <f>IF(D1320="","",F1320*G1320)</f>
        <v/>
      </c>
      <c r="I1320">
        <f>IF(D1320="","",H1320-F1320*IFERROR(INDEX(الأصناف!$D$2:$D$2000,MATCH(D1320,الأصناف!$A$2:$A$2000,0)),0))</f>
        <v/>
      </c>
      <c r="J1320" s="4" t="n"/>
      <c r="K1320" s="7">
        <f>IF(OR(B1320="",B1320&lt;&gt;الإيصال!$C$3),"",COUNTIF(B$2:B1320,الإيصال!$C$3))</f>
        <v/>
      </c>
    </row>
    <row r="1321">
      <c r="A1321" s="6" t="n"/>
      <c r="B1321" s="4" t="n"/>
      <c r="C1321" s="4" t="n"/>
      <c r="D1321" s="4" t="n"/>
      <c r="E1321">
        <f>IF(D1321="","",IFERROR(INDEX(الأصناف!$B$2:$B$2000,MATCH(D1321,الأصناف!$A$2:$A$2000,0)),"كود غير موجود"))</f>
        <v/>
      </c>
      <c r="F1321" s="4" t="n"/>
      <c r="G1321">
        <f>IF(D1321="","",IFERROR(INDEX(الأصناف!$C$2:$C$2000,MATCH(D1321,الأصناف!$A$2:$A$2000,0)),0))</f>
        <v/>
      </c>
      <c r="H1321">
        <f>IF(D1321="","",F1321*G1321)</f>
        <v/>
      </c>
      <c r="I1321">
        <f>IF(D1321="","",H1321-F1321*IFERROR(INDEX(الأصناف!$D$2:$D$2000,MATCH(D1321,الأصناف!$A$2:$A$2000,0)),0))</f>
        <v/>
      </c>
      <c r="J1321" s="4" t="n"/>
      <c r="K1321" s="7">
        <f>IF(OR(B1321="",B1321&lt;&gt;الإيصال!$C$3),"",COUNTIF(B$2:B1321,الإيصال!$C$3))</f>
        <v/>
      </c>
    </row>
    <row r="1322">
      <c r="A1322" s="6" t="n"/>
      <c r="B1322" s="4" t="n"/>
      <c r="C1322" s="4" t="n"/>
      <c r="D1322" s="4" t="n"/>
      <c r="E1322">
        <f>IF(D1322="","",IFERROR(INDEX(الأصناف!$B$2:$B$2000,MATCH(D1322,الأصناف!$A$2:$A$2000,0)),"كود غير موجود"))</f>
        <v/>
      </c>
      <c r="F1322" s="4" t="n"/>
      <c r="G1322">
        <f>IF(D1322="","",IFERROR(INDEX(الأصناف!$C$2:$C$2000,MATCH(D1322,الأصناف!$A$2:$A$2000,0)),0))</f>
        <v/>
      </c>
      <c r="H1322">
        <f>IF(D1322="","",F1322*G1322)</f>
        <v/>
      </c>
      <c r="I1322">
        <f>IF(D1322="","",H1322-F1322*IFERROR(INDEX(الأصناف!$D$2:$D$2000,MATCH(D1322,الأصناف!$A$2:$A$2000,0)),0))</f>
        <v/>
      </c>
      <c r="J1322" s="4" t="n"/>
      <c r="K1322" s="7">
        <f>IF(OR(B1322="",B1322&lt;&gt;الإيصال!$C$3),"",COUNTIF(B$2:B1322,الإيصال!$C$3))</f>
        <v/>
      </c>
    </row>
    <row r="1323">
      <c r="A1323" s="6" t="n"/>
      <c r="B1323" s="4" t="n"/>
      <c r="C1323" s="4" t="n"/>
      <c r="D1323" s="4" t="n"/>
      <c r="E1323">
        <f>IF(D1323="","",IFERROR(INDEX(الأصناف!$B$2:$B$2000,MATCH(D1323,الأصناف!$A$2:$A$2000,0)),"كود غير موجود"))</f>
        <v/>
      </c>
      <c r="F1323" s="4" t="n"/>
      <c r="G1323">
        <f>IF(D1323="","",IFERROR(INDEX(الأصناف!$C$2:$C$2000,MATCH(D1323,الأصناف!$A$2:$A$2000,0)),0))</f>
        <v/>
      </c>
      <c r="H1323">
        <f>IF(D1323="","",F1323*G1323)</f>
        <v/>
      </c>
      <c r="I1323">
        <f>IF(D1323="","",H1323-F1323*IFERROR(INDEX(الأصناف!$D$2:$D$2000,MATCH(D1323,الأصناف!$A$2:$A$2000,0)),0))</f>
        <v/>
      </c>
      <c r="J1323" s="4" t="n"/>
      <c r="K1323" s="7">
        <f>IF(OR(B1323="",B1323&lt;&gt;الإيصال!$C$3),"",COUNTIF(B$2:B1323,الإيصال!$C$3))</f>
        <v/>
      </c>
    </row>
    <row r="1324">
      <c r="A1324" s="6" t="n"/>
      <c r="B1324" s="4" t="n"/>
      <c r="C1324" s="4" t="n"/>
      <c r="D1324" s="4" t="n"/>
      <c r="E1324">
        <f>IF(D1324="","",IFERROR(INDEX(الأصناف!$B$2:$B$2000,MATCH(D1324,الأصناف!$A$2:$A$2000,0)),"كود غير موجود"))</f>
        <v/>
      </c>
      <c r="F1324" s="4" t="n"/>
      <c r="G1324">
        <f>IF(D1324="","",IFERROR(INDEX(الأصناف!$C$2:$C$2000,MATCH(D1324,الأصناف!$A$2:$A$2000,0)),0))</f>
        <v/>
      </c>
      <c r="H1324">
        <f>IF(D1324="","",F1324*G1324)</f>
        <v/>
      </c>
      <c r="I1324">
        <f>IF(D1324="","",H1324-F1324*IFERROR(INDEX(الأصناف!$D$2:$D$2000,MATCH(D1324,الأصناف!$A$2:$A$2000,0)),0))</f>
        <v/>
      </c>
      <c r="J1324" s="4" t="n"/>
      <c r="K1324" s="7">
        <f>IF(OR(B1324="",B1324&lt;&gt;الإيصال!$C$3),"",COUNTIF(B$2:B1324,الإيصال!$C$3))</f>
        <v/>
      </c>
    </row>
    <row r="1325">
      <c r="A1325" s="6" t="n"/>
      <c r="B1325" s="4" t="n"/>
      <c r="C1325" s="4" t="n"/>
      <c r="D1325" s="4" t="n"/>
      <c r="E1325">
        <f>IF(D1325="","",IFERROR(INDEX(الأصناف!$B$2:$B$2000,MATCH(D1325,الأصناف!$A$2:$A$2000,0)),"كود غير موجود"))</f>
        <v/>
      </c>
      <c r="F1325" s="4" t="n"/>
      <c r="G1325">
        <f>IF(D1325="","",IFERROR(INDEX(الأصناف!$C$2:$C$2000,MATCH(D1325,الأصناف!$A$2:$A$2000,0)),0))</f>
        <v/>
      </c>
      <c r="H1325">
        <f>IF(D1325="","",F1325*G1325)</f>
        <v/>
      </c>
      <c r="I1325">
        <f>IF(D1325="","",H1325-F1325*IFERROR(INDEX(الأصناف!$D$2:$D$2000,MATCH(D1325,الأصناف!$A$2:$A$2000,0)),0))</f>
        <v/>
      </c>
      <c r="J1325" s="4" t="n"/>
      <c r="K1325" s="7">
        <f>IF(OR(B1325="",B1325&lt;&gt;الإيصال!$C$3),"",COUNTIF(B$2:B1325,الإيصال!$C$3))</f>
        <v/>
      </c>
    </row>
    <row r="1326">
      <c r="A1326" s="6" t="n"/>
      <c r="B1326" s="4" t="n"/>
      <c r="C1326" s="4" t="n"/>
      <c r="D1326" s="4" t="n"/>
      <c r="E1326">
        <f>IF(D1326="","",IFERROR(INDEX(الأصناف!$B$2:$B$2000,MATCH(D1326,الأصناف!$A$2:$A$2000,0)),"كود غير موجود"))</f>
        <v/>
      </c>
      <c r="F1326" s="4" t="n"/>
      <c r="G1326">
        <f>IF(D1326="","",IFERROR(INDEX(الأصناف!$C$2:$C$2000,MATCH(D1326,الأصناف!$A$2:$A$2000,0)),0))</f>
        <v/>
      </c>
      <c r="H1326">
        <f>IF(D1326="","",F1326*G1326)</f>
        <v/>
      </c>
      <c r="I1326">
        <f>IF(D1326="","",H1326-F1326*IFERROR(INDEX(الأصناف!$D$2:$D$2000,MATCH(D1326,الأصناف!$A$2:$A$2000,0)),0))</f>
        <v/>
      </c>
      <c r="J1326" s="4" t="n"/>
      <c r="K1326" s="7">
        <f>IF(OR(B1326="",B1326&lt;&gt;الإيصال!$C$3),"",COUNTIF(B$2:B1326,الإيصال!$C$3))</f>
        <v/>
      </c>
    </row>
    <row r="1327">
      <c r="A1327" s="6" t="n"/>
      <c r="B1327" s="4" t="n"/>
      <c r="C1327" s="4" t="n"/>
      <c r="D1327" s="4" t="n"/>
      <c r="E1327">
        <f>IF(D1327="","",IFERROR(INDEX(الأصناف!$B$2:$B$2000,MATCH(D1327,الأصناف!$A$2:$A$2000,0)),"كود غير موجود"))</f>
        <v/>
      </c>
      <c r="F1327" s="4" t="n"/>
      <c r="G1327">
        <f>IF(D1327="","",IFERROR(INDEX(الأصناف!$C$2:$C$2000,MATCH(D1327,الأصناف!$A$2:$A$2000,0)),0))</f>
        <v/>
      </c>
      <c r="H1327">
        <f>IF(D1327="","",F1327*G1327)</f>
        <v/>
      </c>
      <c r="I1327">
        <f>IF(D1327="","",H1327-F1327*IFERROR(INDEX(الأصناف!$D$2:$D$2000,MATCH(D1327,الأصناف!$A$2:$A$2000,0)),0))</f>
        <v/>
      </c>
      <c r="J1327" s="4" t="n"/>
      <c r="K1327" s="7">
        <f>IF(OR(B1327="",B1327&lt;&gt;الإيصال!$C$3),"",COUNTIF(B$2:B1327,الإيصال!$C$3))</f>
        <v/>
      </c>
    </row>
    <row r="1328">
      <c r="A1328" s="6" t="n"/>
      <c r="B1328" s="4" t="n"/>
      <c r="C1328" s="4" t="n"/>
      <c r="D1328" s="4" t="n"/>
      <c r="E1328">
        <f>IF(D1328="","",IFERROR(INDEX(الأصناف!$B$2:$B$2000,MATCH(D1328,الأصناف!$A$2:$A$2000,0)),"كود غير موجود"))</f>
        <v/>
      </c>
      <c r="F1328" s="4" t="n"/>
      <c r="G1328">
        <f>IF(D1328="","",IFERROR(INDEX(الأصناف!$C$2:$C$2000,MATCH(D1328,الأصناف!$A$2:$A$2000,0)),0))</f>
        <v/>
      </c>
      <c r="H1328">
        <f>IF(D1328="","",F1328*G1328)</f>
        <v/>
      </c>
      <c r="I1328">
        <f>IF(D1328="","",H1328-F1328*IFERROR(INDEX(الأصناف!$D$2:$D$2000,MATCH(D1328,الأصناف!$A$2:$A$2000,0)),0))</f>
        <v/>
      </c>
      <c r="J1328" s="4" t="n"/>
      <c r="K1328" s="7">
        <f>IF(OR(B1328="",B1328&lt;&gt;الإيصال!$C$3),"",COUNTIF(B$2:B1328,الإيصال!$C$3))</f>
        <v/>
      </c>
    </row>
    <row r="1329">
      <c r="A1329" s="6" t="n"/>
      <c r="B1329" s="4" t="n"/>
      <c r="C1329" s="4" t="n"/>
      <c r="D1329" s="4" t="n"/>
      <c r="E1329">
        <f>IF(D1329="","",IFERROR(INDEX(الأصناف!$B$2:$B$2000,MATCH(D1329,الأصناف!$A$2:$A$2000,0)),"كود غير موجود"))</f>
        <v/>
      </c>
      <c r="F1329" s="4" t="n"/>
      <c r="G1329">
        <f>IF(D1329="","",IFERROR(INDEX(الأصناف!$C$2:$C$2000,MATCH(D1329,الأصناف!$A$2:$A$2000,0)),0))</f>
        <v/>
      </c>
      <c r="H1329">
        <f>IF(D1329="","",F1329*G1329)</f>
        <v/>
      </c>
      <c r="I1329">
        <f>IF(D1329="","",H1329-F1329*IFERROR(INDEX(الأصناف!$D$2:$D$2000,MATCH(D1329,الأصناف!$A$2:$A$2000,0)),0))</f>
        <v/>
      </c>
      <c r="J1329" s="4" t="n"/>
      <c r="K1329" s="7">
        <f>IF(OR(B1329="",B1329&lt;&gt;الإيصال!$C$3),"",COUNTIF(B$2:B1329,الإيصال!$C$3))</f>
        <v/>
      </c>
    </row>
    <row r="1330">
      <c r="A1330" s="6" t="n"/>
      <c r="B1330" s="4" t="n"/>
      <c r="C1330" s="4" t="n"/>
      <c r="D1330" s="4" t="n"/>
      <c r="E1330">
        <f>IF(D1330="","",IFERROR(INDEX(الأصناف!$B$2:$B$2000,MATCH(D1330,الأصناف!$A$2:$A$2000,0)),"كود غير موجود"))</f>
        <v/>
      </c>
      <c r="F1330" s="4" t="n"/>
      <c r="G1330">
        <f>IF(D1330="","",IFERROR(INDEX(الأصناف!$C$2:$C$2000,MATCH(D1330,الأصناف!$A$2:$A$2000,0)),0))</f>
        <v/>
      </c>
      <c r="H1330">
        <f>IF(D1330="","",F1330*G1330)</f>
        <v/>
      </c>
      <c r="I1330">
        <f>IF(D1330="","",H1330-F1330*IFERROR(INDEX(الأصناف!$D$2:$D$2000,MATCH(D1330,الأصناف!$A$2:$A$2000,0)),0))</f>
        <v/>
      </c>
      <c r="J1330" s="4" t="n"/>
      <c r="K1330" s="7">
        <f>IF(OR(B1330="",B1330&lt;&gt;الإيصال!$C$3),"",COUNTIF(B$2:B1330,الإيصال!$C$3))</f>
        <v/>
      </c>
    </row>
    <row r="1331">
      <c r="A1331" s="6" t="n"/>
      <c r="B1331" s="4" t="n"/>
      <c r="C1331" s="4" t="n"/>
      <c r="D1331" s="4" t="n"/>
      <c r="E1331">
        <f>IF(D1331="","",IFERROR(INDEX(الأصناف!$B$2:$B$2000,MATCH(D1331,الأصناف!$A$2:$A$2000,0)),"كود غير موجود"))</f>
        <v/>
      </c>
      <c r="F1331" s="4" t="n"/>
      <c r="G1331">
        <f>IF(D1331="","",IFERROR(INDEX(الأصناف!$C$2:$C$2000,MATCH(D1331,الأصناف!$A$2:$A$2000,0)),0))</f>
        <v/>
      </c>
      <c r="H1331">
        <f>IF(D1331="","",F1331*G1331)</f>
        <v/>
      </c>
      <c r="I1331">
        <f>IF(D1331="","",H1331-F1331*IFERROR(INDEX(الأصناف!$D$2:$D$2000,MATCH(D1331,الأصناف!$A$2:$A$2000,0)),0))</f>
        <v/>
      </c>
      <c r="J1331" s="4" t="n"/>
      <c r="K1331" s="7">
        <f>IF(OR(B1331="",B1331&lt;&gt;الإيصال!$C$3),"",COUNTIF(B$2:B1331,الإيصال!$C$3))</f>
        <v/>
      </c>
    </row>
    <row r="1332">
      <c r="A1332" s="6" t="n"/>
      <c r="B1332" s="4" t="n"/>
      <c r="C1332" s="4" t="n"/>
      <c r="D1332" s="4" t="n"/>
      <c r="E1332">
        <f>IF(D1332="","",IFERROR(INDEX(الأصناف!$B$2:$B$2000,MATCH(D1332,الأصناف!$A$2:$A$2000,0)),"كود غير موجود"))</f>
        <v/>
      </c>
      <c r="F1332" s="4" t="n"/>
      <c r="G1332">
        <f>IF(D1332="","",IFERROR(INDEX(الأصناف!$C$2:$C$2000,MATCH(D1332,الأصناف!$A$2:$A$2000,0)),0))</f>
        <v/>
      </c>
      <c r="H1332">
        <f>IF(D1332="","",F1332*G1332)</f>
        <v/>
      </c>
      <c r="I1332">
        <f>IF(D1332="","",H1332-F1332*IFERROR(INDEX(الأصناف!$D$2:$D$2000,MATCH(D1332,الأصناف!$A$2:$A$2000,0)),0))</f>
        <v/>
      </c>
      <c r="J1332" s="4" t="n"/>
      <c r="K1332" s="7">
        <f>IF(OR(B1332="",B1332&lt;&gt;الإيصال!$C$3),"",COUNTIF(B$2:B1332,الإيصال!$C$3))</f>
        <v/>
      </c>
    </row>
    <row r="1333">
      <c r="A1333" s="6" t="n"/>
      <c r="B1333" s="4" t="n"/>
      <c r="C1333" s="4" t="n"/>
      <c r="D1333" s="4" t="n"/>
      <c r="E1333">
        <f>IF(D1333="","",IFERROR(INDEX(الأصناف!$B$2:$B$2000,MATCH(D1333,الأصناف!$A$2:$A$2000,0)),"كود غير موجود"))</f>
        <v/>
      </c>
      <c r="F1333" s="4" t="n"/>
      <c r="G1333">
        <f>IF(D1333="","",IFERROR(INDEX(الأصناف!$C$2:$C$2000,MATCH(D1333,الأصناف!$A$2:$A$2000,0)),0))</f>
        <v/>
      </c>
      <c r="H1333">
        <f>IF(D1333="","",F1333*G1333)</f>
        <v/>
      </c>
      <c r="I1333">
        <f>IF(D1333="","",H1333-F1333*IFERROR(INDEX(الأصناف!$D$2:$D$2000,MATCH(D1333,الأصناف!$A$2:$A$2000,0)),0))</f>
        <v/>
      </c>
      <c r="J1333" s="4" t="n"/>
      <c r="K1333" s="7">
        <f>IF(OR(B1333="",B1333&lt;&gt;الإيصال!$C$3),"",COUNTIF(B$2:B1333,الإيصال!$C$3))</f>
        <v/>
      </c>
    </row>
    <row r="1334">
      <c r="A1334" s="6" t="n"/>
      <c r="B1334" s="4" t="n"/>
      <c r="C1334" s="4" t="n"/>
      <c r="D1334" s="4" t="n"/>
      <c r="E1334">
        <f>IF(D1334="","",IFERROR(INDEX(الأصناف!$B$2:$B$2000,MATCH(D1334,الأصناف!$A$2:$A$2000,0)),"كود غير موجود"))</f>
        <v/>
      </c>
      <c r="F1334" s="4" t="n"/>
      <c r="G1334">
        <f>IF(D1334="","",IFERROR(INDEX(الأصناف!$C$2:$C$2000,MATCH(D1334,الأصناف!$A$2:$A$2000,0)),0))</f>
        <v/>
      </c>
      <c r="H1334">
        <f>IF(D1334="","",F1334*G1334)</f>
        <v/>
      </c>
      <c r="I1334">
        <f>IF(D1334="","",H1334-F1334*IFERROR(INDEX(الأصناف!$D$2:$D$2000,MATCH(D1334,الأصناف!$A$2:$A$2000,0)),0))</f>
        <v/>
      </c>
      <c r="J1334" s="4" t="n"/>
      <c r="K1334" s="7">
        <f>IF(OR(B1334="",B1334&lt;&gt;الإيصال!$C$3),"",COUNTIF(B$2:B1334,الإيصال!$C$3))</f>
        <v/>
      </c>
    </row>
    <row r="1335">
      <c r="A1335" s="6" t="n"/>
      <c r="B1335" s="4" t="n"/>
      <c r="C1335" s="4" t="n"/>
      <c r="D1335" s="4" t="n"/>
      <c r="E1335">
        <f>IF(D1335="","",IFERROR(INDEX(الأصناف!$B$2:$B$2000,MATCH(D1335,الأصناف!$A$2:$A$2000,0)),"كود غير موجود"))</f>
        <v/>
      </c>
      <c r="F1335" s="4" t="n"/>
      <c r="G1335">
        <f>IF(D1335="","",IFERROR(INDEX(الأصناف!$C$2:$C$2000,MATCH(D1335,الأصناف!$A$2:$A$2000,0)),0))</f>
        <v/>
      </c>
      <c r="H1335">
        <f>IF(D1335="","",F1335*G1335)</f>
        <v/>
      </c>
      <c r="I1335">
        <f>IF(D1335="","",H1335-F1335*IFERROR(INDEX(الأصناف!$D$2:$D$2000,MATCH(D1335,الأصناف!$A$2:$A$2000,0)),0))</f>
        <v/>
      </c>
      <c r="J1335" s="4" t="n"/>
      <c r="K1335" s="7">
        <f>IF(OR(B1335="",B1335&lt;&gt;الإيصال!$C$3),"",COUNTIF(B$2:B1335,الإيصال!$C$3))</f>
        <v/>
      </c>
    </row>
    <row r="1336">
      <c r="A1336" s="6" t="n"/>
      <c r="B1336" s="4" t="n"/>
      <c r="C1336" s="4" t="n"/>
      <c r="D1336" s="4" t="n"/>
      <c r="E1336">
        <f>IF(D1336="","",IFERROR(INDEX(الأصناف!$B$2:$B$2000,MATCH(D1336,الأصناف!$A$2:$A$2000,0)),"كود غير موجود"))</f>
        <v/>
      </c>
      <c r="F1336" s="4" t="n"/>
      <c r="G1336">
        <f>IF(D1336="","",IFERROR(INDEX(الأصناف!$C$2:$C$2000,MATCH(D1336,الأصناف!$A$2:$A$2000,0)),0))</f>
        <v/>
      </c>
      <c r="H1336">
        <f>IF(D1336="","",F1336*G1336)</f>
        <v/>
      </c>
      <c r="I1336">
        <f>IF(D1336="","",H1336-F1336*IFERROR(INDEX(الأصناف!$D$2:$D$2000,MATCH(D1336,الأصناف!$A$2:$A$2000,0)),0))</f>
        <v/>
      </c>
      <c r="J1336" s="4" t="n"/>
      <c r="K1336" s="7">
        <f>IF(OR(B1336="",B1336&lt;&gt;الإيصال!$C$3),"",COUNTIF(B$2:B1336,الإيصال!$C$3))</f>
        <v/>
      </c>
    </row>
    <row r="1337">
      <c r="A1337" s="6" t="n"/>
      <c r="B1337" s="4" t="n"/>
      <c r="C1337" s="4" t="n"/>
      <c r="D1337" s="4" t="n"/>
      <c r="E1337">
        <f>IF(D1337="","",IFERROR(INDEX(الأصناف!$B$2:$B$2000,MATCH(D1337,الأصناف!$A$2:$A$2000,0)),"كود غير موجود"))</f>
        <v/>
      </c>
      <c r="F1337" s="4" t="n"/>
      <c r="G1337">
        <f>IF(D1337="","",IFERROR(INDEX(الأصناف!$C$2:$C$2000,MATCH(D1337,الأصناف!$A$2:$A$2000,0)),0))</f>
        <v/>
      </c>
      <c r="H1337">
        <f>IF(D1337="","",F1337*G1337)</f>
        <v/>
      </c>
      <c r="I1337">
        <f>IF(D1337="","",H1337-F1337*IFERROR(INDEX(الأصناف!$D$2:$D$2000,MATCH(D1337,الأصناف!$A$2:$A$2000,0)),0))</f>
        <v/>
      </c>
      <c r="J1337" s="4" t="n"/>
      <c r="K1337" s="7">
        <f>IF(OR(B1337="",B1337&lt;&gt;الإيصال!$C$3),"",COUNTIF(B$2:B1337,الإيصال!$C$3))</f>
        <v/>
      </c>
    </row>
    <row r="1338">
      <c r="A1338" s="6" t="n"/>
      <c r="B1338" s="4" t="n"/>
      <c r="C1338" s="4" t="n"/>
      <c r="D1338" s="4" t="n"/>
      <c r="E1338">
        <f>IF(D1338="","",IFERROR(INDEX(الأصناف!$B$2:$B$2000,MATCH(D1338,الأصناف!$A$2:$A$2000,0)),"كود غير موجود"))</f>
        <v/>
      </c>
      <c r="F1338" s="4" t="n"/>
      <c r="G1338">
        <f>IF(D1338="","",IFERROR(INDEX(الأصناف!$C$2:$C$2000,MATCH(D1338,الأصناف!$A$2:$A$2000,0)),0))</f>
        <v/>
      </c>
      <c r="H1338">
        <f>IF(D1338="","",F1338*G1338)</f>
        <v/>
      </c>
      <c r="I1338">
        <f>IF(D1338="","",H1338-F1338*IFERROR(INDEX(الأصناف!$D$2:$D$2000,MATCH(D1338,الأصناف!$A$2:$A$2000,0)),0))</f>
        <v/>
      </c>
      <c r="J1338" s="4" t="n"/>
      <c r="K1338" s="7">
        <f>IF(OR(B1338="",B1338&lt;&gt;الإيصال!$C$3),"",COUNTIF(B$2:B1338,الإيصال!$C$3))</f>
        <v/>
      </c>
    </row>
    <row r="1339">
      <c r="A1339" s="6" t="n"/>
      <c r="B1339" s="4" t="n"/>
      <c r="C1339" s="4" t="n"/>
      <c r="D1339" s="4" t="n"/>
      <c r="E1339">
        <f>IF(D1339="","",IFERROR(INDEX(الأصناف!$B$2:$B$2000,MATCH(D1339,الأصناف!$A$2:$A$2000,0)),"كود غير موجود"))</f>
        <v/>
      </c>
      <c r="F1339" s="4" t="n"/>
      <c r="G1339">
        <f>IF(D1339="","",IFERROR(INDEX(الأصناف!$C$2:$C$2000,MATCH(D1339,الأصناف!$A$2:$A$2000,0)),0))</f>
        <v/>
      </c>
      <c r="H1339">
        <f>IF(D1339="","",F1339*G1339)</f>
        <v/>
      </c>
      <c r="I1339">
        <f>IF(D1339="","",H1339-F1339*IFERROR(INDEX(الأصناف!$D$2:$D$2000,MATCH(D1339,الأصناف!$A$2:$A$2000,0)),0))</f>
        <v/>
      </c>
      <c r="J1339" s="4" t="n"/>
      <c r="K1339" s="7">
        <f>IF(OR(B1339="",B1339&lt;&gt;الإيصال!$C$3),"",COUNTIF(B$2:B1339,الإيصال!$C$3))</f>
        <v/>
      </c>
    </row>
    <row r="1340">
      <c r="A1340" s="6" t="n"/>
      <c r="B1340" s="4" t="n"/>
      <c r="C1340" s="4" t="n"/>
      <c r="D1340" s="4" t="n"/>
      <c r="E1340">
        <f>IF(D1340="","",IFERROR(INDEX(الأصناف!$B$2:$B$2000,MATCH(D1340,الأصناف!$A$2:$A$2000,0)),"كود غير موجود"))</f>
        <v/>
      </c>
      <c r="F1340" s="4" t="n"/>
      <c r="G1340">
        <f>IF(D1340="","",IFERROR(INDEX(الأصناف!$C$2:$C$2000,MATCH(D1340,الأصناف!$A$2:$A$2000,0)),0))</f>
        <v/>
      </c>
      <c r="H1340">
        <f>IF(D1340="","",F1340*G1340)</f>
        <v/>
      </c>
      <c r="I1340">
        <f>IF(D1340="","",H1340-F1340*IFERROR(INDEX(الأصناف!$D$2:$D$2000,MATCH(D1340,الأصناف!$A$2:$A$2000,0)),0))</f>
        <v/>
      </c>
      <c r="J1340" s="4" t="n"/>
      <c r="K1340" s="7">
        <f>IF(OR(B1340="",B1340&lt;&gt;الإيصال!$C$3),"",COUNTIF(B$2:B1340,الإيصال!$C$3))</f>
        <v/>
      </c>
    </row>
    <row r="1341">
      <c r="A1341" s="6" t="n"/>
      <c r="B1341" s="4" t="n"/>
      <c r="C1341" s="4" t="n"/>
      <c r="D1341" s="4" t="n"/>
      <c r="E1341">
        <f>IF(D1341="","",IFERROR(INDEX(الأصناف!$B$2:$B$2000,MATCH(D1341,الأصناف!$A$2:$A$2000,0)),"كود غير موجود"))</f>
        <v/>
      </c>
      <c r="F1341" s="4" t="n"/>
      <c r="G1341">
        <f>IF(D1341="","",IFERROR(INDEX(الأصناف!$C$2:$C$2000,MATCH(D1341,الأصناف!$A$2:$A$2000,0)),0))</f>
        <v/>
      </c>
      <c r="H1341">
        <f>IF(D1341="","",F1341*G1341)</f>
        <v/>
      </c>
      <c r="I1341">
        <f>IF(D1341="","",H1341-F1341*IFERROR(INDEX(الأصناف!$D$2:$D$2000,MATCH(D1341,الأصناف!$A$2:$A$2000,0)),0))</f>
        <v/>
      </c>
      <c r="J1341" s="4" t="n"/>
      <c r="K1341" s="7">
        <f>IF(OR(B1341="",B1341&lt;&gt;الإيصال!$C$3),"",COUNTIF(B$2:B1341,الإيصال!$C$3))</f>
        <v/>
      </c>
    </row>
    <row r="1342">
      <c r="A1342" s="6" t="n"/>
      <c r="B1342" s="4" t="n"/>
      <c r="C1342" s="4" t="n"/>
      <c r="D1342" s="4" t="n"/>
      <c r="E1342">
        <f>IF(D1342="","",IFERROR(INDEX(الأصناف!$B$2:$B$2000,MATCH(D1342,الأصناف!$A$2:$A$2000,0)),"كود غير موجود"))</f>
        <v/>
      </c>
      <c r="F1342" s="4" t="n"/>
      <c r="G1342">
        <f>IF(D1342="","",IFERROR(INDEX(الأصناف!$C$2:$C$2000,MATCH(D1342,الأصناف!$A$2:$A$2000,0)),0))</f>
        <v/>
      </c>
      <c r="H1342">
        <f>IF(D1342="","",F1342*G1342)</f>
        <v/>
      </c>
      <c r="I1342">
        <f>IF(D1342="","",H1342-F1342*IFERROR(INDEX(الأصناف!$D$2:$D$2000,MATCH(D1342,الأصناف!$A$2:$A$2000,0)),0))</f>
        <v/>
      </c>
      <c r="J1342" s="4" t="n"/>
      <c r="K1342" s="7">
        <f>IF(OR(B1342="",B1342&lt;&gt;الإيصال!$C$3),"",COUNTIF(B$2:B1342,الإيصال!$C$3))</f>
        <v/>
      </c>
    </row>
    <row r="1343">
      <c r="A1343" s="6" t="n"/>
      <c r="B1343" s="4" t="n"/>
      <c r="C1343" s="4" t="n"/>
      <c r="D1343" s="4" t="n"/>
      <c r="E1343">
        <f>IF(D1343="","",IFERROR(INDEX(الأصناف!$B$2:$B$2000,MATCH(D1343,الأصناف!$A$2:$A$2000,0)),"كود غير موجود"))</f>
        <v/>
      </c>
      <c r="F1343" s="4" t="n"/>
      <c r="G1343">
        <f>IF(D1343="","",IFERROR(INDEX(الأصناف!$C$2:$C$2000,MATCH(D1343,الأصناف!$A$2:$A$2000,0)),0))</f>
        <v/>
      </c>
      <c r="H1343">
        <f>IF(D1343="","",F1343*G1343)</f>
        <v/>
      </c>
      <c r="I1343">
        <f>IF(D1343="","",H1343-F1343*IFERROR(INDEX(الأصناف!$D$2:$D$2000,MATCH(D1343,الأصناف!$A$2:$A$2000,0)),0))</f>
        <v/>
      </c>
      <c r="J1343" s="4" t="n"/>
      <c r="K1343" s="7">
        <f>IF(OR(B1343="",B1343&lt;&gt;الإيصال!$C$3),"",COUNTIF(B$2:B1343,الإيصال!$C$3))</f>
        <v/>
      </c>
    </row>
    <row r="1344">
      <c r="A1344" s="6" t="n"/>
      <c r="B1344" s="4" t="n"/>
      <c r="C1344" s="4" t="n"/>
      <c r="D1344" s="4" t="n"/>
      <c r="E1344">
        <f>IF(D1344="","",IFERROR(INDEX(الأصناف!$B$2:$B$2000,MATCH(D1344,الأصناف!$A$2:$A$2000,0)),"كود غير موجود"))</f>
        <v/>
      </c>
      <c r="F1344" s="4" t="n"/>
      <c r="G1344">
        <f>IF(D1344="","",IFERROR(INDEX(الأصناف!$C$2:$C$2000,MATCH(D1344,الأصناف!$A$2:$A$2000,0)),0))</f>
        <v/>
      </c>
      <c r="H1344">
        <f>IF(D1344="","",F1344*G1344)</f>
        <v/>
      </c>
      <c r="I1344">
        <f>IF(D1344="","",H1344-F1344*IFERROR(INDEX(الأصناف!$D$2:$D$2000,MATCH(D1344,الأصناف!$A$2:$A$2000,0)),0))</f>
        <v/>
      </c>
      <c r="J1344" s="4" t="n"/>
      <c r="K1344" s="7">
        <f>IF(OR(B1344="",B1344&lt;&gt;الإيصال!$C$3),"",COUNTIF(B$2:B1344,الإيصال!$C$3))</f>
        <v/>
      </c>
    </row>
    <row r="1345">
      <c r="A1345" s="6" t="n"/>
      <c r="B1345" s="4" t="n"/>
      <c r="C1345" s="4" t="n"/>
      <c r="D1345" s="4" t="n"/>
      <c r="E1345">
        <f>IF(D1345="","",IFERROR(INDEX(الأصناف!$B$2:$B$2000,MATCH(D1345,الأصناف!$A$2:$A$2000,0)),"كود غير موجود"))</f>
        <v/>
      </c>
      <c r="F1345" s="4" t="n"/>
      <c r="G1345">
        <f>IF(D1345="","",IFERROR(INDEX(الأصناف!$C$2:$C$2000,MATCH(D1345,الأصناف!$A$2:$A$2000,0)),0))</f>
        <v/>
      </c>
      <c r="H1345">
        <f>IF(D1345="","",F1345*G1345)</f>
        <v/>
      </c>
      <c r="I1345">
        <f>IF(D1345="","",H1345-F1345*IFERROR(INDEX(الأصناف!$D$2:$D$2000,MATCH(D1345,الأصناف!$A$2:$A$2000,0)),0))</f>
        <v/>
      </c>
      <c r="J1345" s="4" t="n"/>
      <c r="K1345" s="7">
        <f>IF(OR(B1345="",B1345&lt;&gt;الإيصال!$C$3),"",COUNTIF(B$2:B1345,الإيصال!$C$3))</f>
        <v/>
      </c>
    </row>
    <row r="1346">
      <c r="A1346" s="6" t="n"/>
      <c r="B1346" s="4" t="n"/>
      <c r="C1346" s="4" t="n"/>
      <c r="D1346" s="4" t="n"/>
      <c r="E1346">
        <f>IF(D1346="","",IFERROR(INDEX(الأصناف!$B$2:$B$2000,MATCH(D1346,الأصناف!$A$2:$A$2000,0)),"كود غير موجود"))</f>
        <v/>
      </c>
      <c r="F1346" s="4" t="n"/>
      <c r="G1346">
        <f>IF(D1346="","",IFERROR(INDEX(الأصناف!$C$2:$C$2000,MATCH(D1346,الأصناف!$A$2:$A$2000,0)),0))</f>
        <v/>
      </c>
      <c r="H1346">
        <f>IF(D1346="","",F1346*G1346)</f>
        <v/>
      </c>
      <c r="I1346">
        <f>IF(D1346="","",H1346-F1346*IFERROR(INDEX(الأصناف!$D$2:$D$2000,MATCH(D1346,الأصناف!$A$2:$A$2000,0)),0))</f>
        <v/>
      </c>
      <c r="J1346" s="4" t="n"/>
      <c r="K1346" s="7">
        <f>IF(OR(B1346="",B1346&lt;&gt;الإيصال!$C$3),"",COUNTIF(B$2:B1346,الإيصال!$C$3))</f>
        <v/>
      </c>
    </row>
    <row r="1347">
      <c r="A1347" s="6" t="n"/>
      <c r="B1347" s="4" t="n"/>
      <c r="C1347" s="4" t="n"/>
      <c r="D1347" s="4" t="n"/>
      <c r="E1347">
        <f>IF(D1347="","",IFERROR(INDEX(الأصناف!$B$2:$B$2000,MATCH(D1347,الأصناف!$A$2:$A$2000,0)),"كود غير موجود"))</f>
        <v/>
      </c>
      <c r="F1347" s="4" t="n"/>
      <c r="G1347">
        <f>IF(D1347="","",IFERROR(INDEX(الأصناف!$C$2:$C$2000,MATCH(D1347,الأصناف!$A$2:$A$2000,0)),0))</f>
        <v/>
      </c>
      <c r="H1347">
        <f>IF(D1347="","",F1347*G1347)</f>
        <v/>
      </c>
      <c r="I1347">
        <f>IF(D1347="","",H1347-F1347*IFERROR(INDEX(الأصناف!$D$2:$D$2000,MATCH(D1347,الأصناف!$A$2:$A$2000,0)),0))</f>
        <v/>
      </c>
      <c r="J1347" s="4" t="n"/>
      <c r="K1347" s="7">
        <f>IF(OR(B1347="",B1347&lt;&gt;الإيصال!$C$3),"",COUNTIF(B$2:B1347,الإيصال!$C$3))</f>
        <v/>
      </c>
    </row>
    <row r="1348">
      <c r="A1348" s="6" t="n"/>
      <c r="B1348" s="4" t="n"/>
      <c r="C1348" s="4" t="n"/>
      <c r="D1348" s="4" t="n"/>
      <c r="E1348">
        <f>IF(D1348="","",IFERROR(INDEX(الأصناف!$B$2:$B$2000,MATCH(D1348,الأصناف!$A$2:$A$2000,0)),"كود غير موجود"))</f>
        <v/>
      </c>
      <c r="F1348" s="4" t="n"/>
      <c r="G1348">
        <f>IF(D1348="","",IFERROR(INDEX(الأصناف!$C$2:$C$2000,MATCH(D1348,الأصناف!$A$2:$A$2000,0)),0))</f>
        <v/>
      </c>
      <c r="H1348">
        <f>IF(D1348="","",F1348*G1348)</f>
        <v/>
      </c>
      <c r="I1348">
        <f>IF(D1348="","",H1348-F1348*IFERROR(INDEX(الأصناف!$D$2:$D$2000,MATCH(D1348,الأصناف!$A$2:$A$2000,0)),0))</f>
        <v/>
      </c>
      <c r="J1348" s="4" t="n"/>
      <c r="K1348" s="7">
        <f>IF(OR(B1348="",B1348&lt;&gt;الإيصال!$C$3),"",COUNTIF(B$2:B1348,الإيصال!$C$3))</f>
        <v/>
      </c>
    </row>
    <row r="1349">
      <c r="A1349" s="6" t="n"/>
      <c r="B1349" s="4" t="n"/>
      <c r="C1349" s="4" t="n"/>
      <c r="D1349" s="4" t="n"/>
      <c r="E1349">
        <f>IF(D1349="","",IFERROR(INDEX(الأصناف!$B$2:$B$2000,MATCH(D1349,الأصناف!$A$2:$A$2000,0)),"كود غير موجود"))</f>
        <v/>
      </c>
      <c r="F1349" s="4" t="n"/>
      <c r="G1349">
        <f>IF(D1349="","",IFERROR(INDEX(الأصناف!$C$2:$C$2000,MATCH(D1349,الأصناف!$A$2:$A$2000,0)),0))</f>
        <v/>
      </c>
      <c r="H1349">
        <f>IF(D1349="","",F1349*G1349)</f>
        <v/>
      </c>
      <c r="I1349">
        <f>IF(D1349="","",H1349-F1349*IFERROR(INDEX(الأصناف!$D$2:$D$2000,MATCH(D1349,الأصناف!$A$2:$A$2000,0)),0))</f>
        <v/>
      </c>
      <c r="J1349" s="4" t="n"/>
      <c r="K1349" s="7">
        <f>IF(OR(B1349="",B1349&lt;&gt;الإيصال!$C$3),"",COUNTIF(B$2:B1349,الإيصال!$C$3))</f>
        <v/>
      </c>
    </row>
    <row r="1350">
      <c r="A1350" s="6" t="n"/>
      <c r="B1350" s="4" t="n"/>
      <c r="C1350" s="4" t="n"/>
      <c r="D1350" s="4" t="n"/>
      <c r="E1350">
        <f>IF(D1350="","",IFERROR(INDEX(الأصناف!$B$2:$B$2000,MATCH(D1350,الأصناف!$A$2:$A$2000,0)),"كود غير موجود"))</f>
        <v/>
      </c>
      <c r="F1350" s="4" t="n"/>
      <c r="G1350">
        <f>IF(D1350="","",IFERROR(INDEX(الأصناف!$C$2:$C$2000,MATCH(D1350,الأصناف!$A$2:$A$2000,0)),0))</f>
        <v/>
      </c>
      <c r="H1350">
        <f>IF(D1350="","",F1350*G1350)</f>
        <v/>
      </c>
      <c r="I1350">
        <f>IF(D1350="","",H1350-F1350*IFERROR(INDEX(الأصناف!$D$2:$D$2000,MATCH(D1350,الأصناف!$A$2:$A$2000,0)),0))</f>
        <v/>
      </c>
      <c r="J1350" s="4" t="n"/>
      <c r="K1350" s="7">
        <f>IF(OR(B1350="",B1350&lt;&gt;الإيصال!$C$3),"",COUNTIF(B$2:B1350,الإيصال!$C$3))</f>
        <v/>
      </c>
    </row>
    <row r="1351">
      <c r="A1351" s="6" t="n"/>
      <c r="B1351" s="4" t="n"/>
      <c r="C1351" s="4" t="n"/>
      <c r="D1351" s="4" t="n"/>
      <c r="E1351">
        <f>IF(D1351="","",IFERROR(INDEX(الأصناف!$B$2:$B$2000,MATCH(D1351,الأصناف!$A$2:$A$2000,0)),"كود غير موجود"))</f>
        <v/>
      </c>
      <c r="F1351" s="4" t="n"/>
      <c r="G1351">
        <f>IF(D1351="","",IFERROR(INDEX(الأصناف!$C$2:$C$2000,MATCH(D1351,الأصناف!$A$2:$A$2000,0)),0))</f>
        <v/>
      </c>
      <c r="H1351">
        <f>IF(D1351="","",F1351*G1351)</f>
        <v/>
      </c>
      <c r="I1351">
        <f>IF(D1351="","",H1351-F1351*IFERROR(INDEX(الأصناف!$D$2:$D$2000,MATCH(D1351,الأصناف!$A$2:$A$2000,0)),0))</f>
        <v/>
      </c>
      <c r="J1351" s="4" t="n"/>
      <c r="K1351" s="7">
        <f>IF(OR(B1351="",B1351&lt;&gt;الإيصال!$C$3),"",COUNTIF(B$2:B1351,الإيصال!$C$3))</f>
        <v/>
      </c>
    </row>
    <row r="1352">
      <c r="A1352" s="6" t="n"/>
      <c r="B1352" s="4" t="n"/>
      <c r="C1352" s="4" t="n"/>
      <c r="D1352" s="4" t="n"/>
      <c r="E1352">
        <f>IF(D1352="","",IFERROR(INDEX(الأصناف!$B$2:$B$2000,MATCH(D1352,الأصناف!$A$2:$A$2000,0)),"كود غير موجود"))</f>
        <v/>
      </c>
      <c r="F1352" s="4" t="n"/>
      <c r="G1352">
        <f>IF(D1352="","",IFERROR(INDEX(الأصناف!$C$2:$C$2000,MATCH(D1352,الأصناف!$A$2:$A$2000,0)),0))</f>
        <v/>
      </c>
      <c r="H1352">
        <f>IF(D1352="","",F1352*G1352)</f>
        <v/>
      </c>
      <c r="I1352">
        <f>IF(D1352="","",H1352-F1352*IFERROR(INDEX(الأصناف!$D$2:$D$2000,MATCH(D1352,الأصناف!$A$2:$A$2000,0)),0))</f>
        <v/>
      </c>
      <c r="J1352" s="4" t="n"/>
      <c r="K1352" s="7">
        <f>IF(OR(B1352="",B1352&lt;&gt;الإيصال!$C$3),"",COUNTIF(B$2:B1352,الإيصال!$C$3))</f>
        <v/>
      </c>
    </row>
    <row r="1353">
      <c r="A1353" s="6" t="n"/>
      <c r="B1353" s="4" t="n"/>
      <c r="C1353" s="4" t="n"/>
      <c r="D1353" s="4" t="n"/>
      <c r="E1353">
        <f>IF(D1353="","",IFERROR(INDEX(الأصناف!$B$2:$B$2000,MATCH(D1353,الأصناف!$A$2:$A$2000,0)),"كود غير موجود"))</f>
        <v/>
      </c>
      <c r="F1353" s="4" t="n"/>
      <c r="G1353">
        <f>IF(D1353="","",IFERROR(INDEX(الأصناف!$C$2:$C$2000,MATCH(D1353,الأصناف!$A$2:$A$2000,0)),0))</f>
        <v/>
      </c>
      <c r="H1353">
        <f>IF(D1353="","",F1353*G1353)</f>
        <v/>
      </c>
      <c r="I1353">
        <f>IF(D1353="","",H1353-F1353*IFERROR(INDEX(الأصناف!$D$2:$D$2000,MATCH(D1353,الأصناف!$A$2:$A$2000,0)),0))</f>
        <v/>
      </c>
      <c r="J1353" s="4" t="n"/>
      <c r="K1353" s="7">
        <f>IF(OR(B1353="",B1353&lt;&gt;الإيصال!$C$3),"",COUNTIF(B$2:B1353,الإيصال!$C$3))</f>
        <v/>
      </c>
    </row>
    <row r="1354">
      <c r="A1354" s="6" t="n"/>
      <c r="B1354" s="4" t="n"/>
      <c r="C1354" s="4" t="n"/>
      <c r="D1354" s="4" t="n"/>
      <c r="E1354">
        <f>IF(D1354="","",IFERROR(INDEX(الأصناف!$B$2:$B$2000,MATCH(D1354,الأصناف!$A$2:$A$2000,0)),"كود غير موجود"))</f>
        <v/>
      </c>
      <c r="F1354" s="4" t="n"/>
      <c r="G1354">
        <f>IF(D1354="","",IFERROR(INDEX(الأصناف!$C$2:$C$2000,MATCH(D1354,الأصناف!$A$2:$A$2000,0)),0))</f>
        <v/>
      </c>
      <c r="H1354">
        <f>IF(D1354="","",F1354*G1354)</f>
        <v/>
      </c>
      <c r="I1354">
        <f>IF(D1354="","",H1354-F1354*IFERROR(INDEX(الأصناف!$D$2:$D$2000,MATCH(D1354,الأصناف!$A$2:$A$2000,0)),0))</f>
        <v/>
      </c>
      <c r="J1354" s="4" t="n"/>
      <c r="K1354" s="7">
        <f>IF(OR(B1354="",B1354&lt;&gt;الإيصال!$C$3),"",COUNTIF(B$2:B1354,الإيصال!$C$3))</f>
        <v/>
      </c>
    </row>
    <row r="1355">
      <c r="A1355" s="6" t="n"/>
      <c r="B1355" s="4" t="n"/>
      <c r="C1355" s="4" t="n"/>
      <c r="D1355" s="4" t="n"/>
      <c r="E1355">
        <f>IF(D1355="","",IFERROR(INDEX(الأصناف!$B$2:$B$2000,MATCH(D1355,الأصناف!$A$2:$A$2000,0)),"كود غير موجود"))</f>
        <v/>
      </c>
      <c r="F1355" s="4" t="n"/>
      <c r="G1355">
        <f>IF(D1355="","",IFERROR(INDEX(الأصناف!$C$2:$C$2000,MATCH(D1355,الأصناف!$A$2:$A$2000,0)),0))</f>
        <v/>
      </c>
      <c r="H1355">
        <f>IF(D1355="","",F1355*G1355)</f>
        <v/>
      </c>
      <c r="I1355">
        <f>IF(D1355="","",H1355-F1355*IFERROR(INDEX(الأصناف!$D$2:$D$2000,MATCH(D1355,الأصناف!$A$2:$A$2000,0)),0))</f>
        <v/>
      </c>
      <c r="J1355" s="4" t="n"/>
      <c r="K1355" s="7">
        <f>IF(OR(B1355="",B1355&lt;&gt;الإيصال!$C$3),"",COUNTIF(B$2:B1355,الإيصال!$C$3))</f>
        <v/>
      </c>
    </row>
    <row r="1356">
      <c r="A1356" s="6" t="n"/>
      <c r="B1356" s="4" t="n"/>
      <c r="C1356" s="4" t="n"/>
      <c r="D1356" s="4" t="n"/>
      <c r="E1356">
        <f>IF(D1356="","",IFERROR(INDEX(الأصناف!$B$2:$B$2000,MATCH(D1356,الأصناف!$A$2:$A$2000,0)),"كود غير موجود"))</f>
        <v/>
      </c>
      <c r="F1356" s="4" t="n"/>
      <c r="G1356">
        <f>IF(D1356="","",IFERROR(INDEX(الأصناف!$C$2:$C$2000,MATCH(D1356,الأصناف!$A$2:$A$2000,0)),0))</f>
        <v/>
      </c>
      <c r="H1356">
        <f>IF(D1356="","",F1356*G1356)</f>
        <v/>
      </c>
      <c r="I1356">
        <f>IF(D1356="","",H1356-F1356*IFERROR(INDEX(الأصناف!$D$2:$D$2000,MATCH(D1356,الأصناف!$A$2:$A$2000,0)),0))</f>
        <v/>
      </c>
      <c r="J1356" s="4" t="n"/>
      <c r="K1356" s="7">
        <f>IF(OR(B1356="",B1356&lt;&gt;الإيصال!$C$3),"",COUNTIF(B$2:B1356,الإيصال!$C$3))</f>
        <v/>
      </c>
    </row>
    <row r="1357">
      <c r="A1357" s="6" t="n"/>
      <c r="B1357" s="4" t="n"/>
      <c r="C1357" s="4" t="n"/>
      <c r="D1357" s="4" t="n"/>
      <c r="E1357">
        <f>IF(D1357="","",IFERROR(INDEX(الأصناف!$B$2:$B$2000,MATCH(D1357,الأصناف!$A$2:$A$2000,0)),"كود غير موجود"))</f>
        <v/>
      </c>
      <c r="F1357" s="4" t="n"/>
      <c r="G1357">
        <f>IF(D1357="","",IFERROR(INDEX(الأصناف!$C$2:$C$2000,MATCH(D1357,الأصناف!$A$2:$A$2000,0)),0))</f>
        <v/>
      </c>
      <c r="H1357">
        <f>IF(D1357="","",F1357*G1357)</f>
        <v/>
      </c>
      <c r="I1357">
        <f>IF(D1357="","",H1357-F1357*IFERROR(INDEX(الأصناف!$D$2:$D$2000,MATCH(D1357,الأصناف!$A$2:$A$2000,0)),0))</f>
        <v/>
      </c>
      <c r="J1357" s="4" t="n"/>
      <c r="K1357" s="7">
        <f>IF(OR(B1357="",B1357&lt;&gt;الإيصال!$C$3),"",COUNTIF(B$2:B1357,الإيصال!$C$3))</f>
        <v/>
      </c>
    </row>
    <row r="1358">
      <c r="A1358" s="6" t="n"/>
      <c r="B1358" s="4" t="n"/>
      <c r="C1358" s="4" t="n"/>
      <c r="D1358" s="4" t="n"/>
      <c r="E1358">
        <f>IF(D1358="","",IFERROR(INDEX(الأصناف!$B$2:$B$2000,MATCH(D1358,الأصناف!$A$2:$A$2000,0)),"كود غير موجود"))</f>
        <v/>
      </c>
      <c r="F1358" s="4" t="n"/>
      <c r="G1358">
        <f>IF(D1358="","",IFERROR(INDEX(الأصناف!$C$2:$C$2000,MATCH(D1358,الأصناف!$A$2:$A$2000,0)),0))</f>
        <v/>
      </c>
      <c r="H1358">
        <f>IF(D1358="","",F1358*G1358)</f>
        <v/>
      </c>
      <c r="I1358">
        <f>IF(D1358="","",H1358-F1358*IFERROR(INDEX(الأصناف!$D$2:$D$2000,MATCH(D1358,الأصناف!$A$2:$A$2000,0)),0))</f>
        <v/>
      </c>
      <c r="J1358" s="4" t="n"/>
      <c r="K1358" s="7">
        <f>IF(OR(B1358="",B1358&lt;&gt;الإيصال!$C$3),"",COUNTIF(B$2:B1358,الإيصال!$C$3))</f>
        <v/>
      </c>
    </row>
    <row r="1359">
      <c r="A1359" s="6" t="n"/>
      <c r="B1359" s="4" t="n"/>
      <c r="C1359" s="4" t="n"/>
      <c r="D1359" s="4" t="n"/>
      <c r="E1359">
        <f>IF(D1359="","",IFERROR(INDEX(الأصناف!$B$2:$B$2000,MATCH(D1359,الأصناف!$A$2:$A$2000,0)),"كود غير موجود"))</f>
        <v/>
      </c>
      <c r="F1359" s="4" t="n"/>
      <c r="G1359">
        <f>IF(D1359="","",IFERROR(INDEX(الأصناف!$C$2:$C$2000,MATCH(D1359,الأصناف!$A$2:$A$2000,0)),0))</f>
        <v/>
      </c>
      <c r="H1359">
        <f>IF(D1359="","",F1359*G1359)</f>
        <v/>
      </c>
      <c r="I1359">
        <f>IF(D1359="","",H1359-F1359*IFERROR(INDEX(الأصناف!$D$2:$D$2000,MATCH(D1359,الأصناف!$A$2:$A$2000,0)),0))</f>
        <v/>
      </c>
      <c r="J1359" s="4" t="n"/>
      <c r="K1359" s="7">
        <f>IF(OR(B1359="",B1359&lt;&gt;الإيصال!$C$3),"",COUNTIF(B$2:B1359,الإيصال!$C$3))</f>
        <v/>
      </c>
    </row>
    <row r="1360">
      <c r="A1360" s="6" t="n"/>
      <c r="B1360" s="4" t="n"/>
      <c r="C1360" s="4" t="n"/>
      <c r="D1360" s="4" t="n"/>
      <c r="E1360">
        <f>IF(D1360="","",IFERROR(INDEX(الأصناف!$B$2:$B$2000,MATCH(D1360,الأصناف!$A$2:$A$2000,0)),"كود غير موجود"))</f>
        <v/>
      </c>
      <c r="F1360" s="4" t="n"/>
      <c r="G1360">
        <f>IF(D1360="","",IFERROR(INDEX(الأصناف!$C$2:$C$2000,MATCH(D1360,الأصناف!$A$2:$A$2000,0)),0))</f>
        <v/>
      </c>
      <c r="H1360">
        <f>IF(D1360="","",F1360*G1360)</f>
        <v/>
      </c>
      <c r="I1360">
        <f>IF(D1360="","",H1360-F1360*IFERROR(INDEX(الأصناف!$D$2:$D$2000,MATCH(D1360,الأصناف!$A$2:$A$2000,0)),0))</f>
        <v/>
      </c>
      <c r="J1360" s="4" t="n"/>
      <c r="K1360" s="7">
        <f>IF(OR(B1360="",B1360&lt;&gt;الإيصال!$C$3),"",COUNTIF(B$2:B1360,الإيصال!$C$3))</f>
        <v/>
      </c>
    </row>
    <row r="1361">
      <c r="A1361" s="6" t="n"/>
      <c r="B1361" s="4" t="n"/>
      <c r="C1361" s="4" t="n"/>
      <c r="D1361" s="4" t="n"/>
      <c r="E1361">
        <f>IF(D1361="","",IFERROR(INDEX(الأصناف!$B$2:$B$2000,MATCH(D1361,الأصناف!$A$2:$A$2000,0)),"كود غير موجود"))</f>
        <v/>
      </c>
      <c r="F1361" s="4" t="n"/>
      <c r="G1361">
        <f>IF(D1361="","",IFERROR(INDEX(الأصناف!$C$2:$C$2000,MATCH(D1361,الأصناف!$A$2:$A$2000,0)),0))</f>
        <v/>
      </c>
      <c r="H1361">
        <f>IF(D1361="","",F1361*G1361)</f>
        <v/>
      </c>
      <c r="I1361">
        <f>IF(D1361="","",H1361-F1361*IFERROR(INDEX(الأصناف!$D$2:$D$2000,MATCH(D1361,الأصناف!$A$2:$A$2000,0)),0))</f>
        <v/>
      </c>
      <c r="J1361" s="4" t="n"/>
      <c r="K1361" s="7">
        <f>IF(OR(B1361="",B1361&lt;&gt;الإيصال!$C$3),"",COUNTIF(B$2:B1361,الإيصال!$C$3))</f>
        <v/>
      </c>
    </row>
    <row r="1362">
      <c r="A1362" s="6" t="n"/>
      <c r="B1362" s="4" t="n"/>
      <c r="C1362" s="4" t="n"/>
      <c r="D1362" s="4" t="n"/>
      <c r="E1362">
        <f>IF(D1362="","",IFERROR(INDEX(الأصناف!$B$2:$B$2000,MATCH(D1362,الأصناف!$A$2:$A$2000,0)),"كود غير موجود"))</f>
        <v/>
      </c>
      <c r="F1362" s="4" t="n"/>
      <c r="G1362">
        <f>IF(D1362="","",IFERROR(INDEX(الأصناف!$C$2:$C$2000,MATCH(D1362,الأصناف!$A$2:$A$2000,0)),0))</f>
        <v/>
      </c>
      <c r="H1362">
        <f>IF(D1362="","",F1362*G1362)</f>
        <v/>
      </c>
      <c r="I1362">
        <f>IF(D1362="","",H1362-F1362*IFERROR(INDEX(الأصناف!$D$2:$D$2000,MATCH(D1362,الأصناف!$A$2:$A$2000,0)),0))</f>
        <v/>
      </c>
      <c r="J1362" s="4" t="n"/>
      <c r="K1362" s="7">
        <f>IF(OR(B1362="",B1362&lt;&gt;الإيصال!$C$3),"",COUNTIF(B$2:B1362,الإيصال!$C$3))</f>
        <v/>
      </c>
    </row>
    <row r="1363">
      <c r="A1363" s="6" t="n"/>
      <c r="B1363" s="4" t="n"/>
      <c r="C1363" s="4" t="n"/>
      <c r="D1363" s="4" t="n"/>
      <c r="E1363">
        <f>IF(D1363="","",IFERROR(INDEX(الأصناف!$B$2:$B$2000,MATCH(D1363,الأصناف!$A$2:$A$2000,0)),"كود غير موجود"))</f>
        <v/>
      </c>
      <c r="F1363" s="4" t="n"/>
      <c r="G1363">
        <f>IF(D1363="","",IFERROR(INDEX(الأصناف!$C$2:$C$2000,MATCH(D1363,الأصناف!$A$2:$A$2000,0)),0))</f>
        <v/>
      </c>
      <c r="H1363">
        <f>IF(D1363="","",F1363*G1363)</f>
        <v/>
      </c>
      <c r="I1363">
        <f>IF(D1363="","",H1363-F1363*IFERROR(INDEX(الأصناف!$D$2:$D$2000,MATCH(D1363,الأصناف!$A$2:$A$2000,0)),0))</f>
        <v/>
      </c>
      <c r="J1363" s="4" t="n"/>
      <c r="K1363" s="7">
        <f>IF(OR(B1363="",B1363&lt;&gt;الإيصال!$C$3),"",COUNTIF(B$2:B1363,الإيصال!$C$3))</f>
        <v/>
      </c>
    </row>
    <row r="1364">
      <c r="A1364" s="6" t="n"/>
      <c r="B1364" s="4" t="n"/>
      <c r="C1364" s="4" t="n"/>
      <c r="D1364" s="4" t="n"/>
      <c r="E1364">
        <f>IF(D1364="","",IFERROR(INDEX(الأصناف!$B$2:$B$2000,MATCH(D1364,الأصناف!$A$2:$A$2000,0)),"كود غير موجود"))</f>
        <v/>
      </c>
      <c r="F1364" s="4" t="n"/>
      <c r="G1364">
        <f>IF(D1364="","",IFERROR(INDEX(الأصناف!$C$2:$C$2000,MATCH(D1364,الأصناف!$A$2:$A$2000,0)),0))</f>
        <v/>
      </c>
      <c r="H1364">
        <f>IF(D1364="","",F1364*G1364)</f>
        <v/>
      </c>
      <c r="I1364">
        <f>IF(D1364="","",H1364-F1364*IFERROR(INDEX(الأصناف!$D$2:$D$2000,MATCH(D1364,الأصناف!$A$2:$A$2000,0)),0))</f>
        <v/>
      </c>
      <c r="J1364" s="4" t="n"/>
      <c r="K1364" s="7">
        <f>IF(OR(B1364="",B1364&lt;&gt;الإيصال!$C$3),"",COUNTIF(B$2:B1364,الإيصال!$C$3))</f>
        <v/>
      </c>
    </row>
    <row r="1365">
      <c r="A1365" s="6" t="n"/>
      <c r="B1365" s="4" t="n"/>
      <c r="C1365" s="4" t="n"/>
      <c r="D1365" s="4" t="n"/>
      <c r="E1365">
        <f>IF(D1365="","",IFERROR(INDEX(الأصناف!$B$2:$B$2000,MATCH(D1365,الأصناف!$A$2:$A$2000,0)),"كود غير موجود"))</f>
        <v/>
      </c>
      <c r="F1365" s="4" t="n"/>
      <c r="G1365">
        <f>IF(D1365="","",IFERROR(INDEX(الأصناف!$C$2:$C$2000,MATCH(D1365,الأصناف!$A$2:$A$2000,0)),0))</f>
        <v/>
      </c>
      <c r="H1365">
        <f>IF(D1365="","",F1365*G1365)</f>
        <v/>
      </c>
      <c r="I1365">
        <f>IF(D1365="","",H1365-F1365*IFERROR(INDEX(الأصناف!$D$2:$D$2000,MATCH(D1365,الأصناف!$A$2:$A$2000,0)),0))</f>
        <v/>
      </c>
      <c r="J1365" s="4" t="n"/>
      <c r="K1365" s="7">
        <f>IF(OR(B1365="",B1365&lt;&gt;الإيصال!$C$3),"",COUNTIF(B$2:B1365,الإيصال!$C$3))</f>
        <v/>
      </c>
    </row>
    <row r="1366">
      <c r="A1366" s="6" t="n"/>
      <c r="B1366" s="4" t="n"/>
      <c r="C1366" s="4" t="n"/>
      <c r="D1366" s="4" t="n"/>
      <c r="E1366">
        <f>IF(D1366="","",IFERROR(INDEX(الأصناف!$B$2:$B$2000,MATCH(D1366,الأصناف!$A$2:$A$2000,0)),"كود غير موجود"))</f>
        <v/>
      </c>
      <c r="F1366" s="4" t="n"/>
      <c r="G1366">
        <f>IF(D1366="","",IFERROR(INDEX(الأصناف!$C$2:$C$2000,MATCH(D1366,الأصناف!$A$2:$A$2000,0)),0))</f>
        <v/>
      </c>
      <c r="H1366">
        <f>IF(D1366="","",F1366*G1366)</f>
        <v/>
      </c>
      <c r="I1366">
        <f>IF(D1366="","",H1366-F1366*IFERROR(INDEX(الأصناف!$D$2:$D$2000,MATCH(D1366,الأصناف!$A$2:$A$2000,0)),0))</f>
        <v/>
      </c>
      <c r="J1366" s="4" t="n"/>
      <c r="K1366" s="7">
        <f>IF(OR(B1366="",B1366&lt;&gt;الإيصال!$C$3),"",COUNTIF(B$2:B1366,الإيصال!$C$3))</f>
        <v/>
      </c>
    </row>
    <row r="1367">
      <c r="A1367" s="6" t="n"/>
      <c r="B1367" s="4" t="n"/>
      <c r="C1367" s="4" t="n"/>
      <c r="D1367" s="4" t="n"/>
      <c r="E1367">
        <f>IF(D1367="","",IFERROR(INDEX(الأصناف!$B$2:$B$2000,MATCH(D1367,الأصناف!$A$2:$A$2000,0)),"كود غير موجود"))</f>
        <v/>
      </c>
      <c r="F1367" s="4" t="n"/>
      <c r="G1367">
        <f>IF(D1367="","",IFERROR(INDEX(الأصناف!$C$2:$C$2000,MATCH(D1367,الأصناف!$A$2:$A$2000,0)),0))</f>
        <v/>
      </c>
      <c r="H1367">
        <f>IF(D1367="","",F1367*G1367)</f>
        <v/>
      </c>
      <c r="I1367">
        <f>IF(D1367="","",H1367-F1367*IFERROR(INDEX(الأصناف!$D$2:$D$2000,MATCH(D1367,الأصناف!$A$2:$A$2000,0)),0))</f>
        <v/>
      </c>
      <c r="J1367" s="4" t="n"/>
      <c r="K1367" s="7">
        <f>IF(OR(B1367="",B1367&lt;&gt;الإيصال!$C$3),"",COUNTIF(B$2:B1367,الإيصال!$C$3))</f>
        <v/>
      </c>
    </row>
    <row r="1368">
      <c r="A1368" s="6" t="n"/>
      <c r="B1368" s="4" t="n"/>
      <c r="C1368" s="4" t="n"/>
      <c r="D1368" s="4" t="n"/>
      <c r="E1368">
        <f>IF(D1368="","",IFERROR(INDEX(الأصناف!$B$2:$B$2000,MATCH(D1368,الأصناف!$A$2:$A$2000,0)),"كود غير موجود"))</f>
        <v/>
      </c>
      <c r="F1368" s="4" t="n"/>
      <c r="G1368">
        <f>IF(D1368="","",IFERROR(INDEX(الأصناف!$C$2:$C$2000,MATCH(D1368,الأصناف!$A$2:$A$2000,0)),0))</f>
        <v/>
      </c>
      <c r="H1368">
        <f>IF(D1368="","",F1368*G1368)</f>
        <v/>
      </c>
      <c r="I1368">
        <f>IF(D1368="","",H1368-F1368*IFERROR(INDEX(الأصناف!$D$2:$D$2000,MATCH(D1368,الأصناف!$A$2:$A$2000,0)),0))</f>
        <v/>
      </c>
      <c r="J1368" s="4" t="n"/>
      <c r="K1368" s="7">
        <f>IF(OR(B1368="",B1368&lt;&gt;الإيصال!$C$3),"",COUNTIF(B$2:B1368,الإيصال!$C$3))</f>
        <v/>
      </c>
    </row>
    <row r="1369">
      <c r="A1369" s="6" t="n"/>
      <c r="B1369" s="4" t="n"/>
      <c r="C1369" s="4" t="n"/>
      <c r="D1369" s="4" t="n"/>
      <c r="E1369">
        <f>IF(D1369="","",IFERROR(INDEX(الأصناف!$B$2:$B$2000,MATCH(D1369,الأصناف!$A$2:$A$2000,0)),"كود غير موجود"))</f>
        <v/>
      </c>
      <c r="F1369" s="4" t="n"/>
      <c r="G1369">
        <f>IF(D1369="","",IFERROR(INDEX(الأصناف!$C$2:$C$2000,MATCH(D1369,الأصناف!$A$2:$A$2000,0)),0))</f>
        <v/>
      </c>
      <c r="H1369">
        <f>IF(D1369="","",F1369*G1369)</f>
        <v/>
      </c>
      <c r="I1369">
        <f>IF(D1369="","",H1369-F1369*IFERROR(INDEX(الأصناف!$D$2:$D$2000,MATCH(D1369,الأصناف!$A$2:$A$2000,0)),0))</f>
        <v/>
      </c>
      <c r="J1369" s="4" t="n"/>
      <c r="K1369" s="7">
        <f>IF(OR(B1369="",B1369&lt;&gt;الإيصال!$C$3),"",COUNTIF(B$2:B1369,الإيصال!$C$3))</f>
        <v/>
      </c>
    </row>
    <row r="1370">
      <c r="A1370" s="6" t="n"/>
      <c r="B1370" s="4" t="n"/>
      <c r="C1370" s="4" t="n"/>
      <c r="D1370" s="4" t="n"/>
      <c r="E1370">
        <f>IF(D1370="","",IFERROR(INDEX(الأصناف!$B$2:$B$2000,MATCH(D1370,الأصناف!$A$2:$A$2000,0)),"كود غير موجود"))</f>
        <v/>
      </c>
      <c r="F1370" s="4" t="n"/>
      <c r="G1370">
        <f>IF(D1370="","",IFERROR(INDEX(الأصناف!$C$2:$C$2000,MATCH(D1370,الأصناف!$A$2:$A$2000,0)),0))</f>
        <v/>
      </c>
      <c r="H1370">
        <f>IF(D1370="","",F1370*G1370)</f>
        <v/>
      </c>
      <c r="I1370">
        <f>IF(D1370="","",H1370-F1370*IFERROR(INDEX(الأصناف!$D$2:$D$2000,MATCH(D1370,الأصناف!$A$2:$A$2000,0)),0))</f>
        <v/>
      </c>
      <c r="J1370" s="4" t="n"/>
      <c r="K1370" s="7">
        <f>IF(OR(B1370="",B1370&lt;&gt;الإيصال!$C$3),"",COUNTIF(B$2:B1370,الإيصال!$C$3))</f>
        <v/>
      </c>
    </row>
    <row r="1371">
      <c r="A1371" s="6" t="n"/>
      <c r="B1371" s="4" t="n"/>
      <c r="C1371" s="4" t="n"/>
      <c r="D1371" s="4" t="n"/>
      <c r="E1371">
        <f>IF(D1371="","",IFERROR(INDEX(الأصناف!$B$2:$B$2000,MATCH(D1371,الأصناف!$A$2:$A$2000,0)),"كود غير موجود"))</f>
        <v/>
      </c>
      <c r="F1371" s="4" t="n"/>
      <c r="G1371">
        <f>IF(D1371="","",IFERROR(INDEX(الأصناف!$C$2:$C$2000,MATCH(D1371,الأصناف!$A$2:$A$2000,0)),0))</f>
        <v/>
      </c>
      <c r="H1371">
        <f>IF(D1371="","",F1371*G1371)</f>
        <v/>
      </c>
      <c r="I1371">
        <f>IF(D1371="","",H1371-F1371*IFERROR(INDEX(الأصناف!$D$2:$D$2000,MATCH(D1371,الأصناف!$A$2:$A$2000,0)),0))</f>
        <v/>
      </c>
      <c r="J1371" s="4" t="n"/>
      <c r="K1371" s="7">
        <f>IF(OR(B1371="",B1371&lt;&gt;الإيصال!$C$3),"",COUNTIF(B$2:B1371,الإيصال!$C$3))</f>
        <v/>
      </c>
    </row>
    <row r="1372">
      <c r="A1372" s="6" t="n"/>
      <c r="B1372" s="4" t="n"/>
      <c r="C1372" s="4" t="n"/>
      <c r="D1372" s="4" t="n"/>
      <c r="E1372">
        <f>IF(D1372="","",IFERROR(INDEX(الأصناف!$B$2:$B$2000,MATCH(D1372,الأصناف!$A$2:$A$2000,0)),"كود غير موجود"))</f>
        <v/>
      </c>
      <c r="F1372" s="4" t="n"/>
      <c r="G1372">
        <f>IF(D1372="","",IFERROR(INDEX(الأصناف!$C$2:$C$2000,MATCH(D1372,الأصناف!$A$2:$A$2000,0)),0))</f>
        <v/>
      </c>
      <c r="H1372">
        <f>IF(D1372="","",F1372*G1372)</f>
        <v/>
      </c>
      <c r="I1372">
        <f>IF(D1372="","",H1372-F1372*IFERROR(INDEX(الأصناف!$D$2:$D$2000,MATCH(D1372,الأصناف!$A$2:$A$2000,0)),0))</f>
        <v/>
      </c>
      <c r="J1372" s="4" t="n"/>
      <c r="K1372" s="7">
        <f>IF(OR(B1372="",B1372&lt;&gt;الإيصال!$C$3),"",COUNTIF(B$2:B1372,الإيصال!$C$3))</f>
        <v/>
      </c>
    </row>
    <row r="1373">
      <c r="A1373" s="6" t="n"/>
      <c r="B1373" s="4" t="n"/>
      <c r="C1373" s="4" t="n"/>
      <c r="D1373" s="4" t="n"/>
      <c r="E1373">
        <f>IF(D1373="","",IFERROR(INDEX(الأصناف!$B$2:$B$2000,MATCH(D1373,الأصناف!$A$2:$A$2000,0)),"كود غير موجود"))</f>
        <v/>
      </c>
      <c r="F1373" s="4" t="n"/>
      <c r="G1373">
        <f>IF(D1373="","",IFERROR(INDEX(الأصناف!$C$2:$C$2000,MATCH(D1373,الأصناف!$A$2:$A$2000,0)),0))</f>
        <v/>
      </c>
      <c r="H1373">
        <f>IF(D1373="","",F1373*G1373)</f>
        <v/>
      </c>
      <c r="I1373">
        <f>IF(D1373="","",H1373-F1373*IFERROR(INDEX(الأصناف!$D$2:$D$2000,MATCH(D1373,الأصناف!$A$2:$A$2000,0)),0))</f>
        <v/>
      </c>
      <c r="J1373" s="4" t="n"/>
      <c r="K1373" s="7">
        <f>IF(OR(B1373="",B1373&lt;&gt;الإيصال!$C$3),"",COUNTIF(B$2:B1373,الإيصال!$C$3))</f>
        <v/>
      </c>
    </row>
    <row r="1374">
      <c r="A1374" s="6" t="n"/>
      <c r="B1374" s="4" t="n"/>
      <c r="C1374" s="4" t="n"/>
      <c r="D1374" s="4" t="n"/>
      <c r="E1374">
        <f>IF(D1374="","",IFERROR(INDEX(الأصناف!$B$2:$B$2000,MATCH(D1374,الأصناف!$A$2:$A$2000,0)),"كود غير موجود"))</f>
        <v/>
      </c>
      <c r="F1374" s="4" t="n"/>
      <c r="G1374">
        <f>IF(D1374="","",IFERROR(INDEX(الأصناف!$C$2:$C$2000,MATCH(D1374,الأصناف!$A$2:$A$2000,0)),0))</f>
        <v/>
      </c>
      <c r="H1374">
        <f>IF(D1374="","",F1374*G1374)</f>
        <v/>
      </c>
      <c r="I1374">
        <f>IF(D1374="","",H1374-F1374*IFERROR(INDEX(الأصناف!$D$2:$D$2000,MATCH(D1374,الأصناف!$A$2:$A$2000,0)),0))</f>
        <v/>
      </c>
      <c r="J1374" s="4" t="n"/>
      <c r="K1374" s="7">
        <f>IF(OR(B1374="",B1374&lt;&gt;الإيصال!$C$3),"",COUNTIF(B$2:B1374,الإيصال!$C$3))</f>
        <v/>
      </c>
    </row>
    <row r="1375">
      <c r="A1375" s="6" t="n"/>
      <c r="B1375" s="4" t="n"/>
      <c r="C1375" s="4" t="n"/>
      <c r="D1375" s="4" t="n"/>
      <c r="E1375">
        <f>IF(D1375="","",IFERROR(INDEX(الأصناف!$B$2:$B$2000,MATCH(D1375,الأصناف!$A$2:$A$2000,0)),"كود غير موجود"))</f>
        <v/>
      </c>
      <c r="F1375" s="4" t="n"/>
      <c r="G1375">
        <f>IF(D1375="","",IFERROR(INDEX(الأصناف!$C$2:$C$2000,MATCH(D1375,الأصناف!$A$2:$A$2000,0)),0))</f>
        <v/>
      </c>
      <c r="H1375">
        <f>IF(D1375="","",F1375*G1375)</f>
        <v/>
      </c>
      <c r="I1375">
        <f>IF(D1375="","",H1375-F1375*IFERROR(INDEX(الأصناف!$D$2:$D$2000,MATCH(D1375,الأصناف!$A$2:$A$2000,0)),0))</f>
        <v/>
      </c>
      <c r="J1375" s="4" t="n"/>
      <c r="K1375" s="7">
        <f>IF(OR(B1375="",B1375&lt;&gt;الإيصال!$C$3),"",COUNTIF(B$2:B1375,الإيصال!$C$3))</f>
        <v/>
      </c>
    </row>
    <row r="1376">
      <c r="A1376" s="6" t="n"/>
      <c r="B1376" s="4" t="n"/>
      <c r="C1376" s="4" t="n"/>
      <c r="D1376" s="4" t="n"/>
      <c r="E1376">
        <f>IF(D1376="","",IFERROR(INDEX(الأصناف!$B$2:$B$2000,MATCH(D1376,الأصناف!$A$2:$A$2000,0)),"كود غير موجود"))</f>
        <v/>
      </c>
      <c r="F1376" s="4" t="n"/>
      <c r="G1376">
        <f>IF(D1376="","",IFERROR(INDEX(الأصناف!$C$2:$C$2000,MATCH(D1376,الأصناف!$A$2:$A$2000,0)),0))</f>
        <v/>
      </c>
      <c r="H1376">
        <f>IF(D1376="","",F1376*G1376)</f>
        <v/>
      </c>
      <c r="I1376">
        <f>IF(D1376="","",H1376-F1376*IFERROR(INDEX(الأصناف!$D$2:$D$2000,MATCH(D1376,الأصناف!$A$2:$A$2000,0)),0))</f>
        <v/>
      </c>
      <c r="J1376" s="4" t="n"/>
      <c r="K1376" s="7">
        <f>IF(OR(B1376="",B1376&lt;&gt;الإيصال!$C$3),"",COUNTIF(B$2:B1376,الإيصال!$C$3))</f>
        <v/>
      </c>
    </row>
    <row r="1377">
      <c r="A1377" s="6" t="n"/>
      <c r="B1377" s="4" t="n"/>
      <c r="C1377" s="4" t="n"/>
      <c r="D1377" s="4" t="n"/>
      <c r="E1377">
        <f>IF(D1377="","",IFERROR(INDEX(الأصناف!$B$2:$B$2000,MATCH(D1377,الأصناف!$A$2:$A$2000,0)),"كود غير موجود"))</f>
        <v/>
      </c>
      <c r="F1377" s="4" t="n"/>
      <c r="G1377">
        <f>IF(D1377="","",IFERROR(INDEX(الأصناف!$C$2:$C$2000,MATCH(D1377,الأصناف!$A$2:$A$2000,0)),0))</f>
        <v/>
      </c>
      <c r="H1377">
        <f>IF(D1377="","",F1377*G1377)</f>
        <v/>
      </c>
      <c r="I1377">
        <f>IF(D1377="","",H1377-F1377*IFERROR(INDEX(الأصناف!$D$2:$D$2000,MATCH(D1377,الأصناف!$A$2:$A$2000,0)),0))</f>
        <v/>
      </c>
      <c r="J1377" s="4" t="n"/>
      <c r="K1377" s="7">
        <f>IF(OR(B1377="",B1377&lt;&gt;الإيصال!$C$3),"",COUNTIF(B$2:B1377,الإيصال!$C$3))</f>
        <v/>
      </c>
    </row>
    <row r="1378">
      <c r="A1378" s="6" t="n"/>
      <c r="B1378" s="4" t="n"/>
      <c r="C1378" s="4" t="n"/>
      <c r="D1378" s="4" t="n"/>
      <c r="E1378">
        <f>IF(D1378="","",IFERROR(INDEX(الأصناف!$B$2:$B$2000,MATCH(D1378,الأصناف!$A$2:$A$2000,0)),"كود غير موجود"))</f>
        <v/>
      </c>
      <c r="F1378" s="4" t="n"/>
      <c r="G1378">
        <f>IF(D1378="","",IFERROR(INDEX(الأصناف!$C$2:$C$2000,MATCH(D1378,الأصناف!$A$2:$A$2000,0)),0))</f>
        <v/>
      </c>
      <c r="H1378">
        <f>IF(D1378="","",F1378*G1378)</f>
        <v/>
      </c>
      <c r="I1378">
        <f>IF(D1378="","",H1378-F1378*IFERROR(INDEX(الأصناف!$D$2:$D$2000,MATCH(D1378,الأصناف!$A$2:$A$2000,0)),0))</f>
        <v/>
      </c>
      <c r="J1378" s="4" t="n"/>
      <c r="K1378" s="7">
        <f>IF(OR(B1378="",B1378&lt;&gt;الإيصال!$C$3),"",COUNTIF(B$2:B1378,الإيصال!$C$3))</f>
        <v/>
      </c>
    </row>
    <row r="1379">
      <c r="A1379" s="6" t="n"/>
      <c r="B1379" s="4" t="n"/>
      <c r="C1379" s="4" t="n"/>
      <c r="D1379" s="4" t="n"/>
      <c r="E1379">
        <f>IF(D1379="","",IFERROR(INDEX(الأصناف!$B$2:$B$2000,MATCH(D1379,الأصناف!$A$2:$A$2000,0)),"كود غير موجود"))</f>
        <v/>
      </c>
      <c r="F1379" s="4" t="n"/>
      <c r="G1379">
        <f>IF(D1379="","",IFERROR(INDEX(الأصناف!$C$2:$C$2000,MATCH(D1379,الأصناف!$A$2:$A$2000,0)),0))</f>
        <v/>
      </c>
      <c r="H1379">
        <f>IF(D1379="","",F1379*G1379)</f>
        <v/>
      </c>
      <c r="I1379">
        <f>IF(D1379="","",H1379-F1379*IFERROR(INDEX(الأصناف!$D$2:$D$2000,MATCH(D1379,الأصناف!$A$2:$A$2000,0)),0))</f>
        <v/>
      </c>
      <c r="J1379" s="4" t="n"/>
      <c r="K1379" s="7">
        <f>IF(OR(B1379="",B1379&lt;&gt;الإيصال!$C$3),"",COUNTIF(B$2:B1379,الإيصال!$C$3))</f>
        <v/>
      </c>
    </row>
    <row r="1380">
      <c r="A1380" s="6" t="n"/>
      <c r="B1380" s="4" t="n"/>
      <c r="C1380" s="4" t="n"/>
      <c r="D1380" s="4" t="n"/>
      <c r="E1380">
        <f>IF(D1380="","",IFERROR(INDEX(الأصناف!$B$2:$B$2000,MATCH(D1380,الأصناف!$A$2:$A$2000,0)),"كود غير موجود"))</f>
        <v/>
      </c>
      <c r="F1380" s="4" t="n"/>
      <c r="G1380">
        <f>IF(D1380="","",IFERROR(INDEX(الأصناف!$C$2:$C$2000,MATCH(D1380,الأصناف!$A$2:$A$2000,0)),0))</f>
        <v/>
      </c>
      <c r="H1380">
        <f>IF(D1380="","",F1380*G1380)</f>
        <v/>
      </c>
      <c r="I1380">
        <f>IF(D1380="","",H1380-F1380*IFERROR(INDEX(الأصناف!$D$2:$D$2000,MATCH(D1380,الأصناف!$A$2:$A$2000,0)),0))</f>
        <v/>
      </c>
      <c r="J1380" s="4" t="n"/>
      <c r="K1380" s="7">
        <f>IF(OR(B1380="",B1380&lt;&gt;الإيصال!$C$3),"",COUNTIF(B$2:B1380,الإيصال!$C$3))</f>
        <v/>
      </c>
    </row>
    <row r="1381">
      <c r="A1381" s="6" t="n"/>
      <c r="B1381" s="4" t="n"/>
      <c r="C1381" s="4" t="n"/>
      <c r="D1381" s="4" t="n"/>
      <c r="E1381">
        <f>IF(D1381="","",IFERROR(INDEX(الأصناف!$B$2:$B$2000,MATCH(D1381,الأصناف!$A$2:$A$2000,0)),"كود غير موجود"))</f>
        <v/>
      </c>
      <c r="F1381" s="4" t="n"/>
      <c r="G1381">
        <f>IF(D1381="","",IFERROR(INDEX(الأصناف!$C$2:$C$2000,MATCH(D1381,الأصناف!$A$2:$A$2000,0)),0))</f>
        <v/>
      </c>
      <c r="H1381">
        <f>IF(D1381="","",F1381*G1381)</f>
        <v/>
      </c>
      <c r="I1381">
        <f>IF(D1381="","",H1381-F1381*IFERROR(INDEX(الأصناف!$D$2:$D$2000,MATCH(D1381,الأصناف!$A$2:$A$2000,0)),0))</f>
        <v/>
      </c>
      <c r="J1381" s="4" t="n"/>
      <c r="K1381" s="7">
        <f>IF(OR(B1381="",B1381&lt;&gt;الإيصال!$C$3),"",COUNTIF(B$2:B1381,الإيصال!$C$3))</f>
        <v/>
      </c>
    </row>
    <row r="1382">
      <c r="A1382" s="6" t="n"/>
      <c r="B1382" s="4" t="n"/>
      <c r="C1382" s="4" t="n"/>
      <c r="D1382" s="4" t="n"/>
      <c r="E1382">
        <f>IF(D1382="","",IFERROR(INDEX(الأصناف!$B$2:$B$2000,MATCH(D1382,الأصناف!$A$2:$A$2000,0)),"كود غير موجود"))</f>
        <v/>
      </c>
      <c r="F1382" s="4" t="n"/>
      <c r="G1382">
        <f>IF(D1382="","",IFERROR(INDEX(الأصناف!$C$2:$C$2000,MATCH(D1382,الأصناف!$A$2:$A$2000,0)),0))</f>
        <v/>
      </c>
      <c r="H1382">
        <f>IF(D1382="","",F1382*G1382)</f>
        <v/>
      </c>
      <c r="I1382">
        <f>IF(D1382="","",H1382-F1382*IFERROR(INDEX(الأصناف!$D$2:$D$2000,MATCH(D1382,الأصناف!$A$2:$A$2000,0)),0))</f>
        <v/>
      </c>
      <c r="J1382" s="4" t="n"/>
      <c r="K1382" s="7">
        <f>IF(OR(B1382="",B1382&lt;&gt;الإيصال!$C$3),"",COUNTIF(B$2:B1382,الإيصال!$C$3))</f>
        <v/>
      </c>
    </row>
    <row r="1383">
      <c r="A1383" s="6" t="n"/>
      <c r="B1383" s="4" t="n"/>
      <c r="C1383" s="4" t="n"/>
      <c r="D1383" s="4" t="n"/>
      <c r="E1383">
        <f>IF(D1383="","",IFERROR(INDEX(الأصناف!$B$2:$B$2000,MATCH(D1383,الأصناف!$A$2:$A$2000,0)),"كود غير موجود"))</f>
        <v/>
      </c>
      <c r="F1383" s="4" t="n"/>
      <c r="G1383">
        <f>IF(D1383="","",IFERROR(INDEX(الأصناف!$C$2:$C$2000,MATCH(D1383,الأصناف!$A$2:$A$2000,0)),0))</f>
        <v/>
      </c>
      <c r="H1383">
        <f>IF(D1383="","",F1383*G1383)</f>
        <v/>
      </c>
      <c r="I1383">
        <f>IF(D1383="","",H1383-F1383*IFERROR(INDEX(الأصناف!$D$2:$D$2000,MATCH(D1383,الأصناف!$A$2:$A$2000,0)),0))</f>
        <v/>
      </c>
      <c r="J1383" s="4" t="n"/>
      <c r="K1383" s="7">
        <f>IF(OR(B1383="",B1383&lt;&gt;الإيصال!$C$3),"",COUNTIF(B$2:B1383,الإيصال!$C$3))</f>
        <v/>
      </c>
    </row>
    <row r="1384">
      <c r="A1384" s="6" t="n"/>
      <c r="B1384" s="4" t="n"/>
      <c r="C1384" s="4" t="n"/>
      <c r="D1384" s="4" t="n"/>
      <c r="E1384">
        <f>IF(D1384="","",IFERROR(INDEX(الأصناف!$B$2:$B$2000,MATCH(D1384,الأصناف!$A$2:$A$2000,0)),"كود غير موجود"))</f>
        <v/>
      </c>
      <c r="F1384" s="4" t="n"/>
      <c r="G1384">
        <f>IF(D1384="","",IFERROR(INDEX(الأصناف!$C$2:$C$2000,MATCH(D1384,الأصناف!$A$2:$A$2000,0)),0))</f>
        <v/>
      </c>
      <c r="H1384">
        <f>IF(D1384="","",F1384*G1384)</f>
        <v/>
      </c>
      <c r="I1384">
        <f>IF(D1384="","",H1384-F1384*IFERROR(INDEX(الأصناف!$D$2:$D$2000,MATCH(D1384,الأصناف!$A$2:$A$2000,0)),0))</f>
        <v/>
      </c>
      <c r="J1384" s="4" t="n"/>
      <c r="K1384" s="7">
        <f>IF(OR(B1384="",B1384&lt;&gt;الإيصال!$C$3),"",COUNTIF(B$2:B1384,الإيصال!$C$3))</f>
        <v/>
      </c>
    </row>
    <row r="1385">
      <c r="A1385" s="6" t="n"/>
      <c r="B1385" s="4" t="n"/>
      <c r="C1385" s="4" t="n"/>
      <c r="D1385" s="4" t="n"/>
      <c r="E1385">
        <f>IF(D1385="","",IFERROR(INDEX(الأصناف!$B$2:$B$2000,MATCH(D1385,الأصناف!$A$2:$A$2000,0)),"كود غير موجود"))</f>
        <v/>
      </c>
      <c r="F1385" s="4" t="n"/>
      <c r="G1385">
        <f>IF(D1385="","",IFERROR(INDEX(الأصناف!$C$2:$C$2000,MATCH(D1385,الأصناف!$A$2:$A$2000,0)),0))</f>
        <v/>
      </c>
      <c r="H1385">
        <f>IF(D1385="","",F1385*G1385)</f>
        <v/>
      </c>
      <c r="I1385">
        <f>IF(D1385="","",H1385-F1385*IFERROR(INDEX(الأصناف!$D$2:$D$2000,MATCH(D1385,الأصناف!$A$2:$A$2000,0)),0))</f>
        <v/>
      </c>
      <c r="J1385" s="4" t="n"/>
      <c r="K1385" s="7">
        <f>IF(OR(B1385="",B1385&lt;&gt;الإيصال!$C$3),"",COUNTIF(B$2:B1385,الإيصال!$C$3))</f>
        <v/>
      </c>
    </row>
    <row r="1386">
      <c r="A1386" s="6" t="n"/>
      <c r="B1386" s="4" t="n"/>
      <c r="C1386" s="4" t="n"/>
      <c r="D1386" s="4" t="n"/>
      <c r="E1386">
        <f>IF(D1386="","",IFERROR(INDEX(الأصناف!$B$2:$B$2000,MATCH(D1386,الأصناف!$A$2:$A$2000,0)),"كود غير موجود"))</f>
        <v/>
      </c>
      <c r="F1386" s="4" t="n"/>
      <c r="G1386">
        <f>IF(D1386="","",IFERROR(INDEX(الأصناف!$C$2:$C$2000,MATCH(D1386,الأصناف!$A$2:$A$2000,0)),0))</f>
        <v/>
      </c>
      <c r="H1386">
        <f>IF(D1386="","",F1386*G1386)</f>
        <v/>
      </c>
      <c r="I1386">
        <f>IF(D1386="","",H1386-F1386*IFERROR(INDEX(الأصناف!$D$2:$D$2000,MATCH(D1386,الأصناف!$A$2:$A$2000,0)),0))</f>
        <v/>
      </c>
      <c r="J1386" s="4" t="n"/>
      <c r="K1386" s="7">
        <f>IF(OR(B1386="",B1386&lt;&gt;الإيصال!$C$3),"",COUNTIF(B$2:B1386,الإيصال!$C$3))</f>
        <v/>
      </c>
    </row>
    <row r="1387">
      <c r="A1387" s="6" t="n"/>
      <c r="B1387" s="4" t="n"/>
      <c r="C1387" s="4" t="n"/>
      <c r="D1387" s="4" t="n"/>
      <c r="E1387">
        <f>IF(D1387="","",IFERROR(INDEX(الأصناف!$B$2:$B$2000,MATCH(D1387,الأصناف!$A$2:$A$2000,0)),"كود غير موجود"))</f>
        <v/>
      </c>
      <c r="F1387" s="4" t="n"/>
      <c r="G1387">
        <f>IF(D1387="","",IFERROR(INDEX(الأصناف!$C$2:$C$2000,MATCH(D1387,الأصناف!$A$2:$A$2000,0)),0))</f>
        <v/>
      </c>
      <c r="H1387">
        <f>IF(D1387="","",F1387*G1387)</f>
        <v/>
      </c>
      <c r="I1387">
        <f>IF(D1387="","",H1387-F1387*IFERROR(INDEX(الأصناف!$D$2:$D$2000,MATCH(D1387,الأصناف!$A$2:$A$2000,0)),0))</f>
        <v/>
      </c>
      <c r="J1387" s="4" t="n"/>
      <c r="K1387" s="7">
        <f>IF(OR(B1387="",B1387&lt;&gt;الإيصال!$C$3),"",COUNTIF(B$2:B1387,الإيصال!$C$3))</f>
        <v/>
      </c>
    </row>
    <row r="1388">
      <c r="A1388" s="6" t="n"/>
      <c r="B1388" s="4" t="n"/>
      <c r="C1388" s="4" t="n"/>
      <c r="D1388" s="4" t="n"/>
      <c r="E1388">
        <f>IF(D1388="","",IFERROR(INDEX(الأصناف!$B$2:$B$2000,MATCH(D1388,الأصناف!$A$2:$A$2000,0)),"كود غير موجود"))</f>
        <v/>
      </c>
      <c r="F1388" s="4" t="n"/>
      <c r="G1388">
        <f>IF(D1388="","",IFERROR(INDEX(الأصناف!$C$2:$C$2000,MATCH(D1388,الأصناف!$A$2:$A$2000,0)),0))</f>
        <v/>
      </c>
      <c r="H1388">
        <f>IF(D1388="","",F1388*G1388)</f>
        <v/>
      </c>
      <c r="I1388">
        <f>IF(D1388="","",H1388-F1388*IFERROR(INDEX(الأصناف!$D$2:$D$2000,MATCH(D1388,الأصناف!$A$2:$A$2000,0)),0))</f>
        <v/>
      </c>
      <c r="J1388" s="4" t="n"/>
      <c r="K1388" s="7">
        <f>IF(OR(B1388="",B1388&lt;&gt;الإيصال!$C$3),"",COUNTIF(B$2:B1388,الإيصال!$C$3))</f>
        <v/>
      </c>
    </row>
    <row r="1389">
      <c r="A1389" s="6" t="n"/>
      <c r="B1389" s="4" t="n"/>
      <c r="C1389" s="4" t="n"/>
      <c r="D1389" s="4" t="n"/>
      <c r="E1389">
        <f>IF(D1389="","",IFERROR(INDEX(الأصناف!$B$2:$B$2000,MATCH(D1389,الأصناف!$A$2:$A$2000,0)),"كود غير موجود"))</f>
        <v/>
      </c>
      <c r="F1389" s="4" t="n"/>
      <c r="G1389">
        <f>IF(D1389="","",IFERROR(INDEX(الأصناف!$C$2:$C$2000,MATCH(D1389,الأصناف!$A$2:$A$2000,0)),0))</f>
        <v/>
      </c>
      <c r="H1389">
        <f>IF(D1389="","",F1389*G1389)</f>
        <v/>
      </c>
      <c r="I1389">
        <f>IF(D1389="","",H1389-F1389*IFERROR(INDEX(الأصناف!$D$2:$D$2000,MATCH(D1389,الأصناف!$A$2:$A$2000,0)),0))</f>
        <v/>
      </c>
      <c r="J1389" s="4" t="n"/>
      <c r="K1389" s="7">
        <f>IF(OR(B1389="",B1389&lt;&gt;الإيصال!$C$3),"",COUNTIF(B$2:B1389,الإيصال!$C$3))</f>
        <v/>
      </c>
    </row>
    <row r="1390">
      <c r="A1390" s="6" t="n"/>
      <c r="B1390" s="4" t="n"/>
      <c r="C1390" s="4" t="n"/>
      <c r="D1390" s="4" t="n"/>
      <c r="E1390">
        <f>IF(D1390="","",IFERROR(INDEX(الأصناف!$B$2:$B$2000,MATCH(D1390,الأصناف!$A$2:$A$2000,0)),"كود غير موجود"))</f>
        <v/>
      </c>
      <c r="F1390" s="4" t="n"/>
      <c r="G1390">
        <f>IF(D1390="","",IFERROR(INDEX(الأصناف!$C$2:$C$2000,MATCH(D1390,الأصناف!$A$2:$A$2000,0)),0))</f>
        <v/>
      </c>
      <c r="H1390">
        <f>IF(D1390="","",F1390*G1390)</f>
        <v/>
      </c>
      <c r="I1390">
        <f>IF(D1390="","",H1390-F1390*IFERROR(INDEX(الأصناف!$D$2:$D$2000,MATCH(D1390,الأصناف!$A$2:$A$2000,0)),0))</f>
        <v/>
      </c>
      <c r="J1390" s="4" t="n"/>
      <c r="K1390" s="7">
        <f>IF(OR(B1390="",B1390&lt;&gt;الإيصال!$C$3),"",COUNTIF(B$2:B1390,الإيصال!$C$3))</f>
        <v/>
      </c>
    </row>
    <row r="1391">
      <c r="A1391" s="6" t="n"/>
      <c r="B1391" s="4" t="n"/>
      <c r="C1391" s="4" t="n"/>
      <c r="D1391" s="4" t="n"/>
      <c r="E1391">
        <f>IF(D1391="","",IFERROR(INDEX(الأصناف!$B$2:$B$2000,MATCH(D1391,الأصناف!$A$2:$A$2000,0)),"كود غير موجود"))</f>
        <v/>
      </c>
      <c r="F1391" s="4" t="n"/>
      <c r="G1391">
        <f>IF(D1391="","",IFERROR(INDEX(الأصناف!$C$2:$C$2000,MATCH(D1391,الأصناف!$A$2:$A$2000,0)),0))</f>
        <v/>
      </c>
      <c r="H1391">
        <f>IF(D1391="","",F1391*G1391)</f>
        <v/>
      </c>
      <c r="I1391">
        <f>IF(D1391="","",H1391-F1391*IFERROR(INDEX(الأصناف!$D$2:$D$2000,MATCH(D1391,الأصناف!$A$2:$A$2000,0)),0))</f>
        <v/>
      </c>
      <c r="J1391" s="4" t="n"/>
      <c r="K1391" s="7">
        <f>IF(OR(B1391="",B1391&lt;&gt;الإيصال!$C$3),"",COUNTIF(B$2:B1391,الإيصال!$C$3))</f>
        <v/>
      </c>
    </row>
    <row r="1392">
      <c r="A1392" s="6" t="n"/>
      <c r="B1392" s="4" t="n"/>
      <c r="C1392" s="4" t="n"/>
      <c r="D1392" s="4" t="n"/>
      <c r="E1392">
        <f>IF(D1392="","",IFERROR(INDEX(الأصناف!$B$2:$B$2000,MATCH(D1392,الأصناف!$A$2:$A$2000,0)),"كود غير موجود"))</f>
        <v/>
      </c>
      <c r="F1392" s="4" t="n"/>
      <c r="G1392">
        <f>IF(D1392="","",IFERROR(INDEX(الأصناف!$C$2:$C$2000,MATCH(D1392,الأصناف!$A$2:$A$2000,0)),0))</f>
        <v/>
      </c>
      <c r="H1392">
        <f>IF(D1392="","",F1392*G1392)</f>
        <v/>
      </c>
      <c r="I1392">
        <f>IF(D1392="","",H1392-F1392*IFERROR(INDEX(الأصناف!$D$2:$D$2000,MATCH(D1392,الأصناف!$A$2:$A$2000,0)),0))</f>
        <v/>
      </c>
      <c r="J1392" s="4" t="n"/>
      <c r="K1392" s="7">
        <f>IF(OR(B1392="",B1392&lt;&gt;الإيصال!$C$3),"",COUNTIF(B$2:B1392,الإيصال!$C$3))</f>
        <v/>
      </c>
    </row>
    <row r="1393">
      <c r="A1393" s="6" t="n"/>
      <c r="B1393" s="4" t="n"/>
      <c r="C1393" s="4" t="n"/>
      <c r="D1393" s="4" t="n"/>
      <c r="E1393">
        <f>IF(D1393="","",IFERROR(INDEX(الأصناف!$B$2:$B$2000,MATCH(D1393,الأصناف!$A$2:$A$2000,0)),"كود غير موجود"))</f>
        <v/>
      </c>
      <c r="F1393" s="4" t="n"/>
      <c r="G1393">
        <f>IF(D1393="","",IFERROR(INDEX(الأصناف!$C$2:$C$2000,MATCH(D1393,الأصناف!$A$2:$A$2000,0)),0))</f>
        <v/>
      </c>
      <c r="H1393">
        <f>IF(D1393="","",F1393*G1393)</f>
        <v/>
      </c>
      <c r="I1393">
        <f>IF(D1393="","",H1393-F1393*IFERROR(INDEX(الأصناف!$D$2:$D$2000,MATCH(D1393,الأصناف!$A$2:$A$2000,0)),0))</f>
        <v/>
      </c>
      <c r="J1393" s="4" t="n"/>
      <c r="K1393" s="7">
        <f>IF(OR(B1393="",B1393&lt;&gt;الإيصال!$C$3),"",COUNTIF(B$2:B1393,الإيصال!$C$3))</f>
        <v/>
      </c>
    </row>
    <row r="1394">
      <c r="A1394" s="6" t="n"/>
      <c r="B1394" s="4" t="n"/>
      <c r="C1394" s="4" t="n"/>
      <c r="D1394" s="4" t="n"/>
      <c r="E1394">
        <f>IF(D1394="","",IFERROR(INDEX(الأصناف!$B$2:$B$2000,MATCH(D1394,الأصناف!$A$2:$A$2000,0)),"كود غير موجود"))</f>
        <v/>
      </c>
      <c r="F1394" s="4" t="n"/>
      <c r="G1394">
        <f>IF(D1394="","",IFERROR(INDEX(الأصناف!$C$2:$C$2000,MATCH(D1394,الأصناف!$A$2:$A$2000,0)),0))</f>
        <v/>
      </c>
      <c r="H1394">
        <f>IF(D1394="","",F1394*G1394)</f>
        <v/>
      </c>
      <c r="I1394">
        <f>IF(D1394="","",H1394-F1394*IFERROR(INDEX(الأصناف!$D$2:$D$2000,MATCH(D1394,الأصناف!$A$2:$A$2000,0)),0))</f>
        <v/>
      </c>
      <c r="J1394" s="4" t="n"/>
      <c r="K1394" s="7">
        <f>IF(OR(B1394="",B1394&lt;&gt;الإيصال!$C$3),"",COUNTIF(B$2:B1394,الإيصال!$C$3))</f>
        <v/>
      </c>
    </row>
    <row r="1395">
      <c r="A1395" s="6" t="n"/>
      <c r="B1395" s="4" t="n"/>
      <c r="C1395" s="4" t="n"/>
      <c r="D1395" s="4" t="n"/>
      <c r="E1395">
        <f>IF(D1395="","",IFERROR(INDEX(الأصناف!$B$2:$B$2000,MATCH(D1395,الأصناف!$A$2:$A$2000,0)),"كود غير موجود"))</f>
        <v/>
      </c>
      <c r="F1395" s="4" t="n"/>
      <c r="G1395">
        <f>IF(D1395="","",IFERROR(INDEX(الأصناف!$C$2:$C$2000,MATCH(D1395,الأصناف!$A$2:$A$2000,0)),0))</f>
        <v/>
      </c>
      <c r="H1395">
        <f>IF(D1395="","",F1395*G1395)</f>
        <v/>
      </c>
      <c r="I1395">
        <f>IF(D1395="","",H1395-F1395*IFERROR(INDEX(الأصناف!$D$2:$D$2000,MATCH(D1395,الأصناف!$A$2:$A$2000,0)),0))</f>
        <v/>
      </c>
      <c r="J1395" s="4" t="n"/>
      <c r="K1395" s="7">
        <f>IF(OR(B1395="",B1395&lt;&gt;الإيصال!$C$3),"",COUNTIF(B$2:B1395,الإيصال!$C$3))</f>
        <v/>
      </c>
    </row>
    <row r="1396">
      <c r="A1396" s="6" t="n"/>
      <c r="B1396" s="4" t="n"/>
      <c r="C1396" s="4" t="n"/>
      <c r="D1396" s="4" t="n"/>
      <c r="E1396">
        <f>IF(D1396="","",IFERROR(INDEX(الأصناف!$B$2:$B$2000,MATCH(D1396,الأصناف!$A$2:$A$2000,0)),"كود غير موجود"))</f>
        <v/>
      </c>
      <c r="F1396" s="4" t="n"/>
      <c r="G1396">
        <f>IF(D1396="","",IFERROR(INDEX(الأصناف!$C$2:$C$2000,MATCH(D1396,الأصناف!$A$2:$A$2000,0)),0))</f>
        <v/>
      </c>
      <c r="H1396">
        <f>IF(D1396="","",F1396*G1396)</f>
        <v/>
      </c>
      <c r="I1396">
        <f>IF(D1396="","",H1396-F1396*IFERROR(INDEX(الأصناف!$D$2:$D$2000,MATCH(D1396,الأصناف!$A$2:$A$2000,0)),0))</f>
        <v/>
      </c>
      <c r="J1396" s="4" t="n"/>
      <c r="K1396" s="7">
        <f>IF(OR(B1396="",B1396&lt;&gt;الإيصال!$C$3),"",COUNTIF(B$2:B1396,الإيصال!$C$3))</f>
        <v/>
      </c>
    </row>
    <row r="1397">
      <c r="A1397" s="6" t="n"/>
      <c r="B1397" s="4" t="n"/>
      <c r="C1397" s="4" t="n"/>
      <c r="D1397" s="4" t="n"/>
      <c r="E1397">
        <f>IF(D1397="","",IFERROR(INDEX(الأصناف!$B$2:$B$2000,MATCH(D1397,الأصناف!$A$2:$A$2000,0)),"كود غير موجود"))</f>
        <v/>
      </c>
      <c r="F1397" s="4" t="n"/>
      <c r="G1397">
        <f>IF(D1397="","",IFERROR(INDEX(الأصناف!$C$2:$C$2000,MATCH(D1397,الأصناف!$A$2:$A$2000,0)),0))</f>
        <v/>
      </c>
      <c r="H1397">
        <f>IF(D1397="","",F1397*G1397)</f>
        <v/>
      </c>
      <c r="I1397">
        <f>IF(D1397="","",H1397-F1397*IFERROR(INDEX(الأصناف!$D$2:$D$2000,MATCH(D1397,الأصناف!$A$2:$A$2000,0)),0))</f>
        <v/>
      </c>
      <c r="J1397" s="4" t="n"/>
      <c r="K1397" s="7">
        <f>IF(OR(B1397="",B1397&lt;&gt;الإيصال!$C$3),"",COUNTIF(B$2:B1397,الإيصال!$C$3))</f>
        <v/>
      </c>
    </row>
    <row r="1398">
      <c r="A1398" s="6" t="n"/>
      <c r="B1398" s="4" t="n"/>
      <c r="C1398" s="4" t="n"/>
      <c r="D1398" s="4" t="n"/>
      <c r="E1398">
        <f>IF(D1398="","",IFERROR(INDEX(الأصناف!$B$2:$B$2000,MATCH(D1398,الأصناف!$A$2:$A$2000,0)),"كود غير موجود"))</f>
        <v/>
      </c>
      <c r="F1398" s="4" t="n"/>
      <c r="G1398">
        <f>IF(D1398="","",IFERROR(INDEX(الأصناف!$C$2:$C$2000,MATCH(D1398,الأصناف!$A$2:$A$2000,0)),0))</f>
        <v/>
      </c>
      <c r="H1398">
        <f>IF(D1398="","",F1398*G1398)</f>
        <v/>
      </c>
      <c r="I1398">
        <f>IF(D1398="","",H1398-F1398*IFERROR(INDEX(الأصناف!$D$2:$D$2000,MATCH(D1398,الأصناف!$A$2:$A$2000,0)),0))</f>
        <v/>
      </c>
      <c r="J1398" s="4" t="n"/>
      <c r="K1398" s="7">
        <f>IF(OR(B1398="",B1398&lt;&gt;الإيصال!$C$3),"",COUNTIF(B$2:B1398,الإيصال!$C$3))</f>
        <v/>
      </c>
    </row>
    <row r="1399">
      <c r="A1399" s="6" t="n"/>
      <c r="B1399" s="4" t="n"/>
      <c r="C1399" s="4" t="n"/>
      <c r="D1399" s="4" t="n"/>
      <c r="E1399">
        <f>IF(D1399="","",IFERROR(INDEX(الأصناف!$B$2:$B$2000,MATCH(D1399,الأصناف!$A$2:$A$2000,0)),"كود غير موجود"))</f>
        <v/>
      </c>
      <c r="F1399" s="4" t="n"/>
      <c r="G1399">
        <f>IF(D1399="","",IFERROR(INDEX(الأصناف!$C$2:$C$2000,MATCH(D1399,الأصناف!$A$2:$A$2000,0)),0))</f>
        <v/>
      </c>
      <c r="H1399">
        <f>IF(D1399="","",F1399*G1399)</f>
        <v/>
      </c>
      <c r="I1399">
        <f>IF(D1399="","",H1399-F1399*IFERROR(INDEX(الأصناف!$D$2:$D$2000,MATCH(D1399,الأصناف!$A$2:$A$2000,0)),0))</f>
        <v/>
      </c>
      <c r="J1399" s="4" t="n"/>
      <c r="K1399" s="7">
        <f>IF(OR(B1399="",B1399&lt;&gt;الإيصال!$C$3),"",COUNTIF(B$2:B1399,الإيصال!$C$3))</f>
        <v/>
      </c>
    </row>
    <row r="1400">
      <c r="A1400" s="6" t="n"/>
      <c r="B1400" s="4" t="n"/>
      <c r="C1400" s="4" t="n"/>
      <c r="D1400" s="4" t="n"/>
      <c r="E1400">
        <f>IF(D1400="","",IFERROR(INDEX(الأصناف!$B$2:$B$2000,MATCH(D1400,الأصناف!$A$2:$A$2000,0)),"كود غير موجود"))</f>
        <v/>
      </c>
      <c r="F1400" s="4" t="n"/>
      <c r="G1400">
        <f>IF(D1400="","",IFERROR(INDEX(الأصناف!$C$2:$C$2000,MATCH(D1400,الأصناف!$A$2:$A$2000,0)),0))</f>
        <v/>
      </c>
      <c r="H1400">
        <f>IF(D1400="","",F1400*G1400)</f>
        <v/>
      </c>
      <c r="I1400">
        <f>IF(D1400="","",H1400-F1400*IFERROR(INDEX(الأصناف!$D$2:$D$2000,MATCH(D1400,الأصناف!$A$2:$A$2000,0)),0))</f>
        <v/>
      </c>
      <c r="J1400" s="4" t="n"/>
      <c r="K1400" s="7">
        <f>IF(OR(B1400="",B1400&lt;&gt;الإيصال!$C$3),"",COUNTIF(B$2:B1400,الإيصال!$C$3))</f>
        <v/>
      </c>
    </row>
    <row r="1401">
      <c r="A1401" s="6" t="n"/>
      <c r="B1401" s="4" t="n"/>
      <c r="C1401" s="4" t="n"/>
      <c r="D1401" s="4" t="n"/>
      <c r="E1401">
        <f>IF(D1401="","",IFERROR(INDEX(الأصناف!$B$2:$B$2000,MATCH(D1401,الأصناف!$A$2:$A$2000,0)),"كود غير موجود"))</f>
        <v/>
      </c>
      <c r="F1401" s="4" t="n"/>
      <c r="G1401">
        <f>IF(D1401="","",IFERROR(INDEX(الأصناف!$C$2:$C$2000,MATCH(D1401,الأصناف!$A$2:$A$2000,0)),0))</f>
        <v/>
      </c>
      <c r="H1401">
        <f>IF(D1401="","",F1401*G1401)</f>
        <v/>
      </c>
      <c r="I1401">
        <f>IF(D1401="","",H1401-F1401*IFERROR(INDEX(الأصناف!$D$2:$D$2000,MATCH(D1401,الأصناف!$A$2:$A$2000,0)),0))</f>
        <v/>
      </c>
      <c r="J1401" s="4" t="n"/>
      <c r="K1401" s="7">
        <f>IF(OR(B1401="",B1401&lt;&gt;الإيصال!$C$3),"",COUNTIF(B$2:B1401,الإيصال!$C$3))</f>
        <v/>
      </c>
    </row>
    <row r="1402">
      <c r="A1402" s="6" t="n"/>
      <c r="B1402" s="4" t="n"/>
      <c r="C1402" s="4" t="n"/>
      <c r="D1402" s="4" t="n"/>
      <c r="E1402">
        <f>IF(D1402="","",IFERROR(INDEX(الأصناف!$B$2:$B$2000,MATCH(D1402,الأصناف!$A$2:$A$2000,0)),"كود غير موجود"))</f>
        <v/>
      </c>
      <c r="F1402" s="4" t="n"/>
      <c r="G1402">
        <f>IF(D1402="","",IFERROR(INDEX(الأصناف!$C$2:$C$2000,MATCH(D1402,الأصناف!$A$2:$A$2000,0)),0))</f>
        <v/>
      </c>
      <c r="H1402">
        <f>IF(D1402="","",F1402*G1402)</f>
        <v/>
      </c>
      <c r="I1402">
        <f>IF(D1402="","",H1402-F1402*IFERROR(INDEX(الأصناف!$D$2:$D$2000,MATCH(D1402,الأصناف!$A$2:$A$2000,0)),0))</f>
        <v/>
      </c>
      <c r="J1402" s="4" t="n"/>
      <c r="K1402" s="7">
        <f>IF(OR(B1402="",B1402&lt;&gt;الإيصال!$C$3),"",COUNTIF(B$2:B1402,الإيصال!$C$3))</f>
        <v/>
      </c>
    </row>
    <row r="1403">
      <c r="A1403" s="6" t="n"/>
      <c r="B1403" s="4" t="n"/>
      <c r="C1403" s="4" t="n"/>
      <c r="D1403" s="4" t="n"/>
      <c r="E1403">
        <f>IF(D1403="","",IFERROR(INDEX(الأصناف!$B$2:$B$2000,MATCH(D1403,الأصناف!$A$2:$A$2000,0)),"كود غير موجود"))</f>
        <v/>
      </c>
      <c r="F1403" s="4" t="n"/>
      <c r="G1403">
        <f>IF(D1403="","",IFERROR(INDEX(الأصناف!$C$2:$C$2000,MATCH(D1403,الأصناف!$A$2:$A$2000,0)),0))</f>
        <v/>
      </c>
      <c r="H1403">
        <f>IF(D1403="","",F1403*G1403)</f>
        <v/>
      </c>
      <c r="I1403">
        <f>IF(D1403="","",H1403-F1403*IFERROR(INDEX(الأصناف!$D$2:$D$2000,MATCH(D1403,الأصناف!$A$2:$A$2000,0)),0))</f>
        <v/>
      </c>
      <c r="J1403" s="4" t="n"/>
      <c r="K1403" s="7">
        <f>IF(OR(B1403="",B1403&lt;&gt;الإيصال!$C$3),"",COUNTIF(B$2:B1403,الإيصال!$C$3))</f>
        <v/>
      </c>
    </row>
    <row r="1404">
      <c r="A1404" s="6" t="n"/>
      <c r="B1404" s="4" t="n"/>
      <c r="C1404" s="4" t="n"/>
      <c r="D1404" s="4" t="n"/>
      <c r="E1404">
        <f>IF(D1404="","",IFERROR(INDEX(الأصناف!$B$2:$B$2000,MATCH(D1404,الأصناف!$A$2:$A$2000,0)),"كود غير موجود"))</f>
        <v/>
      </c>
      <c r="F1404" s="4" t="n"/>
      <c r="G1404">
        <f>IF(D1404="","",IFERROR(INDEX(الأصناف!$C$2:$C$2000,MATCH(D1404,الأصناف!$A$2:$A$2000,0)),0))</f>
        <v/>
      </c>
      <c r="H1404">
        <f>IF(D1404="","",F1404*G1404)</f>
        <v/>
      </c>
      <c r="I1404">
        <f>IF(D1404="","",H1404-F1404*IFERROR(INDEX(الأصناف!$D$2:$D$2000,MATCH(D1404,الأصناف!$A$2:$A$2000,0)),0))</f>
        <v/>
      </c>
      <c r="J1404" s="4" t="n"/>
      <c r="K1404" s="7">
        <f>IF(OR(B1404="",B1404&lt;&gt;الإيصال!$C$3),"",COUNTIF(B$2:B1404,الإيصال!$C$3))</f>
        <v/>
      </c>
    </row>
    <row r="1405">
      <c r="A1405" s="6" t="n"/>
      <c r="B1405" s="4" t="n"/>
      <c r="C1405" s="4" t="n"/>
      <c r="D1405" s="4" t="n"/>
      <c r="E1405">
        <f>IF(D1405="","",IFERROR(INDEX(الأصناف!$B$2:$B$2000,MATCH(D1405,الأصناف!$A$2:$A$2000,0)),"كود غير موجود"))</f>
        <v/>
      </c>
      <c r="F1405" s="4" t="n"/>
      <c r="G1405">
        <f>IF(D1405="","",IFERROR(INDEX(الأصناف!$C$2:$C$2000,MATCH(D1405,الأصناف!$A$2:$A$2000,0)),0))</f>
        <v/>
      </c>
      <c r="H1405">
        <f>IF(D1405="","",F1405*G1405)</f>
        <v/>
      </c>
      <c r="I1405">
        <f>IF(D1405="","",H1405-F1405*IFERROR(INDEX(الأصناف!$D$2:$D$2000,MATCH(D1405,الأصناف!$A$2:$A$2000,0)),0))</f>
        <v/>
      </c>
      <c r="J1405" s="4" t="n"/>
      <c r="K1405" s="7">
        <f>IF(OR(B1405="",B1405&lt;&gt;الإيصال!$C$3),"",COUNTIF(B$2:B1405,الإيصال!$C$3))</f>
        <v/>
      </c>
    </row>
    <row r="1406">
      <c r="A1406" s="6" t="n"/>
      <c r="B1406" s="4" t="n"/>
      <c r="C1406" s="4" t="n"/>
      <c r="D1406" s="4" t="n"/>
      <c r="E1406">
        <f>IF(D1406="","",IFERROR(INDEX(الأصناف!$B$2:$B$2000,MATCH(D1406,الأصناف!$A$2:$A$2000,0)),"كود غير موجود"))</f>
        <v/>
      </c>
      <c r="F1406" s="4" t="n"/>
      <c r="G1406">
        <f>IF(D1406="","",IFERROR(INDEX(الأصناف!$C$2:$C$2000,MATCH(D1406,الأصناف!$A$2:$A$2000,0)),0))</f>
        <v/>
      </c>
      <c r="H1406">
        <f>IF(D1406="","",F1406*G1406)</f>
        <v/>
      </c>
      <c r="I1406">
        <f>IF(D1406="","",H1406-F1406*IFERROR(INDEX(الأصناف!$D$2:$D$2000,MATCH(D1406,الأصناف!$A$2:$A$2000,0)),0))</f>
        <v/>
      </c>
      <c r="J1406" s="4" t="n"/>
      <c r="K1406" s="7">
        <f>IF(OR(B1406="",B1406&lt;&gt;الإيصال!$C$3),"",COUNTIF(B$2:B1406,الإيصال!$C$3))</f>
        <v/>
      </c>
    </row>
    <row r="1407">
      <c r="A1407" s="6" t="n"/>
      <c r="B1407" s="4" t="n"/>
      <c r="C1407" s="4" t="n"/>
      <c r="D1407" s="4" t="n"/>
      <c r="E1407">
        <f>IF(D1407="","",IFERROR(INDEX(الأصناف!$B$2:$B$2000,MATCH(D1407,الأصناف!$A$2:$A$2000,0)),"كود غير موجود"))</f>
        <v/>
      </c>
      <c r="F1407" s="4" t="n"/>
      <c r="G1407">
        <f>IF(D1407="","",IFERROR(INDEX(الأصناف!$C$2:$C$2000,MATCH(D1407,الأصناف!$A$2:$A$2000,0)),0))</f>
        <v/>
      </c>
      <c r="H1407">
        <f>IF(D1407="","",F1407*G1407)</f>
        <v/>
      </c>
      <c r="I1407">
        <f>IF(D1407="","",H1407-F1407*IFERROR(INDEX(الأصناف!$D$2:$D$2000,MATCH(D1407,الأصناف!$A$2:$A$2000,0)),0))</f>
        <v/>
      </c>
      <c r="J1407" s="4" t="n"/>
      <c r="K1407" s="7">
        <f>IF(OR(B1407="",B1407&lt;&gt;الإيصال!$C$3),"",COUNTIF(B$2:B1407,الإيصال!$C$3))</f>
        <v/>
      </c>
    </row>
    <row r="1408">
      <c r="A1408" s="6" t="n"/>
      <c r="B1408" s="4" t="n"/>
      <c r="C1408" s="4" t="n"/>
      <c r="D1408" s="4" t="n"/>
      <c r="E1408">
        <f>IF(D1408="","",IFERROR(INDEX(الأصناف!$B$2:$B$2000,MATCH(D1408,الأصناف!$A$2:$A$2000,0)),"كود غير موجود"))</f>
        <v/>
      </c>
      <c r="F1408" s="4" t="n"/>
      <c r="G1408">
        <f>IF(D1408="","",IFERROR(INDEX(الأصناف!$C$2:$C$2000,MATCH(D1408,الأصناف!$A$2:$A$2000,0)),0))</f>
        <v/>
      </c>
      <c r="H1408">
        <f>IF(D1408="","",F1408*G1408)</f>
        <v/>
      </c>
      <c r="I1408">
        <f>IF(D1408="","",H1408-F1408*IFERROR(INDEX(الأصناف!$D$2:$D$2000,MATCH(D1408,الأصناف!$A$2:$A$2000,0)),0))</f>
        <v/>
      </c>
      <c r="J1408" s="4" t="n"/>
      <c r="K1408" s="7">
        <f>IF(OR(B1408="",B1408&lt;&gt;الإيصال!$C$3),"",COUNTIF(B$2:B1408,الإيصال!$C$3))</f>
        <v/>
      </c>
    </row>
    <row r="1409">
      <c r="A1409" s="6" t="n"/>
      <c r="B1409" s="4" t="n"/>
      <c r="C1409" s="4" t="n"/>
      <c r="D1409" s="4" t="n"/>
      <c r="E1409">
        <f>IF(D1409="","",IFERROR(INDEX(الأصناف!$B$2:$B$2000,MATCH(D1409,الأصناف!$A$2:$A$2000,0)),"كود غير موجود"))</f>
        <v/>
      </c>
      <c r="F1409" s="4" t="n"/>
      <c r="G1409">
        <f>IF(D1409="","",IFERROR(INDEX(الأصناف!$C$2:$C$2000,MATCH(D1409,الأصناف!$A$2:$A$2000,0)),0))</f>
        <v/>
      </c>
      <c r="H1409">
        <f>IF(D1409="","",F1409*G1409)</f>
        <v/>
      </c>
      <c r="I1409">
        <f>IF(D1409="","",H1409-F1409*IFERROR(INDEX(الأصناف!$D$2:$D$2000,MATCH(D1409,الأصناف!$A$2:$A$2000,0)),0))</f>
        <v/>
      </c>
      <c r="J1409" s="4" t="n"/>
      <c r="K1409" s="7">
        <f>IF(OR(B1409="",B1409&lt;&gt;الإيصال!$C$3),"",COUNTIF(B$2:B1409,الإيصال!$C$3))</f>
        <v/>
      </c>
    </row>
    <row r="1410">
      <c r="A1410" s="6" t="n"/>
      <c r="B1410" s="4" t="n"/>
      <c r="C1410" s="4" t="n"/>
      <c r="D1410" s="4" t="n"/>
      <c r="E1410">
        <f>IF(D1410="","",IFERROR(INDEX(الأصناف!$B$2:$B$2000,MATCH(D1410,الأصناف!$A$2:$A$2000,0)),"كود غير موجود"))</f>
        <v/>
      </c>
      <c r="F1410" s="4" t="n"/>
      <c r="G1410">
        <f>IF(D1410="","",IFERROR(INDEX(الأصناف!$C$2:$C$2000,MATCH(D1410,الأصناف!$A$2:$A$2000,0)),0))</f>
        <v/>
      </c>
      <c r="H1410">
        <f>IF(D1410="","",F1410*G1410)</f>
        <v/>
      </c>
      <c r="I1410">
        <f>IF(D1410="","",H1410-F1410*IFERROR(INDEX(الأصناف!$D$2:$D$2000,MATCH(D1410,الأصناف!$A$2:$A$2000,0)),0))</f>
        <v/>
      </c>
      <c r="J1410" s="4" t="n"/>
      <c r="K1410" s="7">
        <f>IF(OR(B1410="",B1410&lt;&gt;الإيصال!$C$3),"",COUNTIF(B$2:B1410,الإيصال!$C$3))</f>
        <v/>
      </c>
    </row>
    <row r="1411">
      <c r="A1411" s="6" t="n"/>
      <c r="B1411" s="4" t="n"/>
      <c r="C1411" s="4" t="n"/>
      <c r="D1411" s="4" t="n"/>
      <c r="E1411">
        <f>IF(D1411="","",IFERROR(INDEX(الأصناف!$B$2:$B$2000,MATCH(D1411,الأصناف!$A$2:$A$2000,0)),"كود غير موجود"))</f>
        <v/>
      </c>
      <c r="F1411" s="4" t="n"/>
      <c r="G1411">
        <f>IF(D1411="","",IFERROR(INDEX(الأصناف!$C$2:$C$2000,MATCH(D1411,الأصناف!$A$2:$A$2000,0)),0))</f>
        <v/>
      </c>
      <c r="H1411">
        <f>IF(D1411="","",F1411*G1411)</f>
        <v/>
      </c>
      <c r="I1411">
        <f>IF(D1411="","",H1411-F1411*IFERROR(INDEX(الأصناف!$D$2:$D$2000,MATCH(D1411,الأصناف!$A$2:$A$2000,0)),0))</f>
        <v/>
      </c>
      <c r="J1411" s="4" t="n"/>
      <c r="K1411" s="7">
        <f>IF(OR(B1411="",B1411&lt;&gt;الإيصال!$C$3),"",COUNTIF(B$2:B1411,الإيصال!$C$3))</f>
        <v/>
      </c>
    </row>
    <row r="1412">
      <c r="A1412" s="6" t="n"/>
      <c r="B1412" s="4" t="n"/>
      <c r="C1412" s="4" t="n"/>
      <c r="D1412" s="4" t="n"/>
      <c r="E1412">
        <f>IF(D1412="","",IFERROR(INDEX(الأصناف!$B$2:$B$2000,MATCH(D1412,الأصناف!$A$2:$A$2000,0)),"كود غير موجود"))</f>
        <v/>
      </c>
      <c r="F1412" s="4" t="n"/>
      <c r="G1412">
        <f>IF(D1412="","",IFERROR(INDEX(الأصناف!$C$2:$C$2000,MATCH(D1412,الأصناف!$A$2:$A$2000,0)),0))</f>
        <v/>
      </c>
      <c r="H1412">
        <f>IF(D1412="","",F1412*G1412)</f>
        <v/>
      </c>
      <c r="I1412">
        <f>IF(D1412="","",H1412-F1412*IFERROR(INDEX(الأصناف!$D$2:$D$2000,MATCH(D1412,الأصناف!$A$2:$A$2000,0)),0))</f>
        <v/>
      </c>
      <c r="J1412" s="4" t="n"/>
      <c r="K1412" s="7">
        <f>IF(OR(B1412="",B1412&lt;&gt;الإيصال!$C$3),"",COUNTIF(B$2:B1412,الإيصال!$C$3))</f>
        <v/>
      </c>
    </row>
    <row r="1413">
      <c r="A1413" s="6" t="n"/>
      <c r="B1413" s="4" t="n"/>
      <c r="C1413" s="4" t="n"/>
      <c r="D1413" s="4" t="n"/>
      <c r="E1413">
        <f>IF(D1413="","",IFERROR(INDEX(الأصناف!$B$2:$B$2000,MATCH(D1413,الأصناف!$A$2:$A$2000,0)),"كود غير موجود"))</f>
        <v/>
      </c>
      <c r="F1413" s="4" t="n"/>
      <c r="G1413">
        <f>IF(D1413="","",IFERROR(INDEX(الأصناف!$C$2:$C$2000,MATCH(D1413,الأصناف!$A$2:$A$2000,0)),0))</f>
        <v/>
      </c>
      <c r="H1413">
        <f>IF(D1413="","",F1413*G1413)</f>
        <v/>
      </c>
      <c r="I1413">
        <f>IF(D1413="","",H1413-F1413*IFERROR(INDEX(الأصناف!$D$2:$D$2000,MATCH(D1413,الأصناف!$A$2:$A$2000,0)),0))</f>
        <v/>
      </c>
      <c r="J1413" s="4" t="n"/>
      <c r="K1413" s="7">
        <f>IF(OR(B1413="",B1413&lt;&gt;الإيصال!$C$3),"",COUNTIF(B$2:B1413,الإيصال!$C$3))</f>
        <v/>
      </c>
    </row>
    <row r="1414">
      <c r="A1414" s="6" t="n"/>
      <c r="B1414" s="4" t="n"/>
      <c r="C1414" s="4" t="n"/>
      <c r="D1414" s="4" t="n"/>
      <c r="E1414">
        <f>IF(D1414="","",IFERROR(INDEX(الأصناف!$B$2:$B$2000,MATCH(D1414,الأصناف!$A$2:$A$2000,0)),"كود غير موجود"))</f>
        <v/>
      </c>
      <c r="F1414" s="4" t="n"/>
      <c r="G1414">
        <f>IF(D1414="","",IFERROR(INDEX(الأصناف!$C$2:$C$2000,MATCH(D1414,الأصناف!$A$2:$A$2000,0)),0))</f>
        <v/>
      </c>
      <c r="H1414">
        <f>IF(D1414="","",F1414*G1414)</f>
        <v/>
      </c>
      <c r="I1414">
        <f>IF(D1414="","",H1414-F1414*IFERROR(INDEX(الأصناف!$D$2:$D$2000,MATCH(D1414,الأصناف!$A$2:$A$2000,0)),0))</f>
        <v/>
      </c>
      <c r="J1414" s="4" t="n"/>
      <c r="K1414" s="7">
        <f>IF(OR(B1414="",B1414&lt;&gt;الإيصال!$C$3),"",COUNTIF(B$2:B1414,الإيصال!$C$3))</f>
        <v/>
      </c>
    </row>
    <row r="1415">
      <c r="A1415" s="6" t="n"/>
      <c r="B1415" s="4" t="n"/>
      <c r="C1415" s="4" t="n"/>
      <c r="D1415" s="4" t="n"/>
      <c r="E1415">
        <f>IF(D1415="","",IFERROR(INDEX(الأصناف!$B$2:$B$2000,MATCH(D1415,الأصناف!$A$2:$A$2000,0)),"كود غير موجود"))</f>
        <v/>
      </c>
      <c r="F1415" s="4" t="n"/>
      <c r="G1415">
        <f>IF(D1415="","",IFERROR(INDEX(الأصناف!$C$2:$C$2000,MATCH(D1415,الأصناف!$A$2:$A$2000,0)),0))</f>
        <v/>
      </c>
      <c r="H1415">
        <f>IF(D1415="","",F1415*G1415)</f>
        <v/>
      </c>
      <c r="I1415">
        <f>IF(D1415="","",H1415-F1415*IFERROR(INDEX(الأصناف!$D$2:$D$2000,MATCH(D1415,الأصناف!$A$2:$A$2000,0)),0))</f>
        <v/>
      </c>
      <c r="J1415" s="4" t="n"/>
      <c r="K1415" s="7">
        <f>IF(OR(B1415="",B1415&lt;&gt;الإيصال!$C$3),"",COUNTIF(B$2:B1415,الإيصال!$C$3))</f>
        <v/>
      </c>
    </row>
    <row r="1416">
      <c r="A1416" s="6" t="n"/>
      <c r="B1416" s="4" t="n"/>
      <c r="C1416" s="4" t="n"/>
      <c r="D1416" s="4" t="n"/>
      <c r="E1416">
        <f>IF(D1416="","",IFERROR(INDEX(الأصناف!$B$2:$B$2000,MATCH(D1416,الأصناف!$A$2:$A$2000,0)),"كود غير موجود"))</f>
        <v/>
      </c>
      <c r="F1416" s="4" t="n"/>
      <c r="G1416">
        <f>IF(D1416="","",IFERROR(INDEX(الأصناف!$C$2:$C$2000,MATCH(D1416,الأصناف!$A$2:$A$2000,0)),0))</f>
        <v/>
      </c>
      <c r="H1416">
        <f>IF(D1416="","",F1416*G1416)</f>
        <v/>
      </c>
      <c r="I1416">
        <f>IF(D1416="","",H1416-F1416*IFERROR(INDEX(الأصناف!$D$2:$D$2000,MATCH(D1416,الأصناف!$A$2:$A$2000,0)),0))</f>
        <v/>
      </c>
      <c r="J1416" s="4" t="n"/>
      <c r="K1416" s="7">
        <f>IF(OR(B1416="",B1416&lt;&gt;الإيصال!$C$3),"",COUNTIF(B$2:B1416,الإيصال!$C$3))</f>
        <v/>
      </c>
    </row>
    <row r="1417">
      <c r="A1417" s="6" t="n"/>
      <c r="B1417" s="4" t="n"/>
      <c r="C1417" s="4" t="n"/>
      <c r="D1417" s="4" t="n"/>
      <c r="E1417">
        <f>IF(D1417="","",IFERROR(INDEX(الأصناف!$B$2:$B$2000,MATCH(D1417,الأصناف!$A$2:$A$2000,0)),"كود غير موجود"))</f>
        <v/>
      </c>
      <c r="F1417" s="4" t="n"/>
      <c r="G1417">
        <f>IF(D1417="","",IFERROR(INDEX(الأصناف!$C$2:$C$2000,MATCH(D1417,الأصناف!$A$2:$A$2000,0)),0))</f>
        <v/>
      </c>
      <c r="H1417">
        <f>IF(D1417="","",F1417*G1417)</f>
        <v/>
      </c>
      <c r="I1417">
        <f>IF(D1417="","",H1417-F1417*IFERROR(INDEX(الأصناف!$D$2:$D$2000,MATCH(D1417,الأصناف!$A$2:$A$2000,0)),0))</f>
        <v/>
      </c>
      <c r="J1417" s="4" t="n"/>
      <c r="K1417" s="7">
        <f>IF(OR(B1417="",B1417&lt;&gt;الإيصال!$C$3),"",COUNTIF(B$2:B1417,الإيصال!$C$3))</f>
        <v/>
      </c>
    </row>
    <row r="1418">
      <c r="A1418" s="6" t="n"/>
      <c r="B1418" s="4" t="n"/>
      <c r="C1418" s="4" t="n"/>
      <c r="D1418" s="4" t="n"/>
      <c r="E1418">
        <f>IF(D1418="","",IFERROR(INDEX(الأصناف!$B$2:$B$2000,MATCH(D1418,الأصناف!$A$2:$A$2000,0)),"كود غير موجود"))</f>
        <v/>
      </c>
      <c r="F1418" s="4" t="n"/>
      <c r="G1418">
        <f>IF(D1418="","",IFERROR(INDEX(الأصناف!$C$2:$C$2000,MATCH(D1418,الأصناف!$A$2:$A$2000,0)),0))</f>
        <v/>
      </c>
      <c r="H1418">
        <f>IF(D1418="","",F1418*G1418)</f>
        <v/>
      </c>
      <c r="I1418">
        <f>IF(D1418="","",H1418-F1418*IFERROR(INDEX(الأصناف!$D$2:$D$2000,MATCH(D1418,الأصناف!$A$2:$A$2000,0)),0))</f>
        <v/>
      </c>
      <c r="J1418" s="4" t="n"/>
      <c r="K1418" s="7">
        <f>IF(OR(B1418="",B1418&lt;&gt;الإيصال!$C$3),"",COUNTIF(B$2:B1418,الإيصال!$C$3))</f>
        <v/>
      </c>
    </row>
    <row r="1419">
      <c r="A1419" s="6" t="n"/>
      <c r="B1419" s="4" t="n"/>
      <c r="C1419" s="4" t="n"/>
      <c r="D1419" s="4" t="n"/>
      <c r="E1419">
        <f>IF(D1419="","",IFERROR(INDEX(الأصناف!$B$2:$B$2000,MATCH(D1419,الأصناف!$A$2:$A$2000,0)),"كود غير موجود"))</f>
        <v/>
      </c>
      <c r="F1419" s="4" t="n"/>
      <c r="G1419">
        <f>IF(D1419="","",IFERROR(INDEX(الأصناف!$C$2:$C$2000,MATCH(D1419,الأصناف!$A$2:$A$2000,0)),0))</f>
        <v/>
      </c>
      <c r="H1419">
        <f>IF(D1419="","",F1419*G1419)</f>
        <v/>
      </c>
      <c r="I1419">
        <f>IF(D1419="","",H1419-F1419*IFERROR(INDEX(الأصناف!$D$2:$D$2000,MATCH(D1419,الأصناف!$A$2:$A$2000,0)),0))</f>
        <v/>
      </c>
      <c r="J1419" s="4" t="n"/>
      <c r="K1419" s="7">
        <f>IF(OR(B1419="",B1419&lt;&gt;الإيصال!$C$3),"",COUNTIF(B$2:B1419,الإيصال!$C$3))</f>
        <v/>
      </c>
    </row>
    <row r="1420">
      <c r="A1420" s="6" t="n"/>
      <c r="B1420" s="4" t="n"/>
      <c r="C1420" s="4" t="n"/>
      <c r="D1420" s="4" t="n"/>
      <c r="E1420">
        <f>IF(D1420="","",IFERROR(INDEX(الأصناف!$B$2:$B$2000,MATCH(D1420,الأصناف!$A$2:$A$2000,0)),"كود غير موجود"))</f>
        <v/>
      </c>
      <c r="F1420" s="4" t="n"/>
      <c r="G1420">
        <f>IF(D1420="","",IFERROR(INDEX(الأصناف!$C$2:$C$2000,MATCH(D1420,الأصناف!$A$2:$A$2000,0)),0))</f>
        <v/>
      </c>
      <c r="H1420">
        <f>IF(D1420="","",F1420*G1420)</f>
        <v/>
      </c>
      <c r="I1420">
        <f>IF(D1420="","",H1420-F1420*IFERROR(INDEX(الأصناف!$D$2:$D$2000,MATCH(D1420,الأصناف!$A$2:$A$2000,0)),0))</f>
        <v/>
      </c>
      <c r="J1420" s="4" t="n"/>
      <c r="K1420" s="7">
        <f>IF(OR(B1420="",B1420&lt;&gt;الإيصال!$C$3),"",COUNTIF(B$2:B1420,الإيصال!$C$3))</f>
        <v/>
      </c>
    </row>
    <row r="1421">
      <c r="A1421" s="6" t="n"/>
      <c r="B1421" s="4" t="n"/>
      <c r="C1421" s="4" t="n"/>
      <c r="D1421" s="4" t="n"/>
      <c r="E1421">
        <f>IF(D1421="","",IFERROR(INDEX(الأصناف!$B$2:$B$2000,MATCH(D1421,الأصناف!$A$2:$A$2000,0)),"كود غير موجود"))</f>
        <v/>
      </c>
      <c r="F1421" s="4" t="n"/>
      <c r="G1421">
        <f>IF(D1421="","",IFERROR(INDEX(الأصناف!$C$2:$C$2000,MATCH(D1421,الأصناف!$A$2:$A$2000,0)),0))</f>
        <v/>
      </c>
      <c r="H1421">
        <f>IF(D1421="","",F1421*G1421)</f>
        <v/>
      </c>
      <c r="I1421">
        <f>IF(D1421="","",H1421-F1421*IFERROR(INDEX(الأصناف!$D$2:$D$2000,MATCH(D1421,الأصناف!$A$2:$A$2000,0)),0))</f>
        <v/>
      </c>
      <c r="J1421" s="4" t="n"/>
      <c r="K1421" s="7">
        <f>IF(OR(B1421="",B1421&lt;&gt;الإيصال!$C$3),"",COUNTIF(B$2:B1421,الإيصال!$C$3))</f>
        <v/>
      </c>
    </row>
    <row r="1422">
      <c r="A1422" s="6" t="n"/>
      <c r="B1422" s="4" t="n"/>
      <c r="C1422" s="4" t="n"/>
      <c r="D1422" s="4" t="n"/>
      <c r="E1422">
        <f>IF(D1422="","",IFERROR(INDEX(الأصناف!$B$2:$B$2000,MATCH(D1422,الأصناف!$A$2:$A$2000,0)),"كود غير موجود"))</f>
        <v/>
      </c>
      <c r="F1422" s="4" t="n"/>
      <c r="G1422">
        <f>IF(D1422="","",IFERROR(INDEX(الأصناف!$C$2:$C$2000,MATCH(D1422,الأصناف!$A$2:$A$2000,0)),0))</f>
        <v/>
      </c>
      <c r="H1422">
        <f>IF(D1422="","",F1422*G1422)</f>
        <v/>
      </c>
      <c r="I1422">
        <f>IF(D1422="","",H1422-F1422*IFERROR(INDEX(الأصناف!$D$2:$D$2000,MATCH(D1422,الأصناف!$A$2:$A$2000,0)),0))</f>
        <v/>
      </c>
      <c r="J1422" s="4" t="n"/>
      <c r="K1422" s="7">
        <f>IF(OR(B1422="",B1422&lt;&gt;الإيصال!$C$3),"",COUNTIF(B$2:B1422,الإيصال!$C$3))</f>
        <v/>
      </c>
    </row>
    <row r="1423">
      <c r="A1423" s="6" t="n"/>
      <c r="B1423" s="4" t="n"/>
      <c r="C1423" s="4" t="n"/>
      <c r="D1423" s="4" t="n"/>
      <c r="E1423">
        <f>IF(D1423="","",IFERROR(INDEX(الأصناف!$B$2:$B$2000,MATCH(D1423,الأصناف!$A$2:$A$2000,0)),"كود غير موجود"))</f>
        <v/>
      </c>
      <c r="F1423" s="4" t="n"/>
      <c r="G1423">
        <f>IF(D1423="","",IFERROR(INDEX(الأصناف!$C$2:$C$2000,MATCH(D1423,الأصناف!$A$2:$A$2000,0)),0))</f>
        <v/>
      </c>
      <c r="H1423">
        <f>IF(D1423="","",F1423*G1423)</f>
        <v/>
      </c>
      <c r="I1423">
        <f>IF(D1423="","",H1423-F1423*IFERROR(INDEX(الأصناف!$D$2:$D$2000,MATCH(D1423,الأصناف!$A$2:$A$2000,0)),0))</f>
        <v/>
      </c>
      <c r="J1423" s="4" t="n"/>
      <c r="K1423" s="7">
        <f>IF(OR(B1423="",B1423&lt;&gt;الإيصال!$C$3),"",COUNTIF(B$2:B1423,الإيصال!$C$3))</f>
        <v/>
      </c>
    </row>
    <row r="1424">
      <c r="A1424" s="6" t="n"/>
      <c r="B1424" s="4" t="n"/>
      <c r="C1424" s="4" t="n"/>
      <c r="D1424" s="4" t="n"/>
      <c r="E1424">
        <f>IF(D1424="","",IFERROR(INDEX(الأصناف!$B$2:$B$2000,MATCH(D1424,الأصناف!$A$2:$A$2000,0)),"كود غير موجود"))</f>
        <v/>
      </c>
      <c r="F1424" s="4" t="n"/>
      <c r="G1424">
        <f>IF(D1424="","",IFERROR(INDEX(الأصناف!$C$2:$C$2000,MATCH(D1424,الأصناف!$A$2:$A$2000,0)),0))</f>
        <v/>
      </c>
      <c r="H1424">
        <f>IF(D1424="","",F1424*G1424)</f>
        <v/>
      </c>
      <c r="I1424">
        <f>IF(D1424="","",H1424-F1424*IFERROR(INDEX(الأصناف!$D$2:$D$2000,MATCH(D1424,الأصناف!$A$2:$A$2000,0)),0))</f>
        <v/>
      </c>
      <c r="J1424" s="4" t="n"/>
      <c r="K1424" s="7">
        <f>IF(OR(B1424="",B1424&lt;&gt;الإيصال!$C$3),"",COUNTIF(B$2:B1424,الإيصال!$C$3))</f>
        <v/>
      </c>
    </row>
    <row r="1425">
      <c r="A1425" s="6" t="n"/>
      <c r="B1425" s="4" t="n"/>
      <c r="C1425" s="4" t="n"/>
      <c r="D1425" s="4" t="n"/>
      <c r="E1425">
        <f>IF(D1425="","",IFERROR(INDEX(الأصناف!$B$2:$B$2000,MATCH(D1425,الأصناف!$A$2:$A$2000,0)),"كود غير موجود"))</f>
        <v/>
      </c>
      <c r="F1425" s="4" t="n"/>
      <c r="G1425">
        <f>IF(D1425="","",IFERROR(INDEX(الأصناف!$C$2:$C$2000,MATCH(D1425,الأصناف!$A$2:$A$2000,0)),0))</f>
        <v/>
      </c>
      <c r="H1425">
        <f>IF(D1425="","",F1425*G1425)</f>
        <v/>
      </c>
      <c r="I1425">
        <f>IF(D1425="","",H1425-F1425*IFERROR(INDEX(الأصناف!$D$2:$D$2000,MATCH(D1425,الأصناف!$A$2:$A$2000,0)),0))</f>
        <v/>
      </c>
      <c r="J1425" s="4" t="n"/>
      <c r="K1425" s="7">
        <f>IF(OR(B1425="",B1425&lt;&gt;الإيصال!$C$3),"",COUNTIF(B$2:B1425,الإيصال!$C$3))</f>
        <v/>
      </c>
    </row>
    <row r="1426">
      <c r="A1426" s="6" t="n"/>
      <c r="B1426" s="4" t="n"/>
      <c r="C1426" s="4" t="n"/>
      <c r="D1426" s="4" t="n"/>
      <c r="E1426">
        <f>IF(D1426="","",IFERROR(INDEX(الأصناف!$B$2:$B$2000,MATCH(D1426,الأصناف!$A$2:$A$2000,0)),"كود غير موجود"))</f>
        <v/>
      </c>
      <c r="F1426" s="4" t="n"/>
      <c r="G1426">
        <f>IF(D1426="","",IFERROR(INDEX(الأصناف!$C$2:$C$2000,MATCH(D1426,الأصناف!$A$2:$A$2000,0)),0))</f>
        <v/>
      </c>
      <c r="H1426">
        <f>IF(D1426="","",F1426*G1426)</f>
        <v/>
      </c>
      <c r="I1426">
        <f>IF(D1426="","",H1426-F1426*IFERROR(INDEX(الأصناف!$D$2:$D$2000,MATCH(D1426,الأصناف!$A$2:$A$2000,0)),0))</f>
        <v/>
      </c>
      <c r="J1426" s="4" t="n"/>
      <c r="K1426" s="7">
        <f>IF(OR(B1426="",B1426&lt;&gt;الإيصال!$C$3),"",COUNTIF(B$2:B1426,الإيصال!$C$3))</f>
        <v/>
      </c>
    </row>
    <row r="1427">
      <c r="A1427" s="6" t="n"/>
      <c r="B1427" s="4" t="n"/>
      <c r="C1427" s="4" t="n"/>
      <c r="D1427" s="4" t="n"/>
      <c r="E1427">
        <f>IF(D1427="","",IFERROR(INDEX(الأصناف!$B$2:$B$2000,MATCH(D1427,الأصناف!$A$2:$A$2000,0)),"كود غير موجود"))</f>
        <v/>
      </c>
      <c r="F1427" s="4" t="n"/>
      <c r="G1427">
        <f>IF(D1427="","",IFERROR(INDEX(الأصناف!$C$2:$C$2000,MATCH(D1427,الأصناف!$A$2:$A$2000,0)),0))</f>
        <v/>
      </c>
      <c r="H1427">
        <f>IF(D1427="","",F1427*G1427)</f>
        <v/>
      </c>
      <c r="I1427">
        <f>IF(D1427="","",H1427-F1427*IFERROR(INDEX(الأصناف!$D$2:$D$2000,MATCH(D1427,الأصناف!$A$2:$A$2000,0)),0))</f>
        <v/>
      </c>
      <c r="J1427" s="4" t="n"/>
      <c r="K1427" s="7">
        <f>IF(OR(B1427="",B1427&lt;&gt;الإيصال!$C$3),"",COUNTIF(B$2:B1427,الإيصال!$C$3))</f>
        <v/>
      </c>
    </row>
    <row r="1428">
      <c r="A1428" s="6" t="n"/>
      <c r="B1428" s="4" t="n"/>
      <c r="C1428" s="4" t="n"/>
      <c r="D1428" s="4" t="n"/>
      <c r="E1428">
        <f>IF(D1428="","",IFERROR(INDEX(الأصناف!$B$2:$B$2000,MATCH(D1428,الأصناف!$A$2:$A$2000,0)),"كود غير موجود"))</f>
        <v/>
      </c>
      <c r="F1428" s="4" t="n"/>
      <c r="G1428">
        <f>IF(D1428="","",IFERROR(INDEX(الأصناف!$C$2:$C$2000,MATCH(D1428,الأصناف!$A$2:$A$2000,0)),0))</f>
        <v/>
      </c>
      <c r="H1428">
        <f>IF(D1428="","",F1428*G1428)</f>
        <v/>
      </c>
      <c r="I1428">
        <f>IF(D1428="","",H1428-F1428*IFERROR(INDEX(الأصناف!$D$2:$D$2000,MATCH(D1428,الأصناف!$A$2:$A$2000,0)),0))</f>
        <v/>
      </c>
      <c r="J1428" s="4" t="n"/>
      <c r="K1428" s="7">
        <f>IF(OR(B1428="",B1428&lt;&gt;الإيصال!$C$3),"",COUNTIF(B$2:B1428,الإيصال!$C$3))</f>
        <v/>
      </c>
    </row>
    <row r="1429">
      <c r="A1429" s="6" t="n"/>
      <c r="B1429" s="4" t="n"/>
      <c r="C1429" s="4" t="n"/>
      <c r="D1429" s="4" t="n"/>
      <c r="E1429">
        <f>IF(D1429="","",IFERROR(INDEX(الأصناف!$B$2:$B$2000,MATCH(D1429,الأصناف!$A$2:$A$2000,0)),"كود غير موجود"))</f>
        <v/>
      </c>
      <c r="F1429" s="4" t="n"/>
      <c r="G1429">
        <f>IF(D1429="","",IFERROR(INDEX(الأصناف!$C$2:$C$2000,MATCH(D1429,الأصناف!$A$2:$A$2000,0)),0))</f>
        <v/>
      </c>
      <c r="H1429">
        <f>IF(D1429="","",F1429*G1429)</f>
        <v/>
      </c>
      <c r="I1429">
        <f>IF(D1429="","",H1429-F1429*IFERROR(INDEX(الأصناف!$D$2:$D$2000,MATCH(D1429,الأصناف!$A$2:$A$2000,0)),0))</f>
        <v/>
      </c>
      <c r="J1429" s="4" t="n"/>
      <c r="K1429" s="7">
        <f>IF(OR(B1429="",B1429&lt;&gt;الإيصال!$C$3),"",COUNTIF(B$2:B1429,الإيصال!$C$3))</f>
        <v/>
      </c>
    </row>
    <row r="1430">
      <c r="A1430" s="6" t="n"/>
      <c r="B1430" s="4" t="n"/>
      <c r="C1430" s="4" t="n"/>
      <c r="D1430" s="4" t="n"/>
      <c r="E1430">
        <f>IF(D1430="","",IFERROR(INDEX(الأصناف!$B$2:$B$2000,MATCH(D1430,الأصناف!$A$2:$A$2000,0)),"كود غير موجود"))</f>
        <v/>
      </c>
      <c r="F1430" s="4" t="n"/>
      <c r="G1430">
        <f>IF(D1430="","",IFERROR(INDEX(الأصناف!$C$2:$C$2000,MATCH(D1430,الأصناف!$A$2:$A$2000,0)),0))</f>
        <v/>
      </c>
      <c r="H1430">
        <f>IF(D1430="","",F1430*G1430)</f>
        <v/>
      </c>
      <c r="I1430">
        <f>IF(D1430="","",H1430-F1430*IFERROR(INDEX(الأصناف!$D$2:$D$2000,MATCH(D1430,الأصناف!$A$2:$A$2000,0)),0))</f>
        <v/>
      </c>
      <c r="J1430" s="4" t="n"/>
      <c r="K1430" s="7">
        <f>IF(OR(B1430="",B1430&lt;&gt;الإيصال!$C$3),"",COUNTIF(B$2:B1430,الإيصال!$C$3))</f>
        <v/>
      </c>
    </row>
    <row r="1431">
      <c r="A1431" s="6" t="n"/>
      <c r="B1431" s="4" t="n"/>
      <c r="C1431" s="4" t="n"/>
      <c r="D1431" s="4" t="n"/>
      <c r="E1431">
        <f>IF(D1431="","",IFERROR(INDEX(الأصناف!$B$2:$B$2000,MATCH(D1431,الأصناف!$A$2:$A$2000,0)),"كود غير موجود"))</f>
        <v/>
      </c>
      <c r="F1431" s="4" t="n"/>
      <c r="G1431">
        <f>IF(D1431="","",IFERROR(INDEX(الأصناف!$C$2:$C$2000,MATCH(D1431,الأصناف!$A$2:$A$2000,0)),0))</f>
        <v/>
      </c>
      <c r="H1431">
        <f>IF(D1431="","",F1431*G1431)</f>
        <v/>
      </c>
      <c r="I1431">
        <f>IF(D1431="","",H1431-F1431*IFERROR(INDEX(الأصناف!$D$2:$D$2000,MATCH(D1431,الأصناف!$A$2:$A$2000,0)),0))</f>
        <v/>
      </c>
      <c r="J1431" s="4" t="n"/>
      <c r="K1431" s="7">
        <f>IF(OR(B1431="",B1431&lt;&gt;الإيصال!$C$3),"",COUNTIF(B$2:B1431,الإيصال!$C$3))</f>
        <v/>
      </c>
    </row>
    <row r="1432">
      <c r="A1432" s="6" t="n"/>
      <c r="B1432" s="4" t="n"/>
      <c r="C1432" s="4" t="n"/>
      <c r="D1432" s="4" t="n"/>
      <c r="E1432">
        <f>IF(D1432="","",IFERROR(INDEX(الأصناف!$B$2:$B$2000,MATCH(D1432,الأصناف!$A$2:$A$2000,0)),"كود غير موجود"))</f>
        <v/>
      </c>
      <c r="F1432" s="4" t="n"/>
      <c r="G1432">
        <f>IF(D1432="","",IFERROR(INDEX(الأصناف!$C$2:$C$2000,MATCH(D1432,الأصناف!$A$2:$A$2000,0)),0))</f>
        <v/>
      </c>
      <c r="H1432">
        <f>IF(D1432="","",F1432*G1432)</f>
        <v/>
      </c>
      <c r="I1432">
        <f>IF(D1432="","",H1432-F1432*IFERROR(INDEX(الأصناف!$D$2:$D$2000,MATCH(D1432,الأصناف!$A$2:$A$2000,0)),0))</f>
        <v/>
      </c>
      <c r="J1432" s="4" t="n"/>
      <c r="K1432" s="7">
        <f>IF(OR(B1432="",B1432&lt;&gt;الإيصال!$C$3),"",COUNTIF(B$2:B1432,الإيصال!$C$3))</f>
        <v/>
      </c>
    </row>
    <row r="1433">
      <c r="A1433" s="6" t="n"/>
      <c r="B1433" s="4" t="n"/>
      <c r="C1433" s="4" t="n"/>
      <c r="D1433" s="4" t="n"/>
      <c r="E1433">
        <f>IF(D1433="","",IFERROR(INDEX(الأصناف!$B$2:$B$2000,MATCH(D1433,الأصناف!$A$2:$A$2000,0)),"كود غير موجود"))</f>
        <v/>
      </c>
      <c r="F1433" s="4" t="n"/>
      <c r="G1433">
        <f>IF(D1433="","",IFERROR(INDEX(الأصناف!$C$2:$C$2000,MATCH(D1433,الأصناف!$A$2:$A$2000,0)),0))</f>
        <v/>
      </c>
      <c r="H1433">
        <f>IF(D1433="","",F1433*G1433)</f>
        <v/>
      </c>
      <c r="I1433">
        <f>IF(D1433="","",H1433-F1433*IFERROR(INDEX(الأصناف!$D$2:$D$2000,MATCH(D1433,الأصناف!$A$2:$A$2000,0)),0))</f>
        <v/>
      </c>
      <c r="J1433" s="4" t="n"/>
      <c r="K1433" s="7">
        <f>IF(OR(B1433="",B1433&lt;&gt;الإيصال!$C$3),"",COUNTIF(B$2:B1433,الإيصال!$C$3))</f>
        <v/>
      </c>
    </row>
    <row r="1434">
      <c r="A1434" s="6" t="n"/>
      <c r="B1434" s="4" t="n"/>
      <c r="C1434" s="4" t="n"/>
      <c r="D1434" s="4" t="n"/>
      <c r="E1434">
        <f>IF(D1434="","",IFERROR(INDEX(الأصناف!$B$2:$B$2000,MATCH(D1434,الأصناف!$A$2:$A$2000,0)),"كود غير موجود"))</f>
        <v/>
      </c>
      <c r="F1434" s="4" t="n"/>
      <c r="G1434">
        <f>IF(D1434="","",IFERROR(INDEX(الأصناف!$C$2:$C$2000,MATCH(D1434,الأصناف!$A$2:$A$2000,0)),0))</f>
        <v/>
      </c>
      <c r="H1434">
        <f>IF(D1434="","",F1434*G1434)</f>
        <v/>
      </c>
      <c r="I1434">
        <f>IF(D1434="","",H1434-F1434*IFERROR(INDEX(الأصناف!$D$2:$D$2000,MATCH(D1434,الأصناف!$A$2:$A$2000,0)),0))</f>
        <v/>
      </c>
      <c r="J1434" s="4" t="n"/>
      <c r="K1434" s="7">
        <f>IF(OR(B1434="",B1434&lt;&gt;الإيصال!$C$3),"",COUNTIF(B$2:B1434,الإيصال!$C$3))</f>
        <v/>
      </c>
    </row>
    <row r="1435">
      <c r="A1435" s="6" t="n"/>
      <c r="B1435" s="4" t="n"/>
      <c r="C1435" s="4" t="n"/>
      <c r="D1435" s="4" t="n"/>
      <c r="E1435">
        <f>IF(D1435="","",IFERROR(INDEX(الأصناف!$B$2:$B$2000,MATCH(D1435,الأصناف!$A$2:$A$2000,0)),"كود غير موجود"))</f>
        <v/>
      </c>
      <c r="F1435" s="4" t="n"/>
      <c r="G1435">
        <f>IF(D1435="","",IFERROR(INDEX(الأصناف!$C$2:$C$2000,MATCH(D1435,الأصناف!$A$2:$A$2000,0)),0))</f>
        <v/>
      </c>
      <c r="H1435">
        <f>IF(D1435="","",F1435*G1435)</f>
        <v/>
      </c>
      <c r="I1435">
        <f>IF(D1435="","",H1435-F1435*IFERROR(INDEX(الأصناف!$D$2:$D$2000,MATCH(D1435,الأصناف!$A$2:$A$2000,0)),0))</f>
        <v/>
      </c>
      <c r="J1435" s="4" t="n"/>
      <c r="K1435" s="7">
        <f>IF(OR(B1435="",B1435&lt;&gt;الإيصال!$C$3),"",COUNTIF(B$2:B1435,الإيصال!$C$3))</f>
        <v/>
      </c>
    </row>
    <row r="1436">
      <c r="A1436" s="6" t="n"/>
      <c r="B1436" s="4" t="n"/>
      <c r="C1436" s="4" t="n"/>
      <c r="D1436" s="4" t="n"/>
      <c r="E1436">
        <f>IF(D1436="","",IFERROR(INDEX(الأصناف!$B$2:$B$2000,MATCH(D1436,الأصناف!$A$2:$A$2000,0)),"كود غير موجود"))</f>
        <v/>
      </c>
      <c r="F1436" s="4" t="n"/>
      <c r="G1436">
        <f>IF(D1436="","",IFERROR(INDEX(الأصناف!$C$2:$C$2000,MATCH(D1436,الأصناف!$A$2:$A$2000,0)),0))</f>
        <v/>
      </c>
      <c r="H1436">
        <f>IF(D1436="","",F1436*G1436)</f>
        <v/>
      </c>
      <c r="I1436">
        <f>IF(D1436="","",H1436-F1436*IFERROR(INDEX(الأصناف!$D$2:$D$2000,MATCH(D1436,الأصناف!$A$2:$A$2000,0)),0))</f>
        <v/>
      </c>
      <c r="J1436" s="4" t="n"/>
      <c r="K1436" s="7">
        <f>IF(OR(B1436="",B1436&lt;&gt;الإيصال!$C$3),"",COUNTIF(B$2:B1436,الإيصال!$C$3))</f>
        <v/>
      </c>
    </row>
    <row r="1437">
      <c r="A1437" s="6" t="n"/>
      <c r="B1437" s="4" t="n"/>
      <c r="C1437" s="4" t="n"/>
      <c r="D1437" s="4" t="n"/>
      <c r="E1437">
        <f>IF(D1437="","",IFERROR(INDEX(الأصناف!$B$2:$B$2000,MATCH(D1437,الأصناف!$A$2:$A$2000,0)),"كود غير موجود"))</f>
        <v/>
      </c>
      <c r="F1437" s="4" t="n"/>
      <c r="G1437">
        <f>IF(D1437="","",IFERROR(INDEX(الأصناف!$C$2:$C$2000,MATCH(D1437,الأصناف!$A$2:$A$2000,0)),0))</f>
        <v/>
      </c>
      <c r="H1437">
        <f>IF(D1437="","",F1437*G1437)</f>
        <v/>
      </c>
      <c r="I1437">
        <f>IF(D1437="","",H1437-F1437*IFERROR(INDEX(الأصناف!$D$2:$D$2000,MATCH(D1437,الأصناف!$A$2:$A$2000,0)),0))</f>
        <v/>
      </c>
      <c r="J1437" s="4" t="n"/>
      <c r="K1437" s="7">
        <f>IF(OR(B1437="",B1437&lt;&gt;الإيصال!$C$3),"",COUNTIF(B$2:B1437,الإيصال!$C$3))</f>
        <v/>
      </c>
    </row>
    <row r="1438">
      <c r="A1438" s="6" t="n"/>
      <c r="B1438" s="4" t="n"/>
      <c r="C1438" s="4" t="n"/>
      <c r="D1438" s="4" t="n"/>
      <c r="E1438">
        <f>IF(D1438="","",IFERROR(INDEX(الأصناف!$B$2:$B$2000,MATCH(D1438,الأصناف!$A$2:$A$2000,0)),"كود غير موجود"))</f>
        <v/>
      </c>
      <c r="F1438" s="4" t="n"/>
      <c r="G1438">
        <f>IF(D1438="","",IFERROR(INDEX(الأصناف!$C$2:$C$2000,MATCH(D1438,الأصناف!$A$2:$A$2000,0)),0))</f>
        <v/>
      </c>
      <c r="H1438">
        <f>IF(D1438="","",F1438*G1438)</f>
        <v/>
      </c>
      <c r="I1438">
        <f>IF(D1438="","",H1438-F1438*IFERROR(INDEX(الأصناف!$D$2:$D$2000,MATCH(D1438,الأصناف!$A$2:$A$2000,0)),0))</f>
        <v/>
      </c>
      <c r="J1438" s="4" t="n"/>
      <c r="K1438" s="7">
        <f>IF(OR(B1438="",B1438&lt;&gt;الإيصال!$C$3),"",COUNTIF(B$2:B1438,الإيصال!$C$3))</f>
        <v/>
      </c>
    </row>
    <row r="1439">
      <c r="A1439" s="6" t="n"/>
      <c r="B1439" s="4" t="n"/>
      <c r="C1439" s="4" t="n"/>
      <c r="D1439" s="4" t="n"/>
      <c r="E1439">
        <f>IF(D1439="","",IFERROR(INDEX(الأصناف!$B$2:$B$2000,MATCH(D1439,الأصناف!$A$2:$A$2000,0)),"كود غير موجود"))</f>
        <v/>
      </c>
      <c r="F1439" s="4" t="n"/>
      <c r="G1439">
        <f>IF(D1439="","",IFERROR(INDEX(الأصناف!$C$2:$C$2000,MATCH(D1439,الأصناف!$A$2:$A$2000,0)),0))</f>
        <v/>
      </c>
      <c r="H1439">
        <f>IF(D1439="","",F1439*G1439)</f>
        <v/>
      </c>
      <c r="I1439">
        <f>IF(D1439="","",H1439-F1439*IFERROR(INDEX(الأصناف!$D$2:$D$2000,MATCH(D1439,الأصناف!$A$2:$A$2000,0)),0))</f>
        <v/>
      </c>
      <c r="J1439" s="4" t="n"/>
      <c r="K1439" s="7">
        <f>IF(OR(B1439="",B1439&lt;&gt;الإيصال!$C$3),"",COUNTIF(B$2:B1439,الإيصال!$C$3))</f>
        <v/>
      </c>
    </row>
    <row r="1440">
      <c r="A1440" s="6" t="n"/>
      <c r="B1440" s="4" t="n"/>
      <c r="C1440" s="4" t="n"/>
      <c r="D1440" s="4" t="n"/>
      <c r="E1440">
        <f>IF(D1440="","",IFERROR(INDEX(الأصناف!$B$2:$B$2000,MATCH(D1440,الأصناف!$A$2:$A$2000,0)),"كود غير موجود"))</f>
        <v/>
      </c>
      <c r="F1440" s="4" t="n"/>
      <c r="G1440">
        <f>IF(D1440="","",IFERROR(INDEX(الأصناف!$C$2:$C$2000,MATCH(D1440,الأصناف!$A$2:$A$2000,0)),0))</f>
        <v/>
      </c>
      <c r="H1440">
        <f>IF(D1440="","",F1440*G1440)</f>
        <v/>
      </c>
      <c r="I1440">
        <f>IF(D1440="","",H1440-F1440*IFERROR(INDEX(الأصناف!$D$2:$D$2000,MATCH(D1440,الأصناف!$A$2:$A$2000,0)),0))</f>
        <v/>
      </c>
      <c r="J1440" s="4" t="n"/>
      <c r="K1440" s="7">
        <f>IF(OR(B1440="",B1440&lt;&gt;الإيصال!$C$3),"",COUNTIF(B$2:B1440,الإيصال!$C$3))</f>
        <v/>
      </c>
    </row>
    <row r="1441">
      <c r="A1441" s="6" t="n"/>
      <c r="B1441" s="4" t="n"/>
      <c r="C1441" s="4" t="n"/>
      <c r="D1441" s="4" t="n"/>
      <c r="E1441">
        <f>IF(D1441="","",IFERROR(INDEX(الأصناف!$B$2:$B$2000,MATCH(D1441,الأصناف!$A$2:$A$2000,0)),"كود غير موجود"))</f>
        <v/>
      </c>
      <c r="F1441" s="4" t="n"/>
      <c r="G1441">
        <f>IF(D1441="","",IFERROR(INDEX(الأصناف!$C$2:$C$2000,MATCH(D1441,الأصناف!$A$2:$A$2000,0)),0))</f>
        <v/>
      </c>
      <c r="H1441">
        <f>IF(D1441="","",F1441*G1441)</f>
        <v/>
      </c>
      <c r="I1441">
        <f>IF(D1441="","",H1441-F1441*IFERROR(INDEX(الأصناف!$D$2:$D$2000,MATCH(D1441,الأصناف!$A$2:$A$2000,0)),0))</f>
        <v/>
      </c>
      <c r="J1441" s="4" t="n"/>
      <c r="K1441" s="7">
        <f>IF(OR(B1441="",B1441&lt;&gt;الإيصال!$C$3),"",COUNTIF(B$2:B1441,الإيصال!$C$3))</f>
        <v/>
      </c>
    </row>
    <row r="1442">
      <c r="A1442" s="6" t="n"/>
      <c r="B1442" s="4" t="n"/>
      <c r="C1442" s="4" t="n"/>
      <c r="D1442" s="4" t="n"/>
      <c r="E1442">
        <f>IF(D1442="","",IFERROR(INDEX(الأصناف!$B$2:$B$2000,MATCH(D1442,الأصناف!$A$2:$A$2000,0)),"كود غير موجود"))</f>
        <v/>
      </c>
      <c r="F1442" s="4" t="n"/>
      <c r="G1442">
        <f>IF(D1442="","",IFERROR(INDEX(الأصناف!$C$2:$C$2000,MATCH(D1442,الأصناف!$A$2:$A$2000,0)),0))</f>
        <v/>
      </c>
      <c r="H1442">
        <f>IF(D1442="","",F1442*G1442)</f>
        <v/>
      </c>
      <c r="I1442">
        <f>IF(D1442="","",H1442-F1442*IFERROR(INDEX(الأصناف!$D$2:$D$2000,MATCH(D1442,الأصناف!$A$2:$A$2000,0)),0))</f>
        <v/>
      </c>
      <c r="J1442" s="4" t="n"/>
      <c r="K1442" s="7">
        <f>IF(OR(B1442="",B1442&lt;&gt;الإيصال!$C$3),"",COUNTIF(B$2:B1442,الإيصال!$C$3))</f>
        <v/>
      </c>
    </row>
    <row r="1443">
      <c r="A1443" s="6" t="n"/>
      <c r="B1443" s="4" t="n"/>
      <c r="C1443" s="4" t="n"/>
      <c r="D1443" s="4" t="n"/>
      <c r="E1443">
        <f>IF(D1443="","",IFERROR(INDEX(الأصناف!$B$2:$B$2000,MATCH(D1443,الأصناف!$A$2:$A$2000,0)),"كود غير موجود"))</f>
        <v/>
      </c>
      <c r="F1443" s="4" t="n"/>
      <c r="G1443">
        <f>IF(D1443="","",IFERROR(INDEX(الأصناف!$C$2:$C$2000,MATCH(D1443,الأصناف!$A$2:$A$2000,0)),0))</f>
        <v/>
      </c>
      <c r="H1443">
        <f>IF(D1443="","",F1443*G1443)</f>
        <v/>
      </c>
      <c r="I1443">
        <f>IF(D1443="","",H1443-F1443*IFERROR(INDEX(الأصناف!$D$2:$D$2000,MATCH(D1443,الأصناف!$A$2:$A$2000,0)),0))</f>
        <v/>
      </c>
      <c r="J1443" s="4" t="n"/>
      <c r="K1443" s="7">
        <f>IF(OR(B1443="",B1443&lt;&gt;الإيصال!$C$3),"",COUNTIF(B$2:B1443,الإيصال!$C$3))</f>
        <v/>
      </c>
    </row>
    <row r="1444">
      <c r="A1444" s="6" t="n"/>
      <c r="B1444" s="4" t="n"/>
      <c r="C1444" s="4" t="n"/>
      <c r="D1444" s="4" t="n"/>
      <c r="E1444">
        <f>IF(D1444="","",IFERROR(INDEX(الأصناف!$B$2:$B$2000,MATCH(D1444,الأصناف!$A$2:$A$2000,0)),"كود غير موجود"))</f>
        <v/>
      </c>
      <c r="F1444" s="4" t="n"/>
      <c r="G1444">
        <f>IF(D1444="","",IFERROR(INDEX(الأصناف!$C$2:$C$2000,MATCH(D1444,الأصناف!$A$2:$A$2000,0)),0))</f>
        <v/>
      </c>
      <c r="H1444">
        <f>IF(D1444="","",F1444*G1444)</f>
        <v/>
      </c>
      <c r="I1444">
        <f>IF(D1444="","",H1444-F1444*IFERROR(INDEX(الأصناف!$D$2:$D$2000,MATCH(D1444,الأصناف!$A$2:$A$2000,0)),0))</f>
        <v/>
      </c>
      <c r="J1444" s="4" t="n"/>
      <c r="K1444" s="7">
        <f>IF(OR(B1444="",B1444&lt;&gt;الإيصال!$C$3),"",COUNTIF(B$2:B1444,الإيصال!$C$3))</f>
        <v/>
      </c>
    </row>
    <row r="1445">
      <c r="A1445" s="6" t="n"/>
      <c r="B1445" s="4" t="n"/>
      <c r="C1445" s="4" t="n"/>
      <c r="D1445" s="4" t="n"/>
      <c r="E1445">
        <f>IF(D1445="","",IFERROR(INDEX(الأصناف!$B$2:$B$2000,MATCH(D1445,الأصناف!$A$2:$A$2000,0)),"كود غير موجود"))</f>
        <v/>
      </c>
      <c r="F1445" s="4" t="n"/>
      <c r="G1445">
        <f>IF(D1445="","",IFERROR(INDEX(الأصناف!$C$2:$C$2000,MATCH(D1445,الأصناف!$A$2:$A$2000,0)),0))</f>
        <v/>
      </c>
      <c r="H1445">
        <f>IF(D1445="","",F1445*G1445)</f>
        <v/>
      </c>
      <c r="I1445">
        <f>IF(D1445="","",H1445-F1445*IFERROR(INDEX(الأصناف!$D$2:$D$2000,MATCH(D1445,الأصناف!$A$2:$A$2000,0)),0))</f>
        <v/>
      </c>
      <c r="J1445" s="4" t="n"/>
      <c r="K1445" s="7">
        <f>IF(OR(B1445="",B1445&lt;&gt;الإيصال!$C$3),"",COUNTIF(B$2:B1445,الإيصال!$C$3))</f>
        <v/>
      </c>
    </row>
    <row r="1446">
      <c r="A1446" s="6" t="n"/>
      <c r="B1446" s="4" t="n"/>
      <c r="C1446" s="4" t="n"/>
      <c r="D1446" s="4" t="n"/>
      <c r="E1446">
        <f>IF(D1446="","",IFERROR(INDEX(الأصناف!$B$2:$B$2000,MATCH(D1446,الأصناف!$A$2:$A$2000,0)),"كود غير موجود"))</f>
        <v/>
      </c>
      <c r="F1446" s="4" t="n"/>
      <c r="G1446">
        <f>IF(D1446="","",IFERROR(INDEX(الأصناف!$C$2:$C$2000,MATCH(D1446,الأصناف!$A$2:$A$2000,0)),0))</f>
        <v/>
      </c>
      <c r="H1446">
        <f>IF(D1446="","",F1446*G1446)</f>
        <v/>
      </c>
      <c r="I1446">
        <f>IF(D1446="","",H1446-F1446*IFERROR(INDEX(الأصناف!$D$2:$D$2000,MATCH(D1446,الأصناف!$A$2:$A$2000,0)),0))</f>
        <v/>
      </c>
      <c r="J1446" s="4" t="n"/>
      <c r="K1446" s="7">
        <f>IF(OR(B1446="",B1446&lt;&gt;الإيصال!$C$3),"",COUNTIF(B$2:B1446,الإيصال!$C$3))</f>
        <v/>
      </c>
    </row>
    <row r="1447">
      <c r="A1447" s="6" t="n"/>
      <c r="B1447" s="4" t="n"/>
      <c r="C1447" s="4" t="n"/>
      <c r="D1447" s="4" t="n"/>
      <c r="E1447">
        <f>IF(D1447="","",IFERROR(INDEX(الأصناف!$B$2:$B$2000,MATCH(D1447,الأصناف!$A$2:$A$2000,0)),"كود غير موجود"))</f>
        <v/>
      </c>
      <c r="F1447" s="4" t="n"/>
      <c r="G1447">
        <f>IF(D1447="","",IFERROR(INDEX(الأصناف!$C$2:$C$2000,MATCH(D1447,الأصناف!$A$2:$A$2000,0)),0))</f>
        <v/>
      </c>
      <c r="H1447">
        <f>IF(D1447="","",F1447*G1447)</f>
        <v/>
      </c>
      <c r="I1447">
        <f>IF(D1447="","",H1447-F1447*IFERROR(INDEX(الأصناف!$D$2:$D$2000,MATCH(D1447,الأصناف!$A$2:$A$2000,0)),0))</f>
        <v/>
      </c>
      <c r="J1447" s="4" t="n"/>
      <c r="K1447" s="7">
        <f>IF(OR(B1447="",B1447&lt;&gt;الإيصال!$C$3),"",COUNTIF(B$2:B1447,الإيصال!$C$3))</f>
        <v/>
      </c>
    </row>
    <row r="1448">
      <c r="A1448" s="6" t="n"/>
      <c r="B1448" s="4" t="n"/>
      <c r="C1448" s="4" t="n"/>
      <c r="D1448" s="4" t="n"/>
      <c r="E1448">
        <f>IF(D1448="","",IFERROR(INDEX(الأصناف!$B$2:$B$2000,MATCH(D1448,الأصناف!$A$2:$A$2000,0)),"كود غير موجود"))</f>
        <v/>
      </c>
      <c r="F1448" s="4" t="n"/>
      <c r="G1448">
        <f>IF(D1448="","",IFERROR(INDEX(الأصناف!$C$2:$C$2000,MATCH(D1448,الأصناف!$A$2:$A$2000,0)),0))</f>
        <v/>
      </c>
      <c r="H1448">
        <f>IF(D1448="","",F1448*G1448)</f>
        <v/>
      </c>
      <c r="I1448">
        <f>IF(D1448="","",H1448-F1448*IFERROR(INDEX(الأصناف!$D$2:$D$2000,MATCH(D1448,الأصناف!$A$2:$A$2000,0)),0))</f>
        <v/>
      </c>
      <c r="J1448" s="4" t="n"/>
      <c r="K1448" s="7">
        <f>IF(OR(B1448="",B1448&lt;&gt;الإيصال!$C$3),"",COUNTIF(B$2:B1448,الإيصال!$C$3))</f>
        <v/>
      </c>
    </row>
    <row r="1449">
      <c r="A1449" s="6" t="n"/>
      <c r="B1449" s="4" t="n"/>
      <c r="C1449" s="4" t="n"/>
      <c r="D1449" s="4" t="n"/>
      <c r="E1449">
        <f>IF(D1449="","",IFERROR(INDEX(الأصناف!$B$2:$B$2000,MATCH(D1449,الأصناف!$A$2:$A$2000,0)),"كود غير موجود"))</f>
        <v/>
      </c>
      <c r="F1449" s="4" t="n"/>
      <c r="G1449">
        <f>IF(D1449="","",IFERROR(INDEX(الأصناف!$C$2:$C$2000,MATCH(D1449,الأصناف!$A$2:$A$2000,0)),0))</f>
        <v/>
      </c>
      <c r="H1449">
        <f>IF(D1449="","",F1449*G1449)</f>
        <v/>
      </c>
      <c r="I1449">
        <f>IF(D1449="","",H1449-F1449*IFERROR(INDEX(الأصناف!$D$2:$D$2000,MATCH(D1449,الأصناف!$A$2:$A$2000,0)),0))</f>
        <v/>
      </c>
      <c r="J1449" s="4" t="n"/>
      <c r="K1449" s="7">
        <f>IF(OR(B1449="",B1449&lt;&gt;الإيصال!$C$3),"",COUNTIF(B$2:B1449,الإيصال!$C$3))</f>
        <v/>
      </c>
    </row>
    <row r="1450">
      <c r="A1450" s="6" t="n"/>
      <c r="B1450" s="4" t="n"/>
      <c r="C1450" s="4" t="n"/>
      <c r="D1450" s="4" t="n"/>
      <c r="E1450">
        <f>IF(D1450="","",IFERROR(INDEX(الأصناف!$B$2:$B$2000,MATCH(D1450,الأصناف!$A$2:$A$2000,0)),"كود غير موجود"))</f>
        <v/>
      </c>
      <c r="F1450" s="4" t="n"/>
      <c r="G1450">
        <f>IF(D1450="","",IFERROR(INDEX(الأصناف!$C$2:$C$2000,MATCH(D1450,الأصناف!$A$2:$A$2000,0)),0))</f>
        <v/>
      </c>
      <c r="H1450">
        <f>IF(D1450="","",F1450*G1450)</f>
        <v/>
      </c>
      <c r="I1450">
        <f>IF(D1450="","",H1450-F1450*IFERROR(INDEX(الأصناف!$D$2:$D$2000,MATCH(D1450,الأصناف!$A$2:$A$2000,0)),0))</f>
        <v/>
      </c>
      <c r="J1450" s="4" t="n"/>
      <c r="K1450" s="7">
        <f>IF(OR(B1450="",B1450&lt;&gt;الإيصال!$C$3),"",COUNTIF(B$2:B1450,الإيصال!$C$3))</f>
        <v/>
      </c>
    </row>
    <row r="1451">
      <c r="A1451" s="6" t="n"/>
      <c r="B1451" s="4" t="n"/>
      <c r="C1451" s="4" t="n"/>
      <c r="D1451" s="4" t="n"/>
      <c r="E1451">
        <f>IF(D1451="","",IFERROR(INDEX(الأصناف!$B$2:$B$2000,MATCH(D1451,الأصناف!$A$2:$A$2000,0)),"كود غير موجود"))</f>
        <v/>
      </c>
      <c r="F1451" s="4" t="n"/>
      <c r="G1451">
        <f>IF(D1451="","",IFERROR(INDEX(الأصناف!$C$2:$C$2000,MATCH(D1451,الأصناف!$A$2:$A$2000,0)),0))</f>
        <v/>
      </c>
      <c r="H1451">
        <f>IF(D1451="","",F1451*G1451)</f>
        <v/>
      </c>
      <c r="I1451">
        <f>IF(D1451="","",H1451-F1451*IFERROR(INDEX(الأصناف!$D$2:$D$2000,MATCH(D1451,الأصناف!$A$2:$A$2000,0)),0))</f>
        <v/>
      </c>
      <c r="J1451" s="4" t="n"/>
      <c r="K1451" s="7">
        <f>IF(OR(B1451="",B1451&lt;&gt;الإيصال!$C$3),"",COUNTIF(B$2:B1451,الإيصال!$C$3))</f>
        <v/>
      </c>
    </row>
    <row r="1452">
      <c r="A1452" s="6" t="n"/>
      <c r="B1452" s="4" t="n"/>
      <c r="C1452" s="4" t="n"/>
      <c r="D1452" s="4" t="n"/>
      <c r="E1452">
        <f>IF(D1452="","",IFERROR(INDEX(الأصناف!$B$2:$B$2000,MATCH(D1452,الأصناف!$A$2:$A$2000,0)),"كود غير موجود"))</f>
        <v/>
      </c>
      <c r="F1452" s="4" t="n"/>
      <c r="G1452">
        <f>IF(D1452="","",IFERROR(INDEX(الأصناف!$C$2:$C$2000,MATCH(D1452,الأصناف!$A$2:$A$2000,0)),0))</f>
        <v/>
      </c>
      <c r="H1452">
        <f>IF(D1452="","",F1452*G1452)</f>
        <v/>
      </c>
      <c r="I1452">
        <f>IF(D1452="","",H1452-F1452*IFERROR(INDEX(الأصناف!$D$2:$D$2000,MATCH(D1452,الأصناف!$A$2:$A$2000,0)),0))</f>
        <v/>
      </c>
      <c r="J1452" s="4" t="n"/>
      <c r="K1452" s="7">
        <f>IF(OR(B1452="",B1452&lt;&gt;الإيصال!$C$3),"",COUNTIF(B$2:B1452,الإيصال!$C$3))</f>
        <v/>
      </c>
    </row>
    <row r="1453">
      <c r="A1453" s="6" t="n"/>
      <c r="B1453" s="4" t="n"/>
      <c r="C1453" s="4" t="n"/>
      <c r="D1453" s="4" t="n"/>
      <c r="E1453">
        <f>IF(D1453="","",IFERROR(INDEX(الأصناف!$B$2:$B$2000,MATCH(D1453,الأصناف!$A$2:$A$2000,0)),"كود غير موجود"))</f>
        <v/>
      </c>
      <c r="F1453" s="4" t="n"/>
      <c r="G1453">
        <f>IF(D1453="","",IFERROR(INDEX(الأصناف!$C$2:$C$2000,MATCH(D1453,الأصناف!$A$2:$A$2000,0)),0))</f>
        <v/>
      </c>
      <c r="H1453">
        <f>IF(D1453="","",F1453*G1453)</f>
        <v/>
      </c>
      <c r="I1453">
        <f>IF(D1453="","",H1453-F1453*IFERROR(INDEX(الأصناف!$D$2:$D$2000,MATCH(D1453,الأصناف!$A$2:$A$2000,0)),0))</f>
        <v/>
      </c>
      <c r="J1453" s="4" t="n"/>
      <c r="K1453" s="7">
        <f>IF(OR(B1453="",B1453&lt;&gt;الإيصال!$C$3),"",COUNTIF(B$2:B1453,الإيصال!$C$3))</f>
        <v/>
      </c>
    </row>
    <row r="1454">
      <c r="A1454" s="6" t="n"/>
      <c r="B1454" s="4" t="n"/>
      <c r="C1454" s="4" t="n"/>
      <c r="D1454" s="4" t="n"/>
      <c r="E1454">
        <f>IF(D1454="","",IFERROR(INDEX(الأصناف!$B$2:$B$2000,MATCH(D1454,الأصناف!$A$2:$A$2000,0)),"كود غير موجود"))</f>
        <v/>
      </c>
      <c r="F1454" s="4" t="n"/>
      <c r="G1454">
        <f>IF(D1454="","",IFERROR(INDEX(الأصناف!$C$2:$C$2000,MATCH(D1454,الأصناف!$A$2:$A$2000,0)),0))</f>
        <v/>
      </c>
      <c r="H1454">
        <f>IF(D1454="","",F1454*G1454)</f>
        <v/>
      </c>
      <c r="I1454">
        <f>IF(D1454="","",H1454-F1454*IFERROR(INDEX(الأصناف!$D$2:$D$2000,MATCH(D1454,الأصناف!$A$2:$A$2000,0)),0))</f>
        <v/>
      </c>
      <c r="J1454" s="4" t="n"/>
      <c r="K1454" s="7">
        <f>IF(OR(B1454="",B1454&lt;&gt;الإيصال!$C$3),"",COUNTIF(B$2:B1454,الإيصال!$C$3))</f>
        <v/>
      </c>
    </row>
    <row r="1455">
      <c r="A1455" s="6" t="n"/>
      <c r="B1455" s="4" t="n"/>
      <c r="C1455" s="4" t="n"/>
      <c r="D1455" s="4" t="n"/>
      <c r="E1455">
        <f>IF(D1455="","",IFERROR(INDEX(الأصناف!$B$2:$B$2000,MATCH(D1455,الأصناف!$A$2:$A$2000,0)),"كود غير موجود"))</f>
        <v/>
      </c>
      <c r="F1455" s="4" t="n"/>
      <c r="G1455">
        <f>IF(D1455="","",IFERROR(INDEX(الأصناف!$C$2:$C$2000,MATCH(D1455,الأصناف!$A$2:$A$2000,0)),0))</f>
        <v/>
      </c>
      <c r="H1455">
        <f>IF(D1455="","",F1455*G1455)</f>
        <v/>
      </c>
      <c r="I1455">
        <f>IF(D1455="","",H1455-F1455*IFERROR(INDEX(الأصناف!$D$2:$D$2000,MATCH(D1455,الأصناف!$A$2:$A$2000,0)),0))</f>
        <v/>
      </c>
      <c r="J1455" s="4" t="n"/>
      <c r="K1455" s="7">
        <f>IF(OR(B1455="",B1455&lt;&gt;الإيصال!$C$3),"",COUNTIF(B$2:B1455,الإيصال!$C$3))</f>
        <v/>
      </c>
    </row>
    <row r="1456">
      <c r="A1456" s="6" t="n"/>
      <c r="B1456" s="4" t="n"/>
      <c r="C1456" s="4" t="n"/>
      <c r="D1456" s="4" t="n"/>
      <c r="E1456">
        <f>IF(D1456="","",IFERROR(INDEX(الأصناف!$B$2:$B$2000,MATCH(D1456,الأصناف!$A$2:$A$2000,0)),"كود غير موجود"))</f>
        <v/>
      </c>
      <c r="F1456" s="4" t="n"/>
      <c r="G1456">
        <f>IF(D1456="","",IFERROR(INDEX(الأصناف!$C$2:$C$2000,MATCH(D1456,الأصناف!$A$2:$A$2000,0)),0))</f>
        <v/>
      </c>
      <c r="H1456">
        <f>IF(D1456="","",F1456*G1456)</f>
        <v/>
      </c>
      <c r="I1456">
        <f>IF(D1456="","",H1456-F1456*IFERROR(INDEX(الأصناف!$D$2:$D$2000,MATCH(D1456,الأصناف!$A$2:$A$2000,0)),0))</f>
        <v/>
      </c>
      <c r="J1456" s="4" t="n"/>
      <c r="K1456" s="7">
        <f>IF(OR(B1456="",B1456&lt;&gt;الإيصال!$C$3),"",COUNTIF(B$2:B1456,الإيصال!$C$3))</f>
        <v/>
      </c>
    </row>
    <row r="1457">
      <c r="A1457" s="6" t="n"/>
      <c r="B1457" s="4" t="n"/>
      <c r="C1457" s="4" t="n"/>
      <c r="D1457" s="4" t="n"/>
      <c r="E1457">
        <f>IF(D1457="","",IFERROR(INDEX(الأصناف!$B$2:$B$2000,MATCH(D1457,الأصناف!$A$2:$A$2000,0)),"كود غير موجود"))</f>
        <v/>
      </c>
      <c r="F1457" s="4" t="n"/>
      <c r="G1457">
        <f>IF(D1457="","",IFERROR(INDEX(الأصناف!$C$2:$C$2000,MATCH(D1457,الأصناف!$A$2:$A$2000,0)),0))</f>
        <v/>
      </c>
      <c r="H1457">
        <f>IF(D1457="","",F1457*G1457)</f>
        <v/>
      </c>
      <c r="I1457">
        <f>IF(D1457="","",H1457-F1457*IFERROR(INDEX(الأصناف!$D$2:$D$2000,MATCH(D1457,الأصناف!$A$2:$A$2000,0)),0))</f>
        <v/>
      </c>
      <c r="J1457" s="4" t="n"/>
      <c r="K1457" s="7">
        <f>IF(OR(B1457="",B1457&lt;&gt;الإيصال!$C$3),"",COUNTIF(B$2:B1457,الإيصال!$C$3))</f>
        <v/>
      </c>
    </row>
    <row r="1458">
      <c r="A1458" s="6" t="n"/>
      <c r="B1458" s="4" t="n"/>
      <c r="C1458" s="4" t="n"/>
      <c r="D1458" s="4" t="n"/>
      <c r="E1458">
        <f>IF(D1458="","",IFERROR(INDEX(الأصناف!$B$2:$B$2000,MATCH(D1458,الأصناف!$A$2:$A$2000,0)),"كود غير موجود"))</f>
        <v/>
      </c>
      <c r="F1458" s="4" t="n"/>
      <c r="G1458">
        <f>IF(D1458="","",IFERROR(INDEX(الأصناف!$C$2:$C$2000,MATCH(D1458,الأصناف!$A$2:$A$2000,0)),0))</f>
        <v/>
      </c>
      <c r="H1458">
        <f>IF(D1458="","",F1458*G1458)</f>
        <v/>
      </c>
      <c r="I1458">
        <f>IF(D1458="","",H1458-F1458*IFERROR(INDEX(الأصناف!$D$2:$D$2000,MATCH(D1458,الأصناف!$A$2:$A$2000,0)),0))</f>
        <v/>
      </c>
      <c r="J1458" s="4" t="n"/>
      <c r="K1458" s="7">
        <f>IF(OR(B1458="",B1458&lt;&gt;الإيصال!$C$3),"",COUNTIF(B$2:B1458,الإيصال!$C$3))</f>
        <v/>
      </c>
    </row>
    <row r="1459">
      <c r="A1459" s="6" t="n"/>
      <c r="B1459" s="4" t="n"/>
      <c r="C1459" s="4" t="n"/>
      <c r="D1459" s="4" t="n"/>
      <c r="E1459">
        <f>IF(D1459="","",IFERROR(INDEX(الأصناف!$B$2:$B$2000,MATCH(D1459,الأصناف!$A$2:$A$2000,0)),"كود غير موجود"))</f>
        <v/>
      </c>
      <c r="F1459" s="4" t="n"/>
      <c r="G1459">
        <f>IF(D1459="","",IFERROR(INDEX(الأصناف!$C$2:$C$2000,MATCH(D1459,الأصناف!$A$2:$A$2000,0)),0))</f>
        <v/>
      </c>
      <c r="H1459">
        <f>IF(D1459="","",F1459*G1459)</f>
        <v/>
      </c>
      <c r="I1459">
        <f>IF(D1459="","",H1459-F1459*IFERROR(INDEX(الأصناف!$D$2:$D$2000,MATCH(D1459,الأصناف!$A$2:$A$2000,0)),0))</f>
        <v/>
      </c>
      <c r="J1459" s="4" t="n"/>
      <c r="K1459" s="7">
        <f>IF(OR(B1459="",B1459&lt;&gt;الإيصال!$C$3),"",COUNTIF(B$2:B1459,الإيصال!$C$3))</f>
        <v/>
      </c>
    </row>
    <row r="1460">
      <c r="A1460" s="6" t="n"/>
      <c r="B1460" s="4" t="n"/>
      <c r="C1460" s="4" t="n"/>
      <c r="D1460" s="4" t="n"/>
      <c r="E1460">
        <f>IF(D1460="","",IFERROR(INDEX(الأصناف!$B$2:$B$2000,MATCH(D1460,الأصناف!$A$2:$A$2000,0)),"كود غير موجود"))</f>
        <v/>
      </c>
      <c r="F1460" s="4" t="n"/>
      <c r="G1460">
        <f>IF(D1460="","",IFERROR(INDEX(الأصناف!$C$2:$C$2000,MATCH(D1460,الأصناف!$A$2:$A$2000,0)),0))</f>
        <v/>
      </c>
      <c r="H1460">
        <f>IF(D1460="","",F1460*G1460)</f>
        <v/>
      </c>
      <c r="I1460">
        <f>IF(D1460="","",H1460-F1460*IFERROR(INDEX(الأصناف!$D$2:$D$2000,MATCH(D1460,الأصناف!$A$2:$A$2000,0)),0))</f>
        <v/>
      </c>
      <c r="J1460" s="4" t="n"/>
      <c r="K1460" s="7">
        <f>IF(OR(B1460="",B1460&lt;&gt;الإيصال!$C$3),"",COUNTIF(B$2:B1460,الإيصال!$C$3))</f>
        <v/>
      </c>
    </row>
    <row r="1461">
      <c r="A1461" s="6" t="n"/>
      <c r="B1461" s="4" t="n"/>
      <c r="C1461" s="4" t="n"/>
      <c r="D1461" s="4" t="n"/>
      <c r="E1461">
        <f>IF(D1461="","",IFERROR(INDEX(الأصناف!$B$2:$B$2000,MATCH(D1461,الأصناف!$A$2:$A$2000,0)),"كود غير موجود"))</f>
        <v/>
      </c>
      <c r="F1461" s="4" t="n"/>
      <c r="G1461">
        <f>IF(D1461="","",IFERROR(INDEX(الأصناف!$C$2:$C$2000,MATCH(D1461,الأصناف!$A$2:$A$2000,0)),0))</f>
        <v/>
      </c>
      <c r="H1461">
        <f>IF(D1461="","",F1461*G1461)</f>
        <v/>
      </c>
      <c r="I1461">
        <f>IF(D1461="","",H1461-F1461*IFERROR(INDEX(الأصناف!$D$2:$D$2000,MATCH(D1461,الأصناف!$A$2:$A$2000,0)),0))</f>
        <v/>
      </c>
      <c r="J1461" s="4" t="n"/>
      <c r="K1461" s="7">
        <f>IF(OR(B1461="",B1461&lt;&gt;الإيصال!$C$3),"",COUNTIF(B$2:B1461,الإيصال!$C$3))</f>
        <v/>
      </c>
    </row>
    <row r="1462">
      <c r="A1462" s="6" t="n"/>
      <c r="B1462" s="4" t="n"/>
      <c r="C1462" s="4" t="n"/>
      <c r="D1462" s="4" t="n"/>
      <c r="E1462">
        <f>IF(D1462="","",IFERROR(INDEX(الأصناف!$B$2:$B$2000,MATCH(D1462,الأصناف!$A$2:$A$2000,0)),"كود غير موجود"))</f>
        <v/>
      </c>
      <c r="F1462" s="4" t="n"/>
      <c r="G1462">
        <f>IF(D1462="","",IFERROR(INDEX(الأصناف!$C$2:$C$2000,MATCH(D1462,الأصناف!$A$2:$A$2000,0)),0))</f>
        <v/>
      </c>
      <c r="H1462">
        <f>IF(D1462="","",F1462*G1462)</f>
        <v/>
      </c>
      <c r="I1462">
        <f>IF(D1462="","",H1462-F1462*IFERROR(INDEX(الأصناف!$D$2:$D$2000,MATCH(D1462,الأصناف!$A$2:$A$2000,0)),0))</f>
        <v/>
      </c>
      <c r="J1462" s="4" t="n"/>
      <c r="K1462" s="7">
        <f>IF(OR(B1462="",B1462&lt;&gt;الإيصال!$C$3),"",COUNTIF(B$2:B1462,الإيصال!$C$3))</f>
        <v/>
      </c>
    </row>
    <row r="1463">
      <c r="A1463" s="6" t="n"/>
      <c r="B1463" s="4" t="n"/>
      <c r="C1463" s="4" t="n"/>
      <c r="D1463" s="4" t="n"/>
      <c r="E1463">
        <f>IF(D1463="","",IFERROR(INDEX(الأصناف!$B$2:$B$2000,MATCH(D1463,الأصناف!$A$2:$A$2000,0)),"كود غير موجود"))</f>
        <v/>
      </c>
      <c r="F1463" s="4" t="n"/>
      <c r="G1463">
        <f>IF(D1463="","",IFERROR(INDEX(الأصناف!$C$2:$C$2000,MATCH(D1463,الأصناف!$A$2:$A$2000,0)),0))</f>
        <v/>
      </c>
      <c r="H1463">
        <f>IF(D1463="","",F1463*G1463)</f>
        <v/>
      </c>
      <c r="I1463">
        <f>IF(D1463="","",H1463-F1463*IFERROR(INDEX(الأصناف!$D$2:$D$2000,MATCH(D1463,الأصناف!$A$2:$A$2000,0)),0))</f>
        <v/>
      </c>
      <c r="J1463" s="4" t="n"/>
      <c r="K1463" s="7">
        <f>IF(OR(B1463="",B1463&lt;&gt;الإيصال!$C$3),"",COUNTIF(B$2:B1463,الإيصال!$C$3))</f>
        <v/>
      </c>
    </row>
    <row r="1464">
      <c r="A1464" s="6" t="n"/>
      <c r="B1464" s="4" t="n"/>
      <c r="C1464" s="4" t="n"/>
      <c r="D1464" s="4" t="n"/>
      <c r="E1464">
        <f>IF(D1464="","",IFERROR(INDEX(الأصناف!$B$2:$B$2000,MATCH(D1464,الأصناف!$A$2:$A$2000,0)),"كود غير موجود"))</f>
        <v/>
      </c>
      <c r="F1464" s="4" t="n"/>
      <c r="G1464">
        <f>IF(D1464="","",IFERROR(INDEX(الأصناف!$C$2:$C$2000,MATCH(D1464,الأصناف!$A$2:$A$2000,0)),0))</f>
        <v/>
      </c>
      <c r="H1464">
        <f>IF(D1464="","",F1464*G1464)</f>
        <v/>
      </c>
      <c r="I1464">
        <f>IF(D1464="","",H1464-F1464*IFERROR(INDEX(الأصناف!$D$2:$D$2000,MATCH(D1464,الأصناف!$A$2:$A$2000,0)),0))</f>
        <v/>
      </c>
      <c r="J1464" s="4" t="n"/>
      <c r="K1464" s="7">
        <f>IF(OR(B1464="",B1464&lt;&gt;الإيصال!$C$3),"",COUNTIF(B$2:B1464,الإيصال!$C$3))</f>
        <v/>
      </c>
    </row>
    <row r="1465">
      <c r="A1465" s="6" t="n"/>
      <c r="B1465" s="4" t="n"/>
      <c r="C1465" s="4" t="n"/>
      <c r="D1465" s="4" t="n"/>
      <c r="E1465">
        <f>IF(D1465="","",IFERROR(INDEX(الأصناف!$B$2:$B$2000,MATCH(D1465,الأصناف!$A$2:$A$2000,0)),"كود غير موجود"))</f>
        <v/>
      </c>
      <c r="F1465" s="4" t="n"/>
      <c r="G1465">
        <f>IF(D1465="","",IFERROR(INDEX(الأصناف!$C$2:$C$2000,MATCH(D1465,الأصناف!$A$2:$A$2000,0)),0))</f>
        <v/>
      </c>
      <c r="H1465">
        <f>IF(D1465="","",F1465*G1465)</f>
        <v/>
      </c>
      <c r="I1465">
        <f>IF(D1465="","",H1465-F1465*IFERROR(INDEX(الأصناف!$D$2:$D$2000,MATCH(D1465,الأصناف!$A$2:$A$2000,0)),0))</f>
        <v/>
      </c>
      <c r="J1465" s="4" t="n"/>
      <c r="K1465" s="7">
        <f>IF(OR(B1465="",B1465&lt;&gt;الإيصال!$C$3),"",COUNTIF(B$2:B1465,الإيصال!$C$3))</f>
        <v/>
      </c>
    </row>
    <row r="1466">
      <c r="A1466" s="6" t="n"/>
      <c r="B1466" s="4" t="n"/>
      <c r="C1466" s="4" t="n"/>
      <c r="D1466" s="4" t="n"/>
      <c r="E1466">
        <f>IF(D1466="","",IFERROR(INDEX(الأصناف!$B$2:$B$2000,MATCH(D1466,الأصناف!$A$2:$A$2000,0)),"كود غير موجود"))</f>
        <v/>
      </c>
      <c r="F1466" s="4" t="n"/>
      <c r="G1466">
        <f>IF(D1466="","",IFERROR(INDEX(الأصناف!$C$2:$C$2000,MATCH(D1466,الأصناف!$A$2:$A$2000,0)),0))</f>
        <v/>
      </c>
      <c r="H1466">
        <f>IF(D1466="","",F1466*G1466)</f>
        <v/>
      </c>
      <c r="I1466">
        <f>IF(D1466="","",H1466-F1466*IFERROR(INDEX(الأصناف!$D$2:$D$2000,MATCH(D1466,الأصناف!$A$2:$A$2000,0)),0))</f>
        <v/>
      </c>
      <c r="J1466" s="4" t="n"/>
      <c r="K1466" s="7">
        <f>IF(OR(B1466="",B1466&lt;&gt;الإيصال!$C$3),"",COUNTIF(B$2:B1466,الإيصال!$C$3))</f>
        <v/>
      </c>
    </row>
    <row r="1467">
      <c r="A1467" s="6" t="n"/>
      <c r="B1467" s="4" t="n"/>
      <c r="C1467" s="4" t="n"/>
      <c r="D1467" s="4" t="n"/>
      <c r="E1467">
        <f>IF(D1467="","",IFERROR(INDEX(الأصناف!$B$2:$B$2000,MATCH(D1467,الأصناف!$A$2:$A$2000,0)),"كود غير موجود"))</f>
        <v/>
      </c>
      <c r="F1467" s="4" t="n"/>
      <c r="G1467">
        <f>IF(D1467="","",IFERROR(INDEX(الأصناف!$C$2:$C$2000,MATCH(D1467,الأصناف!$A$2:$A$2000,0)),0))</f>
        <v/>
      </c>
      <c r="H1467">
        <f>IF(D1467="","",F1467*G1467)</f>
        <v/>
      </c>
      <c r="I1467">
        <f>IF(D1467="","",H1467-F1467*IFERROR(INDEX(الأصناف!$D$2:$D$2000,MATCH(D1467,الأصناف!$A$2:$A$2000,0)),0))</f>
        <v/>
      </c>
      <c r="J1467" s="4" t="n"/>
      <c r="K1467" s="7">
        <f>IF(OR(B1467="",B1467&lt;&gt;الإيصال!$C$3),"",COUNTIF(B$2:B1467,الإيصال!$C$3))</f>
        <v/>
      </c>
    </row>
    <row r="1468">
      <c r="A1468" s="6" t="n"/>
      <c r="B1468" s="4" t="n"/>
      <c r="C1468" s="4" t="n"/>
      <c r="D1468" s="4" t="n"/>
      <c r="E1468">
        <f>IF(D1468="","",IFERROR(INDEX(الأصناف!$B$2:$B$2000,MATCH(D1468,الأصناف!$A$2:$A$2000,0)),"كود غير موجود"))</f>
        <v/>
      </c>
      <c r="F1468" s="4" t="n"/>
      <c r="G1468">
        <f>IF(D1468="","",IFERROR(INDEX(الأصناف!$C$2:$C$2000,MATCH(D1468,الأصناف!$A$2:$A$2000,0)),0))</f>
        <v/>
      </c>
      <c r="H1468">
        <f>IF(D1468="","",F1468*G1468)</f>
        <v/>
      </c>
      <c r="I1468">
        <f>IF(D1468="","",H1468-F1468*IFERROR(INDEX(الأصناف!$D$2:$D$2000,MATCH(D1468,الأصناف!$A$2:$A$2000,0)),0))</f>
        <v/>
      </c>
      <c r="J1468" s="4" t="n"/>
      <c r="K1468" s="7">
        <f>IF(OR(B1468="",B1468&lt;&gt;الإيصال!$C$3),"",COUNTIF(B$2:B1468,الإيصال!$C$3))</f>
        <v/>
      </c>
    </row>
    <row r="1469">
      <c r="A1469" s="6" t="n"/>
      <c r="B1469" s="4" t="n"/>
      <c r="C1469" s="4" t="n"/>
      <c r="D1469" s="4" t="n"/>
      <c r="E1469">
        <f>IF(D1469="","",IFERROR(INDEX(الأصناف!$B$2:$B$2000,MATCH(D1469,الأصناف!$A$2:$A$2000,0)),"كود غير موجود"))</f>
        <v/>
      </c>
      <c r="F1469" s="4" t="n"/>
      <c r="G1469">
        <f>IF(D1469="","",IFERROR(INDEX(الأصناف!$C$2:$C$2000,MATCH(D1469,الأصناف!$A$2:$A$2000,0)),0))</f>
        <v/>
      </c>
      <c r="H1469">
        <f>IF(D1469="","",F1469*G1469)</f>
        <v/>
      </c>
      <c r="I1469">
        <f>IF(D1469="","",H1469-F1469*IFERROR(INDEX(الأصناف!$D$2:$D$2000,MATCH(D1469,الأصناف!$A$2:$A$2000,0)),0))</f>
        <v/>
      </c>
      <c r="J1469" s="4" t="n"/>
      <c r="K1469" s="7">
        <f>IF(OR(B1469="",B1469&lt;&gt;الإيصال!$C$3),"",COUNTIF(B$2:B1469,الإيصال!$C$3))</f>
        <v/>
      </c>
    </row>
    <row r="1470">
      <c r="A1470" s="6" t="n"/>
      <c r="B1470" s="4" t="n"/>
      <c r="C1470" s="4" t="n"/>
      <c r="D1470" s="4" t="n"/>
      <c r="E1470">
        <f>IF(D1470="","",IFERROR(INDEX(الأصناف!$B$2:$B$2000,MATCH(D1470,الأصناف!$A$2:$A$2000,0)),"كود غير موجود"))</f>
        <v/>
      </c>
      <c r="F1470" s="4" t="n"/>
      <c r="G1470">
        <f>IF(D1470="","",IFERROR(INDEX(الأصناف!$C$2:$C$2000,MATCH(D1470,الأصناف!$A$2:$A$2000,0)),0))</f>
        <v/>
      </c>
      <c r="H1470">
        <f>IF(D1470="","",F1470*G1470)</f>
        <v/>
      </c>
      <c r="I1470">
        <f>IF(D1470="","",H1470-F1470*IFERROR(INDEX(الأصناف!$D$2:$D$2000,MATCH(D1470,الأصناف!$A$2:$A$2000,0)),0))</f>
        <v/>
      </c>
      <c r="J1470" s="4" t="n"/>
      <c r="K1470" s="7">
        <f>IF(OR(B1470="",B1470&lt;&gt;الإيصال!$C$3),"",COUNTIF(B$2:B1470,الإيصال!$C$3))</f>
        <v/>
      </c>
    </row>
    <row r="1471">
      <c r="A1471" s="6" t="n"/>
      <c r="B1471" s="4" t="n"/>
      <c r="C1471" s="4" t="n"/>
      <c r="D1471" s="4" t="n"/>
      <c r="E1471">
        <f>IF(D1471="","",IFERROR(INDEX(الأصناف!$B$2:$B$2000,MATCH(D1471,الأصناف!$A$2:$A$2000,0)),"كود غير موجود"))</f>
        <v/>
      </c>
      <c r="F1471" s="4" t="n"/>
      <c r="G1471">
        <f>IF(D1471="","",IFERROR(INDEX(الأصناف!$C$2:$C$2000,MATCH(D1471,الأصناف!$A$2:$A$2000,0)),0))</f>
        <v/>
      </c>
      <c r="H1471">
        <f>IF(D1471="","",F1471*G1471)</f>
        <v/>
      </c>
      <c r="I1471">
        <f>IF(D1471="","",H1471-F1471*IFERROR(INDEX(الأصناف!$D$2:$D$2000,MATCH(D1471,الأصناف!$A$2:$A$2000,0)),0))</f>
        <v/>
      </c>
      <c r="J1471" s="4" t="n"/>
      <c r="K1471" s="7">
        <f>IF(OR(B1471="",B1471&lt;&gt;الإيصال!$C$3),"",COUNTIF(B$2:B1471,الإيصال!$C$3))</f>
        <v/>
      </c>
    </row>
    <row r="1472">
      <c r="A1472" s="6" t="n"/>
      <c r="B1472" s="4" t="n"/>
      <c r="C1472" s="4" t="n"/>
      <c r="D1472" s="4" t="n"/>
      <c r="E1472">
        <f>IF(D1472="","",IFERROR(INDEX(الأصناف!$B$2:$B$2000,MATCH(D1472,الأصناف!$A$2:$A$2000,0)),"كود غير موجود"))</f>
        <v/>
      </c>
      <c r="F1472" s="4" t="n"/>
      <c r="G1472">
        <f>IF(D1472="","",IFERROR(INDEX(الأصناف!$C$2:$C$2000,MATCH(D1472,الأصناف!$A$2:$A$2000,0)),0))</f>
        <v/>
      </c>
      <c r="H1472">
        <f>IF(D1472="","",F1472*G1472)</f>
        <v/>
      </c>
      <c r="I1472">
        <f>IF(D1472="","",H1472-F1472*IFERROR(INDEX(الأصناف!$D$2:$D$2000,MATCH(D1472,الأصناف!$A$2:$A$2000,0)),0))</f>
        <v/>
      </c>
      <c r="J1472" s="4" t="n"/>
      <c r="K1472" s="7">
        <f>IF(OR(B1472="",B1472&lt;&gt;الإيصال!$C$3),"",COUNTIF(B$2:B1472,الإيصال!$C$3))</f>
        <v/>
      </c>
    </row>
    <row r="1473">
      <c r="A1473" s="6" t="n"/>
      <c r="B1473" s="4" t="n"/>
      <c r="C1473" s="4" t="n"/>
      <c r="D1473" s="4" t="n"/>
      <c r="E1473">
        <f>IF(D1473="","",IFERROR(INDEX(الأصناف!$B$2:$B$2000,MATCH(D1473,الأصناف!$A$2:$A$2000,0)),"كود غير موجود"))</f>
        <v/>
      </c>
      <c r="F1473" s="4" t="n"/>
      <c r="G1473">
        <f>IF(D1473="","",IFERROR(INDEX(الأصناف!$C$2:$C$2000,MATCH(D1473,الأصناف!$A$2:$A$2000,0)),0))</f>
        <v/>
      </c>
      <c r="H1473">
        <f>IF(D1473="","",F1473*G1473)</f>
        <v/>
      </c>
      <c r="I1473">
        <f>IF(D1473="","",H1473-F1473*IFERROR(INDEX(الأصناف!$D$2:$D$2000,MATCH(D1473,الأصناف!$A$2:$A$2000,0)),0))</f>
        <v/>
      </c>
      <c r="J1473" s="4" t="n"/>
      <c r="K1473" s="7">
        <f>IF(OR(B1473="",B1473&lt;&gt;الإيصال!$C$3),"",COUNTIF(B$2:B1473,الإيصال!$C$3))</f>
        <v/>
      </c>
    </row>
    <row r="1474">
      <c r="A1474" s="6" t="n"/>
      <c r="B1474" s="4" t="n"/>
      <c r="C1474" s="4" t="n"/>
      <c r="D1474" s="4" t="n"/>
      <c r="E1474">
        <f>IF(D1474="","",IFERROR(INDEX(الأصناف!$B$2:$B$2000,MATCH(D1474,الأصناف!$A$2:$A$2000,0)),"كود غير موجود"))</f>
        <v/>
      </c>
      <c r="F1474" s="4" t="n"/>
      <c r="G1474">
        <f>IF(D1474="","",IFERROR(INDEX(الأصناف!$C$2:$C$2000,MATCH(D1474,الأصناف!$A$2:$A$2000,0)),0))</f>
        <v/>
      </c>
      <c r="H1474">
        <f>IF(D1474="","",F1474*G1474)</f>
        <v/>
      </c>
      <c r="I1474">
        <f>IF(D1474="","",H1474-F1474*IFERROR(INDEX(الأصناف!$D$2:$D$2000,MATCH(D1474,الأصناف!$A$2:$A$2000,0)),0))</f>
        <v/>
      </c>
      <c r="J1474" s="4" t="n"/>
      <c r="K1474" s="7">
        <f>IF(OR(B1474="",B1474&lt;&gt;الإيصال!$C$3),"",COUNTIF(B$2:B1474,الإيصال!$C$3))</f>
        <v/>
      </c>
    </row>
    <row r="1475">
      <c r="A1475" s="6" t="n"/>
      <c r="B1475" s="4" t="n"/>
      <c r="C1475" s="4" t="n"/>
      <c r="D1475" s="4" t="n"/>
      <c r="E1475">
        <f>IF(D1475="","",IFERROR(INDEX(الأصناف!$B$2:$B$2000,MATCH(D1475,الأصناف!$A$2:$A$2000,0)),"كود غير موجود"))</f>
        <v/>
      </c>
      <c r="F1475" s="4" t="n"/>
      <c r="G1475">
        <f>IF(D1475="","",IFERROR(INDEX(الأصناف!$C$2:$C$2000,MATCH(D1475,الأصناف!$A$2:$A$2000,0)),0))</f>
        <v/>
      </c>
      <c r="H1475">
        <f>IF(D1475="","",F1475*G1475)</f>
        <v/>
      </c>
      <c r="I1475">
        <f>IF(D1475="","",H1475-F1475*IFERROR(INDEX(الأصناف!$D$2:$D$2000,MATCH(D1475,الأصناف!$A$2:$A$2000,0)),0))</f>
        <v/>
      </c>
      <c r="J1475" s="4" t="n"/>
      <c r="K1475" s="7">
        <f>IF(OR(B1475="",B1475&lt;&gt;الإيصال!$C$3),"",COUNTIF(B$2:B1475,الإيصال!$C$3))</f>
        <v/>
      </c>
    </row>
    <row r="1476">
      <c r="A1476" s="6" t="n"/>
      <c r="B1476" s="4" t="n"/>
      <c r="C1476" s="4" t="n"/>
      <c r="D1476" s="4" t="n"/>
      <c r="E1476">
        <f>IF(D1476="","",IFERROR(INDEX(الأصناف!$B$2:$B$2000,MATCH(D1476,الأصناف!$A$2:$A$2000,0)),"كود غير موجود"))</f>
        <v/>
      </c>
      <c r="F1476" s="4" t="n"/>
      <c r="G1476">
        <f>IF(D1476="","",IFERROR(INDEX(الأصناف!$C$2:$C$2000,MATCH(D1476,الأصناف!$A$2:$A$2000,0)),0))</f>
        <v/>
      </c>
      <c r="H1476">
        <f>IF(D1476="","",F1476*G1476)</f>
        <v/>
      </c>
      <c r="I1476">
        <f>IF(D1476="","",H1476-F1476*IFERROR(INDEX(الأصناف!$D$2:$D$2000,MATCH(D1476,الأصناف!$A$2:$A$2000,0)),0))</f>
        <v/>
      </c>
      <c r="J1476" s="4" t="n"/>
      <c r="K1476" s="7">
        <f>IF(OR(B1476="",B1476&lt;&gt;الإيصال!$C$3),"",COUNTIF(B$2:B1476,الإيصال!$C$3))</f>
        <v/>
      </c>
    </row>
    <row r="1477">
      <c r="A1477" s="6" t="n"/>
      <c r="B1477" s="4" t="n"/>
      <c r="C1477" s="4" t="n"/>
      <c r="D1477" s="4" t="n"/>
      <c r="E1477">
        <f>IF(D1477="","",IFERROR(INDEX(الأصناف!$B$2:$B$2000,MATCH(D1477,الأصناف!$A$2:$A$2000,0)),"كود غير موجود"))</f>
        <v/>
      </c>
      <c r="F1477" s="4" t="n"/>
      <c r="G1477">
        <f>IF(D1477="","",IFERROR(INDEX(الأصناف!$C$2:$C$2000,MATCH(D1477,الأصناف!$A$2:$A$2000,0)),0))</f>
        <v/>
      </c>
      <c r="H1477">
        <f>IF(D1477="","",F1477*G1477)</f>
        <v/>
      </c>
      <c r="I1477">
        <f>IF(D1477="","",H1477-F1477*IFERROR(INDEX(الأصناف!$D$2:$D$2000,MATCH(D1477,الأصناف!$A$2:$A$2000,0)),0))</f>
        <v/>
      </c>
      <c r="J1477" s="4" t="n"/>
      <c r="K1477" s="7">
        <f>IF(OR(B1477="",B1477&lt;&gt;الإيصال!$C$3),"",COUNTIF(B$2:B1477,الإيصال!$C$3))</f>
        <v/>
      </c>
    </row>
    <row r="1478">
      <c r="A1478" s="6" t="n"/>
      <c r="B1478" s="4" t="n"/>
      <c r="C1478" s="4" t="n"/>
      <c r="D1478" s="4" t="n"/>
      <c r="E1478">
        <f>IF(D1478="","",IFERROR(INDEX(الأصناف!$B$2:$B$2000,MATCH(D1478,الأصناف!$A$2:$A$2000,0)),"كود غير موجود"))</f>
        <v/>
      </c>
      <c r="F1478" s="4" t="n"/>
      <c r="G1478">
        <f>IF(D1478="","",IFERROR(INDEX(الأصناف!$C$2:$C$2000,MATCH(D1478,الأصناف!$A$2:$A$2000,0)),0))</f>
        <v/>
      </c>
      <c r="H1478">
        <f>IF(D1478="","",F1478*G1478)</f>
        <v/>
      </c>
      <c r="I1478">
        <f>IF(D1478="","",H1478-F1478*IFERROR(INDEX(الأصناف!$D$2:$D$2000,MATCH(D1478,الأصناف!$A$2:$A$2000,0)),0))</f>
        <v/>
      </c>
      <c r="J1478" s="4" t="n"/>
      <c r="K1478" s="7">
        <f>IF(OR(B1478="",B1478&lt;&gt;الإيصال!$C$3),"",COUNTIF(B$2:B1478,الإيصال!$C$3))</f>
        <v/>
      </c>
    </row>
    <row r="1479">
      <c r="A1479" s="6" t="n"/>
      <c r="B1479" s="4" t="n"/>
      <c r="C1479" s="4" t="n"/>
      <c r="D1479" s="4" t="n"/>
      <c r="E1479">
        <f>IF(D1479="","",IFERROR(INDEX(الأصناف!$B$2:$B$2000,MATCH(D1479,الأصناف!$A$2:$A$2000,0)),"كود غير موجود"))</f>
        <v/>
      </c>
      <c r="F1479" s="4" t="n"/>
      <c r="G1479">
        <f>IF(D1479="","",IFERROR(INDEX(الأصناف!$C$2:$C$2000,MATCH(D1479,الأصناف!$A$2:$A$2000,0)),0))</f>
        <v/>
      </c>
      <c r="H1479">
        <f>IF(D1479="","",F1479*G1479)</f>
        <v/>
      </c>
      <c r="I1479">
        <f>IF(D1479="","",H1479-F1479*IFERROR(INDEX(الأصناف!$D$2:$D$2000,MATCH(D1479,الأصناف!$A$2:$A$2000,0)),0))</f>
        <v/>
      </c>
      <c r="J1479" s="4" t="n"/>
      <c r="K1479" s="7">
        <f>IF(OR(B1479="",B1479&lt;&gt;الإيصال!$C$3),"",COUNTIF(B$2:B1479,الإيصال!$C$3))</f>
        <v/>
      </c>
    </row>
    <row r="1480">
      <c r="A1480" s="6" t="n"/>
      <c r="B1480" s="4" t="n"/>
      <c r="C1480" s="4" t="n"/>
      <c r="D1480" s="4" t="n"/>
      <c r="E1480">
        <f>IF(D1480="","",IFERROR(INDEX(الأصناف!$B$2:$B$2000,MATCH(D1480,الأصناف!$A$2:$A$2000,0)),"كود غير موجود"))</f>
        <v/>
      </c>
      <c r="F1480" s="4" t="n"/>
      <c r="G1480">
        <f>IF(D1480="","",IFERROR(INDEX(الأصناف!$C$2:$C$2000,MATCH(D1480,الأصناف!$A$2:$A$2000,0)),0))</f>
        <v/>
      </c>
      <c r="H1480">
        <f>IF(D1480="","",F1480*G1480)</f>
        <v/>
      </c>
      <c r="I1480">
        <f>IF(D1480="","",H1480-F1480*IFERROR(INDEX(الأصناف!$D$2:$D$2000,MATCH(D1480,الأصناف!$A$2:$A$2000,0)),0))</f>
        <v/>
      </c>
      <c r="J1480" s="4" t="n"/>
      <c r="K1480" s="7">
        <f>IF(OR(B1480="",B1480&lt;&gt;الإيصال!$C$3),"",COUNTIF(B$2:B1480,الإيصال!$C$3))</f>
        <v/>
      </c>
    </row>
    <row r="1481">
      <c r="A1481" s="6" t="n"/>
      <c r="B1481" s="4" t="n"/>
      <c r="C1481" s="4" t="n"/>
      <c r="D1481" s="4" t="n"/>
      <c r="E1481">
        <f>IF(D1481="","",IFERROR(INDEX(الأصناف!$B$2:$B$2000,MATCH(D1481,الأصناف!$A$2:$A$2000,0)),"كود غير موجود"))</f>
        <v/>
      </c>
      <c r="F1481" s="4" t="n"/>
      <c r="G1481">
        <f>IF(D1481="","",IFERROR(INDEX(الأصناف!$C$2:$C$2000,MATCH(D1481,الأصناف!$A$2:$A$2000,0)),0))</f>
        <v/>
      </c>
      <c r="H1481">
        <f>IF(D1481="","",F1481*G1481)</f>
        <v/>
      </c>
      <c r="I1481">
        <f>IF(D1481="","",H1481-F1481*IFERROR(INDEX(الأصناف!$D$2:$D$2000,MATCH(D1481,الأصناف!$A$2:$A$2000,0)),0))</f>
        <v/>
      </c>
      <c r="J1481" s="4" t="n"/>
      <c r="K1481" s="7">
        <f>IF(OR(B1481="",B1481&lt;&gt;الإيصال!$C$3),"",COUNTIF(B$2:B1481,الإيصال!$C$3))</f>
        <v/>
      </c>
    </row>
    <row r="1482">
      <c r="A1482" s="6" t="n"/>
      <c r="B1482" s="4" t="n"/>
      <c r="C1482" s="4" t="n"/>
      <c r="D1482" s="4" t="n"/>
      <c r="E1482">
        <f>IF(D1482="","",IFERROR(INDEX(الأصناف!$B$2:$B$2000,MATCH(D1482,الأصناف!$A$2:$A$2000,0)),"كود غير موجود"))</f>
        <v/>
      </c>
      <c r="F1482" s="4" t="n"/>
      <c r="G1482">
        <f>IF(D1482="","",IFERROR(INDEX(الأصناف!$C$2:$C$2000,MATCH(D1482,الأصناف!$A$2:$A$2000,0)),0))</f>
        <v/>
      </c>
      <c r="H1482">
        <f>IF(D1482="","",F1482*G1482)</f>
        <v/>
      </c>
      <c r="I1482">
        <f>IF(D1482="","",H1482-F1482*IFERROR(INDEX(الأصناف!$D$2:$D$2000,MATCH(D1482,الأصناف!$A$2:$A$2000,0)),0))</f>
        <v/>
      </c>
      <c r="J1482" s="4" t="n"/>
      <c r="K1482" s="7">
        <f>IF(OR(B1482="",B1482&lt;&gt;الإيصال!$C$3),"",COUNTIF(B$2:B1482,الإيصال!$C$3))</f>
        <v/>
      </c>
    </row>
    <row r="1483">
      <c r="A1483" s="6" t="n"/>
      <c r="B1483" s="4" t="n"/>
      <c r="C1483" s="4" t="n"/>
      <c r="D1483" s="4" t="n"/>
      <c r="E1483">
        <f>IF(D1483="","",IFERROR(INDEX(الأصناف!$B$2:$B$2000,MATCH(D1483,الأصناف!$A$2:$A$2000,0)),"كود غير موجود"))</f>
        <v/>
      </c>
      <c r="F1483" s="4" t="n"/>
      <c r="G1483">
        <f>IF(D1483="","",IFERROR(INDEX(الأصناف!$C$2:$C$2000,MATCH(D1483,الأصناف!$A$2:$A$2000,0)),0))</f>
        <v/>
      </c>
      <c r="H1483">
        <f>IF(D1483="","",F1483*G1483)</f>
        <v/>
      </c>
      <c r="I1483">
        <f>IF(D1483="","",H1483-F1483*IFERROR(INDEX(الأصناف!$D$2:$D$2000,MATCH(D1483,الأصناف!$A$2:$A$2000,0)),0))</f>
        <v/>
      </c>
      <c r="J1483" s="4" t="n"/>
      <c r="K1483" s="7">
        <f>IF(OR(B1483="",B1483&lt;&gt;الإيصال!$C$3),"",COUNTIF(B$2:B1483,الإيصال!$C$3))</f>
        <v/>
      </c>
    </row>
    <row r="1484">
      <c r="A1484" s="6" t="n"/>
      <c r="B1484" s="4" t="n"/>
      <c r="C1484" s="4" t="n"/>
      <c r="D1484" s="4" t="n"/>
      <c r="E1484">
        <f>IF(D1484="","",IFERROR(INDEX(الأصناف!$B$2:$B$2000,MATCH(D1484,الأصناف!$A$2:$A$2000,0)),"كود غير موجود"))</f>
        <v/>
      </c>
      <c r="F1484" s="4" t="n"/>
      <c r="G1484">
        <f>IF(D1484="","",IFERROR(INDEX(الأصناف!$C$2:$C$2000,MATCH(D1484,الأصناف!$A$2:$A$2000,0)),0))</f>
        <v/>
      </c>
      <c r="H1484">
        <f>IF(D1484="","",F1484*G1484)</f>
        <v/>
      </c>
      <c r="I1484">
        <f>IF(D1484="","",H1484-F1484*IFERROR(INDEX(الأصناف!$D$2:$D$2000,MATCH(D1484,الأصناف!$A$2:$A$2000,0)),0))</f>
        <v/>
      </c>
      <c r="J1484" s="4" t="n"/>
      <c r="K1484" s="7">
        <f>IF(OR(B1484="",B1484&lt;&gt;الإيصال!$C$3),"",COUNTIF(B$2:B1484,الإيصال!$C$3))</f>
        <v/>
      </c>
    </row>
    <row r="1485">
      <c r="A1485" s="6" t="n"/>
      <c r="B1485" s="4" t="n"/>
      <c r="C1485" s="4" t="n"/>
      <c r="D1485" s="4" t="n"/>
      <c r="E1485">
        <f>IF(D1485="","",IFERROR(INDEX(الأصناف!$B$2:$B$2000,MATCH(D1485,الأصناف!$A$2:$A$2000,0)),"كود غير موجود"))</f>
        <v/>
      </c>
      <c r="F1485" s="4" t="n"/>
      <c r="G1485">
        <f>IF(D1485="","",IFERROR(INDEX(الأصناف!$C$2:$C$2000,MATCH(D1485,الأصناف!$A$2:$A$2000,0)),0))</f>
        <v/>
      </c>
      <c r="H1485">
        <f>IF(D1485="","",F1485*G1485)</f>
        <v/>
      </c>
      <c r="I1485">
        <f>IF(D1485="","",H1485-F1485*IFERROR(INDEX(الأصناف!$D$2:$D$2000,MATCH(D1485,الأصناف!$A$2:$A$2000,0)),0))</f>
        <v/>
      </c>
      <c r="J1485" s="4" t="n"/>
      <c r="K1485" s="7">
        <f>IF(OR(B1485="",B1485&lt;&gt;الإيصال!$C$3),"",COUNTIF(B$2:B1485,الإيصال!$C$3))</f>
        <v/>
      </c>
    </row>
    <row r="1486">
      <c r="A1486" s="6" t="n"/>
      <c r="B1486" s="4" t="n"/>
      <c r="C1486" s="4" t="n"/>
      <c r="D1486" s="4" t="n"/>
      <c r="E1486">
        <f>IF(D1486="","",IFERROR(INDEX(الأصناف!$B$2:$B$2000,MATCH(D1486,الأصناف!$A$2:$A$2000,0)),"كود غير موجود"))</f>
        <v/>
      </c>
      <c r="F1486" s="4" t="n"/>
      <c r="G1486">
        <f>IF(D1486="","",IFERROR(INDEX(الأصناف!$C$2:$C$2000,MATCH(D1486,الأصناف!$A$2:$A$2000,0)),0))</f>
        <v/>
      </c>
      <c r="H1486">
        <f>IF(D1486="","",F1486*G1486)</f>
        <v/>
      </c>
      <c r="I1486">
        <f>IF(D1486="","",H1486-F1486*IFERROR(INDEX(الأصناف!$D$2:$D$2000,MATCH(D1486,الأصناف!$A$2:$A$2000,0)),0))</f>
        <v/>
      </c>
      <c r="J1486" s="4" t="n"/>
      <c r="K1486" s="7">
        <f>IF(OR(B1486="",B1486&lt;&gt;الإيصال!$C$3),"",COUNTIF(B$2:B1486,الإيصال!$C$3))</f>
        <v/>
      </c>
    </row>
    <row r="1487">
      <c r="A1487" s="6" t="n"/>
      <c r="B1487" s="4" t="n"/>
      <c r="C1487" s="4" t="n"/>
      <c r="D1487" s="4" t="n"/>
      <c r="E1487">
        <f>IF(D1487="","",IFERROR(INDEX(الأصناف!$B$2:$B$2000,MATCH(D1487,الأصناف!$A$2:$A$2000,0)),"كود غير موجود"))</f>
        <v/>
      </c>
      <c r="F1487" s="4" t="n"/>
      <c r="G1487">
        <f>IF(D1487="","",IFERROR(INDEX(الأصناف!$C$2:$C$2000,MATCH(D1487,الأصناف!$A$2:$A$2000,0)),0))</f>
        <v/>
      </c>
      <c r="H1487">
        <f>IF(D1487="","",F1487*G1487)</f>
        <v/>
      </c>
      <c r="I1487">
        <f>IF(D1487="","",H1487-F1487*IFERROR(INDEX(الأصناف!$D$2:$D$2000,MATCH(D1487,الأصناف!$A$2:$A$2000,0)),0))</f>
        <v/>
      </c>
      <c r="J1487" s="4" t="n"/>
      <c r="K1487" s="7">
        <f>IF(OR(B1487="",B1487&lt;&gt;الإيصال!$C$3),"",COUNTIF(B$2:B1487,الإيصال!$C$3))</f>
        <v/>
      </c>
    </row>
    <row r="1488">
      <c r="A1488" s="6" t="n"/>
      <c r="B1488" s="4" t="n"/>
      <c r="C1488" s="4" t="n"/>
      <c r="D1488" s="4" t="n"/>
      <c r="E1488">
        <f>IF(D1488="","",IFERROR(INDEX(الأصناف!$B$2:$B$2000,MATCH(D1488,الأصناف!$A$2:$A$2000,0)),"كود غير موجود"))</f>
        <v/>
      </c>
      <c r="F1488" s="4" t="n"/>
      <c r="G1488">
        <f>IF(D1488="","",IFERROR(INDEX(الأصناف!$C$2:$C$2000,MATCH(D1488,الأصناف!$A$2:$A$2000,0)),0))</f>
        <v/>
      </c>
      <c r="H1488">
        <f>IF(D1488="","",F1488*G1488)</f>
        <v/>
      </c>
      <c r="I1488">
        <f>IF(D1488="","",H1488-F1488*IFERROR(INDEX(الأصناف!$D$2:$D$2000,MATCH(D1488,الأصناف!$A$2:$A$2000,0)),0))</f>
        <v/>
      </c>
      <c r="J1488" s="4" t="n"/>
      <c r="K1488" s="7">
        <f>IF(OR(B1488="",B1488&lt;&gt;الإيصال!$C$3),"",COUNTIF(B$2:B1488,الإيصال!$C$3))</f>
        <v/>
      </c>
    </row>
    <row r="1489">
      <c r="A1489" s="6" t="n"/>
      <c r="B1489" s="4" t="n"/>
      <c r="C1489" s="4" t="n"/>
      <c r="D1489" s="4" t="n"/>
      <c r="E1489">
        <f>IF(D1489="","",IFERROR(INDEX(الأصناف!$B$2:$B$2000,MATCH(D1489,الأصناف!$A$2:$A$2000,0)),"كود غير موجود"))</f>
        <v/>
      </c>
      <c r="F1489" s="4" t="n"/>
      <c r="G1489">
        <f>IF(D1489="","",IFERROR(INDEX(الأصناف!$C$2:$C$2000,MATCH(D1489,الأصناف!$A$2:$A$2000,0)),0))</f>
        <v/>
      </c>
      <c r="H1489">
        <f>IF(D1489="","",F1489*G1489)</f>
        <v/>
      </c>
      <c r="I1489">
        <f>IF(D1489="","",H1489-F1489*IFERROR(INDEX(الأصناف!$D$2:$D$2000,MATCH(D1489,الأصناف!$A$2:$A$2000,0)),0))</f>
        <v/>
      </c>
      <c r="J1489" s="4" t="n"/>
      <c r="K1489" s="7">
        <f>IF(OR(B1489="",B1489&lt;&gt;الإيصال!$C$3),"",COUNTIF(B$2:B1489,الإيصال!$C$3))</f>
        <v/>
      </c>
    </row>
    <row r="1490">
      <c r="A1490" s="6" t="n"/>
      <c r="B1490" s="4" t="n"/>
      <c r="C1490" s="4" t="n"/>
      <c r="D1490" s="4" t="n"/>
      <c r="E1490">
        <f>IF(D1490="","",IFERROR(INDEX(الأصناف!$B$2:$B$2000,MATCH(D1490,الأصناف!$A$2:$A$2000,0)),"كود غير موجود"))</f>
        <v/>
      </c>
      <c r="F1490" s="4" t="n"/>
      <c r="G1490">
        <f>IF(D1490="","",IFERROR(INDEX(الأصناف!$C$2:$C$2000,MATCH(D1490,الأصناف!$A$2:$A$2000,0)),0))</f>
        <v/>
      </c>
      <c r="H1490">
        <f>IF(D1490="","",F1490*G1490)</f>
        <v/>
      </c>
      <c r="I1490">
        <f>IF(D1490="","",H1490-F1490*IFERROR(INDEX(الأصناف!$D$2:$D$2000,MATCH(D1490,الأصناف!$A$2:$A$2000,0)),0))</f>
        <v/>
      </c>
      <c r="J1490" s="4" t="n"/>
      <c r="K1490" s="7">
        <f>IF(OR(B1490="",B1490&lt;&gt;الإيصال!$C$3),"",COUNTIF(B$2:B1490,الإيصال!$C$3))</f>
        <v/>
      </c>
    </row>
    <row r="1491">
      <c r="A1491" s="6" t="n"/>
      <c r="B1491" s="4" t="n"/>
      <c r="C1491" s="4" t="n"/>
      <c r="D1491" s="4" t="n"/>
      <c r="E1491">
        <f>IF(D1491="","",IFERROR(INDEX(الأصناف!$B$2:$B$2000,MATCH(D1491,الأصناف!$A$2:$A$2000,0)),"كود غير موجود"))</f>
        <v/>
      </c>
      <c r="F1491" s="4" t="n"/>
      <c r="G1491">
        <f>IF(D1491="","",IFERROR(INDEX(الأصناف!$C$2:$C$2000,MATCH(D1491,الأصناف!$A$2:$A$2000,0)),0))</f>
        <v/>
      </c>
      <c r="H1491">
        <f>IF(D1491="","",F1491*G1491)</f>
        <v/>
      </c>
      <c r="I1491">
        <f>IF(D1491="","",H1491-F1491*IFERROR(INDEX(الأصناف!$D$2:$D$2000,MATCH(D1491,الأصناف!$A$2:$A$2000,0)),0))</f>
        <v/>
      </c>
      <c r="J1491" s="4" t="n"/>
      <c r="K1491" s="7">
        <f>IF(OR(B1491="",B1491&lt;&gt;الإيصال!$C$3),"",COUNTIF(B$2:B1491,الإيصال!$C$3))</f>
        <v/>
      </c>
    </row>
    <row r="1492">
      <c r="A1492" s="6" t="n"/>
      <c r="B1492" s="4" t="n"/>
      <c r="C1492" s="4" t="n"/>
      <c r="D1492" s="4" t="n"/>
      <c r="E1492">
        <f>IF(D1492="","",IFERROR(INDEX(الأصناف!$B$2:$B$2000,MATCH(D1492,الأصناف!$A$2:$A$2000,0)),"كود غير موجود"))</f>
        <v/>
      </c>
      <c r="F1492" s="4" t="n"/>
      <c r="G1492">
        <f>IF(D1492="","",IFERROR(INDEX(الأصناف!$C$2:$C$2000,MATCH(D1492,الأصناف!$A$2:$A$2000,0)),0))</f>
        <v/>
      </c>
      <c r="H1492">
        <f>IF(D1492="","",F1492*G1492)</f>
        <v/>
      </c>
      <c r="I1492">
        <f>IF(D1492="","",H1492-F1492*IFERROR(INDEX(الأصناف!$D$2:$D$2000,MATCH(D1492,الأصناف!$A$2:$A$2000,0)),0))</f>
        <v/>
      </c>
      <c r="J1492" s="4" t="n"/>
      <c r="K1492" s="7">
        <f>IF(OR(B1492="",B1492&lt;&gt;الإيصال!$C$3),"",COUNTIF(B$2:B1492,الإيصال!$C$3))</f>
        <v/>
      </c>
    </row>
    <row r="1493">
      <c r="A1493" s="6" t="n"/>
      <c r="B1493" s="4" t="n"/>
      <c r="C1493" s="4" t="n"/>
      <c r="D1493" s="4" t="n"/>
      <c r="E1493">
        <f>IF(D1493="","",IFERROR(INDEX(الأصناف!$B$2:$B$2000,MATCH(D1493,الأصناف!$A$2:$A$2000,0)),"كود غير موجود"))</f>
        <v/>
      </c>
      <c r="F1493" s="4" t="n"/>
      <c r="G1493">
        <f>IF(D1493="","",IFERROR(INDEX(الأصناف!$C$2:$C$2000,MATCH(D1493,الأصناف!$A$2:$A$2000,0)),0))</f>
        <v/>
      </c>
      <c r="H1493">
        <f>IF(D1493="","",F1493*G1493)</f>
        <v/>
      </c>
      <c r="I1493">
        <f>IF(D1493="","",H1493-F1493*IFERROR(INDEX(الأصناف!$D$2:$D$2000,MATCH(D1493,الأصناف!$A$2:$A$2000,0)),0))</f>
        <v/>
      </c>
      <c r="J1493" s="4" t="n"/>
      <c r="K1493" s="7">
        <f>IF(OR(B1493="",B1493&lt;&gt;الإيصال!$C$3),"",COUNTIF(B$2:B1493,الإيصال!$C$3))</f>
        <v/>
      </c>
    </row>
    <row r="1494">
      <c r="A1494" s="6" t="n"/>
      <c r="B1494" s="4" t="n"/>
      <c r="C1494" s="4" t="n"/>
      <c r="D1494" s="4" t="n"/>
      <c r="E1494">
        <f>IF(D1494="","",IFERROR(INDEX(الأصناف!$B$2:$B$2000,MATCH(D1494,الأصناف!$A$2:$A$2000,0)),"كود غير موجود"))</f>
        <v/>
      </c>
      <c r="F1494" s="4" t="n"/>
      <c r="G1494">
        <f>IF(D1494="","",IFERROR(INDEX(الأصناف!$C$2:$C$2000,MATCH(D1494,الأصناف!$A$2:$A$2000,0)),0))</f>
        <v/>
      </c>
      <c r="H1494">
        <f>IF(D1494="","",F1494*G1494)</f>
        <v/>
      </c>
      <c r="I1494">
        <f>IF(D1494="","",H1494-F1494*IFERROR(INDEX(الأصناف!$D$2:$D$2000,MATCH(D1494,الأصناف!$A$2:$A$2000,0)),0))</f>
        <v/>
      </c>
      <c r="J1494" s="4" t="n"/>
      <c r="K1494" s="7">
        <f>IF(OR(B1494="",B1494&lt;&gt;الإيصال!$C$3),"",COUNTIF(B$2:B1494,الإيصال!$C$3))</f>
        <v/>
      </c>
    </row>
    <row r="1495">
      <c r="A1495" s="6" t="n"/>
      <c r="B1495" s="4" t="n"/>
      <c r="C1495" s="4" t="n"/>
      <c r="D1495" s="4" t="n"/>
      <c r="E1495">
        <f>IF(D1495="","",IFERROR(INDEX(الأصناف!$B$2:$B$2000,MATCH(D1495,الأصناف!$A$2:$A$2000,0)),"كود غير موجود"))</f>
        <v/>
      </c>
      <c r="F1495" s="4" t="n"/>
      <c r="G1495">
        <f>IF(D1495="","",IFERROR(INDEX(الأصناف!$C$2:$C$2000,MATCH(D1495,الأصناف!$A$2:$A$2000,0)),0))</f>
        <v/>
      </c>
      <c r="H1495">
        <f>IF(D1495="","",F1495*G1495)</f>
        <v/>
      </c>
      <c r="I1495">
        <f>IF(D1495="","",H1495-F1495*IFERROR(INDEX(الأصناف!$D$2:$D$2000,MATCH(D1495,الأصناف!$A$2:$A$2000,0)),0))</f>
        <v/>
      </c>
      <c r="J1495" s="4" t="n"/>
      <c r="K1495" s="7">
        <f>IF(OR(B1495="",B1495&lt;&gt;الإيصال!$C$3),"",COUNTIF(B$2:B1495,الإيصال!$C$3))</f>
        <v/>
      </c>
    </row>
    <row r="1496">
      <c r="A1496" s="6" t="n"/>
      <c r="B1496" s="4" t="n"/>
      <c r="C1496" s="4" t="n"/>
      <c r="D1496" s="4" t="n"/>
      <c r="E1496">
        <f>IF(D1496="","",IFERROR(INDEX(الأصناف!$B$2:$B$2000,MATCH(D1496,الأصناف!$A$2:$A$2000,0)),"كود غير موجود"))</f>
        <v/>
      </c>
      <c r="F1496" s="4" t="n"/>
      <c r="G1496">
        <f>IF(D1496="","",IFERROR(INDEX(الأصناف!$C$2:$C$2000,MATCH(D1496,الأصناف!$A$2:$A$2000,0)),0))</f>
        <v/>
      </c>
      <c r="H1496">
        <f>IF(D1496="","",F1496*G1496)</f>
        <v/>
      </c>
      <c r="I1496">
        <f>IF(D1496="","",H1496-F1496*IFERROR(INDEX(الأصناف!$D$2:$D$2000,MATCH(D1496,الأصناف!$A$2:$A$2000,0)),0))</f>
        <v/>
      </c>
      <c r="J1496" s="4" t="n"/>
      <c r="K1496" s="7">
        <f>IF(OR(B1496="",B1496&lt;&gt;الإيصال!$C$3),"",COUNTIF(B$2:B1496,الإيصال!$C$3))</f>
        <v/>
      </c>
    </row>
    <row r="1497">
      <c r="A1497" s="6" t="n"/>
      <c r="B1497" s="4" t="n"/>
      <c r="C1497" s="4" t="n"/>
      <c r="D1497" s="4" t="n"/>
      <c r="E1497">
        <f>IF(D1497="","",IFERROR(INDEX(الأصناف!$B$2:$B$2000,MATCH(D1497,الأصناف!$A$2:$A$2000,0)),"كود غير موجود"))</f>
        <v/>
      </c>
      <c r="F1497" s="4" t="n"/>
      <c r="G1497">
        <f>IF(D1497="","",IFERROR(INDEX(الأصناف!$C$2:$C$2000,MATCH(D1497,الأصناف!$A$2:$A$2000,0)),0))</f>
        <v/>
      </c>
      <c r="H1497">
        <f>IF(D1497="","",F1497*G1497)</f>
        <v/>
      </c>
      <c r="I1497">
        <f>IF(D1497="","",H1497-F1497*IFERROR(INDEX(الأصناف!$D$2:$D$2000,MATCH(D1497,الأصناف!$A$2:$A$2000,0)),0))</f>
        <v/>
      </c>
      <c r="J1497" s="4" t="n"/>
      <c r="K1497" s="7">
        <f>IF(OR(B1497="",B1497&lt;&gt;الإيصال!$C$3),"",COUNTIF(B$2:B1497,الإيصال!$C$3))</f>
        <v/>
      </c>
    </row>
    <row r="1498">
      <c r="A1498" s="6" t="n"/>
      <c r="B1498" s="4" t="n"/>
      <c r="C1498" s="4" t="n"/>
      <c r="D1498" s="4" t="n"/>
      <c r="E1498">
        <f>IF(D1498="","",IFERROR(INDEX(الأصناف!$B$2:$B$2000,MATCH(D1498,الأصناف!$A$2:$A$2000,0)),"كود غير موجود"))</f>
        <v/>
      </c>
      <c r="F1498" s="4" t="n"/>
      <c r="G1498">
        <f>IF(D1498="","",IFERROR(INDEX(الأصناف!$C$2:$C$2000,MATCH(D1498,الأصناف!$A$2:$A$2000,0)),0))</f>
        <v/>
      </c>
      <c r="H1498">
        <f>IF(D1498="","",F1498*G1498)</f>
        <v/>
      </c>
      <c r="I1498">
        <f>IF(D1498="","",H1498-F1498*IFERROR(INDEX(الأصناف!$D$2:$D$2000,MATCH(D1498,الأصناف!$A$2:$A$2000,0)),0))</f>
        <v/>
      </c>
      <c r="J1498" s="4" t="n"/>
      <c r="K1498" s="7">
        <f>IF(OR(B1498="",B1498&lt;&gt;الإيصال!$C$3),"",COUNTIF(B$2:B1498,الإيصال!$C$3))</f>
        <v/>
      </c>
    </row>
    <row r="1499">
      <c r="A1499" s="6" t="n"/>
      <c r="B1499" s="4" t="n"/>
      <c r="C1499" s="4" t="n"/>
      <c r="D1499" s="4" t="n"/>
      <c r="E1499">
        <f>IF(D1499="","",IFERROR(INDEX(الأصناف!$B$2:$B$2000,MATCH(D1499,الأصناف!$A$2:$A$2000,0)),"كود غير موجود"))</f>
        <v/>
      </c>
      <c r="F1499" s="4" t="n"/>
      <c r="G1499">
        <f>IF(D1499="","",IFERROR(INDEX(الأصناف!$C$2:$C$2000,MATCH(D1499,الأصناف!$A$2:$A$2000,0)),0))</f>
        <v/>
      </c>
      <c r="H1499">
        <f>IF(D1499="","",F1499*G1499)</f>
        <v/>
      </c>
      <c r="I1499">
        <f>IF(D1499="","",H1499-F1499*IFERROR(INDEX(الأصناف!$D$2:$D$2000,MATCH(D1499,الأصناف!$A$2:$A$2000,0)),0))</f>
        <v/>
      </c>
      <c r="J1499" s="4" t="n"/>
      <c r="K1499" s="7">
        <f>IF(OR(B1499="",B1499&lt;&gt;الإيصال!$C$3),"",COUNTIF(B$2:B1499,الإيصال!$C$3))</f>
        <v/>
      </c>
    </row>
    <row r="1500">
      <c r="A1500" s="6" t="n"/>
      <c r="B1500" s="4" t="n"/>
      <c r="C1500" s="4" t="n"/>
      <c r="D1500" s="4" t="n"/>
      <c r="E1500">
        <f>IF(D1500="","",IFERROR(INDEX(الأصناف!$B$2:$B$2000,MATCH(D1500,الأصناف!$A$2:$A$2000,0)),"كود غير موجود"))</f>
        <v/>
      </c>
      <c r="F1500" s="4" t="n"/>
      <c r="G1500">
        <f>IF(D1500="","",IFERROR(INDEX(الأصناف!$C$2:$C$2000,MATCH(D1500,الأصناف!$A$2:$A$2000,0)),0))</f>
        <v/>
      </c>
      <c r="H1500">
        <f>IF(D1500="","",F1500*G1500)</f>
        <v/>
      </c>
      <c r="I1500">
        <f>IF(D1500="","",H1500-F1500*IFERROR(INDEX(الأصناف!$D$2:$D$2000,MATCH(D1500,الأصناف!$A$2:$A$2000,0)),0))</f>
        <v/>
      </c>
      <c r="J1500" s="4" t="n"/>
      <c r="K1500" s="7">
        <f>IF(OR(B1500="",B1500&lt;&gt;الإيصال!$C$3),"",COUNTIF(B$2:B1500,الإيصال!$C$3))</f>
        <v/>
      </c>
    </row>
    <row r="1501">
      <c r="A1501" s="6" t="n"/>
      <c r="B1501" s="4" t="n"/>
      <c r="C1501" s="4" t="n"/>
      <c r="D1501" s="4" t="n"/>
      <c r="E1501">
        <f>IF(D1501="","",IFERROR(INDEX(الأصناف!$B$2:$B$2000,MATCH(D1501,الأصناف!$A$2:$A$2000,0)),"كود غير موجود"))</f>
        <v/>
      </c>
      <c r="F1501" s="4" t="n"/>
      <c r="G1501">
        <f>IF(D1501="","",IFERROR(INDEX(الأصناف!$C$2:$C$2000,MATCH(D1501,الأصناف!$A$2:$A$2000,0)),0))</f>
        <v/>
      </c>
      <c r="H1501">
        <f>IF(D1501="","",F1501*G1501)</f>
        <v/>
      </c>
      <c r="I1501">
        <f>IF(D1501="","",H1501-F1501*IFERROR(INDEX(الأصناف!$D$2:$D$2000,MATCH(D1501,الأصناف!$A$2:$A$2000,0)),0))</f>
        <v/>
      </c>
      <c r="J1501" s="4" t="n"/>
      <c r="K1501" s="7">
        <f>IF(OR(B1501="",B1501&lt;&gt;الإيصال!$C$3),"",COUNTIF(B$2:B1501,الإيصال!$C$3))</f>
        <v/>
      </c>
    </row>
    <row r="1502">
      <c r="A1502" s="6" t="n"/>
      <c r="B1502" s="4" t="n"/>
      <c r="C1502" s="4" t="n"/>
      <c r="D1502" s="4" t="n"/>
      <c r="E1502">
        <f>IF(D1502="","",IFERROR(INDEX(الأصناف!$B$2:$B$2000,MATCH(D1502,الأصناف!$A$2:$A$2000,0)),"كود غير موجود"))</f>
        <v/>
      </c>
      <c r="F1502" s="4" t="n"/>
      <c r="G1502">
        <f>IF(D1502="","",IFERROR(INDEX(الأصناف!$C$2:$C$2000,MATCH(D1502,الأصناف!$A$2:$A$2000,0)),0))</f>
        <v/>
      </c>
      <c r="H1502">
        <f>IF(D1502="","",F1502*G1502)</f>
        <v/>
      </c>
      <c r="I1502">
        <f>IF(D1502="","",H1502-F1502*IFERROR(INDEX(الأصناف!$D$2:$D$2000,MATCH(D1502,الأصناف!$A$2:$A$2000,0)),0))</f>
        <v/>
      </c>
      <c r="J1502" s="4" t="n"/>
      <c r="K1502" s="7">
        <f>IF(OR(B1502="",B1502&lt;&gt;الإيصال!$C$3),"",COUNTIF(B$2:B1502,الإيصال!$C$3))</f>
        <v/>
      </c>
    </row>
    <row r="1503">
      <c r="A1503" s="6" t="n"/>
      <c r="B1503" s="4" t="n"/>
      <c r="C1503" s="4" t="n"/>
      <c r="D1503" s="4" t="n"/>
      <c r="E1503">
        <f>IF(D1503="","",IFERROR(INDEX(الأصناف!$B$2:$B$2000,MATCH(D1503,الأصناف!$A$2:$A$2000,0)),"كود غير موجود"))</f>
        <v/>
      </c>
      <c r="F1503" s="4" t="n"/>
      <c r="G1503">
        <f>IF(D1503="","",IFERROR(INDEX(الأصناف!$C$2:$C$2000,MATCH(D1503,الأصناف!$A$2:$A$2000,0)),0))</f>
        <v/>
      </c>
      <c r="H1503">
        <f>IF(D1503="","",F1503*G1503)</f>
        <v/>
      </c>
      <c r="I1503">
        <f>IF(D1503="","",H1503-F1503*IFERROR(INDEX(الأصناف!$D$2:$D$2000,MATCH(D1503,الأصناف!$A$2:$A$2000,0)),0))</f>
        <v/>
      </c>
      <c r="J1503" s="4" t="n"/>
      <c r="K1503" s="7">
        <f>IF(OR(B1503="",B1503&lt;&gt;الإيصال!$C$3),"",COUNTIF(B$2:B1503,الإيصال!$C$3))</f>
        <v/>
      </c>
    </row>
    <row r="1504">
      <c r="A1504" s="6" t="n"/>
      <c r="B1504" s="4" t="n"/>
      <c r="C1504" s="4" t="n"/>
      <c r="D1504" s="4" t="n"/>
      <c r="E1504">
        <f>IF(D1504="","",IFERROR(INDEX(الأصناف!$B$2:$B$2000,MATCH(D1504,الأصناف!$A$2:$A$2000,0)),"كود غير موجود"))</f>
        <v/>
      </c>
      <c r="F1504" s="4" t="n"/>
      <c r="G1504">
        <f>IF(D1504="","",IFERROR(INDEX(الأصناف!$C$2:$C$2000,MATCH(D1504,الأصناف!$A$2:$A$2000,0)),0))</f>
        <v/>
      </c>
      <c r="H1504">
        <f>IF(D1504="","",F1504*G1504)</f>
        <v/>
      </c>
      <c r="I1504">
        <f>IF(D1504="","",H1504-F1504*IFERROR(INDEX(الأصناف!$D$2:$D$2000,MATCH(D1504,الأصناف!$A$2:$A$2000,0)),0))</f>
        <v/>
      </c>
      <c r="J1504" s="4" t="n"/>
      <c r="K1504" s="7">
        <f>IF(OR(B1504="",B1504&lt;&gt;الإيصال!$C$3),"",COUNTIF(B$2:B1504,الإيصال!$C$3))</f>
        <v/>
      </c>
    </row>
    <row r="1505">
      <c r="A1505" s="6" t="n"/>
      <c r="B1505" s="4" t="n"/>
      <c r="C1505" s="4" t="n"/>
      <c r="D1505" s="4" t="n"/>
      <c r="E1505">
        <f>IF(D1505="","",IFERROR(INDEX(الأصناف!$B$2:$B$2000,MATCH(D1505,الأصناف!$A$2:$A$2000,0)),"كود غير موجود"))</f>
        <v/>
      </c>
      <c r="F1505" s="4" t="n"/>
      <c r="G1505">
        <f>IF(D1505="","",IFERROR(INDEX(الأصناف!$C$2:$C$2000,MATCH(D1505,الأصناف!$A$2:$A$2000,0)),0))</f>
        <v/>
      </c>
      <c r="H1505">
        <f>IF(D1505="","",F1505*G1505)</f>
        <v/>
      </c>
      <c r="I1505">
        <f>IF(D1505="","",H1505-F1505*IFERROR(INDEX(الأصناف!$D$2:$D$2000,MATCH(D1505,الأصناف!$A$2:$A$2000,0)),0))</f>
        <v/>
      </c>
      <c r="J1505" s="4" t="n"/>
      <c r="K1505" s="7">
        <f>IF(OR(B1505="",B1505&lt;&gt;الإيصال!$C$3),"",COUNTIF(B$2:B1505,الإيصال!$C$3))</f>
        <v/>
      </c>
    </row>
    <row r="1506">
      <c r="A1506" s="6" t="n"/>
      <c r="B1506" s="4" t="n"/>
      <c r="C1506" s="4" t="n"/>
      <c r="D1506" s="4" t="n"/>
      <c r="E1506">
        <f>IF(D1506="","",IFERROR(INDEX(الأصناف!$B$2:$B$2000,MATCH(D1506,الأصناف!$A$2:$A$2000,0)),"كود غير موجود"))</f>
        <v/>
      </c>
      <c r="F1506" s="4" t="n"/>
      <c r="G1506">
        <f>IF(D1506="","",IFERROR(INDEX(الأصناف!$C$2:$C$2000,MATCH(D1506,الأصناف!$A$2:$A$2000,0)),0))</f>
        <v/>
      </c>
      <c r="H1506">
        <f>IF(D1506="","",F1506*G1506)</f>
        <v/>
      </c>
      <c r="I1506">
        <f>IF(D1506="","",H1506-F1506*IFERROR(INDEX(الأصناف!$D$2:$D$2000,MATCH(D1506,الأصناف!$A$2:$A$2000,0)),0))</f>
        <v/>
      </c>
      <c r="J1506" s="4" t="n"/>
      <c r="K1506" s="7">
        <f>IF(OR(B1506="",B1506&lt;&gt;الإيصال!$C$3),"",COUNTIF(B$2:B1506,الإيصال!$C$3))</f>
        <v/>
      </c>
    </row>
    <row r="1507">
      <c r="A1507" s="6" t="n"/>
      <c r="B1507" s="4" t="n"/>
      <c r="C1507" s="4" t="n"/>
      <c r="D1507" s="4" t="n"/>
      <c r="E1507">
        <f>IF(D1507="","",IFERROR(INDEX(الأصناف!$B$2:$B$2000,MATCH(D1507,الأصناف!$A$2:$A$2000,0)),"كود غير موجود"))</f>
        <v/>
      </c>
      <c r="F1507" s="4" t="n"/>
      <c r="G1507">
        <f>IF(D1507="","",IFERROR(INDEX(الأصناف!$C$2:$C$2000,MATCH(D1507,الأصناف!$A$2:$A$2000,0)),0))</f>
        <v/>
      </c>
      <c r="H1507">
        <f>IF(D1507="","",F1507*G1507)</f>
        <v/>
      </c>
      <c r="I1507">
        <f>IF(D1507="","",H1507-F1507*IFERROR(INDEX(الأصناف!$D$2:$D$2000,MATCH(D1507,الأصناف!$A$2:$A$2000,0)),0))</f>
        <v/>
      </c>
      <c r="J1507" s="4" t="n"/>
      <c r="K1507" s="7">
        <f>IF(OR(B1507="",B1507&lt;&gt;الإيصال!$C$3),"",COUNTIF(B$2:B1507,الإيصال!$C$3))</f>
        <v/>
      </c>
    </row>
    <row r="1508">
      <c r="A1508" s="6" t="n"/>
      <c r="B1508" s="4" t="n"/>
      <c r="C1508" s="4" t="n"/>
      <c r="D1508" s="4" t="n"/>
      <c r="E1508">
        <f>IF(D1508="","",IFERROR(INDEX(الأصناف!$B$2:$B$2000,MATCH(D1508,الأصناف!$A$2:$A$2000,0)),"كود غير موجود"))</f>
        <v/>
      </c>
      <c r="F1508" s="4" t="n"/>
      <c r="G1508">
        <f>IF(D1508="","",IFERROR(INDEX(الأصناف!$C$2:$C$2000,MATCH(D1508,الأصناف!$A$2:$A$2000,0)),0))</f>
        <v/>
      </c>
      <c r="H1508">
        <f>IF(D1508="","",F1508*G1508)</f>
        <v/>
      </c>
      <c r="I1508">
        <f>IF(D1508="","",H1508-F1508*IFERROR(INDEX(الأصناف!$D$2:$D$2000,MATCH(D1508,الأصناف!$A$2:$A$2000,0)),0))</f>
        <v/>
      </c>
      <c r="J1508" s="4" t="n"/>
      <c r="K1508" s="7">
        <f>IF(OR(B1508="",B1508&lt;&gt;الإيصال!$C$3),"",COUNTIF(B$2:B1508,الإيصال!$C$3))</f>
        <v/>
      </c>
    </row>
    <row r="1509">
      <c r="A1509" s="6" t="n"/>
      <c r="B1509" s="4" t="n"/>
      <c r="C1509" s="4" t="n"/>
      <c r="D1509" s="4" t="n"/>
      <c r="E1509">
        <f>IF(D1509="","",IFERROR(INDEX(الأصناف!$B$2:$B$2000,MATCH(D1509,الأصناف!$A$2:$A$2000,0)),"كود غير موجود"))</f>
        <v/>
      </c>
      <c r="F1509" s="4" t="n"/>
      <c r="G1509">
        <f>IF(D1509="","",IFERROR(INDEX(الأصناف!$C$2:$C$2000,MATCH(D1509,الأصناف!$A$2:$A$2000,0)),0))</f>
        <v/>
      </c>
      <c r="H1509">
        <f>IF(D1509="","",F1509*G1509)</f>
        <v/>
      </c>
      <c r="I1509">
        <f>IF(D1509="","",H1509-F1509*IFERROR(INDEX(الأصناف!$D$2:$D$2000,MATCH(D1509,الأصناف!$A$2:$A$2000,0)),0))</f>
        <v/>
      </c>
      <c r="J1509" s="4" t="n"/>
      <c r="K1509" s="7">
        <f>IF(OR(B1509="",B1509&lt;&gt;الإيصال!$C$3),"",COUNTIF(B$2:B1509,الإيصال!$C$3))</f>
        <v/>
      </c>
    </row>
    <row r="1510">
      <c r="A1510" s="6" t="n"/>
      <c r="B1510" s="4" t="n"/>
      <c r="C1510" s="4" t="n"/>
      <c r="D1510" s="4" t="n"/>
      <c r="E1510">
        <f>IF(D1510="","",IFERROR(INDEX(الأصناف!$B$2:$B$2000,MATCH(D1510,الأصناف!$A$2:$A$2000,0)),"كود غير موجود"))</f>
        <v/>
      </c>
      <c r="F1510" s="4" t="n"/>
      <c r="G1510">
        <f>IF(D1510="","",IFERROR(INDEX(الأصناف!$C$2:$C$2000,MATCH(D1510,الأصناف!$A$2:$A$2000,0)),0))</f>
        <v/>
      </c>
      <c r="H1510">
        <f>IF(D1510="","",F1510*G1510)</f>
        <v/>
      </c>
      <c r="I1510">
        <f>IF(D1510="","",H1510-F1510*IFERROR(INDEX(الأصناف!$D$2:$D$2000,MATCH(D1510,الأصناف!$A$2:$A$2000,0)),0))</f>
        <v/>
      </c>
      <c r="J1510" s="4" t="n"/>
      <c r="K1510" s="7">
        <f>IF(OR(B1510="",B1510&lt;&gt;الإيصال!$C$3),"",COUNTIF(B$2:B1510,الإيصال!$C$3))</f>
        <v/>
      </c>
    </row>
    <row r="1511">
      <c r="A1511" s="6" t="n"/>
      <c r="B1511" s="4" t="n"/>
      <c r="C1511" s="4" t="n"/>
      <c r="D1511" s="4" t="n"/>
      <c r="E1511">
        <f>IF(D1511="","",IFERROR(INDEX(الأصناف!$B$2:$B$2000,MATCH(D1511,الأصناف!$A$2:$A$2000,0)),"كود غير موجود"))</f>
        <v/>
      </c>
      <c r="F1511" s="4" t="n"/>
      <c r="G1511">
        <f>IF(D1511="","",IFERROR(INDEX(الأصناف!$C$2:$C$2000,MATCH(D1511,الأصناف!$A$2:$A$2000,0)),0))</f>
        <v/>
      </c>
      <c r="H1511">
        <f>IF(D1511="","",F1511*G1511)</f>
        <v/>
      </c>
      <c r="I1511">
        <f>IF(D1511="","",H1511-F1511*IFERROR(INDEX(الأصناف!$D$2:$D$2000,MATCH(D1511,الأصناف!$A$2:$A$2000,0)),0))</f>
        <v/>
      </c>
      <c r="J1511" s="4" t="n"/>
      <c r="K1511" s="7">
        <f>IF(OR(B1511="",B1511&lt;&gt;الإيصال!$C$3),"",COUNTIF(B$2:B1511,الإيصال!$C$3))</f>
        <v/>
      </c>
    </row>
    <row r="1512">
      <c r="A1512" s="6" t="n"/>
      <c r="B1512" s="4" t="n"/>
      <c r="C1512" s="4" t="n"/>
      <c r="D1512" s="4" t="n"/>
      <c r="E1512">
        <f>IF(D1512="","",IFERROR(INDEX(الأصناف!$B$2:$B$2000,MATCH(D1512,الأصناف!$A$2:$A$2000,0)),"كود غير موجود"))</f>
        <v/>
      </c>
      <c r="F1512" s="4" t="n"/>
      <c r="G1512">
        <f>IF(D1512="","",IFERROR(INDEX(الأصناف!$C$2:$C$2000,MATCH(D1512,الأصناف!$A$2:$A$2000,0)),0))</f>
        <v/>
      </c>
      <c r="H1512">
        <f>IF(D1512="","",F1512*G1512)</f>
        <v/>
      </c>
      <c r="I1512">
        <f>IF(D1512="","",H1512-F1512*IFERROR(INDEX(الأصناف!$D$2:$D$2000,MATCH(D1512,الأصناف!$A$2:$A$2000,0)),0))</f>
        <v/>
      </c>
      <c r="J1512" s="4" t="n"/>
      <c r="K1512" s="7">
        <f>IF(OR(B1512="",B1512&lt;&gt;الإيصال!$C$3),"",COUNTIF(B$2:B1512,الإيصال!$C$3))</f>
        <v/>
      </c>
    </row>
    <row r="1513">
      <c r="A1513" s="6" t="n"/>
      <c r="B1513" s="4" t="n"/>
      <c r="C1513" s="4" t="n"/>
      <c r="D1513" s="4" t="n"/>
      <c r="E1513">
        <f>IF(D1513="","",IFERROR(INDEX(الأصناف!$B$2:$B$2000,MATCH(D1513,الأصناف!$A$2:$A$2000,0)),"كود غير موجود"))</f>
        <v/>
      </c>
      <c r="F1513" s="4" t="n"/>
      <c r="G1513">
        <f>IF(D1513="","",IFERROR(INDEX(الأصناف!$C$2:$C$2000,MATCH(D1513,الأصناف!$A$2:$A$2000,0)),0))</f>
        <v/>
      </c>
      <c r="H1513">
        <f>IF(D1513="","",F1513*G1513)</f>
        <v/>
      </c>
      <c r="I1513">
        <f>IF(D1513="","",H1513-F1513*IFERROR(INDEX(الأصناف!$D$2:$D$2000,MATCH(D1513,الأصناف!$A$2:$A$2000,0)),0))</f>
        <v/>
      </c>
      <c r="J1513" s="4" t="n"/>
      <c r="K1513" s="7">
        <f>IF(OR(B1513="",B1513&lt;&gt;الإيصال!$C$3),"",COUNTIF(B$2:B1513,الإيصال!$C$3))</f>
        <v/>
      </c>
    </row>
    <row r="1514">
      <c r="A1514" s="6" t="n"/>
      <c r="B1514" s="4" t="n"/>
      <c r="C1514" s="4" t="n"/>
      <c r="D1514" s="4" t="n"/>
      <c r="E1514">
        <f>IF(D1514="","",IFERROR(INDEX(الأصناف!$B$2:$B$2000,MATCH(D1514,الأصناف!$A$2:$A$2000,0)),"كود غير موجود"))</f>
        <v/>
      </c>
      <c r="F1514" s="4" t="n"/>
      <c r="G1514">
        <f>IF(D1514="","",IFERROR(INDEX(الأصناف!$C$2:$C$2000,MATCH(D1514,الأصناف!$A$2:$A$2000,0)),0))</f>
        <v/>
      </c>
      <c r="H1514">
        <f>IF(D1514="","",F1514*G1514)</f>
        <v/>
      </c>
      <c r="I1514">
        <f>IF(D1514="","",H1514-F1514*IFERROR(INDEX(الأصناف!$D$2:$D$2000,MATCH(D1514,الأصناف!$A$2:$A$2000,0)),0))</f>
        <v/>
      </c>
      <c r="J1514" s="4" t="n"/>
      <c r="K1514" s="7">
        <f>IF(OR(B1514="",B1514&lt;&gt;الإيصال!$C$3),"",COUNTIF(B$2:B1514,الإيصال!$C$3))</f>
        <v/>
      </c>
    </row>
    <row r="1515">
      <c r="A1515" s="6" t="n"/>
      <c r="B1515" s="4" t="n"/>
      <c r="C1515" s="4" t="n"/>
      <c r="D1515" s="4" t="n"/>
      <c r="E1515">
        <f>IF(D1515="","",IFERROR(INDEX(الأصناف!$B$2:$B$2000,MATCH(D1515,الأصناف!$A$2:$A$2000,0)),"كود غير موجود"))</f>
        <v/>
      </c>
      <c r="F1515" s="4" t="n"/>
      <c r="G1515">
        <f>IF(D1515="","",IFERROR(INDEX(الأصناف!$C$2:$C$2000,MATCH(D1515,الأصناف!$A$2:$A$2000,0)),0))</f>
        <v/>
      </c>
      <c r="H1515">
        <f>IF(D1515="","",F1515*G1515)</f>
        <v/>
      </c>
      <c r="I1515">
        <f>IF(D1515="","",H1515-F1515*IFERROR(INDEX(الأصناف!$D$2:$D$2000,MATCH(D1515,الأصناف!$A$2:$A$2000,0)),0))</f>
        <v/>
      </c>
      <c r="J1515" s="4" t="n"/>
      <c r="K1515" s="7">
        <f>IF(OR(B1515="",B1515&lt;&gt;الإيصال!$C$3),"",COUNTIF(B$2:B1515,الإيصال!$C$3))</f>
        <v/>
      </c>
    </row>
    <row r="1516">
      <c r="A1516" s="6" t="n"/>
      <c r="B1516" s="4" t="n"/>
      <c r="C1516" s="4" t="n"/>
      <c r="D1516" s="4" t="n"/>
      <c r="E1516">
        <f>IF(D1516="","",IFERROR(INDEX(الأصناف!$B$2:$B$2000,MATCH(D1516,الأصناف!$A$2:$A$2000,0)),"كود غير موجود"))</f>
        <v/>
      </c>
      <c r="F1516" s="4" t="n"/>
      <c r="G1516">
        <f>IF(D1516="","",IFERROR(INDEX(الأصناف!$C$2:$C$2000,MATCH(D1516,الأصناف!$A$2:$A$2000,0)),0))</f>
        <v/>
      </c>
      <c r="H1516">
        <f>IF(D1516="","",F1516*G1516)</f>
        <v/>
      </c>
      <c r="I1516">
        <f>IF(D1516="","",H1516-F1516*IFERROR(INDEX(الأصناف!$D$2:$D$2000,MATCH(D1516,الأصناف!$A$2:$A$2000,0)),0))</f>
        <v/>
      </c>
      <c r="J1516" s="4" t="n"/>
      <c r="K1516" s="7">
        <f>IF(OR(B1516="",B1516&lt;&gt;الإيصال!$C$3),"",COUNTIF(B$2:B1516,الإيصال!$C$3))</f>
        <v/>
      </c>
    </row>
    <row r="1517">
      <c r="A1517" s="6" t="n"/>
      <c r="B1517" s="4" t="n"/>
      <c r="C1517" s="4" t="n"/>
      <c r="D1517" s="4" t="n"/>
      <c r="E1517">
        <f>IF(D1517="","",IFERROR(INDEX(الأصناف!$B$2:$B$2000,MATCH(D1517,الأصناف!$A$2:$A$2000,0)),"كود غير موجود"))</f>
        <v/>
      </c>
      <c r="F1517" s="4" t="n"/>
      <c r="G1517">
        <f>IF(D1517="","",IFERROR(INDEX(الأصناف!$C$2:$C$2000,MATCH(D1517,الأصناف!$A$2:$A$2000,0)),0))</f>
        <v/>
      </c>
      <c r="H1517">
        <f>IF(D1517="","",F1517*G1517)</f>
        <v/>
      </c>
      <c r="I1517">
        <f>IF(D1517="","",H1517-F1517*IFERROR(INDEX(الأصناف!$D$2:$D$2000,MATCH(D1517,الأصناف!$A$2:$A$2000,0)),0))</f>
        <v/>
      </c>
      <c r="J1517" s="4" t="n"/>
      <c r="K1517" s="7">
        <f>IF(OR(B1517="",B1517&lt;&gt;الإيصال!$C$3),"",COUNTIF(B$2:B1517,الإيصال!$C$3))</f>
        <v/>
      </c>
    </row>
    <row r="1518">
      <c r="A1518" s="6" t="n"/>
      <c r="B1518" s="4" t="n"/>
      <c r="C1518" s="4" t="n"/>
      <c r="D1518" s="4" t="n"/>
      <c r="E1518">
        <f>IF(D1518="","",IFERROR(INDEX(الأصناف!$B$2:$B$2000,MATCH(D1518,الأصناف!$A$2:$A$2000,0)),"كود غير موجود"))</f>
        <v/>
      </c>
      <c r="F1518" s="4" t="n"/>
      <c r="G1518">
        <f>IF(D1518="","",IFERROR(INDEX(الأصناف!$C$2:$C$2000,MATCH(D1518,الأصناف!$A$2:$A$2000,0)),0))</f>
        <v/>
      </c>
      <c r="H1518">
        <f>IF(D1518="","",F1518*G1518)</f>
        <v/>
      </c>
      <c r="I1518">
        <f>IF(D1518="","",H1518-F1518*IFERROR(INDEX(الأصناف!$D$2:$D$2000,MATCH(D1518,الأصناف!$A$2:$A$2000,0)),0))</f>
        <v/>
      </c>
      <c r="J1518" s="4" t="n"/>
      <c r="K1518" s="7">
        <f>IF(OR(B1518="",B1518&lt;&gt;الإيصال!$C$3),"",COUNTIF(B$2:B1518,الإيصال!$C$3))</f>
        <v/>
      </c>
    </row>
    <row r="1519">
      <c r="A1519" s="6" t="n"/>
      <c r="B1519" s="4" t="n"/>
      <c r="C1519" s="4" t="n"/>
      <c r="D1519" s="4" t="n"/>
      <c r="E1519">
        <f>IF(D1519="","",IFERROR(INDEX(الأصناف!$B$2:$B$2000,MATCH(D1519,الأصناف!$A$2:$A$2000,0)),"كود غير موجود"))</f>
        <v/>
      </c>
      <c r="F1519" s="4" t="n"/>
      <c r="G1519">
        <f>IF(D1519="","",IFERROR(INDEX(الأصناف!$C$2:$C$2000,MATCH(D1519,الأصناف!$A$2:$A$2000,0)),0))</f>
        <v/>
      </c>
      <c r="H1519">
        <f>IF(D1519="","",F1519*G1519)</f>
        <v/>
      </c>
      <c r="I1519">
        <f>IF(D1519="","",H1519-F1519*IFERROR(INDEX(الأصناف!$D$2:$D$2000,MATCH(D1519,الأصناف!$A$2:$A$2000,0)),0))</f>
        <v/>
      </c>
      <c r="J1519" s="4" t="n"/>
      <c r="K1519" s="7">
        <f>IF(OR(B1519="",B1519&lt;&gt;الإيصال!$C$3),"",COUNTIF(B$2:B1519,الإيصال!$C$3))</f>
        <v/>
      </c>
    </row>
    <row r="1520">
      <c r="A1520" s="6" t="n"/>
      <c r="B1520" s="4" t="n"/>
      <c r="C1520" s="4" t="n"/>
      <c r="D1520" s="4" t="n"/>
      <c r="E1520">
        <f>IF(D1520="","",IFERROR(INDEX(الأصناف!$B$2:$B$2000,MATCH(D1520,الأصناف!$A$2:$A$2000,0)),"كود غير موجود"))</f>
        <v/>
      </c>
      <c r="F1520" s="4" t="n"/>
      <c r="G1520">
        <f>IF(D1520="","",IFERROR(INDEX(الأصناف!$C$2:$C$2000,MATCH(D1520,الأصناف!$A$2:$A$2000,0)),0))</f>
        <v/>
      </c>
      <c r="H1520">
        <f>IF(D1520="","",F1520*G1520)</f>
        <v/>
      </c>
      <c r="I1520">
        <f>IF(D1520="","",H1520-F1520*IFERROR(INDEX(الأصناف!$D$2:$D$2000,MATCH(D1520,الأصناف!$A$2:$A$2000,0)),0))</f>
        <v/>
      </c>
      <c r="J1520" s="4" t="n"/>
      <c r="K1520" s="7">
        <f>IF(OR(B1520="",B1520&lt;&gt;الإيصال!$C$3),"",COUNTIF(B$2:B1520,الإيصال!$C$3))</f>
        <v/>
      </c>
    </row>
    <row r="1521">
      <c r="A1521" s="6" t="n"/>
      <c r="B1521" s="4" t="n"/>
      <c r="C1521" s="4" t="n"/>
      <c r="D1521" s="4" t="n"/>
      <c r="E1521">
        <f>IF(D1521="","",IFERROR(INDEX(الأصناف!$B$2:$B$2000,MATCH(D1521,الأصناف!$A$2:$A$2000,0)),"كود غير موجود"))</f>
        <v/>
      </c>
      <c r="F1521" s="4" t="n"/>
      <c r="G1521">
        <f>IF(D1521="","",IFERROR(INDEX(الأصناف!$C$2:$C$2000,MATCH(D1521,الأصناف!$A$2:$A$2000,0)),0))</f>
        <v/>
      </c>
      <c r="H1521">
        <f>IF(D1521="","",F1521*G1521)</f>
        <v/>
      </c>
      <c r="I1521">
        <f>IF(D1521="","",H1521-F1521*IFERROR(INDEX(الأصناف!$D$2:$D$2000,MATCH(D1521,الأصناف!$A$2:$A$2000,0)),0))</f>
        <v/>
      </c>
      <c r="J1521" s="4" t="n"/>
      <c r="K1521" s="7">
        <f>IF(OR(B1521="",B1521&lt;&gt;الإيصال!$C$3),"",COUNTIF(B$2:B1521,الإيصال!$C$3))</f>
        <v/>
      </c>
    </row>
    <row r="1522">
      <c r="A1522" s="6" t="n"/>
      <c r="B1522" s="4" t="n"/>
      <c r="C1522" s="4" t="n"/>
      <c r="D1522" s="4" t="n"/>
      <c r="E1522">
        <f>IF(D1522="","",IFERROR(INDEX(الأصناف!$B$2:$B$2000,MATCH(D1522,الأصناف!$A$2:$A$2000,0)),"كود غير موجود"))</f>
        <v/>
      </c>
      <c r="F1522" s="4" t="n"/>
      <c r="G1522">
        <f>IF(D1522="","",IFERROR(INDEX(الأصناف!$C$2:$C$2000,MATCH(D1522,الأصناف!$A$2:$A$2000,0)),0))</f>
        <v/>
      </c>
      <c r="H1522">
        <f>IF(D1522="","",F1522*G1522)</f>
        <v/>
      </c>
      <c r="I1522">
        <f>IF(D1522="","",H1522-F1522*IFERROR(INDEX(الأصناف!$D$2:$D$2000,MATCH(D1522,الأصناف!$A$2:$A$2000,0)),0))</f>
        <v/>
      </c>
      <c r="J1522" s="4" t="n"/>
      <c r="K1522" s="7">
        <f>IF(OR(B1522="",B1522&lt;&gt;الإيصال!$C$3),"",COUNTIF(B$2:B1522,الإيصال!$C$3))</f>
        <v/>
      </c>
    </row>
    <row r="1523">
      <c r="A1523" s="6" t="n"/>
      <c r="B1523" s="4" t="n"/>
      <c r="C1523" s="4" t="n"/>
      <c r="D1523" s="4" t="n"/>
      <c r="E1523">
        <f>IF(D1523="","",IFERROR(INDEX(الأصناف!$B$2:$B$2000,MATCH(D1523,الأصناف!$A$2:$A$2000,0)),"كود غير موجود"))</f>
        <v/>
      </c>
      <c r="F1523" s="4" t="n"/>
      <c r="G1523">
        <f>IF(D1523="","",IFERROR(INDEX(الأصناف!$C$2:$C$2000,MATCH(D1523,الأصناف!$A$2:$A$2000,0)),0))</f>
        <v/>
      </c>
      <c r="H1523">
        <f>IF(D1523="","",F1523*G1523)</f>
        <v/>
      </c>
      <c r="I1523">
        <f>IF(D1523="","",H1523-F1523*IFERROR(INDEX(الأصناف!$D$2:$D$2000,MATCH(D1523,الأصناف!$A$2:$A$2000,0)),0))</f>
        <v/>
      </c>
      <c r="J1523" s="4" t="n"/>
      <c r="K1523" s="7">
        <f>IF(OR(B1523="",B1523&lt;&gt;الإيصال!$C$3),"",COUNTIF(B$2:B1523,الإيصال!$C$3))</f>
        <v/>
      </c>
    </row>
    <row r="1524">
      <c r="A1524" s="6" t="n"/>
      <c r="B1524" s="4" t="n"/>
      <c r="C1524" s="4" t="n"/>
      <c r="D1524" s="4" t="n"/>
      <c r="E1524">
        <f>IF(D1524="","",IFERROR(INDEX(الأصناف!$B$2:$B$2000,MATCH(D1524,الأصناف!$A$2:$A$2000,0)),"كود غير موجود"))</f>
        <v/>
      </c>
      <c r="F1524" s="4" t="n"/>
      <c r="G1524">
        <f>IF(D1524="","",IFERROR(INDEX(الأصناف!$C$2:$C$2000,MATCH(D1524,الأصناف!$A$2:$A$2000,0)),0))</f>
        <v/>
      </c>
      <c r="H1524">
        <f>IF(D1524="","",F1524*G1524)</f>
        <v/>
      </c>
      <c r="I1524">
        <f>IF(D1524="","",H1524-F1524*IFERROR(INDEX(الأصناف!$D$2:$D$2000,MATCH(D1524,الأصناف!$A$2:$A$2000,0)),0))</f>
        <v/>
      </c>
      <c r="J1524" s="4" t="n"/>
      <c r="K1524" s="7">
        <f>IF(OR(B1524="",B1524&lt;&gt;الإيصال!$C$3),"",COUNTIF(B$2:B1524,الإيصال!$C$3))</f>
        <v/>
      </c>
    </row>
    <row r="1525">
      <c r="A1525" s="6" t="n"/>
      <c r="B1525" s="4" t="n"/>
      <c r="C1525" s="4" t="n"/>
      <c r="D1525" s="4" t="n"/>
      <c r="E1525">
        <f>IF(D1525="","",IFERROR(INDEX(الأصناف!$B$2:$B$2000,MATCH(D1525,الأصناف!$A$2:$A$2000,0)),"كود غير موجود"))</f>
        <v/>
      </c>
      <c r="F1525" s="4" t="n"/>
      <c r="G1525">
        <f>IF(D1525="","",IFERROR(INDEX(الأصناف!$C$2:$C$2000,MATCH(D1525,الأصناف!$A$2:$A$2000,0)),0))</f>
        <v/>
      </c>
      <c r="H1525">
        <f>IF(D1525="","",F1525*G1525)</f>
        <v/>
      </c>
      <c r="I1525">
        <f>IF(D1525="","",H1525-F1525*IFERROR(INDEX(الأصناف!$D$2:$D$2000,MATCH(D1525,الأصناف!$A$2:$A$2000,0)),0))</f>
        <v/>
      </c>
      <c r="J1525" s="4" t="n"/>
      <c r="K1525" s="7">
        <f>IF(OR(B1525="",B1525&lt;&gt;الإيصال!$C$3),"",COUNTIF(B$2:B1525,الإيصال!$C$3))</f>
        <v/>
      </c>
    </row>
    <row r="1526">
      <c r="A1526" s="6" t="n"/>
      <c r="B1526" s="4" t="n"/>
      <c r="C1526" s="4" t="n"/>
      <c r="D1526" s="4" t="n"/>
      <c r="E1526">
        <f>IF(D1526="","",IFERROR(INDEX(الأصناف!$B$2:$B$2000,MATCH(D1526,الأصناف!$A$2:$A$2000,0)),"كود غير موجود"))</f>
        <v/>
      </c>
      <c r="F1526" s="4" t="n"/>
      <c r="G1526">
        <f>IF(D1526="","",IFERROR(INDEX(الأصناف!$C$2:$C$2000,MATCH(D1526,الأصناف!$A$2:$A$2000,0)),0))</f>
        <v/>
      </c>
      <c r="H1526">
        <f>IF(D1526="","",F1526*G1526)</f>
        <v/>
      </c>
      <c r="I1526">
        <f>IF(D1526="","",H1526-F1526*IFERROR(INDEX(الأصناف!$D$2:$D$2000,MATCH(D1526,الأصناف!$A$2:$A$2000,0)),0))</f>
        <v/>
      </c>
      <c r="J1526" s="4" t="n"/>
      <c r="K1526" s="7">
        <f>IF(OR(B1526="",B1526&lt;&gt;الإيصال!$C$3),"",COUNTIF(B$2:B1526,الإيصال!$C$3))</f>
        <v/>
      </c>
    </row>
    <row r="1527">
      <c r="A1527" s="6" t="n"/>
      <c r="B1527" s="4" t="n"/>
      <c r="C1527" s="4" t="n"/>
      <c r="D1527" s="4" t="n"/>
      <c r="E1527">
        <f>IF(D1527="","",IFERROR(INDEX(الأصناف!$B$2:$B$2000,MATCH(D1527,الأصناف!$A$2:$A$2000,0)),"كود غير موجود"))</f>
        <v/>
      </c>
      <c r="F1527" s="4" t="n"/>
      <c r="G1527">
        <f>IF(D1527="","",IFERROR(INDEX(الأصناف!$C$2:$C$2000,MATCH(D1527,الأصناف!$A$2:$A$2000,0)),0))</f>
        <v/>
      </c>
      <c r="H1527">
        <f>IF(D1527="","",F1527*G1527)</f>
        <v/>
      </c>
      <c r="I1527">
        <f>IF(D1527="","",H1527-F1527*IFERROR(INDEX(الأصناف!$D$2:$D$2000,MATCH(D1527,الأصناف!$A$2:$A$2000,0)),0))</f>
        <v/>
      </c>
      <c r="J1527" s="4" t="n"/>
      <c r="K1527" s="7">
        <f>IF(OR(B1527="",B1527&lt;&gt;الإيصال!$C$3),"",COUNTIF(B$2:B1527,الإيصال!$C$3))</f>
        <v/>
      </c>
    </row>
    <row r="1528">
      <c r="A1528" s="6" t="n"/>
      <c r="B1528" s="4" t="n"/>
      <c r="C1528" s="4" t="n"/>
      <c r="D1528" s="4" t="n"/>
      <c r="E1528">
        <f>IF(D1528="","",IFERROR(INDEX(الأصناف!$B$2:$B$2000,MATCH(D1528,الأصناف!$A$2:$A$2000,0)),"كود غير موجود"))</f>
        <v/>
      </c>
      <c r="F1528" s="4" t="n"/>
      <c r="G1528">
        <f>IF(D1528="","",IFERROR(INDEX(الأصناف!$C$2:$C$2000,MATCH(D1528,الأصناف!$A$2:$A$2000,0)),0))</f>
        <v/>
      </c>
      <c r="H1528">
        <f>IF(D1528="","",F1528*G1528)</f>
        <v/>
      </c>
      <c r="I1528">
        <f>IF(D1528="","",H1528-F1528*IFERROR(INDEX(الأصناف!$D$2:$D$2000,MATCH(D1528,الأصناف!$A$2:$A$2000,0)),0))</f>
        <v/>
      </c>
      <c r="J1528" s="4" t="n"/>
      <c r="K1528" s="7">
        <f>IF(OR(B1528="",B1528&lt;&gt;الإيصال!$C$3),"",COUNTIF(B$2:B1528,الإيصال!$C$3))</f>
        <v/>
      </c>
    </row>
    <row r="1529">
      <c r="A1529" s="6" t="n"/>
      <c r="B1529" s="4" t="n"/>
      <c r="C1529" s="4" t="n"/>
      <c r="D1529" s="4" t="n"/>
      <c r="E1529">
        <f>IF(D1529="","",IFERROR(INDEX(الأصناف!$B$2:$B$2000,MATCH(D1529,الأصناف!$A$2:$A$2000,0)),"كود غير موجود"))</f>
        <v/>
      </c>
      <c r="F1529" s="4" t="n"/>
      <c r="G1529">
        <f>IF(D1529="","",IFERROR(INDEX(الأصناف!$C$2:$C$2000,MATCH(D1529,الأصناف!$A$2:$A$2000,0)),0))</f>
        <v/>
      </c>
      <c r="H1529">
        <f>IF(D1529="","",F1529*G1529)</f>
        <v/>
      </c>
      <c r="I1529">
        <f>IF(D1529="","",H1529-F1529*IFERROR(INDEX(الأصناف!$D$2:$D$2000,MATCH(D1529,الأصناف!$A$2:$A$2000,0)),0))</f>
        <v/>
      </c>
      <c r="J1529" s="4" t="n"/>
      <c r="K1529" s="7">
        <f>IF(OR(B1529="",B1529&lt;&gt;الإيصال!$C$3),"",COUNTIF(B$2:B1529,الإيصال!$C$3))</f>
        <v/>
      </c>
    </row>
    <row r="1530">
      <c r="A1530" s="6" t="n"/>
      <c r="B1530" s="4" t="n"/>
      <c r="C1530" s="4" t="n"/>
      <c r="D1530" s="4" t="n"/>
      <c r="E1530">
        <f>IF(D1530="","",IFERROR(INDEX(الأصناف!$B$2:$B$2000,MATCH(D1530,الأصناف!$A$2:$A$2000,0)),"كود غير موجود"))</f>
        <v/>
      </c>
      <c r="F1530" s="4" t="n"/>
      <c r="G1530">
        <f>IF(D1530="","",IFERROR(INDEX(الأصناف!$C$2:$C$2000,MATCH(D1530,الأصناف!$A$2:$A$2000,0)),0))</f>
        <v/>
      </c>
      <c r="H1530">
        <f>IF(D1530="","",F1530*G1530)</f>
        <v/>
      </c>
      <c r="I1530">
        <f>IF(D1530="","",H1530-F1530*IFERROR(INDEX(الأصناف!$D$2:$D$2000,MATCH(D1530,الأصناف!$A$2:$A$2000,0)),0))</f>
        <v/>
      </c>
      <c r="J1530" s="4" t="n"/>
      <c r="K1530" s="7">
        <f>IF(OR(B1530="",B1530&lt;&gt;الإيصال!$C$3),"",COUNTIF(B$2:B1530,الإيصال!$C$3))</f>
        <v/>
      </c>
    </row>
    <row r="1531">
      <c r="A1531" s="6" t="n"/>
      <c r="B1531" s="4" t="n"/>
      <c r="C1531" s="4" t="n"/>
      <c r="D1531" s="4" t="n"/>
      <c r="E1531">
        <f>IF(D1531="","",IFERROR(INDEX(الأصناف!$B$2:$B$2000,MATCH(D1531,الأصناف!$A$2:$A$2000,0)),"كود غير موجود"))</f>
        <v/>
      </c>
      <c r="F1531" s="4" t="n"/>
      <c r="G1531">
        <f>IF(D1531="","",IFERROR(INDEX(الأصناف!$C$2:$C$2000,MATCH(D1531,الأصناف!$A$2:$A$2000,0)),0))</f>
        <v/>
      </c>
      <c r="H1531">
        <f>IF(D1531="","",F1531*G1531)</f>
        <v/>
      </c>
      <c r="I1531">
        <f>IF(D1531="","",H1531-F1531*IFERROR(INDEX(الأصناف!$D$2:$D$2000,MATCH(D1531,الأصناف!$A$2:$A$2000,0)),0))</f>
        <v/>
      </c>
      <c r="J1531" s="4" t="n"/>
      <c r="K1531" s="7">
        <f>IF(OR(B1531="",B1531&lt;&gt;الإيصال!$C$3),"",COUNTIF(B$2:B1531,الإيصال!$C$3))</f>
        <v/>
      </c>
    </row>
    <row r="1532">
      <c r="A1532" s="6" t="n"/>
      <c r="B1532" s="4" t="n"/>
      <c r="C1532" s="4" t="n"/>
      <c r="D1532" s="4" t="n"/>
      <c r="E1532">
        <f>IF(D1532="","",IFERROR(INDEX(الأصناف!$B$2:$B$2000,MATCH(D1532,الأصناف!$A$2:$A$2000,0)),"كود غير موجود"))</f>
        <v/>
      </c>
      <c r="F1532" s="4" t="n"/>
      <c r="G1532">
        <f>IF(D1532="","",IFERROR(INDEX(الأصناف!$C$2:$C$2000,MATCH(D1532,الأصناف!$A$2:$A$2000,0)),0))</f>
        <v/>
      </c>
      <c r="H1532">
        <f>IF(D1532="","",F1532*G1532)</f>
        <v/>
      </c>
      <c r="I1532">
        <f>IF(D1532="","",H1532-F1532*IFERROR(INDEX(الأصناف!$D$2:$D$2000,MATCH(D1532,الأصناف!$A$2:$A$2000,0)),0))</f>
        <v/>
      </c>
      <c r="J1532" s="4" t="n"/>
      <c r="K1532" s="7">
        <f>IF(OR(B1532="",B1532&lt;&gt;الإيصال!$C$3),"",COUNTIF(B$2:B1532,الإيصال!$C$3))</f>
        <v/>
      </c>
    </row>
    <row r="1533">
      <c r="A1533" s="6" t="n"/>
      <c r="B1533" s="4" t="n"/>
      <c r="C1533" s="4" t="n"/>
      <c r="D1533" s="4" t="n"/>
      <c r="E1533">
        <f>IF(D1533="","",IFERROR(INDEX(الأصناف!$B$2:$B$2000,MATCH(D1533,الأصناف!$A$2:$A$2000,0)),"كود غير موجود"))</f>
        <v/>
      </c>
      <c r="F1533" s="4" t="n"/>
      <c r="G1533">
        <f>IF(D1533="","",IFERROR(INDEX(الأصناف!$C$2:$C$2000,MATCH(D1533,الأصناف!$A$2:$A$2000,0)),0))</f>
        <v/>
      </c>
      <c r="H1533">
        <f>IF(D1533="","",F1533*G1533)</f>
        <v/>
      </c>
      <c r="I1533">
        <f>IF(D1533="","",H1533-F1533*IFERROR(INDEX(الأصناف!$D$2:$D$2000,MATCH(D1533,الأصناف!$A$2:$A$2000,0)),0))</f>
        <v/>
      </c>
      <c r="J1533" s="4" t="n"/>
      <c r="K1533" s="7">
        <f>IF(OR(B1533="",B1533&lt;&gt;الإيصال!$C$3),"",COUNTIF(B$2:B1533,الإيصال!$C$3))</f>
        <v/>
      </c>
    </row>
    <row r="1534">
      <c r="A1534" s="6" t="n"/>
      <c r="B1534" s="4" t="n"/>
      <c r="C1534" s="4" t="n"/>
      <c r="D1534" s="4" t="n"/>
      <c r="E1534">
        <f>IF(D1534="","",IFERROR(INDEX(الأصناف!$B$2:$B$2000,MATCH(D1534,الأصناف!$A$2:$A$2000,0)),"كود غير موجود"))</f>
        <v/>
      </c>
      <c r="F1534" s="4" t="n"/>
      <c r="G1534">
        <f>IF(D1534="","",IFERROR(INDEX(الأصناف!$C$2:$C$2000,MATCH(D1534,الأصناف!$A$2:$A$2000,0)),0))</f>
        <v/>
      </c>
      <c r="H1534">
        <f>IF(D1534="","",F1534*G1534)</f>
        <v/>
      </c>
      <c r="I1534">
        <f>IF(D1534="","",H1534-F1534*IFERROR(INDEX(الأصناف!$D$2:$D$2000,MATCH(D1534,الأصناف!$A$2:$A$2000,0)),0))</f>
        <v/>
      </c>
      <c r="J1534" s="4" t="n"/>
      <c r="K1534" s="7">
        <f>IF(OR(B1534="",B1534&lt;&gt;الإيصال!$C$3),"",COUNTIF(B$2:B1534,الإيصال!$C$3))</f>
        <v/>
      </c>
    </row>
    <row r="1535">
      <c r="A1535" s="6" t="n"/>
      <c r="B1535" s="4" t="n"/>
      <c r="C1535" s="4" t="n"/>
      <c r="D1535" s="4" t="n"/>
      <c r="E1535">
        <f>IF(D1535="","",IFERROR(INDEX(الأصناف!$B$2:$B$2000,MATCH(D1535,الأصناف!$A$2:$A$2000,0)),"كود غير موجود"))</f>
        <v/>
      </c>
      <c r="F1535" s="4" t="n"/>
      <c r="G1535">
        <f>IF(D1535="","",IFERROR(INDEX(الأصناف!$C$2:$C$2000,MATCH(D1535,الأصناف!$A$2:$A$2000,0)),0))</f>
        <v/>
      </c>
      <c r="H1535">
        <f>IF(D1535="","",F1535*G1535)</f>
        <v/>
      </c>
      <c r="I1535">
        <f>IF(D1535="","",H1535-F1535*IFERROR(INDEX(الأصناف!$D$2:$D$2000,MATCH(D1535,الأصناف!$A$2:$A$2000,0)),0))</f>
        <v/>
      </c>
      <c r="J1535" s="4" t="n"/>
      <c r="K1535" s="7">
        <f>IF(OR(B1535="",B1535&lt;&gt;الإيصال!$C$3),"",COUNTIF(B$2:B1535,الإيصال!$C$3))</f>
        <v/>
      </c>
    </row>
    <row r="1536">
      <c r="A1536" s="6" t="n"/>
      <c r="B1536" s="4" t="n"/>
      <c r="C1536" s="4" t="n"/>
      <c r="D1536" s="4" t="n"/>
      <c r="E1536">
        <f>IF(D1536="","",IFERROR(INDEX(الأصناف!$B$2:$B$2000,MATCH(D1536,الأصناف!$A$2:$A$2000,0)),"كود غير موجود"))</f>
        <v/>
      </c>
      <c r="F1536" s="4" t="n"/>
      <c r="G1536">
        <f>IF(D1536="","",IFERROR(INDEX(الأصناف!$C$2:$C$2000,MATCH(D1536,الأصناف!$A$2:$A$2000,0)),0))</f>
        <v/>
      </c>
      <c r="H1536">
        <f>IF(D1536="","",F1536*G1536)</f>
        <v/>
      </c>
      <c r="I1536">
        <f>IF(D1536="","",H1536-F1536*IFERROR(INDEX(الأصناف!$D$2:$D$2000,MATCH(D1536,الأصناف!$A$2:$A$2000,0)),0))</f>
        <v/>
      </c>
      <c r="J1536" s="4" t="n"/>
      <c r="K1536" s="7">
        <f>IF(OR(B1536="",B1536&lt;&gt;الإيصال!$C$3),"",COUNTIF(B$2:B1536,الإيصال!$C$3))</f>
        <v/>
      </c>
    </row>
    <row r="1537">
      <c r="A1537" s="6" t="n"/>
      <c r="B1537" s="4" t="n"/>
      <c r="C1537" s="4" t="n"/>
      <c r="D1537" s="4" t="n"/>
      <c r="E1537">
        <f>IF(D1537="","",IFERROR(INDEX(الأصناف!$B$2:$B$2000,MATCH(D1537,الأصناف!$A$2:$A$2000,0)),"كود غير موجود"))</f>
        <v/>
      </c>
      <c r="F1537" s="4" t="n"/>
      <c r="G1537">
        <f>IF(D1537="","",IFERROR(INDEX(الأصناف!$C$2:$C$2000,MATCH(D1537,الأصناف!$A$2:$A$2000,0)),0))</f>
        <v/>
      </c>
      <c r="H1537">
        <f>IF(D1537="","",F1537*G1537)</f>
        <v/>
      </c>
      <c r="I1537">
        <f>IF(D1537="","",H1537-F1537*IFERROR(INDEX(الأصناف!$D$2:$D$2000,MATCH(D1537,الأصناف!$A$2:$A$2000,0)),0))</f>
        <v/>
      </c>
      <c r="J1537" s="4" t="n"/>
      <c r="K1537" s="7">
        <f>IF(OR(B1537="",B1537&lt;&gt;الإيصال!$C$3),"",COUNTIF(B$2:B1537,الإيصال!$C$3))</f>
        <v/>
      </c>
    </row>
    <row r="1538">
      <c r="A1538" s="6" t="n"/>
      <c r="B1538" s="4" t="n"/>
      <c r="C1538" s="4" t="n"/>
      <c r="D1538" s="4" t="n"/>
      <c r="E1538">
        <f>IF(D1538="","",IFERROR(INDEX(الأصناف!$B$2:$B$2000,MATCH(D1538,الأصناف!$A$2:$A$2000,0)),"كود غير موجود"))</f>
        <v/>
      </c>
      <c r="F1538" s="4" t="n"/>
      <c r="G1538">
        <f>IF(D1538="","",IFERROR(INDEX(الأصناف!$C$2:$C$2000,MATCH(D1538,الأصناف!$A$2:$A$2000,0)),0))</f>
        <v/>
      </c>
      <c r="H1538">
        <f>IF(D1538="","",F1538*G1538)</f>
        <v/>
      </c>
      <c r="I1538">
        <f>IF(D1538="","",H1538-F1538*IFERROR(INDEX(الأصناف!$D$2:$D$2000,MATCH(D1538,الأصناف!$A$2:$A$2000,0)),0))</f>
        <v/>
      </c>
      <c r="J1538" s="4" t="n"/>
      <c r="K1538" s="7">
        <f>IF(OR(B1538="",B1538&lt;&gt;الإيصال!$C$3),"",COUNTIF(B$2:B1538,الإيصال!$C$3))</f>
        <v/>
      </c>
    </row>
    <row r="1539">
      <c r="A1539" s="6" t="n"/>
      <c r="B1539" s="4" t="n"/>
      <c r="C1539" s="4" t="n"/>
      <c r="D1539" s="4" t="n"/>
      <c r="E1539">
        <f>IF(D1539="","",IFERROR(INDEX(الأصناف!$B$2:$B$2000,MATCH(D1539,الأصناف!$A$2:$A$2000,0)),"كود غير موجود"))</f>
        <v/>
      </c>
      <c r="F1539" s="4" t="n"/>
      <c r="G1539">
        <f>IF(D1539="","",IFERROR(INDEX(الأصناف!$C$2:$C$2000,MATCH(D1539,الأصناف!$A$2:$A$2000,0)),0))</f>
        <v/>
      </c>
      <c r="H1539">
        <f>IF(D1539="","",F1539*G1539)</f>
        <v/>
      </c>
      <c r="I1539">
        <f>IF(D1539="","",H1539-F1539*IFERROR(INDEX(الأصناف!$D$2:$D$2000,MATCH(D1539,الأصناف!$A$2:$A$2000,0)),0))</f>
        <v/>
      </c>
      <c r="J1539" s="4" t="n"/>
      <c r="K1539" s="7">
        <f>IF(OR(B1539="",B1539&lt;&gt;الإيصال!$C$3),"",COUNTIF(B$2:B1539,الإيصال!$C$3))</f>
        <v/>
      </c>
    </row>
    <row r="1540">
      <c r="A1540" s="6" t="n"/>
      <c r="B1540" s="4" t="n"/>
      <c r="C1540" s="4" t="n"/>
      <c r="D1540" s="4" t="n"/>
      <c r="E1540">
        <f>IF(D1540="","",IFERROR(INDEX(الأصناف!$B$2:$B$2000,MATCH(D1540,الأصناف!$A$2:$A$2000,0)),"كود غير موجود"))</f>
        <v/>
      </c>
      <c r="F1540" s="4" t="n"/>
      <c r="G1540">
        <f>IF(D1540="","",IFERROR(INDEX(الأصناف!$C$2:$C$2000,MATCH(D1540,الأصناف!$A$2:$A$2000,0)),0))</f>
        <v/>
      </c>
      <c r="H1540">
        <f>IF(D1540="","",F1540*G1540)</f>
        <v/>
      </c>
      <c r="I1540">
        <f>IF(D1540="","",H1540-F1540*IFERROR(INDEX(الأصناف!$D$2:$D$2000,MATCH(D1540,الأصناف!$A$2:$A$2000,0)),0))</f>
        <v/>
      </c>
      <c r="J1540" s="4" t="n"/>
      <c r="K1540" s="7">
        <f>IF(OR(B1540="",B1540&lt;&gt;الإيصال!$C$3),"",COUNTIF(B$2:B1540,الإيصال!$C$3))</f>
        <v/>
      </c>
    </row>
    <row r="1541">
      <c r="A1541" s="6" t="n"/>
      <c r="B1541" s="4" t="n"/>
      <c r="C1541" s="4" t="n"/>
      <c r="D1541" s="4" t="n"/>
      <c r="E1541">
        <f>IF(D1541="","",IFERROR(INDEX(الأصناف!$B$2:$B$2000,MATCH(D1541,الأصناف!$A$2:$A$2000,0)),"كود غير موجود"))</f>
        <v/>
      </c>
      <c r="F1541" s="4" t="n"/>
      <c r="G1541">
        <f>IF(D1541="","",IFERROR(INDEX(الأصناف!$C$2:$C$2000,MATCH(D1541,الأصناف!$A$2:$A$2000,0)),0))</f>
        <v/>
      </c>
      <c r="H1541">
        <f>IF(D1541="","",F1541*G1541)</f>
        <v/>
      </c>
      <c r="I1541">
        <f>IF(D1541="","",H1541-F1541*IFERROR(INDEX(الأصناف!$D$2:$D$2000,MATCH(D1541,الأصناف!$A$2:$A$2000,0)),0))</f>
        <v/>
      </c>
      <c r="J1541" s="4" t="n"/>
      <c r="K1541" s="7">
        <f>IF(OR(B1541="",B1541&lt;&gt;الإيصال!$C$3),"",COUNTIF(B$2:B1541,الإيصال!$C$3))</f>
        <v/>
      </c>
    </row>
    <row r="1542">
      <c r="A1542" s="6" t="n"/>
      <c r="B1542" s="4" t="n"/>
      <c r="C1542" s="4" t="n"/>
      <c r="D1542" s="4" t="n"/>
      <c r="E1542">
        <f>IF(D1542="","",IFERROR(INDEX(الأصناف!$B$2:$B$2000,MATCH(D1542,الأصناف!$A$2:$A$2000,0)),"كود غير موجود"))</f>
        <v/>
      </c>
      <c r="F1542" s="4" t="n"/>
      <c r="G1542">
        <f>IF(D1542="","",IFERROR(INDEX(الأصناف!$C$2:$C$2000,MATCH(D1542,الأصناف!$A$2:$A$2000,0)),0))</f>
        <v/>
      </c>
      <c r="H1542">
        <f>IF(D1542="","",F1542*G1542)</f>
        <v/>
      </c>
      <c r="I1542">
        <f>IF(D1542="","",H1542-F1542*IFERROR(INDEX(الأصناف!$D$2:$D$2000,MATCH(D1542,الأصناف!$A$2:$A$2000,0)),0))</f>
        <v/>
      </c>
      <c r="J1542" s="4" t="n"/>
      <c r="K1542" s="7">
        <f>IF(OR(B1542="",B1542&lt;&gt;الإيصال!$C$3),"",COUNTIF(B$2:B1542,الإيصال!$C$3))</f>
        <v/>
      </c>
    </row>
    <row r="1543">
      <c r="A1543" s="6" t="n"/>
      <c r="B1543" s="4" t="n"/>
      <c r="C1543" s="4" t="n"/>
      <c r="D1543" s="4" t="n"/>
      <c r="E1543">
        <f>IF(D1543="","",IFERROR(INDEX(الأصناف!$B$2:$B$2000,MATCH(D1543,الأصناف!$A$2:$A$2000,0)),"كود غير موجود"))</f>
        <v/>
      </c>
      <c r="F1543" s="4" t="n"/>
      <c r="G1543">
        <f>IF(D1543="","",IFERROR(INDEX(الأصناف!$C$2:$C$2000,MATCH(D1543,الأصناف!$A$2:$A$2000,0)),0))</f>
        <v/>
      </c>
      <c r="H1543">
        <f>IF(D1543="","",F1543*G1543)</f>
        <v/>
      </c>
      <c r="I1543">
        <f>IF(D1543="","",H1543-F1543*IFERROR(INDEX(الأصناف!$D$2:$D$2000,MATCH(D1543,الأصناف!$A$2:$A$2000,0)),0))</f>
        <v/>
      </c>
      <c r="J1543" s="4" t="n"/>
      <c r="K1543" s="7">
        <f>IF(OR(B1543="",B1543&lt;&gt;الإيصال!$C$3),"",COUNTIF(B$2:B1543,الإيصال!$C$3))</f>
        <v/>
      </c>
    </row>
    <row r="1544">
      <c r="A1544" s="6" t="n"/>
      <c r="B1544" s="4" t="n"/>
      <c r="C1544" s="4" t="n"/>
      <c r="D1544" s="4" t="n"/>
      <c r="E1544">
        <f>IF(D1544="","",IFERROR(INDEX(الأصناف!$B$2:$B$2000,MATCH(D1544,الأصناف!$A$2:$A$2000,0)),"كود غير موجود"))</f>
        <v/>
      </c>
      <c r="F1544" s="4" t="n"/>
      <c r="G1544">
        <f>IF(D1544="","",IFERROR(INDEX(الأصناف!$C$2:$C$2000,MATCH(D1544,الأصناف!$A$2:$A$2000,0)),0))</f>
        <v/>
      </c>
      <c r="H1544">
        <f>IF(D1544="","",F1544*G1544)</f>
        <v/>
      </c>
      <c r="I1544">
        <f>IF(D1544="","",H1544-F1544*IFERROR(INDEX(الأصناف!$D$2:$D$2000,MATCH(D1544,الأصناف!$A$2:$A$2000,0)),0))</f>
        <v/>
      </c>
      <c r="J1544" s="4" t="n"/>
      <c r="K1544" s="7">
        <f>IF(OR(B1544="",B1544&lt;&gt;الإيصال!$C$3),"",COUNTIF(B$2:B1544,الإيصال!$C$3))</f>
        <v/>
      </c>
    </row>
    <row r="1545">
      <c r="A1545" s="6" t="n"/>
      <c r="B1545" s="4" t="n"/>
      <c r="C1545" s="4" t="n"/>
      <c r="D1545" s="4" t="n"/>
      <c r="E1545">
        <f>IF(D1545="","",IFERROR(INDEX(الأصناف!$B$2:$B$2000,MATCH(D1545,الأصناف!$A$2:$A$2000,0)),"كود غير موجود"))</f>
        <v/>
      </c>
      <c r="F1545" s="4" t="n"/>
      <c r="G1545">
        <f>IF(D1545="","",IFERROR(INDEX(الأصناف!$C$2:$C$2000,MATCH(D1545,الأصناف!$A$2:$A$2000,0)),0))</f>
        <v/>
      </c>
      <c r="H1545">
        <f>IF(D1545="","",F1545*G1545)</f>
        <v/>
      </c>
      <c r="I1545">
        <f>IF(D1545="","",H1545-F1545*IFERROR(INDEX(الأصناف!$D$2:$D$2000,MATCH(D1545,الأصناف!$A$2:$A$2000,0)),0))</f>
        <v/>
      </c>
      <c r="J1545" s="4" t="n"/>
      <c r="K1545" s="7">
        <f>IF(OR(B1545="",B1545&lt;&gt;الإيصال!$C$3),"",COUNTIF(B$2:B1545,الإيصال!$C$3))</f>
        <v/>
      </c>
    </row>
    <row r="1546">
      <c r="A1546" s="6" t="n"/>
      <c r="B1546" s="4" t="n"/>
      <c r="C1546" s="4" t="n"/>
      <c r="D1546" s="4" t="n"/>
      <c r="E1546">
        <f>IF(D1546="","",IFERROR(INDEX(الأصناف!$B$2:$B$2000,MATCH(D1546,الأصناف!$A$2:$A$2000,0)),"كود غير موجود"))</f>
        <v/>
      </c>
      <c r="F1546" s="4" t="n"/>
      <c r="G1546">
        <f>IF(D1546="","",IFERROR(INDEX(الأصناف!$C$2:$C$2000,MATCH(D1546,الأصناف!$A$2:$A$2000,0)),0))</f>
        <v/>
      </c>
      <c r="H1546">
        <f>IF(D1546="","",F1546*G1546)</f>
        <v/>
      </c>
      <c r="I1546">
        <f>IF(D1546="","",H1546-F1546*IFERROR(INDEX(الأصناف!$D$2:$D$2000,MATCH(D1546,الأصناف!$A$2:$A$2000,0)),0))</f>
        <v/>
      </c>
      <c r="J1546" s="4" t="n"/>
      <c r="K1546" s="7">
        <f>IF(OR(B1546="",B1546&lt;&gt;الإيصال!$C$3),"",COUNTIF(B$2:B1546,الإيصال!$C$3))</f>
        <v/>
      </c>
    </row>
    <row r="1547">
      <c r="A1547" s="6" t="n"/>
      <c r="B1547" s="4" t="n"/>
      <c r="C1547" s="4" t="n"/>
      <c r="D1547" s="4" t="n"/>
      <c r="E1547">
        <f>IF(D1547="","",IFERROR(INDEX(الأصناف!$B$2:$B$2000,MATCH(D1547,الأصناف!$A$2:$A$2000,0)),"كود غير موجود"))</f>
        <v/>
      </c>
      <c r="F1547" s="4" t="n"/>
      <c r="G1547">
        <f>IF(D1547="","",IFERROR(INDEX(الأصناف!$C$2:$C$2000,MATCH(D1547,الأصناف!$A$2:$A$2000,0)),0))</f>
        <v/>
      </c>
      <c r="H1547">
        <f>IF(D1547="","",F1547*G1547)</f>
        <v/>
      </c>
      <c r="I1547">
        <f>IF(D1547="","",H1547-F1547*IFERROR(INDEX(الأصناف!$D$2:$D$2000,MATCH(D1547,الأصناف!$A$2:$A$2000,0)),0))</f>
        <v/>
      </c>
      <c r="J1547" s="4" t="n"/>
      <c r="K1547" s="7">
        <f>IF(OR(B1547="",B1547&lt;&gt;الإيصال!$C$3),"",COUNTIF(B$2:B1547,الإيصال!$C$3))</f>
        <v/>
      </c>
    </row>
    <row r="1548">
      <c r="A1548" s="6" t="n"/>
      <c r="B1548" s="4" t="n"/>
      <c r="C1548" s="4" t="n"/>
      <c r="D1548" s="4" t="n"/>
      <c r="E1548">
        <f>IF(D1548="","",IFERROR(INDEX(الأصناف!$B$2:$B$2000,MATCH(D1548,الأصناف!$A$2:$A$2000,0)),"كود غير موجود"))</f>
        <v/>
      </c>
      <c r="F1548" s="4" t="n"/>
      <c r="G1548">
        <f>IF(D1548="","",IFERROR(INDEX(الأصناف!$C$2:$C$2000,MATCH(D1548,الأصناف!$A$2:$A$2000,0)),0))</f>
        <v/>
      </c>
      <c r="H1548">
        <f>IF(D1548="","",F1548*G1548)</f>
        <v/>
      </c>
      <c r="I1548">
        <f>IF(D1548="","",H1548-F1548*IFERROR(INDEX(الأصناف!$D$2:$D$2000,MATCH(D1548,الأصناف!$A$2:$A$2000,0)),0))</f>
        <v/>
      </c>
      <c r="J1548" s="4" t="n"/>
      <c r="K1548" s="7">
        <f>IF(OR(B1548="",B1548&lt;&gt;الإيصال!$C$3),"",COUNTIF(B$2:B1548,الإيصال!$C$3))</f>
        <v/>
      </c>
    </row>
    <row r="1549">
      <c r="A1549" s="6" t="n"/>
      <c r="B1549" s="4" t="n"/>
      <c r="C1549" s="4" t="n"/>
      <c r="D1549" s="4" t="n"/>
      <c r="E1549">
        <f>IF(D1549="","",IFERROR(INDEX(الأصناف!$B$2:$B$2000,MATCH(D1549,الأصناف!$A$2:$A$2000,0)),"كود غير موجود"))</f>
        <v/>
      </c>
      <c r="F1549" s="4" t="n"/>
      <c r="G1549">
        <f>IF(D1549="","",IFERROR(INDEX(الأصناف!$C$2:$C$2000,MATCH(D1549,الأصناف!$A$2:$A$2000,0)),0))</f>
        <v/>
      </c>
      <c r="H1549">
        <f>IF(D1549="","",F1549*G1549)</f>
        <v/>
      </c>
      <c r="I1549">
        <f>IF(D1549="","",H1549-F1549*IFERROR(INDEX(الأصناف!$D$2:$D$2000,MATCH(D1549,الأصناف!$A$2:$A$2000,0)),0))</f>
        <v/>
      </c>
      <c r="J1549" s="4" t="n"/>
      <c r="K1549" s="7">
        <f>IF(OR(B1549="",B1549&lt;&gt;الإيصال!$C$3),"",COUNTIF(B$2:B1549,الإيصال!$C$3))</f>
        <v/>
      </c>
    </row>
    <row r="1550">
      <c r="A1550" s="6" t="n"/>
      <c r="B1550" s="4" t="n"/>
      <c r="C1550" s="4" t="n"/>
      <c r="D1550" s="4" t="n"/>
      <c r="E1550">
        <f>IF(D1550="","",IFERROR(INDEX(الأصناف!$B$2:$B$2000,MATCH(D1550,الأصناف!$A$2:$A$2000,0)),"كود غير موجود"))</f>
        <v/>
      </c>
      <c r="F1550" s="4" t="n"/>
      <c r="G1550">
        <f>IF(D1550="","",IFERROR(INDEX(الأصناف!$C$2:$C$2000,MATCH(D1550,الأصناف!$A$2:$A$2000,0)),0))</f>
        <v/>
      </c>
      <c r="H1550">
        <f>IF(D1550="","",F1550*G1550)</f>
        <v/>
      </c>
      <c r="I1550">
        <f>IF(D1550="","",H1550-F1550*IFERROR(INDEX(الأصناف!$D$2:$D$2000,MATCH(D1550,الأصناف!$A$2:$A$2000,0)),0))</f>
        <v/>
      </c>
      <c r="J1550" s="4" t="n"/>
      <c r="K1550" s="7">
        <f>IF(OR(B1550="",B1550&lt;&gt;الإيصال!$C$3),"",COUNTIF(B$2:B1550,الإيصال!$C$3))</f>
        <v/>
      </c>
    </row>
    <row r="1551">
      <c r="A1551" s="6" t="n"/>
      <c r="B1551" s="4" t="n"/>
      <c r="C1551" s="4" t="n"/>
      <c r="D1551" s="4" t="n"/>
      <c r="E1551">
        <f>IF(D1551="","",IFERROR(INDEX(الأصناف!$B$2:$B$2000,MATCH(D1551,الأصناف!$A$2:$A$2000,0)),"كود غير موجود"))</f>
        <v/>
      </c>
      <c r="F1551" s="4" t="n"/>
      <c r="G1551">
        <f>IF(D1551="","",IFERROR(INDEX(الأصناف!$C$2:$C$2000,MATCH(D1551,الأصناف!$A$2:$A$2000,0)),0))</f>
        <v/>
      </c>
      <c r="H1551">
        <f>IF(D1551="","",F1551*G1551)</f>
        <v/>
      </c>
      <c r="I1551">
        <f>IF(D1551="","",H1551-F1551*IFERROR(INDEX(الأصناف!$D$2:$D$2000,MATCH(D1551,الأصناف!$A$2:$A$2000,0)),0))</f>
        <v/>
      </c>
      <c r="J1551" s="4" t="n"/>
      <c r="K1551" s="7">
        <f>IF(OR(B1551="",B1551&lt;&gt;الإيصال!$C$3),"",COUNTIF(B$2:B1551,الإيصال!$C$3))</f>
        <v/>
      </c>
    </row>
    <row r="1552">
      <c r="A1552" s="6" t="n"/>
      <c r="B1552" s="4" t="n"/>
      <c r="C1552" s="4" t="n"/>
      <c r="D1552" s="4" t="n"/>
      <c r="E1552">
        <f>IF(D1552="","",IFERROR(INDEX(الأصناف!$B$2:$B$2000,MATCH(D1552,الأصناف!$A$2:$A$2000,0)),"كود غير موجود"))</f>
        <v/>
      </c>
      <c r="F1552" s="4" t="n"/>
      <c r="G1552">
        <f>IF(D1552="","",IFERROR(INDEX(الأصناف!$C$2:$C$2000,MATCH(D1552,الأصناف!$A$2:$A$2000,0)),0))</f>
        <v/>
      </c>
      <c r="H1552">
        <f>IF(D1552="","",F1552*G1552)</f>
        <v/>
      </c>
      <c r="I1552">
        <f>IF(D1552="","",H1552-F1552*IFERROR(INDEX(الأصناف!$D$2:$D$2000,MATCH(D1552,الأصناف!$A$2:$A$2000,0)),0))</f>
        <v/>
      </c>
      <c r="J1552" s="4" t="n"/>
      <c r="K1552" s="7">
        <f>IF(OR(B1552="",B1552&lt;&gt;الإيصال!$C$3),"",COUNTIF(B$2:B1552,الإيصال!$C$3))</f>
        <v/>
      </c>
    </row>
    <row r="1553">
      <c r="A1553" s="6" t="n"/>
      <c r="B1553" s="4" t="n"/>
      <c r="C1553" s="4" t="n"/>
      <c r="D1553" s="4" t="n"/>
      <c r="E1553">
        <f>IF(D1553="","",IFERROR(INDEX(الأصناف!$B$2:$B$2000,MATCH(D1553,الأصناف!$A$2:$A$2000,0)),"كود غير موجود"))</f>
        <v/>
      </c>
      <c r="F1553" s="4" t="n"/>
      <c r="G1553">
        <f>IF(D1553="","",IFERROR(INDEX(الأصناف!$C$2:$C$2000,MATCH(D1553,الأصناف!$A$2:$A$2000,0)),0))</f>
        <v/>
      </c>
      <c r="H1553">
        <f>IF(D1553="","",F1553*G1553)</f>
        <v/>
      </c>
      <c r="I1553">
        <f>IF(D1553="","",H1553-F1553*IFERROR(INDEX(الأصناف!$D$2:$D$2000,MATCH(D1553,الأصناف!$A$2:$A$2000,0)),0))</f>
        <v/>
      </c>
      <c r="J1553" s="4" t="n"/>
      <c r="K1553" s="7">
        <f>IF(OR(B1553="",B1553&lt;&gt;الإيصال!$C$3),"",COUNTIF(B$2:B1553,الإيصال!$C$3))</f>
        <v/>
      </c>
    </row>
    <row r="1554">
      <c r="A1554" s="6" t="n"/>
      <c r="B1554" s="4" t="n"/>
      <c r="C1554" s="4" t="n"/>
      <c r="D1554" s="4" t="n"/>
      <c r="E1554">
        <f>IF(D1554="","",IFERROR(INDEX(الأصناف!$B$2:$B$2000,MATCH(D1554,الأصناف!$A$2:$A$2000,0)),"كود غير موجود"))</f>
        <v/>
      </c>
      <c r="F1554" s="4" t="n"/>
      <c r="G1554">
        <f>IF(D1554="","",IFERROR(INDEX(الأصناف!$C$2:$C$2000,MATCH(D1554,الأصناف!$A$2:$A$2000,0)),0))</f>
        <v/>
      </c>
      <c r="H1554">
        <f>IF(D1554="","",F1554*G1554)</f>
        <v/>
      </c>
      <c r="I1554">
        <f>IF(D1554="","",H1554-F1554*IFERROR(INDEX(الأصناف!$D$2:$D$2000,MATCH(D1554,الأصناف!$A$2:$A$2000,0)),0))</f>
        <v/>
      </c>
      <c r="J1554" s="4" t="n"/>
      <c r="K1554" s="7">
        <f>IF(OR(B1554="",B1554&lt;&gt;الإيصال!$C$3),"",COUNTIF(B$2:B1554,الإيصال!$C$3))</f>
        <v/>
      </c>
    </row>
    <row r="1555">
      <c r="A1555" s="6" t="n"/>
      <c r="B1555" s="4" t="n"/>
      <c r="C1555" s="4" t="n"/>
      <c r="D1555" s="4" t="n"/>
      <c r="E1555">
        <f>IF(D1555="","",IFERROR(INDEX(الأصناف!$B$2:$B$2000,MATCH(D1555,الأصناف!$A$2:$A$2000,0)),"كود غير موجود"))</f>
        <v/>
      </c>
      <c r="F1555" s="4" t="n"/>
      <c r="G1555">
        <f>IF(D1555="","",IFERROR(INDEX(الأصناف!$C$2:$C$2000,MATCH(D1555,الأصناف!$A$2:$A$2000,0)),0))</f>
        <v/>
      </c>
      <c r="H1555">
        <f>IF(D1555="","",F1555*G1555)</f>
        <v/>
      </c>
      <c r="I1555">
        <f>IF(D1555="","",H1555-F1555*IFERROR(INDEX(الأصناف!$D$2:$D$2000,MATCH(D1555,الأصناف!$A$2:$A$2000,0)),0))</f>
        <v/>
      </c>
      <c r="J1555" s="4" t="n"/>
      <c r="K1555" s="7">
        <f>IF(OR(B1555="",B1555&lt;&gt;الإيصال!$C$3),"",COUNTIF(B$2:B1555,الإيصال!$C$3))</f>
        <v/>
      </c>
    </row>
    <row r="1556">
      <c r="A1556" s="6" t="n"/>
      <c r="B1556" s="4" t="n"/>
      <c r="C1556" s="4" t="n"/>
      <c r="D1556" s="4" t="n"/>
      <c r="E1556">
        <f>IF(D1556="","",IFERROR(INDEX(الأصناف!$B$2:$B$2000,MATCH(D1556,الأصناف!$A$2:$A$2000,0)),"كود غير موجود"))</f>
        <v/>
      </c>
      <c r="F1556" s="4" t="n"/>
      <c r="G1556">
        <f>IF(D1556="","",IFERROR(INDEX(الأصناف!$C$2:$C$2000,MATCH(D1556,الأصناف!$A$2:$A$2000,0)),0))</f>
        <v/>
      </c>
      <c r="H1556">
        <f>IF(D1556="","",F1556*G1556)</f>
        <v/>
      </c>
      <c r="I1556">
        <f>IF(D1556="","",H1556-F1556*IFERROR(INDEX(الأصناف!$D$2:$D$2000,MATCH(D1556,الأصناف!$A$2:$A$2000,0)),0))</f>
        <v/>
      </c>
      <c r="J1556" s="4" t="n"/>
      <c r="K1556" s="7">
        <f>IF(OR(B1556="",B1556&lt;&gt;الإيصال!$C$3),"",COUNTIF(B$2:B1556,الإيصال!$C$3))</f>
        <v/>
      </c>
    </row>
    <row r="1557">
      <c r="A1557" s="6" t="n"/>
      <c r="B1557" s="4" t="n"/>
      <c r="C1557" s="4" t="n"/>
      <c r="D1557" s="4" t="n"/>
      <c r="E1557">
        <f>IF(D1557="","",IFERROR(INDEX(الأصناف!$B$2:$B$2000,MATCH(D1557,الأصناف!$A$2:$A$2000,0)),"كود غير موجود"))</f>
        <v/>
      </c>
      <c r="F1557" s="4" t="n"/>
      <c r="G1557">
        <f>IF(D1557="","",IFERROR(INDEX(الأصناف!$C$2:$C$2000,MATCH(D1557,الأصناف!$A$2:$A$2000,0)),0))</f>
        <v/>
      </c>
      <c r="H1557">
        <f>IF(D1557="","",F1557*G1557)</f>
        <v/>
      </c>
      <c r="I1557">
        <f>IF(D1557="","",H1557-F1557*IFERROR(INDEX(الأصناف!$D$2:$D$2000,MATCH(D1557,الأصناف!$A$2:$A$2000,0)),0))</f>
        <v/>
      </c>
      <c r="J1557" s="4" t="n"/>
      <c r="K1557" s="7">
        <f>IF(OR(B1557="",B1557&lt;&gt;الإيصال!$C$3),"",COUNTIF(B$2:B1557,الإيصال!$C$3))</f>
        <v/>
      </c>
    </row>
    <row r="1558">
      <c r="A1558" s="6" t="n"/>
      <c r="B1558" s="4" t="n"/>
      <c r="C1558" s="4" t="n"/>
      <c r="D1558" s="4" t="n"/>
      <c r="E1558">
        <f>IF(D1558="","",IFERROR(INDEX(الأصناف!$B$2:$B$2000,MATCH(D1558,الأصناف!$A$2:$A$2000,0)),"كود غير موجود"))</f>
        <v/>
      </c>
      <c r="F1558" s="4" t="n"/>
      <c r="G1558">
        <f>IF(D1558="","",IFERROR(INDEX(الأصناف!$C$2:$C$2000,MATCH(D1558,الأصناف!$A$2:$A$2000,0)),0))</f>
        <v/>
      </c>
      <c r="H1558">
        <f>IF(D1558="","",F1558*G1558)</f>
        <v/>
      </c>
      <c r="I1558">
        <f>IF(D1558="","",H1558-F1558*IFERROR(INDEX(الأصناف!$D$2:$D$2000,MATCH(D1558,الأصناف!$A$2:$A$2000,0)),0))</f>
        <v/>
      </c>
      <c r="J1558" s="4" t="n"/>
      <c r="K1558" s="7">
        <f>IF(OR(B1558="",B1558&lt;&gt;الإيصال!$C$3),"",COUNTIF(B$2:B1558,الإيصال!$C$3))</f>
        <v/>
      </c>
    </row>
    <row r="1559">
      <c r="A1559" s="6" t="n"/>
      <c r="B1559" s="4" t="n"/>
      <c r="C1559" s="4" t="n"/>
      <c r="D1559" s="4" t="n"/>
      <c r="E1559">
        <f>IF(D1559="","",IFERROR(INDEX(الأصناف!$B$2:$B$2000,MATCH(D1559,الأصناف!$A$2:$A$2000,0)),"كود غير موجود"))</f>
        <v/>
      </c>
      <c r="F1559" s="4" t="n"/>
      <c r="G1559">
        <f>IF(D1559="","",IFERROR(INDEX(الأصناف!$C$2:$C$2000,MATCH(D1559,الأصناف!$A$2:$A$2000,0)),0))</f>
        <v/>
      </c>
      <c r="H1559">
        <f>IF(D1559="","",F1559*G1559)</f>
        <v/>
      </c>
      <c r="I1559">
        <f>IF(D1559="","",H1559-F1559*IFERROR(INDEX(الأصناف!$D$2:$D$2000,MATCH(D1559,الأصناف!$A$2:$A$2000,0)),0))</f>
        <v/>
      </c>
      <c r="J1559" s="4" t="n"/>
      <c r="K1559" s="7">
        <f>IF(OR(B1559="",B1559&lt;&gt;الإيصال!$C$3),"",COUNTIF(B$2:B1559,الإيصال!$C$3))</f>
        <v/>
      </c>
    </row>
    <row r="1560">
      <c r="A1560" s="6" t="n"/>
      <c r="B1560" s="4" t="n"/>
      <c r="C1560" s="4" t="n"/>
      <c r="D1560" s="4" t="n"/>
      <c r="E1560">
        <f>IF(D1560="","",IFERROR(INDEX(الأصناف!$B$2:$B$2000,MATCH(D1560,الأصناف!$A$2:$A$2000,0)),"كود غير موجود"))</f>
        <v/>
      </c>
      <c r="F1560" s="4" t="n"/>
      <c r="G1560">
        <f>IF(D1560="","",IFERROR(INDEX(الأصناف!$C$2:$C$2000,MATCH(D1560,الأصناف!$A$2:$A$2000,0)),0))</f>
        <v/>
      </c>
      <c r="H1560">
        <f>IF(D1560="","",F1560*G1560)</f>
        <v/>
      </c>
      <c r="I1560">
        <f>IF(D1560="","",H1560-F1560*IFERROR(INDEX(الأصناف!$D$2:$D$2000,MATCH(D1560,الأصناف!$A$2:$A$2000,0)),0))</f>
        <v/>
      </c>
      <c r="J1560" s="4" t="n"/>
      <c r="K1560" s="7">
        <f>IF(OR(B1560="",B1560&lt;&gt;الإيصال!$C$3),"",COUNTIF(B$2:B1560,الإيصال!$C$3))</f>
        <v/>
      </c>
    </row>
    <row r="1561">
      <c r="A1561" s="6" t="n"/>
      <c r="B1561" s="4" t="n"/>
      <c r="C1561" s="4" t="n"/>
      <c r="D1561" s="4" t="n"/>
      <c r="E1561">
        <f>IF(D1561="","",IFERROR(INDEX(الأصناف!$B$2:$B$2000,MATCH(D1561,الأصناف!$A$2:$A$2000,0)),"كود غير موجود"))</f>
        <v/>
      </c>
      <c r="F1561" s="4" t="n"/>
      <c r="G1561">
        <f>IF(D1561="","",IFERROR(INDEX(الأصناف!$C$2:$C$2000,MATCH(D1561,الأصناف!$A$2:$A$2000,0)),0))</f>
        <v/>
      </c>
      <c r="H1561">
        <f>IF(D1561="","",F1561*G1561)</f>
        <v/>
      </c>
      <c r="I1561">
        <f>IF(D1561="","",H1561-F1561*IFERROR(INDEX(الأصناف!$D$2:$D$2000,MATCH(D1561,الأصناف!$A$2:$A$2000,0)),0))</f>
        <v/>
      </c>
      <c r="J1561" s="4" t="n"/>
      <c r="K1561" s="7">
        <f>IF(OR(B1561="",B1561&lt;&gt;الإيصال!$C$3),"",COUNTIF(B$2:B1561,الإيصال!$C$3))</f>
        <v/>
      </c>
    </row>
    <row r="1562">
      <c r="A1562" s="6" t="n"/>
      <c r="B1562" s="4" t="n"/>
      <c r="C1562" s="4" t="n"/>
      <c r="D1562" s="4" t="n"/>
      <c r="E1562">
        <f>IF(D1562="","",IFERROR(INDEX(الأصناف!$B$2:$B$2000,MATCH(D1562,الأصناف!$A$2:$A$2000,0)),"كود غير موجود"))</f>
        <v/>
      </c>
      <c r="F1562" s="4" t="n"/>
      <c r="G1562">
        <f>IF(D1562="","",IFERROR(INDEX(الأصناف!$C$2:$C$2000,MATCH(D1562,الأصناف!$A$2:$A$2000,0)),0))</f>
        <v/>
      </c>
      <c r="H1562">
        <f>IF(D1562="","",F1562*G1562)</f>
        <v/>
      </c>
      <c r="I1562">
        <f>IF(D1562="","",H1562-F1562*IFERROR(INDEX(الأصناف!$D$2:$D$2000,MATCH(D1562,الأصناف!$A$2:$A$2000,0)),0))</f>
        <v/>
      </c>
      <c r="J1562" s="4" t="n"/>
      <c r="K1562" s="7">
        <f>IF(OR(B1562="",B1562&lt;&gt;الإيصال!$C$3),"",COUNTIF(B$2:B1562,الإيصال!$C$3))</f>
        <v/>
      </c>
    </row>
    <row r="1563">
      <c r="A1563" s="6" t="n"/>
      <c r="B1563" s="4" t="n"/>
      <c r="C1563" s="4" t="n"/>
      <c r="D1563" s="4" t="n"/>
      <c r="E1563">
        <f>IF(D1563="","",IFERROR(INDEX(الأصناف!$B$2:$B$2000,MATCH(D1563,الأصناف!$A$2:$A$2000,0)),"كود غير موجود"))</f>
        <v/>
      </c>
      <c r="F1563" s="4" t="n"/>
      <c r="G1563">
        <f>IF(D1563="","",IFERROR(INDEX(الأصناف!$C$2:$C$2000,MATCH(D1563,الأصناف!$A$2:$A$2000,0)),0))</f>
        <v/>
      </c>
      <c r="H1563">
        <f>IF(D1563="","",F1563*G1563)</f>
        <v/>
      </c>
      <c r="I1563">
        <f>IF(D1563="","",H1563-F1563*IFERROR(INDEX(الأصناف!$D$2:$D$2000,MATCH(D1563,الأصناف!$A$2:$A$2000,0)),0))</f>
        <v/>
      </c>
      <c r="J1563" s="4" t="n"/>
      <c r="K1563" s="7">
        <f>IF(OR(B1563="",B1563&lt;&gt;الإيصال!$C$3),"",COUNTIF(B$2:B1563,الإيصال!$C$3))</f>
        <v/>
      </c>
    </row>
    <row r="1564">
      <c r="A1564" s="6" t="n"/>
      <c r="B1564" s="4" t="n"/>
      <c r="C1564" s="4" t="n"/>
      <c r="D1564" s="4" t="n"/>
      <c r="E1564">
        <f>IF(D1564="","",IFERROR(INDEX(الأصناف!$B$2:$B$2000,MATCH(D1564,الأصناف!$A$2:$A$2000,0)),"كود غير موجود"))</f>
        <v/>
      </c>
      <c r="F1564" s="4" t="n"/>
      <c r="G1564">
        <f>IF(D1564="","",IFERROR(INDEX(الأصناف!$C$2:$C$2000,MATCH(D1564,الأصناف!$A$2:$A$2000,0)),0))</f>
        <v/>
      </c>
      <c r="H1564">
        <f>IF(D1564="","",F1564*G1564)</f>
        <v/>
      </c>
      <c r="I1564">
        <f>IF(D1564="","",H1564-F1564*IFERROR(INDEX(الأصناف!$D$2:$D$2000,MATCH(D1564,الأصناف!$A$2:$A$2000,0)),0))</f>
        <v/>
      </c>
      <c r="J1564" s="4" t="n"/>
      <c r="K1564" s="7">
        <f>IF(OR(B1564="",B1564&lt;&gt;الإيصال!$C$3),"",COUNTIF(B$2:B1564,الإيصال!$C$3))</f>
        <v/>
      </c>
    </row>
    <row r="1565">
      <c r="A1565" s="6" t="n"/>
      <c r="B1565" s="4" t="n"/>
      <c r="C1565" s="4" t="n"/>
      <c r="D1565" s="4" t="n"/>
      <c r="E1565">
        <f>IF(D1565="","",IFERROR(INDEX(الأصناف!$B$2:$B$2000,MATCH(D1565,الأصناف!$A$2:$A$2000,0)),"كود غير موجود"))</f>
        <v/>
      </c>
      <c r="F1565" s="4" t="n"/>
      <c r="G1565">
        <f>IF(D1565="","",IFERROR(INDEX(الأصناف!$C$2:$C$2000,MATCH(D1565,الأصناف!$A$2:$A$2000,0)),0))</f>
        <v/>
      </c>
      <c r="H1565">
        <f>IF(D1565="","",F1565*G1565)</f>
        <v/>
      </c>
      <c r="I1565">
        <f>IF(D1565="","",H1565-F1565*IFERROR(INDEX(الأصناف!$D$2:$D$2000,MATCH(D1565,الأصناف!$A$2:$A$2000,0)),0))</f>
        <v/>
      </c>
      <c r="J1565" s="4" t="n"/>
      <c r="K1565" s="7">
        <f>IF(OR(B1565="",B1565&lt;&gt;الإيصال!$C$3),"",COUNTIF(B$2:B1565,الإيصال!$C$3))</f>
        <v/>
      </c>
    </row>
    <row r="1566">
      <c r="A1566" s="6" t="n"/>
      <c r="B1566" s="4" t="n"/>
      <c r="C1566" s="4" t="n"/>
      <c r="D1566" s="4" t="n"/>
      <c r="E1566">
        <f>IF(D1566="","",IFERROR(INDEX(الأصناف!$B$2:$B$2000,MATCH(D1566,الأصناف!$A$2:$A$2000,0)),"كود غير موجود"))</f>
        <v/>
      </c>
      <c r="F1566" s="4" t="n"/>
      <c r="G1566">
        <f>IF(D1566="","",IFERROR(INDEX(الأصناف!$C$2:$C$2000,MATCH(D1566,الأصناف!$A$2:$A$2000,0)),0))</f>
        <v/>
      </c>
      <c r="H1566">
        <f>IF(D1566="","",F1566*G1566)</f>
        <v/>
      </c>
      <c r="I1566">
        <f>IF(D1566="","",H1566-F1566*IFERROR(INDEX(الأصناف!$D$2:$D$2000,MATCH(D1566,الأصناف!$A$2:$A$2000,0)),0))</f>
        <v/>
      </c>
      <c r="J1566" s="4" t="n"/>
      <c r="K1566" s="7">
        <f>IF(OR(B1566="",B1566&lt;&gt;الإيصال!$C$3),"",COUNTIF(B$2:B1566,الإيصال!$C$3))</f>
        <v/>
      </c>
    </row>
    <row r="1567">
      <c r="A1567" s="6" t="n"/>
      <c r="B1567" s="4" t="n"/>
      <c r="C1567" s="4" t="n"/>
      <c r="D1567" s="4" t="n"/>
      <c r="E1567">
        <f>IF(D1567="","",IFERROR(INDEX(الأصناف!$B$2:$B$2000,MATCH(D1567,الأصناف!$A$2:$A$2000,0)),"كود غير موجود"))</f>
        <v/>
      </c>
      <c r="F1567" s="4" t="n"/>
      <c r="G1567">
        <f>IF(D1567="","",IFERROR(INDEX(الأصناف!$C$2:$C$2000,MATCH(D1567,الأصناف!$A$2:$A$2000,0)),0))</f>
        <v/>
      </c>
      <c r="H1567">
        <f>IF(D1567="","",F1567*G1567)</f>
        <v/>
      </c>
      <c r="I1567">
        <f>IF(D1567="","",H1567-F1567*IFERROR(INDEX(الأصناف!$D$2:$D$2000,MATCH(D1567,الأصناف!$A$2:$A$2000,0)),0))</f>
        <v/>
      </c>
      <c r="J1567" s="4" t="n"/>
      <c r="K1567" s="7">
        <f>IF(OR(B1567="",B1567&lt;&gt;الإيصال!$C$3),"",COUNTIF(B$2:B1567,الإيصال!$C$3))</f>
        <v/>
      </c>
    </row>
    <row r="1568">
      <c r="A1568" s="6" t="n"/>
      <c r="B1568" s="4" t="n"/>
      <c r="C1568" s="4" t="n"/>
      <c r="D1568" s="4" t="n"/>
      <c r="E1568">
        <f>IF(D1568="","",IFERROR(INDEX(الأصناف!$B$2:$B$2000,MATCH(D1568,الأصناف!$A$2:$A$2000,0)),"كود غير موجود"))</f>
        <v/>
      </c>
      <c r="F1568" s="4" t="n"/>
      <c r="G1568">
        <f>IF(D1568="","",IFERROR(INDEX(الأصناف!$C$2:$C$2000,MATCH(D1568,الأصناف!$A$2:$A$2000,0)),0))</f>
        <v/>
      </c>
      <c r="H1568">
        <f>IF(D1568="","",F1568*G1568)</f>
        <v/>
      </c>
      <c r="I1568">
        <f>IF(D1568="","",H1568-F1568*IFERROR(INDEX(الأصناف!$D$2:$D$2000,MATCH(D1568,الأصناف!$A$2:$A$2000,0)),0))</f>
        <v/>
      </c>
      <c r="J1568" s="4" t="n"/>
      <c r="K1568" s="7">
        <f>IF(OR(B1568="",B1568&lt;&gt;الإيصال!$C$3),"",COUNTIF(B$2:B1568,الإيصال!$C$3))</f>
        <v/>
      </c>
    </row>
    <row r="1569">
      <c r="A1569" s="6" t="n"/>
      <c r="B1569" s="4" t="n"/>
      <c r="C1569" s="4" t="n"/>
      <c r="D1569" s="4" t="n"/>
      <c r="E1569">
        <f>IF(D1569="","",IFERROR(INDEX(الأصناف!$B$2:$B$2000,MATCH(D1569,الأصناف!$A$2:$A$2000,0)),"كود غير موجود"))</f>
        <v/>
      </c>
      <c r="F1569" s="4" t="n"/>
      <c r="G1569">
        <f>IF(D1569="","",IFERROR(INDEX(الأصناف!$C$2:$C$2000,MATCH(D1569,الأصناف!$A$2:$A$2000,0)),0))</f>
        <v/>
      </c>
      <c r="H1569">
        <f>IF(D1569="","",F1569*G1569)</f>
        <v/>
      </c>
      <c r="I1569">
        <f>IF(D1569="","",H1569-F1569*IFERROR(INDEX(الأصناف!$D$2:$D$2000,MATCH(D1569,الأصناف!$A$2:$A$2000,0)),0))</f>
        <v/>
      </c>
      <c r="J1569" s="4" t="n"/>
      <c r="K1569" s="7">
        <f>IF(OR(B1569="",B1569&lt;&gt;الإيصال!$C$3),"",COUNTIF(B$2:B1569,الإيصال!$C$3))</f>
        <v/>
      </c>
    </row>
    <row r="1570">
      <c r="A1570" s="6" t="n"/>
      <c r="B1570" s="4" t="n"/>
      <c r="C1570" s="4" t="n"/>
      <c r="D1570" s="4" t="n"/>
      <c r="E1570">
        <f>IF(D1570="","",IFERROR(INDEX(الأصناف!$B$2:$B$2000,MATCH(D1570,الأصناف!$A$2:$A$2000,0)),"كود غير موجود"))</f>
        <v/>
      </c>
      <c r="F1570" s="4" t="n"/>
      <c r="G1570">
        <f>IF(D1570="","",IFERROR(INDEX(الأصناف!$C$2:$C$2000,MATCH(D1570,الأصناف!$A$2:$A$2000,0)),0))</f>
        <v/>
      </c>
      <c r="H1570">
        <f>IF(D1570="","",F1570*G1570)</f>
        <v/>
      </c>
      <c r="I1570">
        <f>IF(D1570="","",H1570-F1570*IFERROR(INDEX(الأصناف!$D$2:$D$2000,MATCH(D1570,الأصناف!$A$2:$A$2000,0)),0))</f>
        <v/>
      </c>
      <c r="J1570" s="4" t="n"/>
      <c r="K1570" s="7">
        <f>IF(OR(B1570="",B1570&lt;&gt;الإيصال!$C$3),"",COUNTIF(B$2:B1570,الإيصال!$C$3))</f>
        <v/>
      </c>
    </row>
    <row r="1571">
      <c r="A1571" s="6" t="n"/>
      <c r="B1571" s="4" t="n"/>
      <c r="C1571" s="4" t="n"/>
      <c r="D1571" s="4" t="n"/>
      <c r="E1571">
        <f>IF(D1571="","",IFERROR(INDEX(الأصناف!$B$2:$B$2000,MATCH(D1571,الأصناف!$A$2:$A$2000,0)),"كود غير موجود"))</f>
        <v/>
      </c>
      <c r="F1571" s="4" t="n"/>
      <c r="G1571">
        <f>IF(D1571="","",IFERROR(INDEX(الأصناف!$C$2:$C$2000,MATCH(D1571,الأصناف!$A$2:$A$2000,0)),0))</f>
        <v/>
      </c>
      <c r="H1571">
        <f>IF(D1571="","",F1571*G1571)</f>
        <v/>
      </c>
      <c r="I1571">
        <f>IF(D1571="","",H1571-F1571*IFERROR(INDEX(الأصناف!$D$2:$D$2000,MATCH(D1571,الأصناف!$A$2:$A$2000,0)),0))</f>
        <v/>
      </c>
      <c r="J1571" s="4" t="n"/>
      <c r="K1571" s="7">
        <f>IF(OR(B1571="",B1571&lt;&gt;الإيصال!$C$3),"",COUNTIF(B$2:B1571,الإيصال!$C$3))</f>
        <v/>
      </c>
    </row>
    <row r="1572">
      <c r="A1572" s="6" t="n"/>
      <c r="B1572" s="4" t="n"/>
      <c r="C1572" s="4" t="n"/>
      <c r="D1572" s="4" t="n"/>
      <c r="E1572">
        <f>IF(D1572="","",IFERROR(INDEX(الأصناف!$B$2:$B$2000,MATCH(D1572,الأصناف!$A$2:$A$2000,0)),"كود غير موجود"))</f>
        <v/>
      </c>
      <c r="F1572" s="4" t="n"/>
      <c r="G1572">
        <f>IF(D1572="","",IFERROR(INDEX(الأصناف!$C$2:$C$2000,MATCH(D1572,الأصناف!$A$2:$A$2000,0)),0))</f>
        <v/>
      </c>
      <c r="H1572">
        <f>IF(D1572="","",F1572*G1572)</f>
        <v/>
      </c>
      <c r="I1572">
        <f>IF(D1572="","",H1572-F1572*IFERROR(INDEX(الأصناف!$D$2:$D$2000,MATCH(D1572,الأصناف!$A$2:$A$2000,0)),0))</f>
        <v/>
      </c>
      <c r="J1572" s="4" t="n"/>
      <c r="K1572" s="7">
        <f>IF(OR(B1572="",B1572&lt;&gt;الإيصال!$C$3),"",COUNTIF(B$2:B1572,الإيصال!$C$3))</f>
        <v/>
      </c>
    </row>
    <row r="1573">
      <c r="A1573" s="6" t="n"/>
      <c r="B1573" s="4" t="n"/>
      <c r="C1573" s="4" t="n"/>
      <c r="D1573" s="4" t="n"/>
      <c r="E1573">
        <f>IF(D1573="","",IFERROR(INDEX(الأصناف!$B$2:$B$2000,MATCH(D1573,الأصناف!$A$2:$A$2000,0)),"كود غير موجود"))</f>
        <v/>
      </c>
      <c r="F1573" s="4" t="n"/>
      <c r="G1573">
        <f>IF(D1573="","",IFERROR(INDEX(الأصناف!$C$2:$C$2000,MATCH(D1573,الأصناف!$A$2:$A$2000,0)),0))</f>
        <v/>
      </c>
      <c r="H1573">
        <f>IF(D1573="","",F1573*G1573)</f>
        <v/>
      </c>
      <c r="I1573">
        <f>IF(D1573="","",H1573-F1573*IFERROR(INDEX(الأصناف!$D$2:$D$2000,MATCH(D1573,الأصناف!$A$2:$A$2000,0)),0))</f>
        <v/>
      </c>
      <c r="J1573" s="4" t="n"/>
      <c r="K1573" s="7">
        <f>IF(OR(B1573="",B1573&lt;&gt;الإيصال!$C$3),"",COUNTIF(B$2:B1573,الإيصال!$C$3))</f>
        <v/>
      </c>
    </row>
    <row r="1574">
      <c r="A1574" s="6" t="n"/>
      <c r="B1574" s="4" t="n"/>
      <c r="C1574" s="4" t="n"/>
      <c r="D1574" s="4" t="n"/>
      <c r="E1574">
        <f>IF(D1574="","",IFERROR(INDEX(الأصناف!$B$2:$B$2000,MATCH(D1574,الأصناف!$A$2:$A$2000,0)),"كود غير موجود"))</f>
        <v/>
      </c>
      <c r="F1574" s="4" t="n"/>
      <c r="G1574">
        <f>IF(D1574="","",IFERROR(INDEX(الأصناف!$C$2:$C$2000,MATCH(D1574,الأصناف!$A$2:$A$2000,0)),0))</f>
        <v/>
      </c>
      <c r="H1574">
        <f>IF(D1574="","",F1574*G1574)</f>
        <v/>
      </c>
      <c r="I1574">
        <f>IF(D1574="","",H1574-F1574*IFERROR(INDEX(الأصناف!$D$2:$D$2000,MATCH(D1574,الأصناف!$A$2:$A$2000,0)),0))</f>
        <v/>
      </c>
      <c r="J1574" s="4" t="n"/>
      <c r="K1574" s="7">
        <f>IF(OR(B1574="",B1574&lt;&gt;الإيصال!$C$3),"",COUNTIF(B$2:B1574,الإيصال!$C$3))</f>
        <v/>
      </c>
    </row>
    <row r="1575">
      <c r="A1575" s="6" t="n"/>
      <c r="B1575" s="4" t="n"/>
      <c r="C1575" s="4" t="n"/>
      <c r="D1575" s="4" t="n"/>
      <c r="E1575">
        <f>IF(D1575="","",IFERROR(INDEX(الأصناف!$B$2:$B$2000,MATCH(D1575,الأصناف!$A$2:$A$2000,0)),"كود غير موجود"))</f>
        <v/>
      </c>
      <c r="F1575" s="4" t="n"/>
      <c r="G1575">
        <f>IF(D1575="","",IFERROR(INDEX(الأصناف!$C$2:$C$2000,MATCH(D1575,الأصناف!$A$2:$A$2000,0)),0))</f>
        <v/>
      </c>
      <c r="H1575">
        <f>IF(D1575="","",F1575*G1575)</f>
        <v/>
      </c>
      <c r="I1575">
        <f>IF(D1575="","",H1575-F1575*IFERROR(INDEX(الأصناف!$D$2:$D$2000,MATCH(D1575,الأصناف!$A$2:$A$2000,0)),0))</f>
        <v/>
      </c>
      <c r="J1575" s="4" t="n"/>
      <c r="K1575" s="7">
        <f>IF(OR(B1575="",B1575&lt;&gt;الإيصال!$C$3),"",COUNTIF(B$2:B1575,الإيصال!$C$3))</f>
        <v/>
      </c>
    </row>
    <row r="1576">
      <c r="A1576" s="6" t="n"/>
      <c r="B1576" s="4" t="n"/>
      <c r="C1576" s="4" t="n"/>
      <c r="D1576" s="4" t="n"/>
      <c r="E1576">
        <f>IF(D1576="","",IFERROR(INDEX(الأصناف!$B$2:$B$2000,MATCH(D1576,الأصناف!$A$2:$A$2000,0)),"كود غير موجود"))</f>
        <v/>
      </c>
      <c r="F1576" s="4" t="n"/>
      <c r="G1576">
        <f>IF(D1576="","",IFERROR(INDEX(الأصناف!$C$2:$C$2000,MATCH(D1576,الأصناف!$A$2:$A$2000,0)),0))</f>
        <v/>
      </c>
      <c r="H1576">
        <f>IF(D1576="","",F1576*G1576)</f>
        <v/>
      </c>
      <c r="I1576">
        <f>IF(D1576="","",H1576-F1576*IFERROR(INDEX(الأصناف!$D$2:$D$2000,MATCH(D1576,الأصناف!$A$2:$A$2000,0)),0))</f>
        <v/>
      </c>
      <c r="J1576" s="4" t="n"/>
      <c r="K1576" s="7">
        <f>IF(OR(B1576="",B1576&lt;&gt;الإيصال!$C$3),"",COUNTIF(B$2:B1576,الإيصال!$C$3))</f>
        <v/>
      </c>
    </row>
    <row r="1577">
      <c r="A1577" s="6" t="n"/>
      <c r="B1577" s="4" t="n"/>
      <c r="C1577" s="4" t="n"/>
      <c r="D1577" s="4" t="n"/>
      <c r="E1577">
        <f>IF(D1577="","",IFERROR(INDEX(الأصناف!$B$2:$B$2000,MATCH(D1577,الأصناف!$A$2:$A$2000,0)),"كود غير موجود"))</f>
        <v/>
      </c>
      <c r="F1577" s="4" t="n"/>
      <c r="G1577">
        <f>IF(D1577="","",IFERROR(INDEX(الأصناف!$C$2:$C$2000,MATCH(D1577,الأصناف!$A$2:$A$2000,0)),0))</f>
        <v/>
      </c>
      <c r="H1577">
        <f>IF(D1577="","",F1577*G1577)</f>
        <v/>
      </c>
      <c r="I1577">
        <f>IF(D1577="","",H1577-F1577*IFERROR(INDEX(الأصناف!$D$2:$D$2000,MATCH(D1577,الأصناف!$A$2:$A$2000,0)),0))</f>
        <v/>
      </c>
      <c r="J1577" s="4" t="n"/>
      <c r="K1577" s="7">
        <f>IF(OR(B1577="",B1577&lt;&gt;الإيصال!$C$3),"",COUNTIF(B$2:B1577,الإيصال!$C$3))</f>
        <v/>
      </c>
    </row>
    <row r="1578">
      <c r="A1578" s="6" t="n"/>
      <c r="B1578" s="4" t="n"/>
      <c r="C1578" s="4" t="n"/>
      <c r="D1578" s="4" t="n"/>
      <c r="E1578">
        <f>IF(D1578="","",IFERROR(INDEX(الأصناف!$B$2:$B$2000,MATCH(D1578,الأصناف!$A$2:$A$2000,0)),"كود غير موجود"))</f>
        <v/>
      </c>
      <c r="F1578" s="4" t="n"/>
      <c r="G1578">
        <f>IF(D1578="","",IFERROR(INDEX(الأصناف!$C$2:$C$2000,MATCH(D1578,الأصناف!$A$2:$A$2000,0)),0))</f>
        <v/>
      </c>
      <c r="H1578">
        <f>IF(D1578="","",F1578*G1578)</f>
        <v/>
      </c>
      <c r="I1578">
        <f>IF(D1578="","",H1578-F1578*IFERROR(INDEX(الأصناف!$D$2:$D$2000,MATCH(D1578,الأصناف!$A$2:$A$2000,0)),0))</f>
        <v/>
      </c>
      <c r="J1578" s="4" t="n"/>
      <c r="K1578" s="7">
        <f>IF(OR(B1578="",B1578&lt;&gt;الإيصال!$C$3),"",COUNTIF(B$2:B1578,الإيصال!$C$3))</f>
        <v/>
      </c>
    </row>
    <row r="1579">
      <c r="A1579" s="6" t="n"/>
      <c r="B1579" s="4" t="n"/>
      <c r="C1579" s="4" t="n"/>
      <c r="D1579" s="4" t="n"/>
      <c r="E1579">
        <f>IF(D1579="","",IFERROR(INDEX(الأصناف!$B$2:$B$2000,MATCH(D1579,الأصناف!$A$2:$A$2000,0)),"كود غير موجود"))</f>
        <v/>
      </c>
      <c r="F1579" s="4" t="n"/>
      <c r="G1579">
        <f>IF(D1579="","",IFERROR(INDEX(الأصناف!$C$2:$C$2000,MATCH(D1579,الأصناف!$A$2:$A$2000,0)),0))</f>
        <v/>
      </c>
      <c r="H1579">
        <f>IF(D1579="","",F1579*G1579)</f>
        <v/>
      </c>
      <c r="I1579">
        <f>IF(D1579="","",H1579-F1579*IFERROR(INDEX(الأصناف!$D$2:$D$2000,MATCH(D1579,الأصناف!$A$2:$A$2000,0)),0))</f>
        <v/>
      </c>
      <c r="J1579" s="4" t="n"/>
      <c r="K1579" s="7">
        <f>IF(OR(B1579="",B1579&lt;&gt;الإيصال!$C$3),"",COUNTIF(B$2:B1579,الإيصال!$C$3))</f>
        <v/>
      </c>
    </row>
    <row r="1580">
      <c r="A1580" s="6" t="n"/>
      <c r="B1580" s="4" t="n"/>
      <c r="C1580" s="4" t="n"/>
      <c r="D1580" s="4" t="n"/>
      <c r="E1580">
        <f>IF(D1580="","",IFERROR(INDEX(الأصناف!$B$2:$B$2000,MATCH(D1580,الأصناف!$A$2:$A$2000,0)),"كود غير موجود"))</f>
        <v/>
      </c>
      <c r="F1580" s="4" t="n"/>
      <c r="G1580">
        <f>IF(D1580="","",IFERROR(INDEX(الأصناف!$C$2:$C$2000,MATCH(D1580,الأصناف!$A$2:$A$2000,0)),0))</f>
        <v/>
      </c>
      <c r="H1580">
        <f>IF(D1580="","",F1580*G1580)</f>
        <v/>
      </c>
      <c r="I1580">
        <f>IF(D1580="","",H1580-F1580*IFERROR(INDEX(الأصناف!$D$2:$D$2000,MATCH(D1580,الأصناف!$A$2:$A$2000,0)),0))</f>
        <v/>
      </c>
      <c r="J1580" s="4" t="n"/>
      <c r="K1580" s="7">
        <f>IF(OR(B1580="",B1580&lt;&gt;الإيصال!$C$3),"",COUNTIF(B$2:B1580,الإيصال!$C$3))</f>
        <v/>
      </c>
    </row>
    <row r="1581">
      <c r="A1581" s="6" t="n"/>
      <c r="B1581" s="4" t="n"/>
      <c r="C1581" s="4" t="n"/>
      <c r="D1581" s="4" t="n"/>
      <c r="E1581">
        <f>IF(D1581="","",IFERROR(INDEX(الأصناف!$B$2:$B$2000,MATCH(D1581,الأصناف!$A$2:$A$2000,0)),"كود غير موجود"))</f>
        <v/>
      </c>
      <c r="F1581" s="4" t="n"/>
      <c r="G1581">
        <f>IF(D1581="","",IFERROR(INDEX(الأصناف!$C$2:$C$2000,MATCH(D1581,الأصناف!$A$2:$A$2000,0)),0))</f>
        <v/>
      </c>
      <c r="H1581">
        <f>IF(D1581="","",F1581*G1581)</f>
        <v/>
      </c>
      <c r="I1581">
        <f>IF(D1581="","",H1581-F1581*IFERROR(INDEX(الأصناف!$D$2:$D$2000,MATCH(D1581,الأصناف!$A$2:$A$2000,0)),0))</f>
        <v/>
      </c>
      <c r="J1581" s="4" t="n"/>
      <c r="K1581" s="7">
        <f>IF(OR(B1581="",B1581&lt;&gt;الإيصال!$C$3),"",COUNTIF(B$2:B1581,الإيصال!$C$3))</f>
        <v/>
      </c>
    </row>
    <row r="1582">
      <c r="A1582" s="6" t="n"/>
      <c r="B1582" s="4" t="n"/>
      <c r="C1582" s="4" t="n"/>
      <c r="D1582" s="4" t="n"/>
      <c r="E1582">
        <f>IF(D1582="","",IFERROR(INDEX(الأصناف!$B$2:$B$2000,MATCH(D1582,الأصناف!$A$2:$A$2000,0)),"كود غير موجود"))</f>
        <v/>
      </c>
      <c r="F1582" s="4" t="n"/>
      <c r="G1582">
        <f>IF(D1582="","",IFERROR(INDEX(الأصناف!$C$2:$C$2000,MATCH(D1582,الأصناف!$A$2:$A$2000,0)),0))</f>
        <v/>
      </c>
      <c r="H1582">
        <f>IF(D1582="","",F1582*G1582)</f>
        <v/>
      </c>
      <c r="I1582">
        <f>IF(D1582="","",H1582-F1582*IFERROR(INDEX(الأصناف!$D$2:$D$2000,MATCH(D1582,الأصناف!$A$2:$A$2000,0)),0))</f>
        <v/>
      </c>
      <c r="J1582" s="4" t="n"/>
      <c r="K1582" s="7">
        <f>IF(OR(B1582="",B1582&lt;&gt;الإيصال!$C$3),"",COUNTIF(B$2:B1582,الإيصال!$C$3))</f>
        <v/>
      </c>
    </row>
    <row r="1583">
      <c r="A1583" s="6" t="n"/>
      <c r="B1583" s="4" t="n"/>
      <c r="C1583" s="4" t="n"/>
      <c r="D1583" s="4" t="n"/>
      <c r="E1583">
        <f>IF(D1583="","",IFERROR(INDEX(الأصناف!$B$2:$B$2000,MATCH(D1583,الأصناف!$A$2:$A$2000,0)),"كود غير موجود"))</f>
        <v/>
      </c>
      <c r="F1583" s="4" t="n"/>
      <c r="G1583">
        <f>IF(D1583="","",IFERROR(INDEX(الأصناف!$C$2:$C$2000,MATCH(D1583,الأصناف!$A$2:$A$2000,0)),0))</f>
        <v/>
      </c>
      <c r="H1583">
        <f>IF(D1583="","",F1583*G1583)</f>
        <v/>
      </c>
      <c r="I1583">
        <f>IF(D1583="","",H1583-F1583*IFERROR(INDEX(الأصناف!$D$2:$D$2000,MATCH(D1583,الأصناف!$A$2:$A$2000,0)),0))</f>
        <v/>
      </c>
      <c r="J1583" s="4" t="n"/>
      <c r="K1583" s="7">
        <f>IF(OR(B1583="",B1583&lt;&gt;الإيصال!$C$3),"",COUNTIF(B$2:B1583,الإيصال!$C$3))</f>
        <v/>
      </c>
    </row>
    <row r="1584">
      <c r="A1584" s="6" t="n"/>
      <c r="B1584" s="4" t="n"/>
      <c r="C1584" s="4" t="n"/>
      <c r="D1584" s="4" t="n"/>
      <c r="E1584">
        <f>IF(D1584="","",IFERROR(INDEX(الأصناف!$B$2:$B$2000,MATCH(D1584,الأصناف!$A$2:$A$2000,0)),"كود غير موجود"))</f>
        <v/>
      </c>
      <c r="F1584" s="4" t="n"/>
      <c r="G1584">
        <f>IF(D1584="","",IFERROR(INDEX(الأصناف!$C$2:$C$2000,MATCH(D1584,الأصناف!$A$2:$A$2000,0)),0))</f>
        <v/>
      </c>
      <c r="H1584">
        <f>IF(D1584="","",F1584*G1584)</f>
        <v/>
      </c>
      <c r="I1584">
        <f>IF(D1584="","",H1584-F1584*IFERROR(INDEX(الأصناف!$D$2:$D$2000,MATCH(D1584,الأصناف!$A$2:$A$2000,0)),0))</f>
        <v/>
      </c>
      <c r="J1584" s="4" t="n"/>
      <c r="K1584" s="7">
        <f>IF(OR(B1584="",B1584&lt;&gt;الإيصال!$C$3),"",COUNTIF(B$2:B1584,الإيصال!$C$3))</f>
        <v/>
      </c>
    </row>
    <row r="1585">
      <c r="A1585" s="6" t="n"/>
      <c r="B1585" s="4" t="n"/>
      <c r="C1585" s="4" t="n"/>
      <c r="D1585" s="4" t="n"/>
      <c r="E1585">
        <f>IF(D1585="","",IFERROR(INDEX(الأصناف!$B$2:$B$2000,MATCH(D1585,الأصناف!$A$2:$A$2000,0)),"كود غير موجود"))</f>
        <v/>
      </c>
      <c r="F1585" s="4" t="n"/>
      <c r="G1585">
        <f>IF(D1585="","",IFERROR(INDEX(الأصناف!$C$2:$C$2000,MATCH(D1585,الأصناف!$A$2:$A$2000,0)),0))</f>
        <v/>
      </c>
      <c r="H1585">
        <f>IF(D1585="","",F1585*G1585)</f>
        <v/>
      </c>
      <c r="I1585">
        <f>IF(D1585="","",H1585-F1585*IFERROR(INDEX(الأصناف!$D$2:$D$2000,MATCH(D1585,الأصناف!$A$2:$A$2000,0)),0))</f>
        <v/>
      </c>
      <c r="J1585" s="4" t="n"/>
      <c r="K1585" s="7">
        <f>IF(OR(B1585="",B1585&lt;&gt;الإيصال!$C$3),"",COUNTIF(B$2:B1585,الإيصال!$C$3))</f>
        <v/>
      </c>
    </row>
    <row r="1586">
      <c r="A1586" s="6" t="n"/>
      <c r="B1586" s="4" t="n"/>
      <c r="C1586" s="4" t="n"/>
      <c r="D1586" s="4" t="n"/>
      <c r="E1586">
        <f>IF(D1586="","",IFERROR(INDEX(الأصناف!$B$2:$B$2000,MATCH(D1586,الأصناف!$A$2:$A$2000,0)),"كود غير موجود"))</f>
        <v/>
      </c>
      <c r="F1586" s="4" t="n"/>
      <c r="G1586">
        <f>IF(D1586="","",IFERROR(INDEX(الأصناف!$C$2:$C$2000,MATCH(D1586,الأصناف!$A$2:$A$2000,0)),0))</f>
        <v/>
      </c>
      <c r="H1586">
        <f>IF(D1586="","",F1586*G1586)</f>
        <v/>
      </c>
      <c r="I1586">
        <f>IF(D1586="","",H1586-F1586*IFERROR(INDEX(الأصناف!$D$2:$D$2000,MATCH(D1586,الأصناف!$A$2:$A$2000,0)),0))</f>
        <v/>
      </c>
      <c r="J1586" s="4" t="n"/>
      <c r="K1586" s="7">
        <f>IF(OR(B1586="",B1586&lt;&gt;الإيصال!$C$3),"",COUNTIF(B$2:B1586,الإيصال!$C$3))</f>
        <v/>
      </c>
    </row>
    <row r="1587">
      <c r="A1587" s="6" t="n"/>
      <c r="B1587" s="4" t="n"/>
      <c r="C1587" s="4" t="n"/>
      <c r="D1587" s="4" t="n"/>
      <c r="E1587">
        <f>IF(D1587="","",IFERROR(INDEX(الأصناف!$B$2:$B$2000,MATCH(D1587,الأصناف!$A$2:$A$2000,0)),"كود غير موجود"))</f>
        <v/>
      </c>
      <c r="F1587" s="4" t="n"/>
      <c r="G1587">
        <f>IF(D1587="","",IFERROR(INDEX(الأصناف!$C$2:$C$2000,MATCH(D1587,الأصناف!$A$2:$A$2000,0)),0))</f>
        <v/>
      </c>
      <c r="H1587">
        <f>IF(D1587="","",F1587*G1587)</f>
        <v/>
      </c>
      <c r="I1587">
        <f>IF(D1587="","",H1587-F1587*IFERROR(INDEX(الأصناف!$D$2:$D$2000,MATCH(D1587,الأصناف!$A$2:$A$2000,0)),0))</f>
        <v/>
      </c>
      <c r="J1587" s="4" t="n"/>
      <c r="K1587" s="7">
        <f>IF(OR(B1587="",B1587&lt;&gt;الإيصال!$C$3),"",COUNTIF(B$2:B1587,الإيصال!$C$3))</f>
        <v/>
      </c>
    </row>
    <row r="1588">
      <c r="A1588" s="6" t="n"/>
      <c r="B1588" s="4" t="n"/>
      <c r="C1588" s="4" t="n"/>
      <c r="D1588" s="4" t="n"/>
      <c r="E1588">
        <f>IF(D1588="","",IFERROR(INDEX(الأصناف!$B$2:$B$2000,MATCH(D1588,الأصناف!$A$2:$A$2000,0)),"كود غير موجود"))</f>
        <v/>
      </c>
      <c r="F1588" s="4" t="n"/>
      <c r="G1588">
        <f>IF(D1588="","",IFERROR(INDEX(الأصناف!$C$2:$C$2000,MATCH(D1588,الأصناف!$A$2:$A$2000,0)),0))</f>
        <v/>
      </c>
      <c r="H1588">
        <f>IF(D1588="","",F1588*G1588)</f>
        <v/>
      </c>
      <c r="I1588">
        <f>IF(D1588="","",H1588-F1588*IFERROR(INDEX(الأصناف!$D$2:$D$2000,MATCH(D1588,الأصناف!$A$2:$A$2000,0)),0))</f>
        <v/>
      </c>
      <c r="J1588" s="4" t="n"/>
      <c r="K1588" s="7">
        <f>IF(OR(B1588="",B1588&lt;&gt;الإيصال!$C$3),"",COUNTIF(B$2:B1588,الإيصال!$C$3))</f>
        <v/>
      </c>
    </row>
    <row r="1589">
      <c r="A1589" s="6" t="n"/>
      <c r="B1589" s="4" t="n"/>
      <c r="C1589" s="4" t="n"/>
      <c r="D1589" s="4" t="n"/>
      <c r="E1589">
        <f>IF(D1589="","",IFERROR(INDEX(الأصناف!$B$2:$B$2000,MATCH(D1589,الأصناف!$A$2:$A$2000,0)),"كود غير موجود"))</f>
        <v/>
      </c>
      <c r="F1589" s="4" t="n"/>
      <c r="G1589">
        <f>IF(D1589="","",IFERROR(INDEX(الأصناف!$C$2:$C$2000,MATCH(D1589,الأصناف!$A$2:$A$2000,0)),0))</f>
        <v/>
      </c>
      <c r="H1589">
        <f>IF(D1589="","",F1589*G1589)</f>
        <v/>
      </c>
      <c r="I1589">
        <f>IF(D1589="","",H1589-F1589*IFERROR(INDEX(الأصناف!$D$2:$D$2000,MATCH(D1589,الأصناف!$A$2:$A$2000,0)),0))</f>
        <v/>
      </c>
      <c r="J1589" s="4" t="n"/>
      <c r="K1589" s="7">
        <f>IF(OR(B1589="",B1589&lt;&gt;الإيصال!$C$3),"",COUNTIF(B$2:B1589,الإيصال!$C$3))</f>
        <v/>
      </c>
    </row>
    <row r="1590">
      <c r="A1590" s="6" t="n"/>
      <c r="B1590" s="4" t="n"/>
      <c r="C1590" s="4" t="n"/>
      <c r="D1590" s="4" t="n"/>
      <c r="E1590">
        <f>IF(D1590="","",IFERROR(INDEX(الأصناف!$B$2:$B$2000,MATCH(D1590,الأصناف!$A$2:$A$2000,0)),"كود غير موجود"))</f>
        <v/>
      </c>
      <c r="F1590" s="4" t="n"/>
      <c r="G1590">
        <f>IF(D1590="","",IFERROR(INDEX(الأصناف!$C$2:$C$2000,MATCH(D1590,الأصناف!$A$2:$A$2000,0)),0))</f>
        <v/>
      </c>
      <c r="H1590">
        <f>IF(D1590="","",F1590*G1590)</f>
        <v/>
      </c>
      <c r="I1590">
        <f>IF(D1590="","",H1590-F1590*IFERROR(INDEX(الأصناف!$D$2:$D$2000,MATCH(D1590,الأصناف!$A$2:$A$2000,0)),0))</f>
        <v/>
      </c>
      <c r="J1590" s="4" t="n"/>
      <c r="K1590" s="7">
        <f>IF(OR(B1590="",B1590&lt;&gt;الإيصال!$C$3),"",COUNTIF(B$2:B1590,الإيصال!$C$3))</f>
        <v/>
      </c>
    </row>
    <row r="1591">
      <c r="A1591" s="6" t="n"/>
      <c r="B1591" s="4" t="n"/>
      <c r="C1591" s="4" t="n"/>
      <c r="D1591" s="4" t="n"/>
      <c r="E1591">
        <f>IF(D1591="","",IFERROR(INDEX(الأصناف!$B$2:$B$2000,MATCH(D1591,الأصناف!$A$2:$A$2000,0)),"كود غير موجود"))</f>
        <v/>
      </c>
      <c r="F1591" s="4" t="n"/>
      <c r="G1591">
        <f>IF(D1591="","",IFERROR(INDEX(الأصناف!$C$2:$C$2000,MATCH(D1591,الأصناف!$A$2:$A$2000,0)),0))</f>
        <v/>
      </c>
      <c r="H1591">
        <f>IF(D1591="","",F1591*G1591)</f>
        <v/>
      </c>
      <c r="I1591">
        <f>IF(D1591="","",H1591-F1591*IFERROR(INDEX(الأصناف!$D$2:$D$2000,MATCH(D1591,الأصناف!$A$2:$A$2000,0)),0))</f>
        <v/>
      </c>
      <c r="J1591" s="4" t="n"/>
      <c r="K1591" s="7">
        <f>IF(OR(B1591="",B1591&lt;&gt;الإيصال!$C$3),"",COUNTIF(B$2:B1591,الإيصال!$C$3))</f>
        <v/>
      </c>
    </row>
    <row r="1592">
      <c r="A1592" s="6" t="n"/>
      <c r="B1592" s="4" t="n"/>
      <c r="C1592" s="4" t="n"/>
      <c r="D1592" s="4" t="n"/>
      <c r="E1592">
        <f>IF(D1592="","",IFERROR(INDEX(الأصناف!$B$2:$B$2000,MATCH(D1592,الأصناف!$A$2:$A$2000,0)),"كود غير موجود"))</f>
        <v/>
      </c>
      <c r="F1592" s="4" t="n"/>
      <c r="G1592">
        <f>IF(D1592="","",IFERROR(INDEX(الأصناف!$C$2:$C$2000,MATCH(D1592,الأصناف!$A$2:$A$2000,0)),0))</f>
        <v/>
      </c>
      <c r="H1592">
        <f>IF(D1592="","",F1592*G1592)</f>
        <v/>
      </c>
      <c r="I1592">
        <f>IF(D1592="","",H1592-F1592*IFERROR(INDEX(الأصناف!$D$2:$D$2000,MATCH(D1592,الأصناف!$A$2:$A$2000,0)),0))</f>
        <v/>
      </c>
      <c r="J1592" s="4" t="n"/>
      <c r="K1592" s="7">
        <f>IF(OR(B1592="",B1592&lt;&gt;الإيصال!$C$3),"",COUNTIF(B$2:B1592,الإيصال!$C$3))</f>
        <v/>
      </c>
    </row>
    <row r="1593">
      <c r="A1593" s="6" t="n"/>
      <c r="B1593" s="4" t="n"/>
      <c r="C1593" s="4" t="n"/>
      <c r="D1593" s="4" t="n"/>
      <c r="E1593">
        <f>IF(D1593="","",IFERROR(INDEX(الأصناف!$B$2:$B$2000,MATCH(D1593,الأصناف!$A$2:$A$2000,0)),"كود غير موجود"))</f>
        <v/>
      </c>
      <c r="F1593" s="4" t="n"/>
      <c r="G1593">
        <f>IF(D1593="","",IFERROR(INDEX(الأصناف!$C$2:$C$2000,MATCH(D1593,الأصناف!$A$2:$A$2000,0)),0))</f>
        <v/>
      </c>
      <c r="H1593">
        <f>IF(D1593="","",F1593*G1593)</f>
        <v/>
      </c>
      <c r="I1593">
        <f>IF(D1593="","",H1593-F1593*IFERROR(INDEX(الأصناف!$D$2:$D$2000,MATCH(D1593,الأصناف!$A$2:$A$2000,0)),0))</f>
        <v/>
      </c>
      <c r="J1593" s="4" t="n"/>
      <c r="K1593" s="7">
        <f>IF(OR(B1593="",B1593&lt;&gt;الإيصال!$C$3),"",COUNTIF(B$2:B1593,الإيصال!$C$3))</f>
        <v/>
      </c>
    </row>
    <row r="1594">
      <c r="A1594" s="6" t="n"/>
      <c r="B1594" s="4" t="n"/>
      <c r="C1594" s="4" t="n"/>
      <c r="D1594" s="4" t="n"/>
      <c r="E1594">
        <f>IF(D1594="","",IFERROR(INDEX(الأصناف!$B$2:$B$2000,MATCH(D1594,الأصناف!$A$2:$A$2000,0)),"كود غير موجود"))</f>
        <v/>
      </c>
      <c r="F1594" s="4" t="n"/>
      <c r="G1594">
        <f>IF(D1594="","",IFERROR(INDEX(الأصناف!$C$2:$C$2000,MATCH(D1594,الأصناف!$A$2:$A$2000,0)),0))</f>
        <v/>
      </c>
      <c r="H1594">
        <f>IF(D1594="","",F1594*G1594)</f>
        <v/>
      </c>
      <c r="I1594">
        <f>IF(D1594="","",H1594-F1594*IFERROR(INDEX(الأصناف!$D$2:$D$2000,MATCH(D1594,الأصناف!$A$2:$A$2000,0)),0))</f>
        <v/>
      </c>
      <c r="J1594" s="4" t="n"/>
      <c r="K1594" s="7">
        <f>IF(OR(B1594="",B1594&lt;&gt;الإيصال!$C$3),"",COUNTIF(B$2:B1594,الإيصال!$C$3))</f>
        <v/>
      </c>
    </row>
    <row r="1595">
      <c r="A1595" s="6" t="n"/>
      <c r="B1595" s="4" t="n"/>
      <c r="C1595" s="4" t="n"/>
      <c r="D1595" s="4" t="n"/>
      <c r="E1595">
        <f>IF(D1595="","",IFERROR(INDEX(الأصناف!$B$2:$B$2000,MATCH(D1595,الأصناف!$A$2:$A$2000,0)),"كود غير موجود"))</f>
        <v/>
      </c>
      <c r="F1595" s="4" t="n"/>
      <c r="G1595">
        <f>IF(D1595="","",IFERROR(INDEX(الأصناف!$C$2:$C$2000,MATCH(D1595,الأصناف!$A$2:$A$2000,0)),0))</f>
        <v/>
      </c>
      <c r="H1595">
        <f>IF(D1595="","",F1595*G1595)</f>
        <v/>
      </c>
      <c r="I1595">
        <f>IF(D1595="","",H1595-F1595*IFERROR(INDEX(الأصناف!$D$2:$D$2000,MATCH(D1595,الأصناف!$A$2:$A$2000,0)),0))</f>
        <v/>
      </c>
      <c r="J1595" s="4" t="n"/>
      <c r="K1595" s="7">
        <f>IF(OR(B1595="",B1595&lt;&gt;الإيصال!$C$3),"",COUNTIF(B$2:B1595,الإيصال!$C$3))</f>
        <v/>
      </c>
    </row>
    <row r="1596">
      <c r="A1596" s="6" t="n"/>
      <c r="B1596" s="4" t="n"/>
      <c r="C1596" s="4" t="n"/>
      <c r="D1596" s="4" t="n"/>
      <c r="E1596">
        <f>IF(D1596="","",IFERROR(INDEX(الأصناف!$B$2:$B$2000,MATCH(D1596,الأصناف!$A$2:$A$2000,0)),"كود غير موجود"))</f>
        <v/>
      </c>
      <c r="F1596" s="4" t="n"/>
      <c r="G1596">
        <f>IF(D1596="","",IFERROR(INDEX(الأصناف!$C$2:$C$2000,MATCH(D1596,الأصناف!$A$2:$A$2000,0)),0))</f>
        <v/>
      </c>
      <c r="H1596">
        <f>IF(D1596="","",F1596*G1596)</f>
        <v/>
      </c>
      <c r="I1596">
        <f>IF(D1596="","",H1596-F1596*IFERROR(INDEX(الأصناف!$D$2:$D$2000,MATCH(D1596,الأصناف!$A$2:$A$2000,0)),0))</f>
        <v/>
      </c>
      <c r="J1596" s="4" t="n"/>
      <c r="K1596" s="7">
        <f>IF(OR(B1596="",B1596&lt;&gt;الإيصال!$C$3),"",COUNTIF(B$2:B1596,الإيصال!$C$3))</f>
        <v/>
      </c>
    </row>
    <row r="1597">
      <c r="A1597" s="6" t="n"/>
      <c r="B1597" s="4" t="n"/>
      <c r="C1597" s="4" t="n"/>
      <c r="D1597" s="4" t="n"/>
      <c r="E1597">
        <f>IF(D1597="","",IFERROR(INDEX(الأصناف!$B$2:$B$2000,MATCH(D1597,الأصناف!$A$2:$A$2000,0)),"كود غير موجود"))</f>
        <v/>
      </c>
      <c r="F1597" s="4" t="n"/>
      <c r="G1597">
        <f>IF(D1597="","",IFERROR(INDEX(الأصناف!$C$2:$C$2000,MATCH(D1597,الأصناف!$A$2:$A$2000,0)),0))</f>
        <v/>
      </c>
      <c r="H1597">
        <f>IF(D1597="","",F1597*G1597)</f>
        <v/>
      </c>
      <c r="I1597">
        <f>IF(D1597="","",H1597-F1597*IFERROR(INDEX(الأصناف!$D$2:$D$2000,MATCH(D1597,الأصناف!$A$2:$A$2000,0)),0))</f>
        <v/>
      </c>
      <c r="J1597" s="4" t="n"/>
      <c r="K1597" s="7">
        <f>IF(OR(B1597="",B1597&lt;&gt;الإيصال!$C$3),"",COUNTIF(B$2:B1597,الإيصال!$C$3))</f>
        <v/>
      </c>
    </row>
    <row r="1598">
      <c r="A1598" s="6" t="n"/>
      <c r="B1598" s="4" t="n"/>
      <c r="C1598" s="4" t="n"/>
      <c r="D1598" s="4" t="n"/>
      <c r="E1598">
        <f>IF(D1598="","",IFERROR(INDEX(الأصناف!$B$2:$B$2000,MATCH(D1598,الأصناف!$A$2:$A$2000,0)),"كود غير موجود"))</f>
        <v/>
      </c>
      <c r="F1598" s="4" t="n"/>
      <c r="G1598">
        <f>IF(D1598="","",IFERROR(INDEX(الأصناف!$C$2:$C$2000,MATCH(D1598,الأصناف!$A$2:$A$2000,0)),0))</f>
        <v/>
      </c>
      <c r="H1598">
        <f>IF(D1598="","",F1598*G1598)</f>
        <v/>
      </c>
      <c r="I1598">
        <f>IF(D1598="","",H1598-F1598*IFERROR(INDEX(الأصناف!$D$2:$D$2000,MATCH(D1598,الأصناف!$A$2:$A$2000,0)),0))</f>
        <v/>
      </c>
      <c r="J1598" s="4" t="n"/>
      <c r="K1598" s="7">
        <f>IF(OR(B1598="",B1598&lt;&gt;الإيصال!$C$3),"",COUNTIF(B$2:B1598,الإيصال!$C$3))</f>
        <v/>
      </c>
    </row>
    <row r="1599">
      <c r="A1599" s="6" t="n"/>
      <c r="B1599" s="4" t="n"/>
      <c r="C1599" s="4" t="n"/>
      <c r="D1599" s="4" t="n"/>
      <c r="E1599">
        <f>IF(D1599="","",IFERROR(INDEX(الأصناف!$B$2:$B$2000,MATCH(D1599,الأصناف!$A$2:$A$2000,0)),"كود غير موجود"))</f>
        <v/>
      </c>
      <c r="F1599" s="4" t="n"/>
      <c r="G1599">
        <f>IF(D1599="","",IFERROR(INDEX(الأصناف!$C$2:$C$2000,MATCH(D1599,الأصناف!$A$2:$A$2000,0)),0))</f>
        <v/>
      </c>
      <c r="H1599">
        <f>IF(D1599="","",F1599*G1599)</f>
        <v/>
      </c>
      <c r="I1599">
        <f>IF(D1599="","",H1599-F1599*IFERROR(INDEX(الأصناف!$D$2:$D$2000,MATCH(D1599,الأصناف!$A$2:$A$2000,0)),0))</f>
        <v/>
      </c>
      <c r="J1599" s="4" t="n"/>
      <c r="K1599" s="7">
        <f>IF(OR(B1599="",B1599&lt;&gt;الإيصال!$C$3),"",COUNTIF(B$2:B1599,الإيصال!$C$3))</f>
        <v/>
      </c>
    </row>
    <row r="1600">
      <c r="A1600" s="6" t="n"/>
      <c r="B1600" s="4" t="n"/>
      <c r="C1600" s="4" t="n"/>
      <c r="D1600" s="4" t="n"/>
      <c r="E1600">
        <f>IF(D1600="","",IFERROR(INDEX(الأصناف!$B$2:$B$2000,MATCH(D1600,الأصناف!$A$2:$A$2000,0)),"كود غير موجود"))</f>
        <v/>
      </c>
      <c r="F1600" s="4" t="n"/>
      <c r="G1600">
        <f>IF(D1600="","",IFERROR(INDEX(الأصناف!$C$2:$C$2000,MATCH(D1600,الأصناف!$A$2:$A$2000,0)),0))</f>
        <v/>
      </c>
      <c r="H1600">
        <f>IF(D1600="","",F1600*G1600)</f>
        <v/>
      </c>
      <c r="I1600">
        <f>IF(D1600="","",H1600-F1600*IFERROR(INDEX(الأصناف!$D$2:$D$2000,MATCH(D1600,الأصناف!$A$2:$A$2000,0)),0))</f>
        <v/>
      </c>
      <c r="J1600" s="4" t="n"/>
      <c r="K1600" s="7">
        <f>IF(OR(B1600="",B1600&lt;&gt;الإيصال!$C$3),"",COUNTIF(B$2:B1600,الإيصال!$C$3))</f>
        <v/>
      </c>
    </row>
    <row r="1601">
      <c r="A1601" s="6" t="n"/>
      <c r="B1601" s="4" t="n"/>
      <c r="C1601" s="4" t="n"/>
      <c r="D1601" s="4" t="n"/>
      <c r="E1601">
        <f>IF(D1601="","",IFERROR(INDEX(الأصناف!$B$2:$B$2000,MATCH(D1601,الأصناف!$A$2:$A$2000,0)),"كود غير موجود"))</f>
        <v/>
      </c>
      <c r="F1601" s="4" t="n"/>
      <c r="G1601">
        <f>IF(D1601="","",IFERROR(INDEX(الأصناف!$C$2:$C$2000,MATCH(D1601,الأصناف!$A$2:$A$2000,0)),0))</f>
        <v/>
      </c>
      <c r="H1601">
        <f>IF(D1601="","",F1601*G1601)</f>
        <v/>
      </c>
      <c r="I1601">
        <f>IF(D1601="","",H1601-F1601*IFERROR(INDEX(الأصناف!$D$2:$D$2000,MATCH(D1601,الأصناف!$A$2:$A$2000,0)),0))</f>
        <v/>
      </c>
      <c r="J1601" s="4" t="n"/>
      <c r="K1601" s="7">
        <f>IF(OR(B1601="",B1601&lt;&gt;الإيصال!$C$3),"",COUNTIF(B$2:B1601,الإيصال!$C$3))</f>
        <v/>
      </c>
    </row>
    <row r="1602">
      <c r="A1602" s="6" t="n"/>
      <c r="B1602" s="4" t="n"/>
      <c r="C1602" s="4" t="n"/>
      <c r="D1602" s="4" t="n"/>
      <c r="E1602">
        <f>IF(D1602="","",IFERROR(INDEX(الأصناف!$B$2:$B$2000,MATCH(D1602,الأصناف!$A$2:$A$2000,0)),"كود غير موجود"))</f>
        <v/>
      </c>
      <c r="F1602" s="4" t="n"/>
      <c r="G1602">
        <f>IF(D1602="","",IFERROR(INDEX(الأصناف!$C$2:$C$2000,MATCH(D1602,الأصناف!$A$2:$A$2000,0)),0))</f>
        <v/>
      </c>
      <c r="H1602">
        <f>IF(D1602="","",F1602*G1602)</f>
        <v/>
      </c>
      <c r="I1602">
        <f>IF(D1602="","",H1602-F1602*IFERROR(INDEX(الأصناف!$D$2:$D$2000,MATCH(D1602,الأصناف!$A$2:$A$2000,0)),0))</f>
        <v/>
      </c>
      <c r="J1602" s="4" t="n"/>
      <c r="K1602" s="7">
        <f>IF(OR(B1602="",B1602&lt;&gt;الإيصال!$C$3),"",COUNTIF(B$2:B1602,الإيصال!$C$3))</f>
        <v/>
      </c>
    </row>
    <row r="1603">
      <c r="A1603" s="6" t="n"/>
      <c r="B1603" s="4" t="n"/>
      <c r="C1603" s="4" t="n"/>
      <c r="D1603" s="4" t="n"/>
      <c r="E1603">
        <f>IF(D1603="","",IFERROR(INDEX(الأصناف!$B$2:$B$2000,MATCH(D1603,الأصناف!$A$2:$A$2000,0)),"كود غير موجود"))</f>
        <v/>
      </c>
      <c r="F1603" s="4" t="n"/>
      <c r="G1603">
        <f>IF(D1603="","",IFERROR(INDEX(الأصناف!$C$2:$C$2000,MATCH(D1603,الأصناف!$A$2:$A$2000,0)),0))</f>
        <v/>
      </c>
      <c r="H1603">
        <f>IF(D1603="","",F1603*G1603)</f>
        <v/>
      </c>
      <c r="I1603">
        <f>IF(D1603="","",H1603-F1603*IFERROR(INDEX(الأصناف!$D$2:$D$2000,MATCH(D1603,الأصناف!$A$2:$A$2000,0)),0))</f>
        <v/>
      </c>
      <c r="J1603" s="4" t="n"/>
      <c r="K1603" s="7">
        <f>IF(OR(B1603="",B1603&lt;&gt;الإيصال!$C$3),"",COUNTIF(B$2:B1603,الإيصال!$C$3))</f>
        <v/>
      </c>
    </row>
    <row r="1604">
      <c r="A1604" s="6" t="n"/>
      <c r="B1604" s="4" t="n"/>
      <c r="C1604" s="4" t="n"/>
      <c r="D1604" s="4" t="n"/>
      <c r="E1604">
        <f>IF(D1604="","",IFERROR(INDEX(الأصناف!$B$2:$B$2000,MATCH(D1604,الأصناف!$A$2:$A$2000,0)),"كود غير موجود"))</f>
        <v/>
      </c>
      <c r="F1604" s="4" t="n"/>
      <c r="G1604">
        <f>IF(D1604="","",IFERROR(INDEX(الأصناف!$C$2:$C$2000,MATCH(D1604,الأصناف!$A$2:$A$2000,0)),0))</f>
        <v/>
      </c>
      <c r="H1604">
        <f>IF(D1604="","",F1604*G1604)</f>
        <v/>
      </c>
      <c r="I1604">
        <f>IF(D1604="","",H1604-F1604*IFERROR(INDEX(الأصناف!$D$2:$D$2000,MATCH(D1604,الأصناف!$A$2:$A$2000,0)),0))</f>
        <v/>
      </c>
      <c r="J1604" s="4" t="n"/>
      <c r="K1604" s="7">
        <f>IF(OR(B1604="",B1604&lt;&gt;الإيصال!$C$3),"",COUNTIF(B$2:B1604,الإيصال!$C$3))</f>
        <v/>
      </c>
    </row>
    <row r="1605">
      <c r="A1605" s="6" t="n"/>
      <c r="B1605" s="4" t="n"/>
      <c r="C1605" s="4" t="n"/>
      <c r="D1605" s="4" t="n"/>
      <c r="E1605">
        <f>IF(D1605="","",IFERROR(INDEX(الأصناف!$B$2:$B$2000,MATCH(D1605,الأصناف!$A$2:$A$2000,0)),"كود غير موجود"))</f>
        <v/>
      </c>
      <c r="F1605" s="4" t="n"/>
      <c r="G1605">
        <f>IF(D1605="","",IFERROR(INDEX(الأصناف!$C$2:$C$2000,MATCH(D1605,الأصناف!$A$2:$A$2000,0)),0))</f>
        <v/>
      </c>
      <c r="H1605">
        <f>IF(D1605="","",F1605*G1605)</f>
        <v/>
      </c>
      <c r="I1605">
        <f>IF(D1605="","",H1605-F1605*IFERROR(INDEX(الأصناف!$D$2:$D$2000,MATCH(D1605,الأصناف!$A$2:$A$2000,0)),0))</f>
        <v/>
      </c>
      <c r="J1605" s="4" t="n"/>
      <c r="K1605" s="7">
        <f>IF(OR(B1605="",B1605&lt;&gt;الإيصال!$C$3),"",COUNTIF(B$2:B1605,الإيصال!$C$3))</f>
        <v/>
      </c>
    </row>
    <row r="1606">
      <c r="A1606" s="6" t="n"/>
      <c r="B1606" s="4" t="n"/>
      <c r="C1606" s="4" t="n"/>
      <c r="D1606" s="4" t="n"/>
      <c r="E1606">
        <f>IF(D1606="","",IFERROR(INDEX(الأصناف!$B$2:$B$2000,MATCH(D1606,الأصناف!$A$2:$A$2000,0)),"كود غير موجود"))</f>
        <v/>
      </c>
      <c r="F1606" s="4" t="n"/>
      <c r="G1606">
        <f>IF(D1606="","",IFERROR(INDEX(الأصناف!$C$2:$C$2000,MATCH(D1606,الأصناف!$A$2:$A$2000,0)),0))</f>
        <v/>
      </c>
      <c r="H1606">
        <f>IF(D1606="","",F1606*G1606)</f>
        <v/>
      </c>
      <c r="I1606">
        <f>IF(D1606="","",H1606-F1606*IFERROR(INDEX(الأصناف!$D$2:$D$2000,MATCH(D1606,الأصناف!$A$2:$A$2000,0)),0))</f>
        <v/>
      </c>
      <c r="J1606" s="4" t="n"/>
      <c r="K1606" s="7">
        <f>IF(OR(B1606="",B1606&lt;&gt;الإيصال!$C$3),"",COUNTIF(B$2:B1606,الإيصال!$C$3))</f>
        <v/>
      </c>
    </row>
    <row r="1607">
      <c r="A1607" s="6" t="n"/>
      <c r="B1607" s="4" t="n"/>
      <c r="C1607" s="4" t="n"/>
      <c r="D1607" s="4" t="n"/>
      <c r="E1607">
        <f>IF(D1607="","",IFERROR(INDEX(الأصناف!$B$2:$B$2000,MATCH(D1607,الأصناف!$A$2:$A$2000,0)),"كود غير موجود"))</f>
        <v/>
      </c>
      <c r="F1607" s="4" t="n"/>
      <c r="G1607">
        <f>IF(D1607="","",IFERROR(INDEX(الأصناف!$C$2:$C$2000,MATCH(D1607,الأصناف!$A$2:$A$2000,0)),0))</f>
        <v/>
      </c>
      <c r="H1607">
        <f>IF(D1607="","",F1607*G1607)</f>
        <v/>
      </c>
      <c r="I1607">
        <f>IF(D1607="","",H1607-F1607*IFERROR(INDEX(الأصناف!$D$2:$D$2000,MATCH(D1607,الأصناف!$A$2:$A$2000,0)),0))</f>
        <v/>
      </c>
      <c r="J1607" s="4" t="n"/>
      <c r="K1607" s="7">
        <f>IF(OR(B1607="",B1607&lt;&gt;الإيصال!$C$3),"",COUNTIF(B$2:B1607,الإيصال!$C$3))</f>
        <v/>
      </c>
    </row>
    <row r="1608">
      <c r="A1608" s="6" t="n"/>
      <c r="B1608" s="4" t="n"/>
      <c r="C1608" s="4" t="n"/>
      <c r="D1608" s="4" t="n"/>
      <c r="E1608">
        <f>IF(D1608="","",IFERROR(INDEX(الأصناف!$B$2:$B$2000,MATCH(D1608,الأصناف!$A$2:$A$2000,0)),"كود غير موجود"))</f>
        <v/>
      </c>
      <c r="F1608" s="4" t="n"/>
      <c r="G1608">
        <f>IF(D1608="","",IFERROR(INDEX(الأصناف!$C$2:$C$2000,MATCH(D1608,الأصناف!$A$2:$A$2000,0)),0))</f>
        <v/>
      </c>
      <c r="H1608">
        <f>IF(D1608="","",F1608*G1608)</f>
        <v/>
      </c>
      <c r="I1608">
        <f>IF(D1608="","",H1608-F1608*IFERROR(INDEX(الأصناف!$D$2:$D$2000,MATCH(D1608,الأصناف!$A$2:$A$2000,0)),0))</f>
        <v/>
      </c>
      <c r="J1608" s="4" t="n"/>
      <c r="K1608" s="7">
        <f>IF(OR(B1608="",B1608&lt;&gt;الإيصال!$C$3),"",COUNTIF(B$2:B1608,الإيصال!$C$3))</f>
        <v/>
      </c>
    </row>
    <row r="1609">
      <c r="A1609" s="6" t="n"/>
      <c r="B1609" s="4" t="n"/>
      <c r="C1609" s="4" t="n"/>
      <c r="D1609" s="4" t="n"/>
      <c r="E1609">
        <f>IF(D1609="","",IFERROR(INDEX(الأصناف!$B$2:$B$2000,MATCH(D1609,الأصناف!$A$2:$A$2000,0)),"كود غير موجود"))</f>
        <v/>
      </c>
      <c r="F1609" s="4" t="n"/>
      <c r="G1609">
        <f>IF(D1609="","",IFERROR(INDEX(الأصناف!$C$2:$C$2000,MATCH(D1609,الأصناف!$A$2:$A$2000,0)),0))</f>
        <v/>
      </c>
      <c r="H1609">
        <f>IF(D1609="","",F1609*G1609)</f>
        <v/>
      </c>
      <c r="I1609">
        <f>IF(D1609="","",H1609-F1609*IFERROR(INDEX(الأصناف!$D$2:$D$2000,MATCH(D1609,الأصناف!$A$2:$A$2000,0)),0))</f>
        <v/>
      </c>
      <c r="J1609" s="4" t="n"/>
      <c r="K1609" s="7">
        <f>IF(OR(B1609="",B1609&lt;&gt;الإيصال!$C$3),"",COUNTIF(B$2:B1609,الإيصال!$C$3))</f>
        <v/>
      </c>
    </row>
    <row r="1610">
      <c r="A1610" s="6" t="n"/>
      <c r="B1610" s="4" t="n"/>
      <c r="C1610" s="4" t="n"/>
      <c r="D1610" s="4" t="n"/>
      <c r="E1610">
        <f>IF(D1610="","",IFERROR(INDEX(الأصناف!$B$2:$B$2000,MATCH(D1610,الأصناف!$A$2:$A$2000,0)),"كود غير موجود"))</f>
        <v/>
      </c>
      <c r="F1610" s="4" t="n"/>
      <c r="G1610">
        <f>IF(D1610="","",IFERROR(INDEX(الأصناف!$C$2:$C$2000,MATCH(D1610,الأصناف!$A$2:$A$2000,0)),0))</f>
        <v/>
      </c>
      <c r="H1610">
        <f>IF(D1610="","",F1610*G1610)</f>
        <v/>
      </c>
      <c r="I1610">
        <f>IF(D1610="","",H1610-F1610*IFERROR(INDEX(الأصناف!$D$2:$D$2000,MATCH(D1610,الأصناف!$A$2:$A$2000,0)),0))</f>
        <v/>
      </c>
      <c r="J1610" s="4" t="n"/>
      <c r="K1610" s="7">
        <f>IF(OR(B1610="",B1610&lt;&gt;الإيصال!$C$3),"",COUNTIF(B$2:B1610,الإيصال!$C$3))</f>
        <v/>
      </c>
    </row>
    <row r="1611">
      <c r="A1611" s="6" t="n"/>
      <c r="B1611" s="4" t="n"/>
      <c r="C1611" s="4" t="n"/>
      <c r="D1611" s="4" t="n"/>
      <c r="E1611">
        <f>IF(D1611="","",IFERROR(INDEX(الأصناف!$B$2:$B$2000,MATCH(D1611,الأصناف!$A$2:$A$2000,0)),"كود غير موجود"))</f>
        <v/>
      </c>
      <c r="F1611" s="4" t="n"/>
      <c r="G1611">
        <f>IF(D1611="","",IFERROR(INDEX(الأصناف!$C$2:$C$2000,MATCH(D1611,الأصناف!$A$2:$A$2000,0)),0))</f>
        <v/>
      </c>
      <c r="H1611">
        <f>IF(D1611="","",F1611*G1611)</f>
        <v/>
      </c>
      <c r="I1611">
        <f>IF(D1611="","",H1611-F1611*IFERROR(INDEX(الأصناف!$D$2:$D$2000,MATCH(D1611,الأصناف!$A$2:$A$2000,0)),0))</f>
        <v/>
      </c>
      <c r="J1611" s="4" t="n"/>
      <c r="K1611" s="7">
        <f>IF(OR(B1611="",B1611&lt;&gt;الإيصال!$C$3),"",COUNTIF(B$2:B1611,الإيصال!$C$3))</f>
        <v/>
      </c>
    </row>
    <row r="1612">
      <c r="A1612" s="6" t="n"/>
      <c r="B1612" s="4" t="n"/>
      <c r="C1612" s="4" t="n"/>
      <c r="D1612" s="4" t="n"/>
      <c r="E1612">
        <f>IF(D1612="","",IFERROR(INDEX(الأصناف!$B$2:$B$2000,MATCH(D1612,الأصناف!$A$2:$A$2000,0)),"كود غير موجود"))</f>
        <v/>
      </c>
      <c r="F1612" s="4" t="n"/>
      <c r="G1612">
        <f>IF(D1612="","",IFERROR(INDEX(الأصناف!$C$2:$C$2000,MATCH(D1612,الأصناف!$A$2:$A$2000,0)),0))</f>
        <v/>
      </c>
      <c r="H1612">
        <f>IF(D1612="","",F1612*G1612)</f>
        <v/>
      </c>
      <c r="I1612">
        <f>IF(D1612="","",H1612-F1612*IFERROR(INDEX(الأصناف!$D$2:$D$2000,MATCH(D1612,الأصناف!$A$2:$A$2000,0)),0))</f>
        <v/>
      </c>
      <c r="J1612" s="4" t="n"/>
      <c r="K1612" s="7">
        <f>IF(OR(B1612="",B1612&lt;&gt;الإيصال!$C$3),"",COUNTIF(B$2:B1612,الإيصال!$C$3))</f>
        <v/>
      </c>
    </row>
    <row r="1613">
      <c r="A1613" s="6" t="n"/>
      <c r="B1613" s="4" t="n"/>
      <c r="C1613" s="4" t="n"/>
      <c r="D1613" s="4" t="n"/>
      <c r="E1613">
        <f>IF(D1613="","",IFERROR(INDEX(الأصناف!$B$2:$B$2000,MATCH(D1613,الأصناف!$A$2:$A$2000,0)),"كود غير موجود"))</f>
        <v/>
      </c>
      <c r="F1613" s="4" t="n"/>
      <c r="G1613">
        <f>IF(D1613="","",IFERROR(INDEX(الأصناف!$C$2:$C$2000,MATCH(D1613,الأصناف!$A$2:$A$2000,0)),0))</f>
        <v/>
      </c>
      <c r="H1613">
        <f>IF(D1613="","",F1613*G1613)</f>
        <v/>
      </c>
      <c r="I1613">
        <f>IF(D1613="","",H1613-F1613*IFERROR(INDEX(الأصناف!$D$2:$D$2000,MATCH(D1613,الأصناف!$A$2:$A$2000,0)),0))</f>
        <v/>
      </c>
      <c r="J1613" s="4" t="n"/>
      <c r="K1613" s="7">
        <f>IF(OR(B1613="",B1613&lt;&gt;الإيصال!$C$3),"",COUNTIF(B$2:B1613,الإيصال!$C$3))</f>
        <v/>
      </c>
    </row>
    <row r="1614">
      <c r="A1614" s="6" t="n"/>
      <c r="B1614" s="4" t="n"/>
      <c r="C1614" s="4" t="n"/>
      <c r="D1614" s="4" t="n"/>
      <c r="E1614">
        <f>IF(D1614="","",IFERROR(INDEX(الأصناف!$B$2:$B$2000,MATCH(D1614,الأصناف!$A$2:$A$2000,0)),"كود غير موجود"))</f>
        <v/>
      </c>
      <c r="F1614" s="4" t="n"/>
      <c r="G1614">
        <f>IF(D1614="","",IFERROR(INDEX(الأصناف!$C$2:$C$2000,MATCH(D1614,الأصناف!$A$2:$A$2000,0)),0))</f>
        <v/>
      </c>
      <c r="H1614">
        <f>IF(D1614="","",F1614*G1614)</f>
        <v/>
      </c>
      <c r="I1614">
        <f>IF(D1614="","",H1614-F1614*IFERROR(INDEX(الأصناف!$D$2:$D$2000,MATCH(D1614,الأصناف!$A$2:$A$2000,0)),0))</f>
        <v/>
      </c>
      <c r="J1614" s="4" t="n"/>
      <c r="K1614" s="7">
        <f>IF(OR(B1614="",B1614&lt;&gt;الإيصال!$C$3),"",COUNTIF(B$2:B1614,الإيصال!$C$3))</f>
        <v/>
      </c>
    </row>
    <row r="1615">
      <c r="A1615" s="6" t="n"/>
      <c r="B1615" s="4" t="n"/>
      <c r="C1615" s="4" t="n"/>
      <c r="D1615" s="4" t="n"/>
      <c r="E1615">
        <f>IF(D1615="","",IFERROR(INDEX(الأصناف!$B$2:$B$2000,MATCH(D1615,الأصناف!$A$2:$A$2000,0)),"كود غير موجود"))</f>
        <v/>
      </c>
      <c r="F1615" s="4" t="n"/>
      <c r="G1615">
        <f>IF(D1615="","",IFERROR(INDEX(الأصناف!$C$2:$C$2000,MATCH(D1615,الأصناف!$A$2:$A$2000,0)),0))</f>
        <v/>
      </c>
      <c r="H1615">
        <f>IF(D1615="","",F1615*G1615)</f>
        <v/>
      </c>
      <c r="I1615">
        <f>IF(D1615="","",H1615-F1615*IFERROR(INDEX(الأصناف!$D$2:$D$2000,MATCH(D1615,الأصناف!$A$2:$A$2000,0)),0))</f>
        <v/>
      </c>
      <c r="J1615" s="4" t="n"/>
      <c r="K1615" s="7">
        <f>IF(OR(B1615="",B1615&lt;&gt;الإيصال!$C$3),"",COUNTIF(B$2:B1615,الإيصال!$C$3))</f>
        <v/>
      </c>
    </row>
    <row r="1616">
      <c r="A1616" s="6" t="n"/>
      <c r="B1616" s="4" t="n"/>
      <c r="C1616" s="4" t="n"/>
      <c r="D1616" s="4" t="n"/>
      <c r="E1616">
        <f>IF(D1616="","",IFERROR(INDEX(الأصناف!$B$2:$B$2000,MATCH(D1616,الأصناف!$A$2:$A$2000,0)),"كود غير موجود"))</f>
        <v/>
      </c>
      <c r="F1616" s="4" t="n"/>
      <c r="G1616">
        <f>IF(D1616="","",IFERROR(INDEX(الأصناف!$C$2:$C$2000,MATCH(D1616,الأصناف!$A$2:$A$2000,0)),0))</f>
        <v/>
      </c>
      <c r="H1616">
        <f>IF(D1616="","",F1616*G1616)</f>
        <v/>
      </c>
      <c r="I1616">
        <f>IF(D1616="","",H1616-F1616*IFERROR(INDEX(الأصناف!$D$2:$D$2000,MATCH(D1616,الأصناف!$A$2:$A$2000,0)),0))</f>
        <v/>
      </c>
      <c r="J1616" s="4" t="n"/>
      <c r="K1616" s="7">
        <f>IF(OR(B1616="",B1616&lt;&gt;الإيصال!$C$3),"",COUNTIF(B$2:B1616,الإيصال!$C$3))</f>
        <v/>
      </c>
    </row>
    <row r="1617">
      <c r="A1617" s="6" t="n"/>
      <c r="B1617" s="4" t="n"/>
      <c r="C1617" s="4" t="n"/>
      <c r="D1617" s="4" t="n"/>
      <c r="E1617">
        <f>IF(D1617="","",IFERROR(INDEX(الأصناف!$B$2:$B$2000,MATCH(D1617,الأصناف!$A$2:$A$2000,0)),"كود غير موجود"))</f>
        <v/>
      </c>
      <c r="F1617" s="4" t="n"/>
      <c r="G1617">
        <f>IF(D1617="","",IFERROR(INDEX(الأصناف!$C$2:$C$2000,MATCH(D1617,الأصناف!$A$2:$A$2000,0)),0))</f>
        <v/>
      </c>
      <c r="H1617">
        <f>IF(D1617="","",F1617*G1617)</f>
        <v/>
      </c>
      <c r="I1617">
        <f>IF(D1617="","",H1617-F1617*IFERROR(INDEX(الأصناف!$D$2:$D$2000,MATCH(D1617,الأصناف!$A$2:$A$2000,0)),0))</f>
        <v/>
      </c>
      <c r="J1617" s="4" t="n"/>
      <c r="K1617" s="7">
        <f>IF(OR(B1617="",B1617&lt;&gt;الإيصال!$C$3),"",COUNTIF(B$2:B1617,الإيصال!$C$3))</f>
        <v/>
      </c>
    </row>
    <row r="1618">
      <c r="A1618" s="6" t="n"/>
      <c r="B1618" s="4" t="n"/>
      <c r="C1618" s="4" t="n"/>
      <c r="D1618" s="4" t="n"/>
      <c r="E1618">
        <f>IF(D1618="","",IFERROR(INDEX(الأصناف!$B$2:$B$2000,MATCH(D1618,الأصناف!$A$2:$A$2000,0)),"كود غير موجود"))</f>
        <v/>
      </c>
      <c r="F1618" s="4" t="n"/>
      <c r="G1618">
        <f>IF(D1618="","",IFERROR(INDEX(الأصناف!$C$2:$C$2000,MATCH(D1618,الأصناف!$A$2:$A$2000,0)),0))</f>
        <v/>
      </c>
      <c r="H1618">
        <f>IF(D1618="","",F1618*G1618)</f>
        <v/>
      </c>
      <c r="I1618">
        <f>IF(D1618="","",H1618-F1618*IFERROR(INDEX(الأصناف!$D$2:$D$2000,MATCH(D1618,الأصناف!$A$2:$A$2000,0)),0))</f>
        <v/>
      </c>
      <c r="J1618" s="4" t="n"/>
      <c r="K1618" s="7">
        <f>IF(OR(B1618="",B1618&lt;&gt;الإيصال!$C$3),"",COUNTIF(B$2:B1618,الإيصال!$C$3))</f>
        <v/>
      </c>
    </row>
    <row r="1619">
      <c r="A1619" s="6" t="n"/>
      <c r="B1619" s="4" t="n"/>
      <c r="C1619" s="4" t="n"/>
      <c r="D1619" s="4" t="n"/>
      <c r="E1619">
        <f>IF(D1619="","",IFERROR(INDEX(الأصناف!$B$2:$B$2000,MATCH(D1619,الأصناف!$A$2:$A$2000,0)),"كود غير موجود"))</f>
        <v/>
      </c>
      <c r="F1619" s="4" t="n"/>
      <c r="G1619">
        <f>IF(D1619="","",IFERROR(INDEX(الأصناف!$C$2:$C$2000,MATCH(D1619,الأصناف!$A$2:$A$2000,0)),0))</f>
        <v/>
      </c>
      <c r="H1619">
        <f>IF(D1619="","",F1619*G1619)</f>
        <v/>
      </c>
      <c r="I1619">
        <f>IF(D1619="","",H1619-F1619*IFERROR(INDEX(الأصناف!$D$2:$D$2000,MATCH(D1619,الأصناف!$A$2:$A$2000,0)),0))</f>
        <v/>
      </c>
      <c r="J1619" s="4" t="n"/>
      <c r="K1619" s="7">
        <f>IF(OR(B1619="",B1619&lt;&gt;الإيصال!$C$3),"",COUNTIF(B$2:B1619,الإيصال!$C$3))</f>
        <v/>
      </c>
    </row>
    <row r="1620">
      <c r="A1620" s="6" t="n"/>
      <c r="B1620" s="4" t="n"/>
      <c r="C1620" s="4" t="n"/>
      <c r="D1620" s="4" t="n"/>
      <c r="E1620">
        <f>IF(D1620="","",IFERROR(INDEX(الأصناف!$B$2:$B$2000,MATCH(D1620,الأصناف!$A$2:$A$2000,0)),"كود غير موجود"))</f>
        <v/>
      </c>
      <c r="F1620" s="4" t="n"/>
      <c r="G1620">
        <f>IF(D1620="","",IFERROR(INDEX(الأصناف!$C$2:$C$2000,MATCH(D1620,الأصناف!$A$2:$A$2000,0)),0))</f>
        <v/>
      </c>
      <c r="H1620">
        <f>IF(D1620="","",F1620*G1620)</f>
        <v/>
      </c>
      <c r="I1620">
        <f>IF(D1620="","",H1620-F1620*IFERROR(INDEX(الأصناف!$D$2:$D$2000,MATCH(D1620,الأصناف!$A$2:$A$2000,0)),0))</f>
        <v/>
      </c>
      <c r="J1620" s="4" t="n"/>
      <c r="K1620" s="7">
        <f>IF(OR(B1620="",B1620&lt;&gt;الإيصال!$C$3),"",COUNTIF(B$2:B1620,الإيصال!$C$3))</f>
        <v/>
      </c>
    </row>
    <row r="1621">
      <c r="A1621" s="6" t="n"/>
      <c r="B1621" s="4" t="n"/>
      <c r="C1621" s="4" t="n"/>
      <c r="D1621" s="4" t="n"/>
      <c r="E1621">
        <f>IF(D1621="","",IFERROR(INDEX(الأصناف!$B$2:$B$2000,MATCH(D1621,الأصناف!$A$2:$A$2000,0)),"كود غير موجود"))</f>
        <v/>
      </c>
      <c r="F1621" s="4" t="n"/>
      <c r="G1621">
        <f>IF(D1621="","",IFERROR(INDEX(الأصناف!$C$2:$C$2000,MATCH(D1621,الأصناف!$A$2:$A$2000,0)),0))</f>
        <v/>
      </c>
      <c r="H1621">
        <f>IF(D1621="","",F1621*G1621)</f>
        <v/>
      </c>
      <c r="I1621">
        <f>IF(D1621="","",H1621-F1621*IFERROR(INDEX(الأصناف!$D$2:$D$2000,MATCH(D1621,الأصناف!$A$2:$A$2000,0)),0))</f>
        <v/>
      </c>
      <c r="J1621" s="4" t="n"/>
      <c r="K1621" s="7">
        <f>IF(OR(B1621="",B1621&lt;&gt;الإيصال!$C$3),"",COUNTIF(B$2:B1621,الإيصال!$C$3))</f>
        <v/>
      </c>
    </row>
    <row r="1622">
      <c r="A1622" s="6" t="n"/>
      <c r="B1622" s="4" t="n"/>
      <c r="C1622" s="4" t="n"/>
      <c r="D1622" s="4" t="n"/>
      <c r="E1622">
        <f>IF(D1622="","",IFERROR(INDEX(الأصناف!$B$2:$B$2000,MATCH(D1622,الأصناف!$A$2:$A$2000,0)),"كود غير موجود"))</f>
        <v/>
      </c>
      <c r="F1622" s="4" t="n"/>
      <c r="G1622">
        <f>IF(D1622="","",IFERROR(INDEX(الأصناف!$C$2:$C$2000,MATCH(D1622,الأصناف!$A$2:$A$2000,0)),0))</f>
        <v/>
      </c>
      <c r="H1622">
        <f>IF(D1622="","",F1622*G1622)</f>
        <v/>
      </c>
      <c r="I1622">
        <f>IF(D1622="","",H1622-F1622*IFERROR(INDEX(الأصناف!$D$2:$D$2000,MATCH(D1622,الأصناف!$A$2:$A$2000,0)),0))</f>
        <v/>
      </c>
      <c r="J1622" s="4" t="n"/>
      <c r="K1622" s="7">
        <f>IF(OR(B1622="",B1622&lt;&gt;الإيصال!$C$3),"",COUNTIF(B$2:B1622,الإيصال!$C$3))</f>
        <v/>
      </c>
    </row>
    <row r="1623">
      <c r="A1623" s="6" t="n"/>
      <c r="B1623" s="4" t="n"/>
      <c r="C1623" s="4" t="n"/>
      <c r="D1623" s="4" t="n"/>
      <c r="E1623">
        <f>IF(D1623="","",IFERROR(INDEX(الأصناف!$B$2:$B$2000,MATCH(D1623,الأصناف!$A$2:$A$2000,0)),"كود غير موجود"))</f>
        <v/>
      </c>
      <c r="F1623" s="4" t="n"/>
      <c r="G1623">
        <f>IF(D1623="","",IFERROR(INDEX(الأصناف!$C$2:$C$2000,MATCH(D1623,الأصناف!$A$2:$A$2000,0)),0))</f>
        <v/>
      </c>
      <c r="H1623">
        <f>IF(D1623="","",F1623*G1623)</f>
        <v/>
      </c>
      <c r="I1623">
        <f>IF(D1623="","",H1623-F1623*IFERROR(INDEX(الأصناف!$D$2:$D$2000,MATCH(D1623,الأصناف!$A$2:$A$2000,0)),0))</f>
        <v/>
      </c>
      <c r="J1623" s="4" t="n"/>
      <c r="K1623" s="7">
        <f>IF(OR(B1623="",B1623&lt;&gt;الإيصال!$C$3),"",COUNTIF(B$2:B1623,الإيصال!$C$3))</f>
        <v/>
      </c>
    </row>
    <row r="1624">
      <c r="A1624" s="6" t="n"/>
      <c r="B1624" s="4" t="n"/>
      <c r="C1624" s="4" t="n"/>
      <c r="D1624" s="4" t="n"/>
      <c r="E1624">
        <f>IF(D1624="","",IFERROR(INDEX(الأصناف!$B$2:$B$2000,MATCH(D1624,الأصناف!$A$2:$A$2000,0)),"كود غير موجود"))</f>
        <v/>
      </c>
      <c r="F1624" s="4" t="n"/>
      <c r="G1624">
        <f>IF(D1624="","",IFERROR(INDEX(الأصناف!$C$2:$C$2000,MATCH(D1624,الأصناف!$A$2:$A$2000,0)),0))</f>
        <v/>
      </c>
      <c r="H1624">
        <f>IF(D1624="","",F1624*G1624)</f>
        <v/>
      </c>
      <c r="I1624">
        <f>IF(D1624="","",H1624-F1624*IFERROR(INDEX(الأصناف!$D$2:$D$2000,MATCH(D1624,الأصناف!$A$2:$A$2000,0)),0))</f>
        <v/>
      </c>
      <c r="J1624" s="4" t="n"/>
      <c r="K1624" s="7">
        <f>IF(OR(B1624="",B1624&lt;&gt;الإيصال!$C$3),"",COUNTIF(B$2:B1624,الإيصال!$C$3))</f>
        <v/>
      </c>
    </row>
    <row r="1625">
      <c r="A1625" s="6" t="n"/>
      <c r="B1625" s="4" t="n"/>
      <c r="C1625" s="4" t="n"/>
      <c r="D1625" s="4" t="n"/>
      <c r="E1625">
        <f>IF(D1625="","",IFERROR(INDEX(الأصناف!$B$2:$B$2000,MATCH(D1625,الأصناف!$A$2:$A$2000,0)),"كود غير موجود"))</f>
        <v/>
      </c>
      <c r="F1625" s="4" t="n"/>
      <c r="G1625">
        <f>IF(D1625="","",IFERROR(INDEX(الأصناف!$C$2:$C$2000,MATCH(D1625,الأصناف!$A$2:$A$2000,0)),0))</f>
        <v/>
      </c>
      <c r="H1625">
        <f>IF(D1625="","",F1625*G1625)</f>
        <v/>
      </c>
      <c r="I1625">
        <f>IF(D1625="","",H1625-F1625*IFERROR(INDEX(الأصناف!$D$2:$D$2000,MATCH(D1625,الأصناف!$A$2:$A$2000,0)),0))</f>
        <v/>
      </c>
      <c r="J1625" s="4" t="n"/>
      <c r="K1625" s="7">
        <f>IF(OR(B1625="",B1625&lt;&gt;الإيصال!$C$3),"",COUNTIF(B$2:B1625,الإيصال!$C$3))</f>
        <v/>
      </c>
    </row>
    <row r="1626">
      <c r="A1626" s="6" t="n"/>
      <c r="B1626" s="4" t="n"/>
      <c r="C1626" s="4" t="n"/>
      <c r="D1626" s="4" t="n"/>
      <c r="E1626">
        <f>IF(D1626="","",IFERROR(INDEX(الأصناف!$B$2:$B$2000,MATCH(D1626,الأصناف!$A$2:$A$2000,0)),"كود غير موجود"))</f>
        <v/>
      </c>
      <c r="F1626" s="4" t="n"/>
      <c r="G1626">
        <f>IF(D1626="","",IFERROR(INDEX(الأصناف!$C$2:$C$2000,MATCH(D1626,الأصناف!$A$2:$A$2000,0)),0))</f>
        <v/>
      </c>
      <c r="H1626">
        <f>IF(D1626="","",F1626*G1626)</f>
        <v/>
      </c>
      <c r="I1626">
        <f>IF(D1626="","",H1626-F1626*IFERROR(INDEX(الأصناف!$D$2:$D$2000,MATCH(D1626,الأصناف!$A$2:$A$2000,0)),0))</f>
        <v/>
      </c>
      <c r="J1626" s="4" t="n"/>
      <c r="K1626" s="7">
        <f>IF(OR(B1626="",B1626&lt;&gt;الإيصال!$C$3),"",COUNTIF(B$2:B1626,الإيصال!$C$3))</f>
        <v/>
      </c>
    </row>
    <row r="1627">
      <c r="A1627" s="6" t="n"/>
      <c r="B1627" s="4" t="n"/>
      <c r="C1627" s="4" t="n"/>
      <c r="D1627" s="4" t="n"/>
      <c r="E1627">
        <f>IF(D1627="","",IFERROR(INDEX(الأصناف!$B$2:$B$2000,MATCH(D1627,الأصناف!$A$2:$A$2000,0)),"كود غير موجود"))</f>
        <v/>
      </c>
      <c r="F1627" s="4" t="n"/>
      <c r="G1627">
        <f>IF(D1627="","",IFERROR(INDEX(الأصناف!$C$2:$C$2000,MATCH(D1627,الأصناف!$A$2:$A$2000,0)),0))</f>
        <v/>
      </c>
      <c r="H1627">
        <f>IF(D1627="","",F1627*G1627)</f>
        <v/>
      </c>
      <c r="I1627">
        <f>IF(D1627="","",H1627-F1627*IFERROR(INDEX(الأصناف!$D$2:$D$2000,MATCH(D1627,الأصناف!$A$2:$A$2000,0)),0))</f>
        <v/>
      </c>
      <c r="J1627" s="4" t="n"/>
      <c r="K1627" s="7">
        <f>IF(OR(B1627="",B1627&lt;&gt;الإيصال!$C$3),"",COUNTIF(B$2:B1627,الإيصال!$C$3))</f>
        <v/>
      </c>
    </row>
    <row r="1628">
      <c r="A1628" s="6" t="n"/>
      <c r="B1628" s="4" t="n"/>
      <c r="C1628" s="4" t="n"/>
      <c r="D1628" s="4" t="n"/>
      <c r="E1628">
        <f>IF(D1628="","",IFERROR(INDEX(الأصناف!$B$2:$B$2000,MATCH(D1628,الأصناف!$A$2:$A$2000,0)),"كود غير موجود"))</f>
        <v/>
      </c>
      <c r="F1628" s="4" t="n"/>
      <c r="G1628">
        <f>IF(D1628="","",IFERROR(INDEX(الأصناف!$C$2:$C$2000,MATCH(D1628,الأصناف!$A$2:$A$2000,0)),0))</f>
        <v/>
      </c>
      <c r="H1628">
        <f>IF(D1628="","",F1628*G1628)</f>
        <v/>
      </c>
      <c r="I1628">
        <f>IF(D1628="","",H1628-F1628*IFERROR(INDEX(الأصناف!$D$2:$D$2000,MATCH(D1628,الأصناف!$A$2:$A$2000,0)),0))</f>
        <v/>
      </c>
      <c r="J1628" s="4" t="n"/>
      <c r="K1628" s="7">
        <f>IF(OR(B1628="",B1628&lt;&gt;الإيصال!$C$3),"",COUNTIF(B$2:B1628,الإيصال!$C$3))</f>
        <v/>
      </c>
    </row>
    <row r="1629">
      <c r="A1629" s="6" t="n"/>
      <c r="B1629" s="4" t="n"/>
      <c r="C1629" s="4" t="n"/>
      <c r="D1629" s="4" t="n"/>
      <c r="E1629">
        <f>IF(D1629="","",IFERROR(INDEX(الأصناف!$B$2:$B$2000,MATCH(D1629,الأصناف!$A$2:$A$2000,0)),"كود غير موجود"))</f>
        <v/>
      </c>
      <c r="F1629" s="4" t="n"/>
      <c r="G1629">
        <f>IF(D1629="","",IFERROR(INDEX(الأصناف!$C$2:$C$2000,MATCH(D1629,الأصناف!$A$2:$A$2000,0)),0))</f>
        <v/>
      </c>
      <c r="H1629">
        <f>IF(D1629="","",F1629*G1629)</f>
        <v/>
      </c>
      <c r="I1629">
        <f>IF(D1629="","",H1629-F1629*IFERROR(INDEX(الأصناف!$D$2:$D$2000,MATCH(D1629,الأصناف!$A$2:$A$2000,0)),0))</f>
        <v/>
      </c>
      <c r="J1629" s="4" t="n"/>
      <c r="K1629" s="7">
        <f>IF(OR(B1629="",B1629&lt;&gt;الإيصال!$C$3),"",COUNTIF(B$2:B1629,الإيصال!$C$3))</f>
        <v/>
      </c>
    </row>
    <row r="1630">
      <c r="A1630" s="6" t="n"/>
      <c r="B1630" s="4" t="n"/>
      <c r="C1630" s="4" t="n"/>
      <c r="D1630" s="4" t="n"/>
      <c r="E1630">
        <f>IF(D1630="","",IFERROR(INDEX(الأصناف!$B$2:$B$2000,MATCH(D1630,الأصناف!$A$2:$A$2000,0)),"كود غير موجود"))</f>
        <v/>
      </c>
      <c r="F1630" s="4" t="n"/>
      <c r="G1630">
        <f>IF(D1630="","",IFERROR(INDEX(الأصناف!$C$2:$C$2000,MATCH(D1630,الأصناف!$A$2:$A$2000,0)),0))</f>
        <v/>
      </c>
      <c r="H1630">
        <f>IF(D1630="","",F1630*G1630)</f>
        <v/>
      </c>
      <c r="I1630">
        <f>IF(D1630="","",H1630-F1630*IFERROR(INDEX(الأصناف!$D$2:$D$2000,MATCH(D1630,الأصناف!$A$2:$A$2000,0)),0))</f>
        <v/>
      </c>
      <c r="J1630" s="4" t="n"/>
      <c r="K1630" s="7">
        <f>IF(OR(B1630="",B1630&lt;&gt;الإيصال!$C$3),"",COUNTIF(B$2:B1630,الإيصال!$C$3))</f>
        <v/>
      </c>
    </row>
    <row r="1631">
      <c r="A1631" s="6" t="n"/>
      <c r="B1631" s="4" t="n"/>
      <c r="C1631" s="4" t="n"/>
      <c r="D1631" s="4" t="n"/>
      <c r="E1631">
        <f>IF(D1631="","",IFERROR(INDEX(الأصناف!$B$2:$B$2000,MATCH(D1631,الأصناف!$A$2:$A$2000,0)),"كود غير موجود"))</f>
        <v/>
      </c>
      <c r="F1631" s="4" t="n"/>
      <c r="G1631">
        <f>IF(D1631="","",IFERROR(INDEX(الأصناف!$C$2:$C$2000,MATCH(D1631,الأصناف!$A$2:$A$2000,0)),0))</f>
        <v/>
      </c>
      <c r="H1631">
        <f>IF(D1631="","",F1631*G1631)</f>
        <v/>
      </c>
      <c r="I1631">
        <f>IF(D1631="","",H1631-F1631*IFERROR(INDEX(الأصناف!$D$2:$D$2000,MATCH(D1631,الأصناف!$A$2:$A$2000,0)),0))</f>
        <v/>
      </c>
      <c r="J1631" s="4" t="n"/>
      <c r="K1631" s="7">
        <f>IF(OR(B1631="",B1631&lt;&gt;الإيصال!$C$3),"",COUNTIF(B$2:B1631,الإيصال!$C$3))</f>
        <v/>
      </c>
    </row>
    <row r="1632">
      <c r="A1632" s="6" t="n"/>
      <c r="B1632" s="4" t="n"/>
      <c r="C1632" s="4" t="n"/>
      <c r="D1632" s="4" t="n"/>
      <c r="E1632">
        <f>IF(D1632="","",IFERROR(INDEX(الأصناف!$B$2:$B$2000,MATCH(D1632,الأصناف!$A$2:$A$2000,0)),"كود غير موجود"))</f>
        <v/>
      </c>
      <c r="F1632" s="4" t="n"/>
      <c r="G1632">
        <f>IF(D1632="","",IFERROR(INDEX(الأصناف!$C$2:$C$2000,MATCH(D1632,الأصناف!$A$2:$A$2000,0)),0))</f>
        <v/>
      </c>
      <c r="H1632">
        <f>IF(D1632="","",F1632*G1632)</f>
        <v/>
      </c>
      <c r="I1632">
        <f>IF(D1632="","",H1632-F1632*IFERROR(INDEX(الأصناف!$D$2:$D$2000,MATCH(D1632,الأصناف!$A$2:$A$2000,0)),0))</f>
        <v/>
      </c>
      <c r="J1632" s="4" t="n"/>
      <c r="K1632" s="7">
        <f>IF(OR(B1632="",B1632&lt;&gt;الإيصال!$C$3),"",COUNTIF(B$2:B1632,الإيصال!$C$3))</f>
        <v/>
      </c>
    </row>
    <row r="1633">
      <c r="A1633" s="6" t="n"/>
      <c r="B1633" s="4" t="n"/>
      <c r="C1633" s="4" t="n"/>
      <c r="D1633" s="4" t="n"/>
      <c r="E1633">
        <f>IF(D1633="","",IFERROR(INDEX(الأصناف!$B$2:$B$2000,MATCH(D1633,الأصناف!$A$2:$A$2000,0)),"كود غير موجود"))</f>
        <v/>
      </c>
      <c r="F1633" s="4" t="n"/>
      <c r="G1633">
        <f>IF(D1633="","",IFERROR(INDEX(الأصناف!$C$2:$C$2000,MATCH(D1633,الأصناف!$A$2:$A$2000,0)),0))</f>
        <v/>
      </c>
      <c r="H1633">
        <f>IF(D1633="","",F1633*G1633)</f>
        <v/>
      </c>
      <c r="I1633">
        <f>IF(D1633="","",H1633-F1633*IFERROR(INDEX(الأصناف!$D$2:$D$2000,MATCH(D1633,الأصناف!$A$2:$A$2000,0)),0))</f>
        <v/>
      </c>
      <c r="J1633" s="4" t="n"/>
      <c r="K1633" s="7">
        <f>IF(OR(B1633="",B1633&lt;&gt;الإيصال!$C$3),"",COUNTIF(B$2:B1633,الإيصال!$C$3))</f>
        <v/>
      </c>
    </row>
    <row r="1634">
      <c r="A1634" s="6" t="n"/>
      <c r="B1634" s="4" t="n"/>
      <c r="C1634" s="4" t="n"/>
      <c r="D1634" s="4" t="n"/>
      <c r="E1634">
        <f>IF(D1634="","",IFERROR(INDEX(الأصناف!$B$2:$B$2000,MATCH(D1634,الأصناف!$A$2:$A$2000,0)),"كود غير موجود"))</f>
        <v/>
      </c>
      <c r="F1634" s="4" t="n"/>
      <c r="G1634">
        <f>IF(D1634="","",IFERROR(INDEX(الأصناف!$C$2:$C$2000,MATCH(D1634,الأصناف!$A$2:$A$2000,0)),0))</f>
        <v/>
      </c>
      <c r="H1634">
        <f>IF(D1634="","",F1634*G1634)</f>
        <v/>
      </c>
      <c r="I1634">
        <f>IF(D1634="","",H1634-F1634*IFERROR(INDEX(الأصناف!$D$2:$D$2000,MATCH(D1634,الأصناف!$A$2:$A$2000,0)),0))</f>
        <v/>
      </c>
      <c r="J1634" s="4" t="n"/>
      <c r="K1634" s="7">
        <f>IF(OR(B1634="",B1634&lt;&gt;الإيصال!$C$3),"",COUNTIF(B$2:B1634,الإيصال!$C$3))</f>
        <v/>
      </c>
    </row>
    <row r="1635">
      <c r="A1635" s="6" t="n"/>
      <c r="B1635" s="4" t="n"/>
      <c r="C1635" s="4" t="n"/>
      <c r="D1635" s="4" t="n"/>
      <c r="E1635">
        <f>IF(D1635="","",IFERROR(INDEX(الأصناف!$B$2:$B$2000,MATCH(D1635,الأصناف!$A$2:$A$2000,0)),"كود غير موجود"))</f>
        <v/>
      </c>
      <c r="F1635" s="4" t="n"/>
      <c r="G1635">
        <f>IF(D1635="","",IFERROR(INDEX(الأصناف!$C$2:$C$2000,MATCH(D1635,الأصناف!$A$2:$A$2000,0)),0))</f>
        <v/>
      </c>
      <c r="H1635">
        <f>IF(D1635="","",F1635*G1635)</f>
        <v/>
      </c>
      <c r="I1635">
        <f>IF(D1635="","",H1635-F1635*IFERROR(INDEX(الأصناف!$D$2:$D$2000,MATCH(D1635,الأصناف!$A$2:$A$2000,0)),0))</f>
        <v/>
      </c>
      <c r="J1635" s="4" t="n"/>
      <c r="K1635" s="7">
        <f>IF(OR(B1635="",B1635&lt;&gt;الإيصال!$C$3),"",COUNTIF(B$2:B1635,الإيصال!$C$3))</f>
        <v/>
      </c>
    </row>
    <row r="1636">
      <c r="A1636" s="6" t="n"/>
      <c r="B1636" s="4" t="n"/>
      <c r="C1636" s="4" t="n"/>
      <c r="D1636" s="4" t="n"/>
      <c r="E1636">
        <f>IF(D1636="","",IFERROR(INDEX(الأصناف!$B$2:$B$2000,MATCH(D1636,الأصناف!$A$2:$A$2000,0)),"كود غير موجود"))</f>
        <v/>
      </c>
      <c r="F1636" s="4" t="n"/>
      <c r="G1636">
        <f>IF(D1636="","",IFERROR(INDEX(الأصناف!$C$2:$C$2000,MATCH(D1636,الأصناف!$A$2:$A$2000,0)),0))</f>
        <v/>
      </c>
      <c r="H1636">
        <f>IF(D1636="","",F1636*G1636)</f>
        <v/>
      </c>
      <c r="I1636">
        <f>IF(D1636="","",H1636-F1636*IFERROR(INDEX(الأصناف!$D$2:$D$2000,MATCH(D1636,الأصناف!$A$2:$A$2000,0)),0))</f>
        <v/>
      </c>
      <c r="J1636" s="4" t="n"/>
      <c r="K1636" s="7">
        <f>IF(OR(B1636="",B1636&lt;&gt;الإيصال!$C$3),"",COUNTIF(B$2:B1636,الإيصال!$C$3))</f>
        <v/>
      </c>
    </row>
    <row r="1637">
      <c r="A1637" s="6" t="n"/>
      <c r="B1637" s="4" t="n"/>
      <c r="C1637" s="4" t="n"/>
      <c r="D1637" s="4" t="n"/>
      <c r="E1637">
        <f>IF(D1637="","",IFERROR(INDEX(الأصناف!$B$2:$B$2000,MATCH(D1637,الأصناف!$A$2:$A$2000,0)),"كود غير موجود"))</f>
        <v/>
      </c>
      <c r="F1637" s="4" t="n"/>
      <c r="G1637">
        <f>IF(D1637="","",IFERROR(INDEX(الأصناف!$C$2:$C$2000,MATCH(D1637,الأصناف!$A$2:$A$2000,0)),0))</f>
        <v/>
      </c>
      <c r="H1637">
        <f>IF(D1637="","",F1637*G1637)</f>
        <v/>
      </c>
      <c r="I1637">
        <f>IF(D1637="","",H1637-F1637*IFERROR(INDEX(الأصناف!$D$2:$D$2000,MATCH(D1637,الأصناف!$A$2:$A$2000,0)),0))</f>
        <v/>
      </c>
      <c r="J1637" s="4" t="n"/>
      <c r="K1637" s="7">
        <f>IF(OR(B1637="",B1637&lt;&gt;الإيصال!$C$3),"",COUNTIF(B$2:B1637,الإيصال!$C$3))</f>
        <v/>
      </c>
    </row>
    <row r="1638">
      <c r="A1638" s="6" t="n"/>
      <c r="B1638" s="4" t="n"/>
      <c r="C1638" s="4" t="n"/>
      <c r="D1638" s="4" t="n"/>
      <c r="E1638">
        <f>IF(D1638="","",IFERROR(INDEX(الأصناف!$B$2:$B$2000,MATCH(D1638,الأصناف!$A$2:$A$2000,0)),"كود غير موجود"))</f>
        <v/>
      </c>
      <c r="F1638" s="4" t="n"/>
      <c r="G1638">
        <f>IF(D1638="","",IFERROR(INDEX(الأصناف!$C$2:$C$2000,MATCH(D1638,الأصناف!$A$2:$A$2000,0)),0))</f>
        <v/>
      </c>
      <c r="H1638">
        <f>IF(D1638="","",F1638*G1638)</f>
        <v/>
      </c>
      <c r="I1638">
        <f>IF(D1638="","",H1638-F1638*IFERROR(INDEX(الأصناف!$D$2:$D$2000,MATCH(D1638,الأصناف!$A$2:$A$2000,0)),0))</f>
        <v/>
      </c>
      <c r="J1638" s="4" t="n"/>
      <c r="K1638" s="7">
        <f>IF(OR(B1638="",B1638&lt;&gt;الإيصال!$C$3),"",COUNTIF(B$2:B1638,الإيصال!$C$3))</f>
        <v/>
      </c>
    </row>
    <row r="1639">
      <c r="A1639" s="6" t="n"/>
      <c r="B1639" s="4" t="n"/>
      <c r="C1639" s="4" t="n"/>
      <c r="D1639" s="4" t="n"/>
      <c r="E1639">
        <f>IF(D1639="","",IFERROR(INDEX(الأصناف!$B$2:$B$2000,MATCH(D1639,الأصناف!$A$2:$A$2000,0)),"كود غير موجود"))</f>
        <v/>
      </c>
      <c r="F1639" s="4" t="n"/>
      <c r="G1639">
        <f>IF(D1639="","",IFERROR(INDEX(الأصناف!$C$2:$C$2000,MATCH(D1639,الأصناف!$A$2:$A$2000,0)),0))</f>
        <v/>
      </c>
      <c r="H1639">
        <f>IF(D1639="","",F1639*G1639)</f>
        <v/>
      </c>
      <c r="I1639">
        <f>IF(D1639="","",H1639-F1639*IFERROR(INDEX(الأصناف!$D$2:$D$2000,MATCH(D1639,الأصناف!$A$2:$A$2000,0)),0))</f>
        <v/>
      </c>
      <c r="J1639" s="4" t="n"/>
      <c r="K1639" s="7">
        <f>IF(OR(B1639="",B1639&lt;&gt;الإيصال!$C$3),"",COUNTIF(B$2:B1639,الإيصال!$C$3))</f>
        <v/>
      </c>
    </row>
    <row r="1640">
      <c r="A1640" s="6" t="n"/>
      <c r="B1640" s="4" t="n"/>
      <c r="C1640" s="4" t="n"/>
      <c r="D1640" s="4" t="n"/>
      <c r="E1640">
        <f>IF(D1640="","",IFERROR(INDEX(الأصناف!$B$2:$B$2000,MATCH(D1640,الأصناف!$A$2:$A$2000,0)),"كود غير موجود"))</f>
        <v/>
      </c>
      <c r="F1640" s="4" t="n"/>
      <c r="G1640">
        <f>IF(D1640="","",IFERROR(INDEX(الأصناف!$C$2:$C$2000,MATCH(D1640,الأصناف!$A$2:$A$2000,0)),0))</f>
        <v/>
      </c>
      <c r="H1640">
        <f>IF(D1640="","",F1640*G1640)</f>
        <v/>
      </c>
      <c r="I1640">
        <f>IF(D1640="","",H1640-F1640*IFERROR(INDEX(الأصناف!$D$2:$D$2000,MATCH(D1640,الأصناف!$A$2:$A$2000,0)),0))</f>
        <v/>
      </c>
      <c r="J1640" s="4" t="n"/>
      <c r="K1640" s="7">
        <f>IF(OR(B1640="",B1640&lt;&gt;الإيصال!$C$3),"",COUNTIF(B$2:B1640,الإيصال!$C$3))</f>
        <v/>
      </c>
    </row>
    <row r="1641">
      <c r="A1641" s="6" t="n"/>
      <c r="B1641" s="4" t="n"/>
      <c r="C1641" s="4" t="n"/>
      <c r="D1641" s="4" t="n"/>
      <c r="E1641">
        <f>IF(D1641="","",IFERROR(INDEX(الأصناف!$B$2:$B$2000,MATCH(D1641,الأصناف!$A$2:$A$2000,0)),"كود غير موجود"))</f>
        <v/>
      </c>
      <c r="F1641" s="4" t="n"/>
      <c r="G1641">
        <f>IF(D1641="","",IFERROR(INDEX(الأصناف!$C$2:$C$2000,MATCH(D1641,الأصناف!$A$2:$A$2000,0)),0))</f>
        <v/>
      </c>
      <c r="H1641">
        <f>IF(D1641="","",F1641*G1641)</f>
        <v/>
      </c>
      <c r="I1641">
        <f>IF(D1641="","",H1641-F1641*IFERROR(INDEX(الأصناف!$D$2:$D$2000,MATCH(D1641,الأصناف!$A$2:$A$2000,0)),0))</f>
        <v/>
      </c>
      <c r="J1641" s="4" t="n"/>
      <c r="K1641" s="7">
        <f>IF(OR(B1641="",B1641&lt;&gt;الإيصال!$C$3),"",COUNTIF(B$2:B1641,الإيصال!$C$3))</f>
        <v/>
      </c>
    </row>
    <row r="1642">
      <c r="A1642" s="6" t="n"/>
      <c r="B1642" s="4" t="n"/>
      <c r="C1642" s="4" t="n"/>
      <c r="D1642" s="4" t="n"/>
      <c r="E1642">
        <f>IF(D1642="","",IFERROR(INDEX(الأصناف!$B$2:$B$2000,MATCH(D1642,الأصناف!$A$2:$A$2000,0)),"كود غير موجود"))</f>
        <v/>
      </c>
      <c r="F1642" s="4" t="n"/>
      <c r="G1642">
        <f>IF(D1642="","",IFERROR(INDEX(الأصناف!$C$2:$C$2000,MATCH(D1642,الأصناف!$A$2:$A$2000,0)),0))</f>
        <v/>
      </c>
      <c r="H1642">
        <f>IF(D1642="","",F1642*G1642)</f>
        <v/>
      </c>
      <c r="I1642">
        <f>IF(D1642="","",H1642-F1642*IFERROR(INDEX(الأصناف!$D$2:$D$2000,MATCH(D1642,الأصناف!$A$2:$A$2000,0)),0))</f>
        <v/>
      </c>
      <c r="J1642" s="4" t="n"/>
      <c r="K1642" s="7">
        <f>IF(OR(B1642="",B1642&lt;&gt;الإيصال!$C$3),"",COUNTIF(B$2:B1642,الإيصال!$C$3))</f>
        <v/>
      </c>
    </row>
    <row r="1643">
      <c r="A1643" s="6" t="n"/>
      <c r="B1643" s="4" t="n"/>
      <c r="C1643" s="4" t="n"/>
      <c r="D1643" s="4" t="n"/>
      <c r="E1643">
        <f>IF(D1643="","",IFERROR(INDEX(الأصناف!$B$2:$B$2000,MATCH(D1643,الأصناف!$A$2:$A$2000,0)),"كود غير موجود"))</f>
        <v/>
      </c>
      <c r="F1643" s="4" t="n"/>
      <c r="G1643">
        <f>IF(D1643="","",IFERROR(INDEX(الأصناف!$C$2:$C$2000,MATCH(D1643,الأصناف!$A$2:$A$2000,0)),0))</f>
        <v/>
      </c>
      <c r="H1643">
        <f>IF(D1643="","",F1643*G1643)</f>
        <v/>
      </c>
      <c r="I1643">
        <f>IF(D1643="","",H1643-F1643*IFERROR(INDEX(الأصناف!$D$2:$D$2000,MATCH(D1643,الأصناف!$A$2:$A$2000,0)),0))</f>
        <v/>
      </c>
      <c r="J1643" s="4" t="n"/>
      <c r="K1643" s="7">
        <f>IF(OR(B1643="",B1643&lt;&gt;الإيصال!$C$3),"",COUNTIF(B$2:B1643,الإيصال!$C$3))</f>
        <v/>
      </c>
    </row>
    <row r="1644">
      <c r="A1644" s="6" t="n"/>
      <c r="B1644" s="4" t="n"/>
      <c r="C1644" s="4" t="n"/>
      <c r="D1644" s="4" t="n"/>
      <c r="E1644">
        <f>IF(D1644="","",IFERROR(INDEX(الأصناف!$B$2:$B$2000,MATCH(D1644,الأصناف!$A$2:$A$2000,0)),"كود غير موجود"))</f>
        <v/>
      </c>
      <c r="F1644" s="4" t="n"/>
      <c r="G1644">
        <f>IF(D1644="","",IFERROR(INDEX(الأصناف!$C$2:$C$2000,MATCH(D1644,الأصناف!$A$2:$A$2000,0)),0))</f>
        <v/>
      </c>
      <c r="H1644">
        <f>IF(D1644="","",F1644*G1644)</f>
        <v/>
      </c>
      <c r="I1644">
        <f>IF(D1644="","",H1644-F1644*IFERROR(INDEX(الأصناف!$D$2:$D$2000,MATCH(D1644,الأصناف!$A$2:$A$2000,0)),0))</f>
        <v/>
      </c>
      <c r="J1644" s="4" t="n"/>
      <c r="K1644" s="7">
        <f>IF(OR(B1644="",B1644&lt;&gt;الإيصال!$C$3),"",COUNTIF(B$2:B1644,الإيصال!$C$3))</f>
        <v/>
      </c>
    </row>
    <row r="1645">
      <c r="A1645" s="6" t="n"/>
      <c r="B1645" s="4" t="n"/>
      <c r="C1645" s="4" t="n"/>
      <c r="D1645" s="4" t="n"/>
      <c r="E1645">
        <f>IF(D1645="","",IFERROR(INDEX(الأصناف!$B$2:$B$2000,MATCH(D1645,الأصناف!$A$2:$A$2000,0)),"كود غير موجود"))</f>
        <v/>
      </c>
      <c r="F1645" s="4" t="n"/>
      <c r="G1645">
        <f>IF(D1645="","",IFERROR(INDEX(الأصناف!$C$2:$C$2000,MATCH(D1645,الأصناف!$A$2:$A$2000,0)),0))</f>
        <v/>
      </c>
      <c r="H1645">
        <f>IF(D1645="","",F1645*G1645)</f>
        <v/>
      </c>
      <c r="I1645">
        <f>IF(D1645="","",H1645-F1645*IFERROR(INDEX(الأصناف!$D$2:$D$2000,MATCH(D1645,الأصناف!$A$2:$A$2000,0)),0))</f>
        <v/>
      </c>
      <c r="J1645" s="4" t="n"/>
      <c r="K1645" s="7">
        <f>IF(OR(B1645="",B1645&lt;&gt;الإيصال!$C$3),"",COUNTIF(B$2:B1645,الإيصال!$C$3))</f>
        <v/>
      </c>
    </row>
    <row r="1646">
      <c r="A1646" s="6" t="n"/>
      <c r="B1646" s="4" t="n"/>
      <c r="C1646" s="4" t="n"/>
      <c r="D1646" s="4" t="n"/>
      <c r="E1646">
        <f>IF(D1646="","",IFERROR(INDEX(الأصناف!$B$2:$B$2000,MATCH(D1646,الأصناف!$A$2:$A$2000,0)),"كود غير موجود"))</f>
        <v/>
      </c>
      <c r="F1646" s="4" t="n"/>
      <c r="G1646">
        <f>IF(D1646="","",IFERROR(INDEX(الأصناف!$C$2:$C$2000,MATCH(D1646,الأصناف!$A$2:$A$2000,0)),0))</f>
        <v/>
      </c>
      <c r="H1646">
        <f>IF(D1646="","",F1646*G1646)</f>
        <v/>
      </c>
      <c r="I1646">
        <f>IF(D1646="","",H1646-F1646*IFERROR(INDEX(الأصناف!$D$2:$D$2000,MATCH(D1646,الأصناف!$A$2:$A$2000,0)),0))</f>
        <v/>
      </c>
      <c r="J1646" s="4" t="n"/>
      <c r="K1646" s="7">
        <f>IF(OR(B1646="",B1646&lt;&gt;الإيصال!$C$3),"",COUNTIF(B$2:B1646,الإيصال!$C$3))</f>
        <v/>
      </c>
    </row>
    <row r="1647">
      <c r="A1647" s="6" t="n"/>
      <c r="B1647" s="4" t="n"/>
      <c r="C1647" s="4" t="n"/>
      <c r="D1647" s="4" t="n"/>
      <c r="E1647">
        <f>IF(D1647="","",IFERROR(INDEX(الأصناف!$B$2:$B$2000,MATCH(D1647,الأصناف!$A$2:$A$2000,0)),"كود غير موجود"))</f>
        <v/>
      </c>
      <c r="F1647" s="4" t="n"/>
      <c r="G1647">
        <f>IF(D1647="","",IFERROR(INDEX(الأصناف!$C$2:$C$2000,MATCH(D1647,الأصناف!$A$2:$A$2000,0)),0))</f>
        <v/>
      </c>
      <c r="H1647">
        <f>IF(D1647="","",F1647*G1647)</f>
        <v/>
      </c>
      <c r="I1647">
        <f>IF(D1647="","",H1647-F1647*IFERROR(INDEX(الأصناف!$D$2:$D$2000,MATCH(D1647,الأصناف!$A$2:$A$2000,0)),0))</f>
        <v/>
      </c>
      <c r="J1647" s="4" t="n"/>
      <c r="K1647" s="7">
        <f>IF(OR(B1647="",B1647&lt;&gt;الإيصال!$C$3),"",COUNTIF(B$2:B1647,الإيصال!$C$3))</f>
        <v/>
      </c>
    </row>
    <row r="1648">
      <c r="A1648" s="6" t="n"/>
      <c r="B1648" s="4" t="n"/>
      <c r="C1648" s="4" t="n"/>
      <c r="D1648" s="4" t="n"/>
      <c r="E1648">
        <f>IF(D1648="","",IFERROR(INDEX(الأصناف!$B$2:$B$2000,MATCH(D1648,الأصناف!$A$2:$A$2000,0)),"كود غير موجود"))</f>
        <v/>
      </c>
      <c r="F1648" s="4" t="n"/>
      <c r="G1648">
        <f>IF(D1648="","",IFERROR(INDEX(الأصناف!$C$2:$C$2000,MATCH(D1648,الأصناف!$A$2:$A$2000,0)),0))</f>
        <v/>
      </c>
      <c r="H1648">
        <f>IF(D1648="","",F1648*G1648)</f>
        <v/>
      </c>
      <c r="I1648">
        <f>IF(D1648="","",H1648-F1648*IFERROR(INDEX(الأصناف!$D$2:$D$2000,MATCH(D1648,الأصناف!$A$2:$A$2000,0)),0))</f>
        <v/>
      </c>
      <c r="J1648" s="4" t="n"/>
      <c r="K1648" s="7">
        <f>IF(OR(B1648="",B1648&lt;&gt;الإيصال!$C$3),"",COUNTIF(B$2:B1648,الإيصال!$C$3))</f>
        <v/>
      </c>
    </row>
    <row r="1649">
      <c r="A1649" s="6" t="n"/>
      <c r="B1649" s="4" t="n"/>
      <c r="C1649" s="4" t="n"/>
      <c r="D1649" s="4" t="n"/>
      <c r="E1649">
        <f>IF(D1649="","",IFERROR(INDEX(الأصناف!$B$2:$B$2000,MATCH(D1649,الأصناف!$A$2:$A$2000,0)),"كود غير موجود"))</f>
        <v/>
      </c>
      <c r="F1649" s="4" t="n"/>
      <c r="G1649">
        <f>IF(D1649="","",IFERROR(INDEX(الأصناف!$C$2:$C$2000,MATCH(D1649,الأصناف!$A$2:$A$2000,0)),0))</f>
        <v/>
      </c>
      <c r="H1649">
        <f>IF(D1649="","",F1649*G1649)</f>
        <v/>
      </c>
      <c r="I1649">
        <f>IF(D1649="","",H1649-F1649*IFERROR(INDEX(الأصناف!$D$2:$D$2000,MATCH(D1649,الأصناف!$A$2:$A$2000,0)),0))</f>
        <v/>
      </c>
      <c r="J1649" s="4" t="n"/>
      <c r="K1649" s="7">
        <f>IF(OR(B1649="",B1649&lt;&gt;الإيصال!$C$3),"",COUNTIF(B$2:B1649,الإيصال!$C$3))</f>
        <v/>
      </c>
    </row>
    <row r="1650">
      <c r="A1650" s="6" t="n"/>
      <c r="B1650" s="4" t="n"/>
      <c r="C1650" s="4" t="n"/>
      <c r="D1650" s="4" t="n"/>
      <c r="E1650">
        <f>IF(D1650="","",IFERROR(INDEX(الأصناف!$B$2:$B$2000,MATCH(D1650,الأصناف!$A$2:$A$2000,0)),"كود غير موجود"))</f>
        <v/>
      </c>
      <c r="F1650" s="4" t="n"/>
      <c r="G1650">
        <f>IF(D1650="","",IFERROR(INDEX(الأصناف!$C$2:$C$2000,MATCH(D1650,الأصناف!$A$2:$A$2000,0)),0))</f>
        <v/>
      </c>
      <c r="H1650">
        <f>IF(D1650="","",F1650*G1650)</f>
        <v/>
      </c>
      <c r="I1650">
        <f>IF(D1650="","",H1650-F1650*IFERROR(INDEX(الأصناف!$D$2:$D$2000,MATCH(D1650,الأصناف!$A$2:$A$2000,0)),0))</f>
        <v/>
      </c>
      <c r="J1650" s="4" t="n"/>
      <c r="K1650" s="7">
        <f>IF(OR(B1650="",B1650&lt;&gt;الإيصال!$C$3),"",COUNTIF(B$2:B1650,الإيصال!$C$3))</f>
        <v/>
      </c>
    </row>
    <row r="1651">
      <c r="A1651" s="6" t="n"/>
      <c r="B1651" s="4" t="n"/>
      <c r="C1651" s="4" t="n"/>
      <c r="D1651" s="4" t="n"/>
      <c r="E1651">
        <f>IF(D1651="","",IFERROR(INDEX(الأصناف!$B$2:$B$2000,MATCH(D1651,الأصناف!$A$2:$A$2000,0)),"كود غير موجود"))</f>
        <v/>
      </c>
      <c r="F1651" s="4" t="n"/>
      <c r="G1651">
        <f>IF(D1651="","",IFERROR(INDEX(الأصناف!$C$2:$C$2000,MATCH(D1651,الأصناف!$A$2:$A$2000,0)),0))</f>
        <v/>
      </c>
      <c r="H1651">
        <f>IF(D1651="","",F1651*G1651)</f>
        <v/>
      </c>
      <c r="I1651">
        <f>IF(D1651="","",H1651-F1651*IFERROR(INDEX(الأصناف!$D$2:$D$2000,MATCH(D1651,الأصناف!$A$2:$A$2000,0)),0))</f>
        <v/>
      </c>
      <c r="J1651" s="4" t="n"/>
      <c r="K1651" s="7">
        <f>IF(OR(B1651="",B1651&lt;&gt;الإيصال!$C$3),"",COUNTIF(B$2:B1651,الإيصال!$C$3))</f>
        <v/>
      </c>
    </row>
    <row r="1652">
      <c r="A1652" s="6" t="n"/>
      <c r="B1652" s="4" t="n"/>
      <c r="C1652" s="4" t="n"/>
      <c r="D1652" s="4" t="n"/>
      <c r="E1652">
        <f>IF(D1652="","",IFERROR(INDEX(الأصناف!$B$2:$B$2000,MATCH(D1652,الأصناف!$A$2:$A$2000,0)),"كود غير موجود"))</f>
        <v/>
      </c>
      <c r="F1652" s="4" t="n"/>
      <c r="G1652">
        <f>IF(D1652="","",IFERROR(INDEX(الأصناف!$C$2:$C$2000,MATCH(D1652,الأصناف!$A$2:$A$2000,0)),0))</f>
        <v/>
      </c>
      <c r="H1652">
        <f>IF(D1652="","",F1652*G1652)</f>
        <v/>
      </c>
      <c r="I1652">
        <f>IF(D1652="","",H1652-F1652*IFERROR(INDEX(الأصناف!$D$2:$D$2000,MATCH(D1652,الأصناف!$A$2:$A$2000,0)),0))</f>
        <v/>
      </c>
      <c r="J1652" s="4" t="n"/>
      <c r="K1652" s="7">
        <f>IF(OR(B1652="",B1652&lt;&gt;الإيصال!$C$3),"",COUNTIF(B$2:B1652,الإيصال!$C$3))</f>
        <v/>
      </c>
    </row>
    <row r="1653">
      <c r="A1653" s="6" t="n"/>
      <c r="B1653" s="4" t="n"/>
      <c r="C1653" s="4" t="n"/>
      <c r="D1653" s="4" t="n"/>
      <c r="E1653">
        <f>IF(D1653="","",IFERROR(INDEX(الأصناف!$B$2:$B$2000,MATCH(D1653,الأصناف!$A$2:$A$2000,0)),"كود غير موجود"))</f>
        <v/>
      </c>
      <c r="F1653" s="4" t="n"/>
      <c r="G1653">
        <f>IF(D1653="","",IFERROR(INDEX(الأصناف!$C$2:$C$2000,MATCH(D1653,الأصناف!$A$2:$A$2000,0)),0))</f>
        <v/>
      </c>
      <c r="H1653">
        <f>IF(D1653="","",F1653*G1653)</f>
        <v/>
      </c>
      <c r="I1653">
        <f>IF(D1653="","",H1653-F1653*IFERROR(INDEX(الأصناف!$D$2:$D$2000,MATCH(D1653,الأصناف!$A$2:$A$2000,0)),0))</f>
        <v/>
      </c>
      <c r="J1653" s="4" t="n"/>
      <c r="K1653" s="7">
        <f>IF(OR(B1653="",B1653&lt;&gt;الإيصال!$C$3),"",COUNTIF(B$2:B1653,الإيصال!$C$3))</f>
        <v/>
      </c>
    </row>
    <row r="1654">
      <c r="A1654" s="6" t="n"/>
      <c r="B1654" s="4" t="n"/>
      <c r="C1654" s="4" t="n"/>
      <c r="D1654" s="4" t="n"/>
      <c r="E1654">
        <f>IF(D1654="","",IFERROR(INDEX(الأصناف!$B$2:$B$2000,MATCH(D1654,الأصناف!$A$2:$A$2000,0)),"كود غير موجود"))</f>
        <v/>
      </c>
      <c r="F1654" s="4" t="n"/>
      <c r="G1654">
        <f>IF(D1654="","",IFERROR(INDEX(الأصناف!$C$2:$C$2000,MATCH(D1654,الأصناف!$A$2:$A$2000,0)),0))</f>
        <v/>
      </c>
      <c r="H1654">
        <f>IF(D1654="","",F1654*G1654)</f>
        <v/>
      </c>
      <c r="I1654">
        <f>IF(D1654="","",H1654-F1654*IFERROR(INDEX(الأصناف!$D$2:$D$2000,MATCH(D1654,الأصناف!$A$2:$A$2000,0)),0))</f>
        <v/>
      </c>
      <c r="J1654" s="4" t="n"/>
      <c r="K1654" s="7">
        <f>IF(OR(B1654="",B1654&lt;&gt;الإيصال!$C$3),"",COUNTIF(B$2:B1654,الإيصال!$C$3))</f>
        <v/>
      </c>
    </row>
    <row r="1655">
      <c r="A1655" s="6" t="n"/>
      <c r="B1655" s="4" t="n"/>
      <c r="C1655" s="4" t="n"/>
      <c r="D1655" s="4" t="n"/>
      <c r="E1655">
        <f>IF(D1655="","",IFERROR(INDEX(الأصناف!$B$2:$B$2000,MATCH(D1655,الأصناف!$A$2:$A$2000,0)),"كود غير موجود"))</f>
        <v/>
      </c>
      <c r="F1655" s="4" t="n"/>
      <c r="G1655">
        <f>IF(D1655="","",IFERROR(INDEX(الأصناف!$C$2:$C$2000,MATCH(D1655,الأصناف!$A$2:$A$2000,0)),0))</f>
        <v/>
      </c>
      <c r="H1655">
        <f>IF(D1655="","",F1655*G1655)</f>
        <v/>
      </c>
      <c r="I1655">
        <f>IF(D1655="","",H1655-F1655*IFERROR(INDEX(الأصناف!$D$2:$D$2000,MATCH(D1655,الأصناف!$A$2:$A$2000,0)),0))</f>
        <v/>
      </c>
      <c r="J1655" s="4" t="n"/>
      <c r="K1655" s="7">
        <f>IF(OR(B1655="",B1655&lt;&gt;الإيصال!$C$3),"",COUNTIF(B$2:B1655,الإيصال!$C$3))</f>
        <v/>
      </c>
    </row>
    <row r="1656">
      <c r="A1656" s="6" t="n"/>
      <c r="B1656" s="4" t="n"/>
      <c r="C1656" s="4" t="n"/>
      <c r="D1656" s="4" t="n"/>
      <c r="E1656">
        <f>IF(D1656="","",IFERROR(INDEX(الأصناف!$B$2:$B$2000,MATCH(D1656,الأصناف!$A$2:$A$2000,0)),"كود غير موجود"))</f>
        <v/>
      </c>
      <c r="F1656" s="4" t="n"/>
      <c r="G1656">
        <f>IF(D1656="","",IFERROR(INDEX(الأصناف!$C$2:$C$2000,MATCH(D1656,الأصناف!$A$2:$A$2000,0)),0))</f>
        <v/>
      </c>
      <c r="H1656">
        <f>IF(D1656="","",F1656*G1656)</f>
        <v/>
      </c>
      <c r="I1656">
        <f>IF(D1656="","",H1656-F1656*IFERROR(INDEX(الأصناف!$D$2:$D$2000,MATCH(D1656,الأصناف!$A$2:$A$2000,0)),0))</f>
        <v/>
      </c>
      <c r="J1656" s="4" t="n"/>
      <c r="K1656" s="7">
        <f>IF(OR(B1656="",B1656&lt;&gt;الإيصال!$C$3),"",COUNTIF(B$2:B1656,الإيصال!$C$3))</f>
        <v/>
      </c>
    </row>
    <row r="1657">
      <c r="A1657" s="6" t="n"/>
      <c r="B1657" s="4" t="n"/>
      <c r="C1657" s="4" t="n"/>
      <c r="D1657" s="4" t="n"/>
      <c r="E1657">
        <f>IF(D1657="","",IFERROR(INDEX(الأصناف!$B$2:$B$2000,MATCH(D1657,الأصناف!$A$2:$A$2000,0)),"كود غير موجود"))</f>
        <v/>
      </c>
      <c r="F1657" s="4" t="n"/>
      <c r="G1657">
        <f>IF(D1657="","",IFERROR(INDEX(الأصناف!$C$2:$C$2000,MATCH(D1657,الأصناف!$A$2:$A$2000,0)),0))</f>
        <v/>
      </c>
      <c r="H1657">
        <f>IF(D1657="","",F1657*G1657)</f>
        <v/>
      </c>
      <c r="I1657">
        <f>IF(D1657="","",H1657-F1657*IFERROR(INDEX(الأصناف!$D$2:$D$2000,MATCH(D1657,الأصناف!$A$2:$A$2000,0)),0))</f>
        <v/>
      </c>
      <c r="J1657" s="4" t="n"/>
      <c r="K1657" s="7">
        <f>IF(OR(B1657="",B1657&lt;&gt;الإيصال!$C$3),"",COUNTIF(B$2:B1657,الإيصال!$C$3))</f>
        <v/>
      </c>
    </row>
    <row r="1658">
      <c r="A1658" s="6" t="n"/>
      <c r="B1658" s="4" t="n"/>
      <c r="C1658" s="4" t="n"/>
      <c r="D1658" s="4" t="n"/>
      <c r="E1658">
        <f>IF(D1658="","",IFERROR(INDEX(الأصناف!$B$2:$B$2000,MATCH(D1658,الأصناف!$A$2:$A$2000,0)),"كود غير موجود"))</f>
        <v/>
      </c>
      <c r="F1658" s="4" t="n"/>
      <c r="G1658">
        <f>IF(D1658="","",IFERROR(INDEX(الأصناف!$C$2:$C$2000,MATCH(D1658,الأصناف!$A$2:$A$2000,0)),0))</f>
        <v/>
      </c>
      <c r="H1658">
        <f>IF(D1658="","",F1658*G1658)</f>
        <v/>
      </c>
      <c r="I1658">
        <f>IF(D1658="","",H1658-F1658*IFERROR(INDEX(الأصناف!$D$2:$D$2000,MATCH(D1658,الأصناف!$A$2:$A$2000,0)),0))</f>
        <v/>
      </c>
      <c r="J1658" s="4" t="n"/>
      <c r="K1658" s="7">
        <f>IF(OR(B1658="",B1658&lt;&gt;الإيصال!$C$3),"",COUNTIF(B$2:B1658,الإيصال!$C$3))</f>
        <v/>
      </c>
    </row>
    <row r="1659">
      <c r="A1659" s="6" t="n"/>
      <c r="B1659" s="4" t="n"/>
      <c r="C1659" s="4" t="n"/>
      <c r="D1659" s="4" t="n"/>
      <c r="E1659">
        <f>IF(D1659="","",IFERROR(INDEX(الأصناف!$B$2:$B$2000,MATCH(D1659,الأصناف!$A$2:$A$2000,0)),"كود غير موجود"))</f>
        <v/>
      </c>
      <c r="F1659" s="4" t="n"/>
      <c r="G1659">
        <f>IF(D1659="","",IFERROR(INDEX(الأصناف!$C$2:$C$2000,MATCH(D1659,الأصناف!$A$2:$A$2000,0)),0))</f>
        <v/>
      </c>
      <c r="H1659">
        <f>IF(D1659="","",F1659*G1659)</f>
        <v/>
      </c>
      <c r="I1659">
        <f>IF(D1659="","",H1659-F1659*IFERROR(INDEX(الأصناف!$D$2:$D$2000,MATCH(D1659,الأصناف!$A$2:$A$2000,0)),0))</f>
        <v/>
      </c>
      <c r="J1659" s="4" t="n"/>
      <c r="K1659" s="7">
        <f>IF(OR(B1659="",B1659&lt;&gt;الإيصال!$C$3),"",COUNTIF(B$2:B1659,الإيصال!$C$3))</f>
        <v/>
      </c>
    </row>
    <row r="1660">
      <c r="A1660" s="6" t="n"/>
      <c r="B1660" s="4" t="n"/>
      <c r="C1660" s="4" t="n"/>
      <c r="D1660" s="4" t="n"/>
      <c r="E1660">
        <f>IF(D1660="","",IFERROR(INDEX(الأصناف!$B$2:$B$2000,MATCH(D1660,الأصناف!$A$2:$A$2000,0)),"كود غير موجود"))</f>
        <v/>
      </c>
      <c r="F1660" s="4" t="n"/>
      <c r="G1660">
        <f>IF(D1660="","",IFERROR(INDEX(الأصناف!$C$2:$C$2000,MATCH(D1660,الأصناف!$A$2:$A$2000,0)),0))</f>
        <v/>
      </c>
      <c r="H1660">
        <f>IF(D1660="","",F1660*G1660)</f>
        <v/>
      </c>
      <c r="I1660">
        <f>IF(D1660="","",H1660-F1660*IFERROR(INDEX(الأصناف!$D$2:$D$2000,MATCH(D1660,الأصناف!$A$2:$A$2000,0)),0))</f>
        <v/>
      </c>
      <c r="J1660" s="4" t="n"/>
      <c r="K1660" s="7">
        <f>IF(OR(B1660="",B1660&lt;&gt;الإيصال!$C$3),"",COUNTIF(B$2:B1660,الإيصال!$C$3))</f>
        <v/>
      </c>
    </row>
    <row r="1661">
      <c r="A1661" s="6" t="n"/>
      <c r="B1661" s="4" t="n"/>
      <c r="C1661" s="4" t="n"/>
      <c r="D1661" s="4" t="n"/>
      <c r="E1661">
        <f>IF(D1661="","",IFERROR(INDEX(الأصناف!$B$2:$B$2000,MATCH(D1661,الأصناف!$A$2:$A$2000,0)),"كود غير موجود"))</f>
        <v/>
      </c>
      <c r="F1661" s="4" t="n"/>
      <c r="G1661">
        <f>IF(D1661="","",IFERROR(INDEX(الأصناف!$C$2:$C$2000,MATCH(D1661,الأصناف!$A$2:$A$2000,0)),0))</f>
        <v/>
      </c>
      <c r="H1661">
        <f>IF(D1661="","",F1661*G1661)</f>
        <v/>
      </c>
      <c r="I1661">
        <f>IF(D1661="","",H1661-F1661*IFERROR(INDEX(الأصناف!$D$2:$D$2000,MATCH(D1661,الأصناف!$A$2:$A$2000,0)),0))</f>
        <v/>
      </c>
      <c r="J1661" s="4" t="n"/>
      <c r="K1661" s="7">
        <f>IF(OR(B1661="",B1661&lt;&gt;الإيصال!$C$3),"",COUNTIF(B$2:B1661,الإيصال!$C$3))</f>
        <v/>
      </c>
    </row>
    <row r="1662">
      <c r="A1662" s="6" t="n"/>
      <c r="B1662" s="4" t="n"/>
      <c r="C1662" s="4" t="n"/>
      <c r="D1662" s="4" t="n"/>
      <c r="E1662">
        <f>IF(D1662="","",IFERROR(INDEX(الأصناف!$B$2:$B$2000,MATCH(D1662,الأصناف!$A$2:$A$2000,0)),"كود غير موجود"))</f>
        <v/>
      </c>
      <c r="F1662" s="4" t="n"/>
      <c r="G1662">
        <f>IF(D1662="","",IFERROR(INDEX(الأصناف!$C$2:$C$2000,MATCH(D1662,الأصناف!$A$2:$A$2000,0)),0))</f>
        <v/>
      </c>
      <c r="H1662">
        <f>IF(D1662="","",F1662*G1662)</f>
        <v/>
      </c>
      <c r="I1662">
        <f>IF(D1662="","",H1662-F1662*IFERROR(INDEX(الأصناف!$D$2:$D$2000,MATCH(D1662,الأصناف!$A$2:$A$2000,0)),0))</f>
        <v/>
      </c>
      <c r="J1662" s="4" t="n"/>
      <c r="K1662" s="7">
        <f>IF(OR(B1662="",B1662&lt;&gt;الإيصال!$C$3),"",COUNTIF(B$2:B1662,الإيصال!$C$3))</f>
        <v/>
      </c>
    </row>
    <row r="1663">
      <c r="A1663" s="6" t="n"/>
      <c r="B1663" s="4" t="n"/>
      <c r="C1663" s="4" t="n"/>
      <c r="D1663" s="4" t="n"/>
      <c r="E1663">
        <f>IF(D1663="","",IFERROR(INDEX(الأصناف!$B$2:$B$2000,MATCH(D1663,الأصناف!$A$2:$A$2000,0)),"كود غير موجود"))</f>
        <v/>
      </c>
      <c r="F1663" s="4" t="n"/>
      <c r="G1663">
        <f>IF(D1663="","",IFERROR(INDEX(الأصناف!$C$2:$C$2000,MATCH(D1663,الأصناف!$A$2:$A$2000,0)),0))</f>
        <v/>
      </c>
      <c r="H1663">
        <f>IF(D1663="","",F1663*G1663)</f>
        <v/>
      </c>
      <c r="I1663">
        <f>IF(D1663="","",H1663-F1663*IFERROR(INDEX(الأصناف!$D$2:$D$2000,MATCH(D1663,الأصناف!$A$2:$A$2000,0)),0))</f>
        <v/>
      </c>
      <c r="J1663" s="4" t="n"/>
      <c r="K1663" s="7">
        <f>IF(OR(B1663="",B1663&lt;&gt;الإيصال!$C$3),"",COUNTIF(B$2:B1663,الإيصال!$C$3))</f>
        <v/>
      </c>
    </row>
    <row r="1664">
      <c r="A1664" s="6" t="n"/>
      <c r="B1664" s="4" t="n"/>
      <c r="C1664" s="4" t="n"/>
      <c r="D1664" s="4" t="n"/>
      <c r="E1664">
        <f>IF(D1664="","",IFERROR(INDEX(الأصناف!$B$2:$B$2000,MATCH(D1664,الأصناف!$A$2:$A$2000,0)),"كود غير موجود"))</f>
        <v/>
      </c>
      <c r="F1664" s="4" t="n"/>
      <c r="G1664">
        <f>IF(D1664="","",IFERROR(INDEX(الأصناف!$C$2:$C$2000,MATCH(D1664,الأصناف!$A$2:$A$2000,0)),0))</f>
        <v/>
      </c>
      <c r="H1664">
        <f>IF(D1664="","",F1664*G1664)</f>
        <v/>
      </c>
      <c r="I1664">
        <f>IF(D1664="","",H1664-F1664*IFERROR(INDEX(الأصناف!$D$2:$D$2000,MATCH(D1664,الأصناف!$A$2:$A$2000,0)),0))</f>
        <v/>
      </c>
      <c r="J1664" s="4" t="n"/>
      <c r="K1664" s="7">
        <f>IF(OR(B1664="",B1664&lt;&gt;الإيصال!$C$3),"",COUNTIF(B$2:B1664,الإيصال!$C$3))</f>
        <v/>
      </c>
    </row>
    <row r="1665">
      <c r="A1665" s="6" t="n"/>
      <c r="B1665" s="4" t="n"/>
      <c r="C1665" s="4" t="n"/>
      <c r="D1665" s="4" t="n"/>
      <c r="E1665">
        <f>IF(D1665="","",IFERROR(INDEX(الأصناف!$B$2:$B$2000,MATCH(D1665,الأصناف!$A$2:$A$2000,0)),"كود غير موجود"))</f>
        <v/>
      </c>
      <c r="F1665" s="4" t="n"/>
      <c r="G1665">
        <f>IF(D1665="","",IFERROR(INDEX(الأصناف!$C$2:$C$2000,MATCH(D1665,الأصناف!$A$2:$A$2000,0)),0))</f>
        <v/>
      </c>
      <c r="H1665">
        <f>IF(D1665="","",F1665*G1665)</f>
        <v/>
      </c>
      <c r="I1665">
        <f>IF(D1665="","",H1665-F1665*IFERROR(INDEX(الأصناف!$D$2:$D$2000,MATCH(D1665,الأصناف!$A$2:$A$2000,0)),0))</f>
        <v/>
      </c>
      <c r="J1665" s="4" t="n"/>
      <c r="K1665" s="7">
        <f>IF(OR(B1665="",B1665&lt;&gt;الإيصال!$C$3),"",COUNTIF(B$2:B1665,الإيصال!$C$3))</f>
        <v/>
      </c>
    </row>
    <row r="1666">
      <c r="A1666" s="6" t="n"/>
      <c r="B1666" s="4" t="n"/>
      <c r="C1666" s="4" t="n"/>
      <c r="D1666" s="4" t="n"/>
      <c r="E1666">
        <f>IF(D1666="","",IFERROR(INDEX(الأصناف!$B$2:$B$2000,MATCH(D1666,الأصناف!$A$2:$A$2000,0)),"كود غير موجود"))</f>
        <v/>
      </c>
      <c r="F1666" s="4" t="n"/>
      <c r="G1666">
        <f>IF(D1666="","",IFERROR(INDEX(الأصناف!$C$2:$C$2000,MATCH(D1666,الأصناف!$A$2:$A$2000,0)),0))</f>
        <v/>
      </c>
      <c r="H1666">
        <f>IF(D1666="","",F1666*G1666)</f>
        <v/>
      </c>
      <c r="I1666">
        <f>IF(D1666="","",H1666-F1666*IFERROR(INDEX(الأصناف!$D$2:$D$2000,MATCH(D1666,الأصناف!$A$2:$A$2000,0)),0))</f>
        <v/>
      </c>
      <c r="J1666" s="4" t="n"/>
      <c r="K1666" s="7">
        <f>IF(OR(B1666="",B1666&lt;&gt;الإيصال!$C$3),"",COUNTIF(B$2:B1666,الإيصال!$C$3))</f>
        <v/>
      </c>
    </row>
    <row r="1667">
      <c r="A1667" s="6" t="n"/>
      <c r="B1667" s="4" t="n"/>
      <c r="C1667" s="4" t="n"/>
      <c r="D1667" s="4" t="n"/>
      <c r="E1667">
        <f>IF(D1667="","",IFERROR(INDEX(الأصناف!$B$2:$B$2000,MATCH(D1667,الأصناف!$A$2:$A$2000,0)),"كود غير موجود"))</f>
        <v/>
      </c>
      <c r="F1667" s="4" t="n"/>
      <c r="G1667">
        <f>IF(D1667="","",IFERROR(INDEX(الأصناف!$C$2:$C$2000,MATCH(D1667,الأصناف!$A$2:$A$2000,0)),0))</f>
        <v/>
      </c>
      <c r="H1667">
        <f>IF(D1667="","",F1667*G1667)</f>
        <v/>
      </c>
      <c r="I1667">
        <f>IF(D1667="","",H1667-F1667*IFERROR(INDEX(الأصناف!$D$2:$D$2000,MATCH(D1667,الأصناف!$A$2:$A$2000,0)),0))</f>
        <v/>
      </c>
      <c r="J1667" s="4" t="n"/>
      <c r="K1667" s="7">
        <f>IF(OR(B1667="",B1667&lt;&gt;الإيصال!$C$3),"",COUNTIF(B$2:B1667,الإيصال!$C$3))</f>
        <v/>
      </c>
    </row>
    <row r="1668">
      <c r="A1668" s="6" t="n"/>
      <c r="B1668" s="4" t="n"/>
      <c r="C1668" s="4" t="n"/>
      <c r="D1668" s="4" t="n"/>
      <c r="E1668">
        <f>IF(D1668="","",IFERROR(INDEX(الأصناف!$B$2:$B$2000,MATCH(D1668,الأصناف!$A$2:$A$2000,0)),"كود غير موجود"))</f>
        <v/>
      </c>
      <c r="F1668" s="4" t="n"/>
      <c r="G1668">
        <f>IF(D1668="","",IFERROR(INDEX(الأصناف!$C$2:$C$2000,MATCH(D1668,الأصناف!$A$2:$A$2000,0)),0))</f>
        <v/>
      </c>
      <c r="H1668">
        <f>IF(D1668="","",F1668*G1668)</f>
        <v/>
      </c>
      <c r="I1668">
        <f>IF(D1668="","",H1668-F1668*IFERROR(INDEX(الأصناف!$D$2:$D$2000,MATCH(D1668,الأصناف!$A$2:$A$2000,0)),0))</f>
        <v/>
      </c>
      <c r="J1668" s="4" t="n"/>
      <c r="K1668" s="7">
        <f>IF(OR(B1668="",B1668&lt;&gt;الإيصال!$C$3),"",COUNTIF(B$2:B1668,الإيصال!$C$3))</f>
        <v/>
      </c>
    </row>
    <row r="1669">
      <c r="A1669" s="6" t="n"/>
      <c r="B1669" s="4" t="n"/>
      <c r="C1669" s="4" t="n"/>
      <c r="D1669" s="4" t="n"/>
      <c r="E1669">
        <f>IF(D1669="","",IFERROR(INDEX(الأصناف!$B$2:$B$2000,MATCH(D1669,الأصناف!$A$2:$A$2000,0)),"كود غير موجود"))</f>
        <v/>
      </c>
      <c r="F1669" s="4" t="n"/>
      <c r="G1669">
        <f>IF(D1669="","",IFERROR(INDEX(الأصناف!$C$2:$C$2000,MATCH(D1669,الأصناف!$A$2:$A$2000,0)),0))</f>
        <v/>
      </c>
      <c r="H1669">
        <f>IF(D1669="","",F1669*G1669)</f>
        <v/>
      </c>
      <c r="I1669">
        <f>IF(D1669="","",H1669-F1669*IFERROR(INDEX(الأصناف!$D$2:$D$2000,MATCH(D1669,الأصناف!$A$2:$A$2000,0)),0))</f>
        <v/>
      </c>
      <c r="J1669" s="4" t="n"/>
      <c r="K1669" s="7">
        <f>IF(OR(B1669="",B1669&lt;&gt;الإيصال!$C$3),"",COUNTIF(B$2:B1669,الإيصال!$C$3))</f>
        <v/>
      </c>
    </row>
    <row r="1670">
      <c r="A1670" s="6" t="n"/>
      <c r="B1670" s="4" t="n"/>
      <c r="C1670" s="4" t="n"/>
      <c r="D1670" s="4" t="n"/>
      <c r="E1670">
        <f>IF(D1670="","",IFERROR(INDEX(الأصناف!$B$2:$B$2000,MATCH(D1670,الأصناف!$A$2:$A$2000,0)),"كود غير موجود"))</f>
        <v/>
      </c>
      <c r="F1670" s="4" t="n"/>
      <c r="G1670">
        <f>IF(D1670="","",IFERROR(INDEX(الأصناف!$C$2:$C$2000,MATCH(D1670,الأصناف!$A$2:$A$2000,0)),0))</f>
        <v/>
      </c>
      <c r="H1670">
        <f>IF(D1670="","",F1670*G1670)</f>
        <v/>
      </c>
      <c r="I1670">
        <f>IF(D1670="","",H1670-F1670*IFERROR(INDEX(الأصناف!$D$2:$D$2000,MATCH(D1670,الأصناف!$A$2:$A$2000,0)),0))</f>
        <v/>
      </c>
      <c r="J1670" s="4" t="n"/>
      <c r="K1670" s="7">
        <f>IF(OR(B1670="",B1670&lt;&gt;الإيصال!$C$3),"",COUNTIF(B$2:B1670,الإيصال!$C$3))</f>
        <v/>
      </c>
    </row>
    <row r="1671">
      <c r="A1671" s="6" t="n"/>
      <c r="B1671" s="4" t="n"/>
      <c r="C1671" s="4" t="n"/>
      <c r="D1671" s="4" t="n"/>
      <c r="E1671">
        <f>IF(D1671="","",IFERROR(INDEX(الأصناف!$B$2:$B$2000,MATCH(D1671,الأصناف!$A$2:$A$2000,0)),"كود غير موجود"))</f>
        <v/>
      </c>
      <c r="F1671" s="4" t="n"/>
      <c r="G1671">
        <f>IF(D1671="","",IFERROR(INDEX(الأصناف!$C$2:$C$2000,MATCH(D1671,الأصناف!$A$2:$A$2000,0)),0))</f>
        <v/>
      </c>
      <c r="H1671">
        <f>IF(D1671="","",F1671*G1671)</f>
        <v/>
      </c>
      <c r="I1671">
        <f>IF(D1671="","",H1671-F1671*IFERROR(INDEX(الأصناف!$D$2:$D$2000,MATCH(D1671,الأصناف!$A$2:$A$2000,0)),0))</f>
        <v/>
      </c>
      <c r="J1671" s="4" t="n"/>
      <c r="K1671" s="7">
        <f>IF(OR(B1671="",B1671&lt;&gt;الإيصال!$C$3),"",COUNTIF(B$2:B1671,الإيصال!$C$3))</f>
        <v/>
      </c>
    </row>
    <row r="1672">
      <c r="A1672" s="6" t="n"/>
      <c r="B1672" s="4" t="n"/>
      <c r="C1672" s="4" t="n"/>
      <c r="D1672" s="4" t="n"/>
      <c r="E1672">
        <f>IF(D1672="","",IFERROR(INDEX(الأصناف!$B$2:$B$2000,MATCH(D1672,الأصناف!$A$2:$A$2000,0)),"كود غير موجود"))</f>
        <v/>
      </c>
      <c r="F1672" s="4" t="n"/>
      <c r="G1672">
        <f>IF(D1672="","",IFERROR(INDEX(الأصناف!$C$2:$C$2000,MATCH(D1672,الأصناف!$A$2:$A$2000,0)),0))</f>
        <v/>
      </c>
      <c r="H1672">
        <f>IF(D1672="","",F1672*G1672)</f>
        <v/>
      </c>
      <c r="I1672">
        <f>IF(D1672="","",H1672-F1672*IFERROR(INDEX(الأصناف!$D$2:$D$2000,MATCH(D1672,الأصناف!$A$2:$A$2000,0)),0))</f>
        <v/>
      </c>
      <c r="J1672" s="4" t="n"/>
      <c r="K1672" s="7">
        <f>IF(OR(B1672="",B1672&lt;&gt;الإيصال!$C$3),"",COUNTIF(B$2:B1672,الإيصال!$C$3))</f>
        <v/>
      </c>
    </row>
    <row r="1673">
      <c r="A1673" s="6" t="n"/>
      <c r="B1673" s="4" t="n"/>
      <c r="C1673" s="4" t="n"/>
      <c r="D1673" s="4" t="n"/>
      <c r="E1673">
        <f>IF(D1673="","",IFERROR(INDEX(الأصناف!$B$2:$B$2000,MATCH(D1673,الأصناف!$A$2:$A$2000,0)),"كود غير موجود"))</f>
        <v/>
      </c>
      <c r="F1673" s="4" t="n"/>
      <c r="G1673">
        <f>IF(D1673="","",IFERROR(INDEX(الأصناف!$C$2:$C$2000,MATCH(D1673,الأصناف!$A$2:$A$2000,0)),0))</f>
        <v/>
      </c>
      <c r="H1673">
        <f>IF(D1673="","",F1673*G1673)</f>
        <v/>
      </c>
      <c r="I1673">
        <f>IF(D1673="","",H1673-F1673*IFERROR(INDEX(الأصناف!$D$2:$D$2000,MATCH(D1673,الأصناف!$A$2:$A$2000,0)),0))</f>
        <v/>
      </c>
      <c r="J1673" s="4" t="n"/>
      <c r="K1673" s="7">
        <f>IF(OR(B1673="",B1673&lt;&gt;الإيصال!$C$3),"",COUNTIF(B$2:B1673,الإيصال!$C$3))</f>
        <v/>
      </c>
    </row>
    <row r="1674">
      <c r="A1674" s="6" t="n"/>
      <c r="B1674" s="4" t="n"/>
      <c r="C1674" s="4" t="n"/>
      <c r="D1674" s="4" t="n"/>
      <c r="E1674">
        <f>IF(D1674="","",IFERROR(INDEX(الأصناف!$B$2:$B$2000,MATCH(D1674,الأصناف!$A$2:$A$2000,0)),"كود غير موجود"))</f>
        <v/>
      </c>
      <c r="F1674" s="4" t="n"/>
      <c r="G1674">
        <f>IF(D1674="","",IFERROR(INDEX(الأصناف!$C$2:$C$2000,MATCH(D1674,الأصناف!$A$2:$A$2000,0)),0))</f>
        <v/>
      </c>
      <c r="H1674">
        <f>IF(D1674="","",F1674*G1674)</f>
        <v/>
      </c>
      <c r="I1674">
        <f>IF(D1674="","",H1674-F1674*IFERROR(INDEX(الأصناف!$D$2:$D$2000,MATCH(D1674,الأصناف!$A$2:$A$2000,0)),0))</f>
        <v/>
      </c>
      <c r="J1674" s="4" t="n"/>
      <c r="K1674" s="7">
        <f>IF(OR(B1674="",B1674&lt;&gt;الإيصال!$C$3),"",COUNTIF(B$2:B1674,الإيصال!$C$3))</f>
        <v/>
      </c>
    </row>
    <row r="1675">
      <c r="A1675" s="6" t="n"/>
      <c r="B1675" s="4" t="n"/>
      <c r="C1675" s="4" t="n"/>
      <c r="D1675" s="4" t="n"/>
      <c r="E1675">
        <f>IF(D1675="","",IFERROR(INDEX(الأصناف!$B$2:$B$2000,MATCH(D1675,الأصناف!$A$2:$A$2000,0)),"كود غير موجود"))</f>
        <v/>
      </c>
      <c r="F1675" s="4" t="n"/>
      <c r="G1675">
        <f>IF(D1675="","",IFERROR(INDEX(الأصناف!$C$2:$C$2000,MATCH(D1675,الأصناف!$A$2:$A$2000,0)),0))</f>
        <v/>
      </c>
      <c r="H1675">
        <f>IF(D1675="","",F1675*G1675)</f>
        <v/>
      </c>
      <c r="I1675">
        <f>IF(D1675="","",H1675-F1675*IFERROR(INDEX(الأصناف!$D$2:$D$2000,MATCH(D1675,الأصناف!$A$2:$A$2000,0)),0))</f>
        <v/>
      </c>
      <c r="J1675" s="4" t="n"/>
      <c r="K1675" s="7">
        <f>IF(OR(B1675="",B1675&lt;&gt;الإيصال!$C$3),"",COUNTIF(B$2:B1675,الإيصال!$C$3))</f>
        <v/>
      </c>
    </row>
    <row r="1676">
      <c r="A1676" s="6" t="n"/>
      <c r="B1676" s="4" t="n"/>
      <c r="C1676" s="4" t="n"/>
      <c r="D1676" s="4" t="n"/>
      <c r="E1676">
        <f>IF(D1676="","",IFERROR(INDEX(الأصناف!$B$2:$B$2000,MATCH(D1676,الأصناف!$A$2:$A$2000,0)),"كود غير موجود"))</f>
        <v/>
      </c>
      <c r="F1676" s="4" t="n"/>
      <c r="G1676">
        <f>IF(D1676="","",IFERROR(INDEX(الأصناف!$C$2:$C$2000,MATCH(D1676,الأصناف!$A$2:$A$2000,0)),0))</f>
        <v/>
      </c>
      <c r="H1676">
        <f>IF(D1676="","",F1676*G1676)</f>
        <v/>
      </c>
      <c r="I1676">
        <f>IF(D1676="","",H1676-F1676*IFERROR(INDEX(الأصناف!$D$2:$D$2000,MATCH(D1676,الأصناف!$A$2:$A$2000,0)),0))</f>
        <v/>
      </c>
      <c r="J1676" s="4" t="n"/>
      <c r="K1676" s="7">
        <f>IF(OR(B1676="",B1676&lt;&gt;الإيصال!$C$3),"",COUNTIF(B$2:B1676,الإيصال!$C$3))</f>
        <v/>
      </c>
    </row>
    <row r="1677">
      <c r="A1677" s="6" t="n"/>
      <c r="B1677" s="4" t="n"/>
      <c r="C1677" s="4" t="n"/>
      <c r="D1677" s="4" t="n"/>
      <c r="E1677">
        <f>IF(D1677="","",IFERROR(INDEX(الأصناف!$B$2:$B$2000,MATCH(D1677,الأصناف!$A$2:$A$2000,0)),"كود غير موجود"))</f>
        <v/>
      </c>
      <c r="F1677" s="4" t="n"/>
      <c r="G1677">
        <f>IF(D1677="","",IFERROR(INDEX(الأصناف!$C$2:$C$2000,MATCH(D1677,الأصناف!$A$2:$A$2000,0)),0))</f>
        <v/>
      </c>
      <c r="H1677">
        <f>IF(D1677="","",F1677*G1677)</f>
        <v/>
      </c>
      <c r="I1677">
        <f>IF(D1677="","",H1677-F1677*IFERROR(INDEX(الأصناف!$D$2:$D$2000,MATCH(D1677,الأصناف!$A$2:$A$2000,0)),0))</f>
        <v/>
      </c>
      <c r="J1677" s="4" t="n"/>
      <c r="K1677" s="7">
        <f>IF(OR(B1677="",B1677&lt;&gt;الإيصال!$C$3),"",COUNTIF(B$2:B1677,الإيصال!$C$3))</f>
        <v/>
      </c>
    </row>
    <row r="1678">
      <c r="A1678" s="6" t="n"/>
      <c r="B1678" s="4" t="n"/>
      <c r="C1678" s="4" t="n"/>
      <c r="D1678" s="4" t="n"/>
      <c r="E1678">
        <f>IF(D1678="","",IFERROR(INDEX(الأصناف!$B$2:$B$2000,MATCH(D1678,الأصناف!$A$2:$A$2000,0)),"كود غير موجود"))</f>
        <v/>
      </c>
      <c r="F1678" s="4" t="n"/>
      <c r="G1678">
        <f>IF(D1678="","",IFERROR(INDEX(الأصناف!$C$2:$C$2000,MATCH(D1678,الأصناف!$A$2:$A$2000,0)),0))</f>
        <v/>
      </c>
      <c r="H1678">
        <f>IF(D1678="","",F1678*G1678)</f>
        <v/>
      </c>
      <c r="I1678">
        <f>IF(D1678="","",H1678-F1678*IFERROR(INDEX(الأصناف!$D$2:$D$2000,MATCH(D1678,الأصناف!$A$2:$A$2000,0)),0))</f>
        <v/>
      </c>
      <c r="J1678" s="4" t="n"/>
      <c r="K1678" s="7">
        <f>IF(OR(B1678="",B1678&lt;&gt;الإيصال!$C$3),"",COUNTIF(B$2:B1678,الإيصال!$C$3))</f>
        <v/>
      </c>
    </row>
    <row r="1679">
      <c r="A1679" s="6" t="n"/>
      <c r="B1679" s="4" t="n"/>
      <c r="C1679" s="4" t="n"/>
      <c r="D1679" s="4" t="n"/>
      <c r="E1679">
        <f>IF(D1679="","",IFERROR(INDEX(الأصناف!$B$2:$B$2000,MATCH(D1679,الأصناف!$A$2:$A$2000,0)),"كود غير موجود"))</f>
        <v/>
      </c>
      <c r="F1679" s="4" t="n"/>
      <c r="G1679">
        <f>IF(D1679="","",IFERROR(INDEX(الأصناف!$C$2:$C$2000,MATCH(D1679,الأصناف!$A$2:$A$2000,0)),0))</f>
        <v/>
      </c>
      <c r="H1679">
        <f>IF(D1679="","",F1679*G1679)</f>
        <v/>
      </c>
      <c r="I1679">
        <f>IF(D1679="","",H1679-F1679*IFERROR(INDEX(الأصناف!$D$2:$D$2000,MATCH(D1679,الأصناف!$A$2:$A$2000,0)),0))</f>
        <v/>
      </c>
      <c r="J1679" s="4" t="n"/>
      <c r="K1679" s="7">
        <f>IF(OR(B1679="",B1679&lt;&gt;الإيصال!$C$3),"",COUNTIF(B$2:B1679,الإيصال!$C$3))</f>
        <v/>
      </c>
    </row>
    <row r="1680">
      <c r="A1680" s="6" t="n"/>
      <c r="B1680" s="4" t="n"/>
      <c r="C1680" s="4" t="n"/>
      <c r="D1680" s="4" t="n"/>
      <c r="E1680">
        <f>IF(D1680="","",IFERROR(INDEX(الأصناف!$B$2:$B$2000,MATCH(D1680,الأصناف!$A$2:$A$2000,0)),"كود غير موجود"))</f>
        <v/>
      </c>
      <c r="F1680" s="4" t="n"/>
      <c r="G1680">
        <f>IF(D1680="","",IFERROR(INDEX(الأصناف!$C$2:$C$2000,MATCH(D1680,الأصناف!$A$2:$A$2000,0)),0))</f>
        <v/>
      </c>
      <c r="H1680">
        <f>IF(D1680="","",F1680*G1680)</f>
        <v/>
      </c>
      <c r="I1680">
        <f>IF(D1680="","",H1680-F1680*IFERROR(INDEX(الأصناف!$D$2:$D$2000,MATCH(D1680,الأصناف!$A$2:$A$2000,0)),0))</f>
        <v/>
      </c>
      <c r="J1680" s="4" t="n"/>
      <c r="K1680" s="7">
        <f>IF(OR(B1680="",B1680&lt;&gt;الإيصال!$C$3),"",COUNTIF(B$2:B1680,الإيصال!$C$3))</f>
        <v/>
      </c>
    </row>
    <row r="1681">
      <c r="A1681" s="6" t="n"/>
      <c r="B1681" s="4" t="n"/>
      <c r="C1681" s="4" t="n"/>
      <c r="D1681" s="4" t="n"/>
      <c r="E1681">
        <f>IF(D1681="","",IFERROR(INDEX(الأصناف!$B$2:$B$2000,MATCH(D1681,الأصناف!$A$2:$A$2000,0)),"كود غير موجود"))</f>
        <v/>
      </c>
      <c r="F1681" s="4" t="n"/>
      <c r="G1681">
        <f>IF(D1681="","",IFERROR(INDEX(الأصناف!$C$2:$C$2000,MATCH(D1681,الأصناف!$A$2:$A$2000,0)),0))</f>
        <v/>
      </c>
      <c r="H1681">
        <f>IF(D1681="","",F1681*G1681)</f>
        <v/>
      </c>
      <c r="I1681">
        <f>IF(D1681="","",H1681-F1681*IFERROR(INDEX(الأصناف!$D$2:$D$2000,MATCH(D1681,الأصناف!$A$2:$A$2000,0)),0))</f>
        <v/>
      </c>
      <c r="J1681" s="4" t="n"/>
      <c r="K1681" s="7">
        <f>IF(OR(B1681="",B1681&lt;&gt;الإيصال!$C$3),"",COUNTIF(B$2:B1681,الإيصال!$C$3))</f>
        <v/>
      </c>
    </row>
    <row r="1682">
      <c r="A1682" s="6" t="n"/>
      <c r="B1682" s="4" t="n"/>
      <c r="C1682" s="4" t="n"/>
      <c r="D1682" s="4" t="n"/>
      <c r="E1682">
        <f>IF(D1682="","",IFERROR(INDEX(الأصناف!$B$2:$B$2000,MATCH(D1682,الأصناف!$A$2:$A$2000,0)),"كود غير موجود"))</f>
        <v/>
      </c>
      <c r="F1682" s="4" t="n"/>
      <c r="G1682">
        <f>IF(D1682="","",IFERROR(INDEX(الأصناف!$C$2:$C$2000,MATCH(D1682,الأصناف!$A$2:$A$2000,0)),0))</f>
        <v/>
      </c>
      <c r="H1682">
        <f>IF(D1682="","",F1682*G1682)</f>
        <v/>
      </c>
      <c r="I1682">
        <f>IF(D1682="","",H1682-F1682*IFERROR(INDEX(الأصناف!$D$2:$D$2000,MATCH(D1682,الأصناف!$A$2:$A$2000,0)),0))</f>
        <v/>
      </c>
      <c r="J1682" s="4" t="n"/>
      <c r="K1682" s="7">
        <f>IF(OR(B1682="",B1682&lt;&gt;الإيصال!$C$3),"",COUNTIF(B$2:B1682,الإيصال!$C$3))</f>
        <v/>
      </c>
    </row>
    <row r="1683">
      <c r="A1683" s="6" t="n"/>
      <c r="B1683" s="4" t="n"/>
      <c r="C1683" s="4" t="n"/>
      <c r="D1683" s="4" t="n"/>
      <c r="E1683">
        <f>IF(D1683="","",IFERROR(INDEX(الأصناف!$B$2:$B$2000,MATCH(D1683,الأصناف!$A$2:$A$2000,0)),"كود غير موجود"))</f>
        <v/>
      </c>
      <c r="F1683" s="4" t="n"/>
      <c r="G1683">
        <f>IF(D1683="","",IFERROR(INDEX(الأصناف!$C$2:$C$2000,MATCH(D1683,الأصناف!$A$2:$A$2000,0)),0))</f>
        <v/>
      </c>
      <c r="H1683">
        <f>IF(D1683="","",F1683*G1683)</f>
        <v/>
      </c>
      <c r="I1683">
        <f>IF(D1683="","",H1683-F1683*IFERROR(INDEX(الأصناف!$D$2:$D$2000,MATCH(D1683,الأصناف!$A$2:$A$2000,0)),0))</f>
        <v/>
      </c>
      <c r="J1683" s="4" t="n"/>
      <c r="K1683" s="7">
        <f>IF(OR(B1683="",B1683&lt;&gt;الإيصال!$C$3),"",COUNTIF(B$2:B1683,الإيصال!$C$3))</f>
        <v/>
      </c>
    </row>
    <row r="1684">
      <c r="A1684" s="6" t="n"/>
      <c r="B1684" s="4" t="n"/>
      <c r="C1684" s="4" t="n"/>
      <c r="D1684" s="4" t="n"/>
      <c r="E1684">
        <f>IF(D1684="","",IFERROR(INDEX(الأصناف!$B$2:$B$2000,MATCH(D1684,الأصناف!$A$2:$A$2000,0)),"كود غير موجود"))</f>
        <v/>
      </c>
      <c r="F1684" s="4" t="n"/>
      <c r="G1684">
        <f>IF(D1684="","",IFERROR(INDEX(الأصناف!$C$2:$C$2000,MATCH(D1684,الأصناف!$A$2:$A$2000,0)),0))</f>
        <v/>
      </c>
      <c r="H1684">
        <f>IF(D1684="","",F1684*G1684)</f>
        <v/>
      </c>
      <c r="I1684">
        <f>IF(D1684="","",H1684-F1684*IFERROR(INDEX(الأصناف!$D$2:$D$2000,MATCH(D1684,الأصناف!$A$2:$A$2000,0)),0))</f>
        <v/>
      </c>
      <c r="J1684" s="4" t="n"/>
      <c r="K1684" s="7">
        <f>IF(OR(B1684="",B1684&lt;&gt;الإيصال!$C$3),"",COUNTIF(B$2:B1684,الإيصال!$C$3))</f>
        <v/>
      </c>
    </row>
    <row r="1685">
      <c r="A1685" s="6" t="n"/>
      <c r="B1685" s="4" t="n"/>
      <c r="C1685" s="4" t="n"/>
      <c r="D1685" s="4" t="n"/>
      <c r="E1685">
        <f>IF(D1685="","",IFERROR(INDEX(الأصناف!$B$2:$B$2000,MATCH(D1685,الأصناف!$A$2:$A$2000,0)),"كود غير موجود"))</f>
        <v/>
      </c>
      <c r="F1685" s="4" t="n"/>
      <c r="G1685">
        <f>IF(D1685="","",IFERROR(INDEX(الأصناف!$C$2:$C$2000,MATCH(D1685,الأصناف!$A$2:$A$2000,0)),0))</f>
        <v/>
      </c>
      <c r="H1685">
        <f>IF(D1685="","",F1685*G1685)</f>
        <v/>
      </c>
      <c r="I1685">
        <f>IF(D1685="","",H1685-F1685*IFERROR(INDEX(الأصناف!$D$2:$D$2000,MATCH(D1685,الأصناف!$A$2:$A$2000,0)),0))</f>
        <v/>
      </c>
      <c r="J1685" s="4" t="n"/>
      <c r="K1685" s="7">
        <f>IF(OR(B1685="",B1685&lt;&gt;الإيصال!$C$3),"",COUNTIF(B$2:B1685,الإيصال!$C$3))</f>
        <v/>
      </c>
    </row>
    <row r="1686">
      <c r="A1686" s="6" t="n"/>
      <c r="B1686" s="4" t="n"/>
      <c r="C1686" s="4" t="n"/>
      <c r="D1686" s="4" t="n"/>
      <c r="E1686">
        <f>IF(D1686="","",IFERROR(INDEX(الأصناف!$B$2:$B$2000,MATCH(D1686,الأصناف!$A$2:$A$2000,0)),"كود غير موجود"))</f>
        <v/>
      </c>
      <c r="F1686" s="4" t="n"/>
      <c r="G1686">
        <f>IF(D1686="","",IFERROR(INDEX(الأصناف!$C$2:$C$2000,MATCH(D1686,الأصناف!$A$2:$A$2000,0)),0))</f>
        <v/>
      </c>
      <c r="H1686">
        <f>IF(D1686="","",F1686*G1686)</f>
        <v/>
      </c>
      <c r="I1686">
        <f>IF(D1686="","",H1686-F1686*IFERROR(INDEX(الأصناف!$D$2:$D$2000,MATCH(D1686,الأصناف!$A$2:$A$2000,0)),0))</f>
        <v/>
      </c>
      <c r="J1686" s="4" t="n"/>
      <c r="K1686" s="7">
        <f>IF(OR(B1686="",B1686&lt;&gt;الإيصال!$C$3),"",COUNTIF(B$2:B1686,الإيصال!$C$3))</f>
        <v/>
      </c>
    </row>
    <row r="1687">
      <c r="A1687" s="6" t="n"/>
      <c r="B1687" s="4" t="n"/>
      <c r="C1687" s="4" t="n"/>
      <c r="D1687" s="4" t="n"/>
      <c r="E1687">
        <f>IF(D1687="","",IFERROR(INDEX(الأصناف!$B$2:$B$2000,MATCH(D1687,الأصناف!$A$2:$A$2000,0)),"كود غير موجود"))</f>
        <v/>
      </c>
      <c r="F1687" s="4" t="n"/>
      <c r="G1687">
        <f>IF(D1687="","",IFERROR(INDEX(الأصناف!$C$2:$C$2000,MATCH(D1687,الأصناف!$A$2:$A$2000,0)),0))</f>
        <v/>
      </c>
      <c r="H1687">
        <f>IF(D1687="","",F1687*G1687)</f>
        <v/>
      </c>
      <c r="I1687">
        <f>IF(D1687="","",H1687-F1687*IFERROR(INDEX(الأصناف!$D$2:$D$2000,MATCH(D1687,الأصناف!$A$2:$A$2000,0)),0))</f>
        <v/>
      </c>
      <c r="J1687" s="4" t="n"/>
      <c r="K1687" s="7">
        <f>IF(OR(B1687="",B1687&lt;&gt;الإيصال!$C$3),"",COUNTIF(B$2:B1687,الإيصال!$C$3))</f>
        <v/>
      </c>
    </row>
    <row r="1688">
      <c r="A1688" s="6" t="n"/>
      <c r="B1688" s="4" t="n"/>
      <c r="C1688" s="4" t="n"/>
      <c r="D1688" s="4" t="n"/>
      <c r="E1688">
        <f>IF(D1688="","",IFERROR(INDEX(الأصناف!$B$2:$B$2000,MATCH(D1688,الأصناف!$A$2:$A$2000,0)),"كود غير موجود"))</f>
        <v/>
      </c>
      <c r="F1688" s="4" t="n"/>
      <c r="G1688">
        <f>IF(D1688="","",IFERROR(INDEX(الأصناف!$C$2:$C$2000,MATCH(D1688,الأصناف!$A$2:$A$2000,0)),0))</f>
        <v/>
      </c>
      <c r="H1688">
        <f>IF(D1688="","",F1688*G1688)</f>
        <v/>
      </c>
      <c r="I1688">
        <f>IF(D1688="","",H1688-F1688*IFERROR(INDEX(الأصناف!$D$2:$D$2000,MATCH(D1688,الأصناف!$A$2:$A$2000,0)),0))</f>
        <v/>
      </c>
      <c r="J1688" s="4" t="n"/>
      <c r="K1688" s="7">
        <f>IF(OR(B1688="",B1688&lt;&gt;الإيصال!$C$3),"",COUNTIF(B$2:B1688,الإيصال!$C$3))</f>
        <v/>
      </c>
    </row>
    <row r="1689">
      <c r="A1689" s="6" t="n"/>
      <c r="B1689" s="4" t="n"/>
      <c r="C1689" s="4" t="n"/>
      <c r="D1689" s="4" t="n"/>
      <c r="E1689">
        <f>IF(D1689="","",IFERROR(INDEX(الأصناف!$B$2:$B$2000,MATCH(D1689,الأصناف!$A$2:$A$2000,0)),"كود غير موجود"))</f>
        <v/>
      </c>
      <c r="F1689" s="4" t="n"/>
      <c r="G1689">
        <f>IF(D1689="","",IFERROR(INDEX(الأصناف!$C$2:$C$2000,MATCH(D1689,الأصناف!$A$2:$A$2000,0)),0))</f>
        <v/>
      </c>
      <c r="H1689">
        <f>IF(D1689="","",F1689*G1689)</f>
        <v/>
      </c>
      <c r="I1689">
        <f>IF(D1689="","",H1689-F1689*IFERROR(INDEX(الأصناف!$D$2:$D$2000,MATCH(D1689,الأصناف!$A$2:$A$2000,0)),0))</f>
        <v/>
      </c>
      <c r="J1689" s="4" t="n"/>
      <c r="K1689" s="7">
        <f>IF(OR(B1689="",B1689&lt;&gt;الإيصال!$C$3),"",COUNTIF(B$2:B1689,الإيصال!$C$3))</f>
        <v/>
      </c>
    </row>
    <row r="1690">
      <c r="A1690" s="6" t="n"/>
      <c r="B1690" s="4" t="n"/>
      <c r="C1690" s="4" t="n"/>
      <c r="D1690" s="4" t="n"/>
      <c r="E1690">
        <f>IF(D1690="","",IFERROR(INDEX(الأصناف!$B$2:$B$2000,MATCH(D1690,الأصناف!$A$2:$A$2000,0)),"كود غير موجود"))</f>
        <v/>
      </c>
      <c r="F1690" s="4" t="n"/>
      <c r="G1690">
        <f>IF(D1690="","",IFERROR(INDEX(الأصناف!$C$2:$C$2000,MATCH(D1690,الأصناف!$A$2:$A$2000,0)),0))</f>
        <v/>
      </c>
      <c r="H1690">
        <f>IF(D1690="","",F1690*G1690)</f>
        <v/>
      </c>
      <c r="I1690">
        <f>IF(D1690="","",H1690-F1690*IFERROR(INDEX(الأصناف!$D$2:$D$2000,MATCH(D1690,الأصناف!$A$2:$A$2000,0)),0))</f>
        <v/>
      </c>
      <c r="J1690" s="4" t="n"/>
      <c r="K1690" s="7">
        <f>IF(OR(B1690="",B1690&lt;&gt;الإيصال!$C$3),"",COUNTIF(B$2:B1690,الإيصال!$C$3))</f>
        <v/>
      </c>
    </row>
    <row r="1691">
      <c r="A1691" s="6" t="n"/>
      <c r="B1691" s="4" t="n"/>
      <c r="C1691" s="4" t="n"/>
      <c r="D1691" s="4" t="n"/>
      <c r="E1691">
        <f>IF(D1691="","",IFERROR(INDEX(الأصناف!$B$2:$B$2000,MATCH(D1691,الأصناف!$A$2:$A$2000,0)),"كود غير موجود"))</f>
        <v/>
      </c>
      <c r="F1691" s="4" t="n"/>
      <c r="G1691">
        <f>IF(D1691="","",IFERROR(INDEX(الأصناف!$C$2:$C$2000,MATCH(D1691,الأصناف!$A$2:$A$2000,0)),0))</f>
        <v/>
      </c>
      <c r="H1691">
        <f>IF(D1691="","",F1691*G1691)</f>
        <v/>
      </c>
      <c r="I1691">
        <f>IF(D1691="","",H1691-F1691*IFERROR(INDEX(الأصناف!$D$2:$D$2000,MATCH(D1691,الأصناف!$A$2:$A$2000,0)),0))</f>
        <v/>
      </c>
      <c r="J1691" s="4" t="n"/>
      <c r="K1691" s="7">
        <f>IF(OR(B1691="",B1691&lt;&gt;الإيصال!$C$3),"",COUNTIF(B$2:B1691,الإيصال!$C$3))</f>
        <v/>
      </c>
    </row>
    <row r="1692">
      <c r="A1692" s="6" t="n"/>
      <c r="B1692" s="4" t="n"/>
      <c r="C1692" s="4" t="n"/>
      <c r="D1692" s="4" t="n"/>
      <c r="E1692">
        <f>IF(D1692="","",IFERROR(INDEX(الأصناف!$B$2:$B$2000,MATCH(D1692,الأصناف!$A$2:$A$2000,0)),"كود غير موجود"))</f>
        <v/>
      </c>
      <c r="F1692" s="4" t="n"/>
      <c r="G1692">
        <f>IF(D1692="","",IFERROR(INDEX(الأصناف!$C$2:$C$2000,MATCH(D1692,الأصناف!$A$2:$A$2000,0)),0))</f>
        <v/>
      </c>
      <c r="H1692">
        <f>IF(D1692="","",F1692*G1692)</f>
        <v/>
      </c>
      <c r="I1692">
        <f>IF(D1692="","",H1692-F1692*IFERROR(INDEX(الأصناف!$D$2:$D$2000,MATCH(D1692,الأصناف!$A$2:$A$2000,0)),0))</f>
        <v/>
      </c>
      <c r="J1692" s="4" t="n"/>
      <c r="K1692" s="7">
        <f>IF(OR(B1692="",B1692&lt;&gt;الإيصال!$C$3),"",COUNTIF(B$2:B1692,الإيصال!$C$3))</f>
        <v/>
      </c>
    </row>
    <row r="1693">
      <c r="A1693" s="6" t="n"/>
      <c r="B1693" s="4" t="n"/>
      <c r="C1693" s="4" t="n"/>
      <c r="D1693" s="4" t="n"/>
      <c r="E1693">
        <f>IF(D1693="","",IFERROR(INDEX(الأصناف!$B$2:$B$2000,MATCH(D1693,الأصناف!$A$2:$A$2000,0)),"كود غير موجود"))</f>
        <v/>
      </c>
      <c r="F1693" s="4" t="n"/>
      <c r="G1693">
        <f>IF(D1693="","",IFERROR(INDEX(الأصناف!$C$2:$C$2000,MATCH(D1693,الأصناف!$A$2:$A$2000,0)),0))</f>
        <v/>
      </c>
      <c r="H1693">
        <f>IF(D1693="","",F1693*G1693)</f>
        <v/>
      </c>
      <c r="I1693">
        <f>IF(D1693="","",H1693-F1693*IFERROR(INDEX(الأصناف!$D$2:$D$2000,MATCH(D1693,الأصناف!$A$2:$A$2000,0)),0))</f>
        <v/>
      </c>
      <c r="J1693" s="4" t="n"/>
      <c r="K1693" s="7">
        <f>IF(OR(B1693="",B1693&lt;&gt;الإيصال!$C$3),"",COUNTIF(B$2:B1693,الإيصال!$C$3))</f>
        <v/>
      </c>
    </row>
    <row r="1694">
      <c r="A1694" s="6" t="n"/>
      <c r="B1694" s="4" t="n"/>
      <c r="C1694" s="4" t="n"/>
      <c r="D1694" s="4" t="n"/>
      <c r="E1694">
        <f>IF(D1694="","",IFERROR(INDEX(الأصناف!$B$2:$B$2000,MATCH(D1694,الأصناف!$A$2:$A$2000,0)),"كود غير موجود"))</f>
        <v/>
      </c>
      <c r="F1694" s="4" t="n"/>
      <c r="G1694">
        <f>IF(D1694="","",IFERROR(INDEX(الأصناف!$C$2:$C$2000,MATCH(D1694,الأصناف!$A$2:$A$2000,0)),0))</f>
        <v/>
      </c>
      <c r="H1694">
        <f>IF(D1694="","",F1694*G1694)</f>
        <v/>
      </c>
      <c r="I1694">
        <f>IF(D1694="","",H1694-F1694*IFERROR(INDEX(الأصناف!$D$2:$D$2000,MATCH(D1694,الأصناف!$A$2:$A$2000,0)),0))</f>
        <v/>
      </c>
      <c r="J1694" s="4" t="n"/>
      <c r="K1694" s="7">
        <f>IF(OR(B1694="",B1694&lt;&gt;الإيصال!$C$3),"",COUNTIF(B$2:B1694,الإيصال!$C$3))</f>
        <v/>
      </c>
    </row>
    <row r="1695">
      <c r="A1695" s="6" t="n"/>
      <c r="B1695" s="4" t="n"/>
      <c r="C1695" s="4" t="n"/>
      <c r="D1695" s="4" t="n"/>
      <c r="E1695">
        <f>IF(D1695="","",IFERROR(INDEX(الأصناف!$B$2:$B$2000,MATCH(D1695,الأصناف!$A$2:$A$2000,0)),"كود غير موجود"))</f>
        <v/>
      </c>
      <c r="F1695" s="4" t="n"/>
      <c r="G1695">
        <f>IF(D1695="","",IFERROR(INDEX(الأصناف!$C$2:$C$2000,MATCH(D1695,الأصناف!$A$2:$A$2000,0)),0))</f>
        <v/>
      </c>
      <c r="H1695">
        <f>IF(D1695="","",F1695*G1695)</f>
        <v/>
      </c>
      <c r="I1695">
        <f>IF(D1695="","",H1695-F1695*IFERROR(INDEX(الأصناف!$D$2:$D$2000,MATCH(D1695,الأصناف!$A$2:$A$2000,0)),0))</f>
        <v/>
      </c>
      <c r="J1695" s="4" t="n"/>
      <c r="K1695" s="7">
        <f>IF(OR(B1695="",B1695&lt;&gt;الإيصال!$C$3),"",COUNTIF(B$2:B1695,الإيصال!$C$3))</f>
        <v/>
      </c>
    </row>
    <row r="1696">
      <c r="A1696" s="6" t="n"/>
      <c r="B1696" s="4" t="n"/>
      <c r="C1696" s="4" t="n"/>
      <c r="D1696" s="4" t="n"/>
      <c r="E1696">
        <f>IF(D1696="","",IFERROR(INDEX(الأصناف!$B$2:$B$2000,MATCH(D1696,الأصناف!$A$2:$A$2000,0)),"كود غير موجود"))</f>
        <v/>
      </c>
      <c r="F1696" s="4" t="n"/>
      <c r="G1696">
        <f>IF(D1696="","",IFERROR(INDEX(الأصناف!$C$2:$C$2000,MATCH(D1696,الأصناف!$A$2:$A$2000,0)),0))</f>
        <v/>
      </c>
      <c r="H1696">
        <f>IF(D1696="","",F1696*G1696)</f>
        <v/>
      </c>
      <c r="I1696">
        <f>IF(D1696="","",H1696-F1696*IFERROR(INDEX(الأصناف!$D$2:$D$2000,MATCH(D1696,الأصناف!$A$2:$A$2000,0)),0))</f>
        <v/>
      </c>
      <c r="J1696" s="4" t="n"/>
      <c r="K1696" s="7">
        <f>IF(OR(B1696="",B1696&lt;&gt;الإيصال!$C$3),"",COUNTIF(B$2:B1696,الإيصال!$C$3))</f>
        <v/>
      </c>
    </row>
    <row r="1697">
      <c r="A1697" s="6" t="n"/>
      <c r="B1697" s="4" t="n"/>
      <c r="C1697" s="4" t="n"/>
      <c r="D1697" s="4" t="n"/>
      <c r="E1697">
        <f>IF(D1697="","",IFERROR(INDEX(الأصناف!$B$2:$B$2000,MATCH(D1697,الأصناف!$A$2:$A$2000,0)),"كود غير موجود"))</f>
        <v/>
      </c>
      <c r="F1697" s="4" t="n"/>
      <c r="G1697">
        <f>IF(D1697="","",IFERROR(INDEX(الأصناف!$C$2:$C$2000,MATCH(D1697,الأصناف!$A$2:$A$2000,0)),0))</f>
        <v/>
      </c>
      <c r="H1697">
        <f>IF(D1697="","",F1697*G1697)</f>
        <v/>
      </c>
      <c r="I1697">
        <f>IF(D1697="","",H1697-F1697*IFERROR(INDEX(الأصناف!$D$2:$D$2000,MATCH(D1697,الأصناف!$A$2:$A$2000,0)),0))</f>
        <v/>
      </c>
      <c r="J1697" s="4" t="n"/>
      <c r="K1697" s="7">
        <f>IF(OR(B1697="",B1697&lt;&gt;الإيصال!$C$3),"",COUNTIF(B$2:B1697,الإيصال!$C$3))</f>
        <v/>
      </c>
    </row>
    <row r="1698">
      <c r="A1698" s="6" t="n"/>
      <c r="B1698" s="4" t="n"/>
      <c r="C1698" s="4" t="n"/>
      <c r="D1698" s="4" t="n"/>
      <c r="E1698">
        <f>IF(D1698="","",IFERROR(INDEX(الأصناف!$B$2:$B$2000,MATCH(D1698,الأصناف!$A$2:$A$2000,0)),"كود غير موجود"))</f>
        <v/>
      </c>
      <c r="F1698" s="4" t="n"/>
      <c r="G1698">
        <f>IF(D1698="","",IFERROR(INDEX(الأصناف!$C$2:$C$2000,MATCH(D1698,الأصناف!$A$2:$A$2000,0)),0))</f>
        <v/>
      </c>
      <c r="H1698">
        <f>IF(D1698="","",F1698*G1698)</f>
        <v/>
      </c>
      <c r="I1698">
        <f>IF(D1698="","",H1698-F1698*IFERROR(INDEX(الأصناف!$D$2:$D$2000,MATCH(D1698,الأصناف!$A$2:$A$2000,0)),0))</f>
        <v/>
      </c>
      <c r="J1698" s="4" t="n"/>
      <c r="K1698" s="7">
        <f>IF(OR(B1698="",B1698&lt;&gt;الإيصال!$C$3),"",COUNTIF(B$2:B1698,الإيصال!$C$3))</f>
        <v/>
      </c>
    </row>
    <row r="1699">
      <c r="A1699" s="6" t="n"/>
      <c r="B1699" s="4" t="n"/>
      <c r="C1699" s="4" t="n"/>
      <c r="D1699" s="4" t="n"/>
      <c r="E1699">
        <f>IF(D1699="","",IFERROR(INDEX(الأصناف!$B$2:$B$2000,MATCH(D1699,الأصناف!$A$2:$A$2000,0)),"كود غير موجود"))</f>
        <v/>
      </c>
      <c r="F1699" s="4" t="n"/>
      <c r="G1699">
        <f>IF(D1699="","",IFERROR(INDEX(الأصناف!$C$2:$C$2000,MATCH(D1699,الأصناف!$A$2:$A$2000,0)),0))</f>
        <v/>
      </c>
      <c r="H1699">
        <f>IF(D1699="","",F1699*G1699)</f>
        <v/>
      </c>
      <c r="I1699">
        <f>IF(D1699="","",H1699-F1699*IFERROR(INDEX(الأصناف!$D$2:$D$2000,MATCH(D1699,الأصناف!$A$2:$A$2000,0)),0))</f>
        <v/>
      </c>
      <c r="J1699" s="4" t="n"/>
      <c r="K1699" s="7">
        <f>IF(OR(B1699="",B1699&lt;&gt;الإيصال!$C$3),"",COUNTIF(B$2:B1699,الإيصال!$C$3))</f>
        <v/>
      </c>
    </row>
    <row r="1700">
      <c r="A1700" s="6" t="n"/>
      <c r="B1700" s="4" t="n"/>
      <c r="C1700" s="4" t="n"/>
      <c r="D1700" s="4" t="n"/>
      <c r="E1700">
        <f>IF(D1700="","",IFERROR(INDEX(الأصناف!$B$2:$B$2000,MATCH(D1700,الأصناف!$A$2:$A$2000,0)),"كود غير موجود"))</f>
        <v/>
      </c>
      <c r="F1700" s="4" t="n"/>
      <c r="G1700">
        <f>IF(D1700="","",IFERROR(INDEX(الأصناف!$C$2:$C$2000,MATCH(D1700,الأصناف!$A$2:$A$2000,0)),0))</f>
        <v/>
      </c>
      <c r="H1700">
        <f>IF(D1700="","",F1700*G1700)</f>
        <v/>
      </c>
      <c r="I1700">
        <f>IF(D1700="","",H1700-F1700*IFERROR(INDEX(الأصناف!$D$2:$D$2000,MATCH(D1700,الأصناف!$A$2:$A$2000,0)),0))</f>
        <v/>
      </c>
      <c r="J1700" s="4" t="n"/>
      <c r="K1700" s="7">
        <f>IF(OR(B1700="",B1700&lt;&gt;الإيصال!$C$3),"",COUNTIF(B$2:B1700,الإيصال!$C$3))</f>
        <v/>
      </c>
    </row>
    <row r="1701">
      <c r="A1701" s="6" t="n"/>
      <c r="B1701" s="4" t="n"/>
      <c r="C1701" s="4" t="n"/>
      <c r="D1701" s="4" t="n"/>
      <c r="E1701">
        <f>IF(D1701="","",IFERROR(INDEX(الأصناف!$B$2:$B$2000,MATCH(D1701,الأصناف!$A$2:$A$2000,0)),"كود غير موجود"))</f>
        <v/>
      </c>
      <c r="F1701" s="4" t="n"/>
      <c r="G1701">
        <f>IF(D1701="","",IFERROR(INDEX(الأصناف!$C$2:$C$2000,MATCH(D1701,الأصناف!$A$2:$A$2000,0)),0))</f>
        <v/>
      </c>
      <c r="H1701">
        <f>IF(D1701="","",F1701*G1701)</f>
        <v/>
      </c>
      <c r="I1701">
        <f>IF(D1701="","",H1701-F1701*IFERROR(INDEX(الأصناف!$D$2:$D$2000,MATCH(D1701,الأصناف!$A$2:$A$2000,0)),0))</f>
        <v/>
      </c>
      <c r="J1701" s="4" t="n"/>
      <c r="K1701" s="7">
        <f>IF(OR(B1701="",B1701&lt;&gt;الإيصال!$C$3),"",COUNTIF(B$2:B1701,الإيصال!$C$3))</f>
        <v/>
      </c>
    </row>
    <row r="1702">
      <c r="A1702" s="6" t="n"/>
      <c r="B1702" s="4" t="n"/>
      <c r="C1702" s="4" t="n"/>
      <c r="D1702" s="4" t="n"/>
      <c r="E1702">
        <f>IF(D1702="","",IFERROR(INDEX(الأصناف!$B$2:$B$2000,MATCH(D1702,الأصناف!$A$2:$A$2000,0)),"كود غير موجود"))</f>
        <v/>
      </c>
      <c r="F1702" s="4" t="n"/>
      <c r="G1702">
        <f>IF(D1702="","",IFERROR(INDEX(الأصناف!$C$2:$C$2000,MATCH(D1702,الأصناف!$A$2:$A$2000,0)),0))</f>
        <v/>
      </c>
      <c r="H1702">
        <f>IF(D1702="","",F1702*G1702)</f>
        <v/>
      </c>
      <c r="I1702">
        <f>IF(D1702="","",H1702-F1702*IFERROR(INDEX(الأصناف!$D$2:$D$2000,MATCH(D1702,الأصناف!$A$2:$A$2000,0)),0))</f>
        <v/>
      </c>
      <c r="J1702" s="4" t="n"/>
      <c r="K1702" s="7">
        <f>IF(OR(B1702="",B1702&lt;&gt;الإيصال!$C$3),"",COUNTIF(B$2:B1702,الإيصال!$C$3))</f>
        <v/>
      </c>
    </row>
    <row r="1703">
      <c r="A1703" s="6" t="n"/>
      <c r="B1703" s="4" t="n"/>
      <c r="C1703" s="4" t="n"/>
      <c r="D1703" s="4" t="n"/>
      <c r="E1703">
        <f>IF(D1703="","",IFERROR(INDEX(الأصناف!$B$2:$B$2000,MATCH(D1703,الأصناف!$A$2:$A$2000,0)),"كود غير موجود"))</f>
        <v/>
      </c>
      <c r="F1703" s="4" t="n"/>
      <c r="G1703">
        <f>IF(D1703="","",IFERROR(INDEX(الأصناف!$C$2:$C$2000,MATCH(D1703,الأصناف!$A$2:$A$2000,0)),0))</f>
        <v/>
      </c>
      <c r="H1703">
        <f>IF(D1703="","",F1703*G1703)</f>
        <v/>
      </c>
      <c r="I1703">
        <f>IF(D1703="","",H1703-F1703*IFERROR(INDEX(الأصناف!$D$2:$D$2000,MATCH(D1703,الأصناف!$A$2:$A$2000,0)),0))</f>
        <v/>
      </c>
      <c r="J1703" s="4" t="n"/>
      <c r="K1703" s="7">
        <f>IF(OR(B1703="",B1703&lt;&gt;الإيصال!$C$3),"",COUNTIF(B$2:B1703,الإيصال!$C$3))</f>
        <v/>
      </c>
    </row>
    <row r="1704">
      <c r="A1704" s="6" t="n"/>
      <c r="B1704" s="4" t="n"/>
      <c r="C1704" s="4" t="n"/>
      <c r="D1704" s="4" t="n"/>
      <c r="E1704">
        <f>IF(D1704="","",IFERROR(INDEX(الأصناف!$B$2:$B$2000,MATCH(D1704,الأصناف!$A$2:$A$2000,0)),"كود غير موجود"))</f>
        <v/>
      </c>
      <c r="F1704" s="4" t="n"/>
      <c r="G1704">
        <f>IF(D1704="","",IFERROR(INDEX(الأصناف!$C$2:$C$2000,MATCH(D1704,الأصناف!$A$2:$A$2000,0)),0))</f>
        <v/>
      </c>
      <c r="H1704">
        <f>IF(D1704="","",F1704*G1704)</f>
        <v/>
      </c>
      <c r="I1704">
        <f>IF(D1704="","",H1704-F1704*IFERROR(INDEX(الأصناف!$D$2:$D$2000,MATCH(D1704,الأصناف!$A$2:$A$2000,0)),0))</f>
        <v/>
      </c>
      <c r="J1704" s="4" t="n"/>
      <c r="K1704" s="7">
        <f>IF(OR(B1704="",B1704&lt;&gt;الإيصال!$C$3),"",COUNTIF(B$2:B1704,الإيصال!$C$3))</f>
        <v/>
      </c>
    </row>
    <row r="1705">
      <c r="A1705" s="6" t="n"/>
      <c r="B1705" s="4" t="n"/>
      <c r="C1705" s="4" t="n"/>
      <c r="D1705" s="4" t="n"/>
      <c r="E1705">
        <f>IF(D1705="","",IFERROR(INDEX(الأصناف!$B$2:$B$2000,MATCH(D1705,الأصناف!$A$2:$A$2000,0)),"كود غير موجود"))</f>
        <v/>
      </c>
      <c r="F1705" s="4" t="n"/>
      <c r="G1705">
        <f>IF(D1705="","",IFERROR(INDEX(الأصناف!$C$2:$C$2000,MATCH(D1705,الأصناف!$A$2:$A$2000,0)),0))</f>
        <v/>
      </c>
      <c r="H1705">
        <f>IF(D1705="","",F1705*G1705)</f>
        <v/>
      </c>
      <c r="I1705">
        <f>IF(D1705="","",H1705-F1705*IFERROR(INDEX(الأصناف!$D$2:$D$2000,MATCH(D1705,الأصناف!$A$2:$A$2000,0)),0))</f>
        <v/>
      </c>
      <c r="J1705" s="4" t="n"/>
      <c r="K1705" s="7">
        <f>IF(OR(B1705="",B1705&lt;&gt;الإيصال!$C$3),"",COUNTIF(B$2:B1705,الإيصال!$C$3))</f>
        <v/>
      </c>
    </row>
    <row r="1706">
      <c r="A1706" s="6" t="n"/>
      <c r="B1706" s="4" t="n"/>
      <c r="C1706" s="4" t="n"/>
      <c r="D1706" s="4" t="n"/>
      <c r="E1706">
        <f>IF(D1706="","",IFERROR(INDEX(الأصناف!$B$2:$B$2000,MATCH(D1706,الأصناف!$A$2:$A$2000,0)),"كود غير موجود"))</f>
        <v/>
      </c>
      <c r="F1706" s="4" t="n"/>
      <c r="G1706">
        <f>IF(D1706="","",IFERROR(INDEX(الأصناف!$C$2:$C$2000,MATCH(D1706,الأصناف!$A$2:$A$2000,0)),0))</f>
        <v/>
      </c>
      <c r="H1706">
        <f>IF(D1706="","",F1706*G1706)</f>
        <v/>
      </c>
      <c r="I1706">
        <f>IF(D1706="","",H1706-F1706*IFERROR(INDEX(الأصناف!$D$2:$D$2000,MATCH(D1706,الأصناف!$A$2:$A$2000,0)),0))</f>
        <v/>
      </c>
      <c r="J1706" s="4" t="n"/>
      <c r="K1706" s="7">
        <f>IF(OR(B1706="",B1706&lt;&gt;الإيصال!$C$3),"",COUNTIF(B$2:B1706,الإيصال!$C$3))</f>
        <v/>
      </c>
    </row>
    <row r="1707">
      <c r="A1707" s="6" t="n"/>
      <c r="B1707" s="4" t="n"/>
      <c r="C1707" s="4" t="n"/>
      <c r="D1707" s="4" t="n"/>
      <c r="E1707">
        <f>IF(D1707="","",IFERROR(INDEX(الأصناف!$B$2:$B$2000,MATCH(D1707,الأصناف!$A$2:$A$2000,0)),"كود غير موجود"))</f>
        <v/>
      </c>
      <c r="F1707" s="4" t="n"/>
      <c r="G1707">
        <f>IF(D1707="","",IFERROR(INDEX(الأصناف!$C$2:$C$2000,MATCH(D1707,الأصناف!$A$2:$A$2000,0)),0))</f>
        <v/>
      </c>
      <c r="H1707">
        <f>IF(D1707="","",F1707*G1707)</f>
        <v/>
      </c>
      <c r="I1707">
        <f>IF(D1707="","",H1707-F1707*IFERROR(INDEX(الأصناف!$D$2:$D$2000,MATCH(D1707,الأصناف!$A$2:$A$2000,0)),0))</f>
        <v/>
      </c>
      <c r="J1707" s="4" t="n"/>
      <c r="K1707" s="7">
        <f>IF(OR(B1707="",B1707&lt;&gt;الإيصال!$C$3),"",COUNTIF(B$2:B1707,الإيصال!$C$3))</f>
        <v/>
      </c>
    </row>
    <row r="1708">
      <c r="A1708" s="6" t="n"/>
      <c r="B1708" s="4" t="n"/>
      <c r="C1708" s="4" t="n"/>
      <c r="D1708" s="4" t="n"/>
      <c r="E1708">
        <f>IF(D1708="","",IFERROR(INDEX(الأصناف!$B$2:$B$2000,MATCH(D1708,الأصناف!$A$2:$A$2000,0)),"كود غير موجود"))</f>
        <v/>
      </c>
      <c r="F1708" s="4" t="n"/>
      <c r="G1708">
        <f>IF(D1708="","",IFERROR(INDEX(الأصناف!$C$2:$C$2000,MATCH(D1708,الأصناف!$A$2:$A$2000,0)),0))</f>
        <v/>
      </c>
      <c r="H1708">
        <f>IF(D1708="","",F1708*G1708)</f>
        <v/>
      </c>
      <c r="I1708">
        <f>IF(D1708="","",H1708-F1708*IFERROR(INDEX(الأصناف!$D$2:$D$2000,MATCH(D1708,الأصناف!$A$2:$A$2000,0)),0))</f>
        <v/>
      </c>
      <c r="J1708" s="4" t="n"/>
      <c r="K1708" s="7">
        <f>IF(OR(B1708="",B1708&lt;&gt;الإيصال!$C$3),"",COUNTIF(B$2:B1708,الإيصال!$C$3))</f>
        <v/>
      </c>
    </row>
    <row r="1709">
      <c r="A1709" s="6" t="n"/>
      <c r="B1709" s="4" t="n"/>
      <c r="C1709" s="4" t="n"/>
      <c r="D1709" s="4" t="n"/>
      <c r="E1709">
        <f>IF(D1709="","",IFERROR(INDEX(الأصناف!$B$2:$B$2000,MATCH(D1709,الأصناف!$A$2:$A$2000,0)),"كود غير موجود"))</f>
        <v/>
      </c>
      <c r="F1709" s="4" t="n"/>
      <c r="G1709">
        <f>IF(D1709="","",IFERROR(INDEX(الأصناف!$C$2:$C$2000,MATCH(D1709,الأصناف!$A$2:$A$2000,0)),0))</f>
        <v/>
      </c>
      <c r="H1709">
        <f>IF(D1709="","",F1709*G1709)</f>
        <v/>
      </c>
      <c r="I1709">
        <f>IF(D1709="","",H1709-F1709*IFERROR(INDEX(الأصناف!$D$2:$D$2000,MATCH(D1709,الأصناف!$A$2:$A$2000,0)),0))</f>
        <v/>
      </c>
      <c r="J1709" s="4" t="n"/>
      <c r="K1709" s="7">
        <f>IF(OR(B1709="",B1709&lt;&gt;الإيصال!$C$3),"",COUNTIF(B$2:B1709,الإيصال!$C$3))</f>
        <v/>
      </c>
    </row>
    <row r="1710">
      <c r="A1710" s="6" t="n"/>
      <c r="B1710" s="4" t="n"/>
      <c r="C1710" s="4" t="n"/>
      <c r="D1710" s="4" t="n"/>
      <c r="E1710">
        <f>IF(D1710="","",IFERROR(INDEX(الأصناف!$B$2:$B$2000,MATCH(D1710,الأصناف!$A$2:$A$2000,0)),"كود غير موجود"))</f>
        <v/>
      </c>
      <c r="F1710" s="4" t="n"/>
      <c r="G1710">
        <f>IF(D1710="","",IFERROR(INDEX(الأصناف!$C$2:$C$2000,MATCH(D1710,الأصناف!$A$2:$A$2000,0)),0))</f>
        <v/>
      </c>
      <c r="H1710">
        <f>IF(D1710="","",F1710*G1710)</f>
        <v/>
      </c>
      <c r="I1710">
        <f>IF(D1710="","",H1710-F1710*IFERROR(INDEX(الأصناف!$D$2:$D$2000,MATCH(D1710,الأصناف!$A$2:$A$2000,0)),0))</f>
        <v/>
      </c>
      <c r="J1710" s="4" t="n"/>
      <c r="K1710" s="7">
        <f>IF(OR(B1710="",B1710&lt;&gt;الإيصال!$C$3),"",COUNTIF(B$2:B1710,الإيصال!$C$3))</f>
        <v/>
      </c>
    </row>
    <row r="1711">
      <c r="A1711" s="6" t="n"/>
      <c r="B1711" s="4" t="n"/>
      <c r="C1711" s="4" t="n"/>
      <c r="D1711" s="4" t="n"/>
      <c r="E1711">
        <f>IF(D1711="","",IFERROR(INDEX(الأصناف!$B$2:$B$2000,MATCH(D1711,الأصناف!$A$2:$A$2000,0)),"كود غير موجود"))</f>
        <v/>
      </c>
      <c r="F1711" s="4" t="n"/>
      <c r="G1711">
        <f>IF(D1711="","",IFERROR(INDEX(الأصناف!$C$2:$C$2000,MATCH(D1711,الأصناف!$A$2:$A$2000,0)),0))</f>
        <v/>
      </c>
      <c r="H1711">
        <f>IF(D1711="","",F1711*G1711)</f>
        <v/>
      </c>
      <c r="I1711">
        <f>IF(D1711="","",H1711-F1711*IFERROR(INDEX(الأصناف!$D$2:$D$2000,MATCH(D1711,الأصناف!$A$2:$A$2000,0)),0))</f>
        <v/>
      </c>
      <c r="J1711" s="4" t="n"/>
      <c r="K1711" s="7">
        <f>IF(OR(B1711="",B1711&lt;&gt;الإيصال!$C$3),"",COUNTIF(B$2:B1711,الإيصال!$C$3))</f>
        <v/>
      </c>
    </row>
    <row r="1712">
      <c r="A1712" s="6" t="n"/>
      <c r="B1712" s="4" t="n"/>
      <c r="C1712" s="4" t="n"/>
      <c r="D1712" s="4" t="n"/>
      <c r="E1712">
        <f>IF(D1712="","",IFERROR(INDEX(الأصناف!$B$2:$B$2000,MATCH(D1712,الأصناف!$A$2:$A$2000,0)),"كود غير موجود"))</f>
        <v/>
      </c>
      <c r="F1712" s="4" t="n"/>
      <c r="G1712">
        <f>IF(D1712="","",IFERROR(INDEX(الأصناف!$C$2:$C$2000,MATCH(D1712,الأصناف!$A$2:$A$2000,0)),0))</f>
        <v/>
      </c>
      <c r="H1712">
        <f>IF(D1712="","",F1712*G1712)</f>
        <v/>
      </c>
      <c r="I1712">
        <f>IF(D1712="","",H1712-F1712*IFERROR(INDEX(الأصناف!$D$2:$D$2000,MATCH(D1712,الأصناف!$A$2:$A$2000,0)),0))</f>
        <v/>
      </c>
      <c r="J1712" s="4" t="n"/>
      <c r="K1712" s="7">
        <f>IF(OR(B1712="",B1712&lt;&gt;الإيصال!$C$3),"",COUNTIF(B$2:B1712,الإيصال!$C$3))</f>
        <v/>
      </c>
    </row>
    <row r="1713">
      <c r="A1713" s="6" t="n"/>
      <c r="B1713" s="4" t="n"/>
      <c r="C1713" s="4" t="n"/>
      <c r="D1713" s="4" t="n"/>
      <c r="E1713">
        <f>IF(D1713="","",IFERROR(INDEX(الأصناف!$B$2:$B$2000,MATCH(D1713,الأصناف!$A$2:$A$2000,0)),"كود غير موجود"))</f>
        <v/>
      </c>
      <c r="F1713" s="4" t="n"/>
      <c r="G1713">
        <f>IF(D1713="","",IFERROR(INDEX(الأصناف!$C$2:$C$2000,MATCH(D1713,الأصناف!$A$2:$A$2000,0)),0))</f>
        <v/>
      </c>
      <c r="H1713">
        <f>IF(D1713="","",F1713*G1713)</f>
        <v/>
      </c>
      <c r="I1713">
        <f>IF(D1713="","",H1713-F1713*IFERROR(INDEX(الأصناف!$D$2:$D$2000,MATCH(D1713,الأصناف!$A$2:$A$2000,0)),0))</f>
        <v/>
      </c>
      <c r="J1713" s="4" t="n"/>
      <c r="K1713" s="7">
        <f>IF(OR(B1713="",B1713&lt;&gt;الإيصال!$C$3),"",COUNTIF(B$2:B1713,الإيصال!$C$3))</f>
        <v/>
      </c>
    </row>
    <row r="1714">
      <c r="A1714" s="6" t="n"/>
      <c r="B1714" s="4" t="n"/>
      <c r="C1714" s="4" t="n"/>
      <c r="D1714" s="4" t="n"/>
      <c r="E1714">
        <f>IF(D1714="","",IFERROR(INDEX(الأصناف!$B$2:$B$2000,MATCH(D1714,الأصناف!$A$2:$A$2000,0)),"كود غير موجود"))</f>
        <v/>
      </c>
      <c r="F1714" s="4" t="n"/>
      <c r="G1714">
        <f>IF(D1714="","",IFERROR(INDEX(الأصناف!$C$2:$C$2000,MATCH(D1714,الأصناف!$A$2:$A$2000,0)),0))</f>
        <v/>
      </c>
      <c r="H1714">
        <f>IF(D1714="","",F1714*G1714)</f>
        <v/>
      </c>
      <c r="I1714">
        <f>IF(D1714="","",H1714-F1714*IFERROR(INDEX(الأصناف!$D$2:$D$2000,MATCH(D1714,الأصناف!$A$2:$A$2000,0)),0))</f>
        <v/>
      </c>
      <c r="J1714" s="4" t="n"/>
      <c r="K1714" s="7">
        <f>IF(OR(B1714="",B1714&lt;&gt;الإيصال!$C$3),"",COUNTIF(B$2:B1714,الإيصال!$C$3))</f>
        <v/>
      </c>
    </row>
    <row r="1715">
      <c r="A1715" s="6" t="n"/>
      <c r="B1715" s="4" t="n"/>
      <c r="C1715" s="4" t="n"/>
      <c r="D1715" s="4" t="n"/>
      <c r="E1715">
        <f>IF(D1715="","",IFERROR(INDEX(الأصناف!$B$2:$B$2000,MATCH(D1715,الأصناف!$A$2:$A$2000,0)),"كود غير موجود"))</f>
        <v/>
      </c>
      <c r="F1715" s="4" t="n"/>
      <c r="G1715">
        <f>IF(D1715="","",IFERROR(INDEX(الأصناف!$C$2:$C$2000,MATCH(D1715,الأصناف!$A$2:$A$2000,0)),0))</f>
        <v/>
      </c>
      <c r="H1715">
        <f>IF(D1715="","",F1715*G1715)</f>
        <v/>
      </c>
      <c r="I1715">
        <f>IF(D1715="","",H1715-F1715*IFERROR(INDEX(الأصناف!$D$2:$D$2000,MATCH(D1715,الأصناف!$A$2:$A$2000,0)),0))</f>
        <v/>
      </c>
      <c r="J1715" s="4" t="n"/>
      <c r="K1715" s="7">
        <f>IF(OR(B1715="",B1715&lt;&gt;الإيصال!$C$3),"",COUNTIF(B$2:B1715,الإيصال!$C$3))</f>
        <v/>
      </c>
    </row>
    <row r="1716">
      <c r="A1716" s="6" t="n"/>
      <c r="B1716" s="4" t="n"/>
      <c r="C1716" s="4" t="n"/>
      <c r="D1716" s="4" t="n"/>
      <c r="E1716">
        <f>IF(D1716="","",IFERROR(INDEX(الأصناف!$B$2:$B$2000,MATCH(D1716,الأصناف!$A$2:$A$2000,0)),"كود غير موجود"))</f>
        <v/>
      </c>
      <c r="F1716" s="4" t="n"/>
      <c r="G1716">
        <f>IF(D1716="","",IFERROR(INDEX(الأصناف!$C$2:$C$2000,MATCH(D1716,الأصناف!$A$2:$A$2000,0)),0))</f>
        <v/>
      </c>
      <c r="H1716">
        <f>IF(D1716="","",F1716*G1716)</f>
        <v/>
      </c>
      <c r="I1716">
        <f>IF(D1716="","",H1716-F1716*IFERROR(INDEX(الأصناف!$D$2:$D$2000,MATCH(D1716,الأصناف!$A$2:$A$2000,0)),0))</f>
        <v/>
      </c>
      <c r="J1716" s="4" t="n"/>
      <c r="K1716" s="7">
        <f>IF(OR(B1716="",B1716&lt;&gt;الإيصال!$C$3),"",COUNTIF(B$2:B1716,الإيصال!$C$3))</f>
        <v/>
      </c>
    </row>
    <row r="1717">
      <c r="A1717" s="6" t="n"/>
      <c r="B1717" s="4" t="n"/>
      <c r="C1717" s="4" t="n"/>
      <c r="D1717" s="4" t="n"/>
      <c r="E1717">
        <f>IF(D1717="","",IFERROR(INDEX(الأصناف!$B$2:$B$2000,MATCH(D1717,الأصناف!$A$2:$A$2000,0)),"كود غير موجود"))</f>
        <v/>
      </c>
      <c r="F1717" s="4" t="n"/>
      <c r="G1717">
        <f>IF(D1717="","",IFERROR(INDEX(الأصناف!$C$2:$C$2000,MATCH(D1717,الأصناف!$A$2:$A$2000,0)),0))</f>
        <v/>
      </c>
      <c r="H1717">
        <f>IF(D1717="","",F1717*G1717)</f>
        <v/>
      </c>
      <c r="I1717">
        <f>IF(D1717="","",H1717-F1717*IFERROR(INDEX(الأصناف!$D$2:$D$2000,MATCH(D1717,الأصناف!$A$2:$A$2000,0)),0))</f>
        <v/>
      </c>
      <c r="J1717" s="4" t="n"/>
      <c r="K1717" s="7">
        <f>IF(OR(B1717="",B1717&lt;&gt;الإيصال!$C$3),"",COUNTIF(B$2:B1717,الإيصال!$C$3))</f>
        <v/>
      </c>
    </row>
    <row r="1718">
      <c r="A1718" s="6" t="n"/>
      <c r="B1718" s="4" t="n"/>
      <c r="C1718" s="4" t="n"/>
      <c r="D1718" s="4" t="n"/>
      <c r="E1718">
        <f>IF(D1718="","",IFERROR(INDEX(الأصناف!$B$2:$B$2000,MATCH(D1718,الأصناف!$A$2:$A$2000,0)),"كود غير موجود"))</f>
        <v/>
      </c>
      <c r="F1718" s="4" t="n"/>
      <c r="G1718">
        <f>IF(D1718="","",IFERROR(INDEX(الأصناف!$C$2:$C$2000,MATCH(D1718,الأصناف!$A$2:$A$2000,0)),0))</f>
        <v/>
      </c>
      <c r="H1718">
        <f>IF(D1718="","",F1718*G1718)</f>
        <v/>
      </c>
      <c r="I1718">
        <f>IF(D1718="","",H1718-F1718*IFERROR(INDEX(الأصناف!$D$2:$D$2000,MATCH(D1718,الأصناف!$A$2:$A$2000,0)),0))</f>
        <v/>
      </c>
      <c r="J1718" s="4" t="n"/>
      <c r="K1718" s="7">
        <f>IF(OR(B1718="",B1718&lt;&gt;الإيصال!$C$3),"",COUNTIF(B$2:B1718,الإيصال!$C$3))</f>
        <v/>
      </c>
    </row>
    <row r="1719">
      <c r="A1719" s="6" t="n"/>
      <c r="B1719" s="4" t="n"/>
      <c r="C1719" s="4" t="n"/>
      <c r="D1719" s="4" t="n"/>
      <c r="E1719">
        <f>IF(D1719="","",IFERROR(INDEX(الأصناف!$B$2:$B$2000,MATCH(D1719,الأصناف!$A$2:$A$2000,0)),"كود غير موجود"))</f>
        <v/>
      </c>
      <c r="F1719" s="4" t="n"/>
      <c r="G1719">
        <f>IF(D1719="","",IFERROR(INDEX(الأصناف!$C$2:$C$2000,MATCH(D1719,الأصناف!$A$2:$A$2000,0)),0))</f>
        <v/>
      </c>
      <c r="H1719">
        <f>IF(D1719="","",F1719*G1719)</f>
        <v/>
      </c>
      <c r="I1719">
        <f>IF(D1719="","",H1719-F1719*IFERROR(INDEX(الأصناف!$D$2:$D$2000,MATCH(D1719,الأصناف!$A$2:$A$2000,0)),0))</f>
        <v/>
      </c>
      <c r="J1719" s="4" t="n"/>
      <c r="K1719" s="7">
        <f>IF(OR(B1719="",B1719&lt;&gt;الإيصال!$C$3),"",COUNTIF(B$2:B1719,الإيصال!$C$3))</f>
        <v/>
      </c>
    </row>
    <row r="1720">
      <c r="A1720" s="6" t="n"/>
      <c r="B1720" s="4" t="n"/>
      <c r="C1720" s="4" t="n"/>
      <c r="D1720" s="4" t="n"/>
      <c r="E1720">
        <f>IF(D1720="","",IFERROR(INDEX(الأصناف!$B$2:$B$2000,MATCH(D1720,الأصناف!$A$2:$A$2000,0)),"كود غير موجود"))</f>
        <v/>
      </c>
      <c r="F1720" s="4" t="n"/>
      <c r="G1720">
        <f>IF(D1720="","",IFERROR(INDEX(الأصناف!$C$2:$C$2000,MATCH(D1720,الأصناف!$A$2:$A$2000,0)),0))</f>
        <v/>
      </c>
      <c r="H1720">
        <f>IF(D1720="","",F1720*G1720)</f>
        <v/>
      </c>
      <c r="I1720">
        <f>IF(D1720="","",H1720-F1720*IFERROR(INDEX(الأصناف!$D$2:$D$2000,MATCH(D1720,الأصناف!$A$2:$A$2000,0)),0))</f>
        <v/>
      </c>
      <c r="J1720" s="4" t="n"/>
      <c r="K1720" s="7">
        <f>IF(OR(B1720="",B1720&lt;&gt;الإيصال!$C$3),"",COUNTIF(B$2:B1720,الإيصال!$C$3))</f>
        <v/>
      </c>
    </row>
    <row r="1721">
      <c r="A1721" s="6" t="n"/>
      <c r="B1721" s="4" t="n"/>
      <c r="C1721" s="4" t="n"/>
      <c r="D1721" s="4" t="n"/>
      <c r="E1721">
        <f>IF(D1721="","",IFERROR(INDEX(الأصناف!$B$2:$B$2000,MATCH(D1721,الأصناف!$A$2:$A$2000,0)),"كود غير موجود"))</f>
        <v/>
      </c>
      <c r="F1721" s="4" t="n"/>
      <c r="G1721">
        <f>IF(D1721="","",IFERROR(INDEX(الأصناف!$C$2:$C$2000,MATCH(D1721,الأصناف!$A$2:$A$2000,0)),0))</f>
        <v/>
      </c>
      <c r="H1721">
        <f>IF(D1721="","",F1721*G1721)</f>
        <v/>
      </c>
      <c r="I1721">
        <f>IF(D1721="","",H1721-F1721*IFERROR(INDEX(الأصناف!$D$2:$D$2000,MATCH(D1721,الأصناف!$A$2:$A$2000,0)),0))</f>
        <v/>
      </c>
      <c r="J1721" s="4" t="n"/>
      <c r="K1721" s="7">
        <f>IF(OR(B1721="",B1721&lt;&gt;الإيصال!$C$3),"",COUNTIF(B$2:B1721,الإيصال!$C$3))</f>
        <v/>
      </c>
    </row>
    <row r="1722">
      <c r="A1722" s="6" t="n"/>
      <c r="B1722" s="4" t="n"/>
      <c r="C1722" s="4" t="n"/>
      <c r="D1722" s="4" t="n"/>
      <c r="E1722">
        <f>IF(D1722="","",IFERROR(INDEX(الأصناف!$B$2:$B$2000,MATCH(D1722,الأصناف!$A$2:$A$2000,0)),"كود غير موجود"))</f>
        <v/>
      </c>
      <c r="F1722" s="4" t="n"/>
      <c r="G1722">
        <f>IF(D1722="","",IFERROR(INDEX(الأصناف!$C$2:$C$2000,MATCH(D1722,الأصناف!$A$2:$A$2000,0)),0))</f>
        <v/>
      </c>
      <c r="H1722">
        <f>IF(D1722="","",F1722*G1722)</f>
        <v/>
      </c>
      <c r="I1722">
        <f>IF(D1722="","",H1722-F1722*IFERROR(INDEX(الأصناف!$D$2:$D$2000,MATCH(D1722,الأصناف!$A$2:$A$2000,0)),0))</f>
        <v/>
      </c>
      <c r="J1722" s="4" t="n"/>
      <c r="K1722" s="7">
        <f>IF(OR(B1722="",B1722&lt;&gt;الإيصال!$C$3),"",COUNTIF(B$2:B1722,الإيصال!$C$3))</f>
        <v/>
      </c>
    </row>
    <row r="1723">
      <c r="A1723" s="6" t="n"/>
      <c r="B1723" s="4" t="n"/>
      <c r="C1723" s="4" t="n"/>
      <c r="D1723" s="4" t="n"/>
      <c r="E1723">
        <f>IF(D1723="","",IFERROR(INDEX(الأصناف!$B$2:$B$2000,MATCH(D1723,الأصناف!$A$2:$A$2000,0)),"كود غير موجود"))</f>
        <v/>
      </c>
      <c r="F1723" s="4" t="n"/>
      <c r="G1723">
        <f>IF(D1723="","",IFERROR(INDEX(الأصناف!$C$2:$C$2000,MATCH(D1723,الأصناف!$A$2:$A$2000,0)),0))</f>
        <v/>
      </c>
      <c r="H1723">
        <f>IF(D1723="","",F1723*G1723)</f>
        <v/>
      </c>
      <c r="I1723">
        <f>IF(D1723="","",H1723-F1723*IFERROR(INDEX(الأصناف!$D$2:$D$2000,MATCH(D1723,الأصناف!$A$2:$A$2000,0)),0))</f>
        <v/>
      </c>
      <c r="J1723" s="4" t="n"/>
      <c r="K1723" s="7">
        <f>IF(OR(B1723="",B1723&lt;&gt;الإيصال!$C$3),"",COUNTIF(B$2:B1723,الإيصال!$C$3))</f>
        <v/>
      </c>
    </row>
    <row r="1724">
      <c r="A1724" s="6" t="n"/>
      <c r="B1724" s="4" t="n"/>
      <c r="C1724" s="4" t="n"/>
      <c r="D1724" s="4" t="n"/>
      <c r="E1724">
        <f>IF(D1724="","",IFERROR(INDEX(الأصناف!$B$2:$B$2000,MATCH(D1724,الأصناف!$A$2:$A$2000,0)),"كود غير موجود"))</f>
        <v/>
      </c>
      <c r="F1724" s="4" t="n"/>
      <c r="G1724">
        <f>IF(D1724="","",IFERROR(INDEX(الأصناف!$C$2:$C$2000,MATCH(D1724,الأصناف!$A$2:$A$2000,0)),0))</f>
        <v/>
      </c>
      <c r="H1724">
        <f>IF(D1724="","",F1724*G1724)</f>
        <v/>
      </c>
      <c r="I1724">
        <f>IF(D1724="","",H1724-F1724*IFERROR(INDEX(الأصناف!$D$2:$D$2000,MATCH(D1724,الأصناف!$A$2:$A$2000,0)),0))</f>
        <v/>
      </c>
      <c r="J1724" s="4" t="n"/>
      <c r="K1724" s="7">
        <f>IF(OR(B1724="",B1724&lt;&gt;الإيصال!$C$3),"",COUNTIF(B$2:B1724,الإيصال!$C$3))</f>
        <v/>
      </c>
    </row>
    <row r="1725">
      <c r="A1725" s="6" t="n"/>
      <c r="B1725" s="4" t="n"/>
      <c r="C1725" s="4" t="n"/>
      <c r="D1725" s="4" t="n"/>
      <c r="E1725">
        <f>IF(D1725="","",IFERROR(INDEX(الأصناف!$B$2:$B$2000,MATCH(D1725,الأصناف!$A$2:$A$2000,0)),"كود غير موجود"))</f>
        <v/>
      </c>
      <c r="F1725" s="4" t="n"/>
      <c r="G1725">
        <f>IF(D1725="","",IFERROR(INDEX(الأصناف!$C$2:$C$2000,MATCH(D1725,الأصناف!$A$2:$A$2000,0)),0))</f>
        <v/>
      </c>
      <c r="H1725">
        <f>IF(D1725="","",F1725*G1725)</f>
        <v/>
      </c>
      <c r="I1725">
        <f>IF(D1725="","",H1725-F1725*IFERROR(INDEX(الأصناف!$D$2:$D$2000,MATCH(D1725,الأصناف!$A$2:$A$2000,0)),0))</f>
        <v/>
      </c>
      <c r="J1725" s="4" t="n"/>
      <c r="K1725" s="7">
        <f>IF(OR(B1725="",B1725&lt;&gt;الإيصال!$C$3),"",COUNTIF(B$2:B1725,الإيصال!$C$3))</f>
        <v/>
      </c>
    </row>
    <row r="1726">
      <c r="A1726" s="6" t="n"/>
      <c r="B1726" s="4" t="n"/>
      <c r="C1726" s="4" t="n"/>
      <c r="D1726" s="4" t="n"/>
      <c r="E1726">
        <f>IF(D1726="","",IFERROR(INDEX(الأصناف!$B$2:$B$2000,MATCH(D1726,الأصناف!$A$2:$A$2000,0)),"كود غير موجود"))</f>
        <v/>
      </c>
      <c r="F1726" s="4" t="n"/>
      <c r="G1726">
        <f>IF(D1726="","",IFERROR(INDEX(الأصناف!$C$2:$C$2000,MATCH(D1726,الأصناف!$A$2:$A$2000,0)),0))</f>
        <v/>
      </c>
      <c r="H1726">
        <f>IF(D1726="","",F1726*G1726)</f>
        <v/>
      </c>
      <c r="I1726">
        <f>IF(D1726="","",H1726-F1726*IFERROR(INDEX(الأصناف!$D$2:$D$2000,MATCH(D1726,الأصناف!$A$2:$A$2000,0)),0))</f>
        <v/>
      </c>
      <c r="J1726" s="4" t="n"/>
      <c r="K1726" s="7">
        <f>IF(OR(B1726="",B1726&lt;&gt;الإيصال!$C$3),"",COUNTIF(B$2:B1726,الإيصال!$C$3))</f>
        <v/>
      </c>
    </row>
    <row r="1727">
      <c r="A1727" s="6" t="n"/>
      <c r="B1727" s="4" t="n"/>
      <c r="C1727" s="4" t="n"/>
      <c r="D1727" s="4" t="n"/>
      <c r="E1727">
        <f>IF(D1727="","",IFERROR(INDEX(الأصناف!$B$2:$B$2000,MATCH(D1727,الأصناف!$A$2:$A$2000,0)),"كود غير موجود"))</f>
        <v/>
      </c>
      <c r="F1727" s="4" t="n"/>
      <c r="G1727">
        <f>IF(D1727="","",IFERROR(INDEX(الأصناف!$C$2:$C$2000,MATCH(D1727,الأصناف!$A$2:$A$2000,0)),0))</f>
        <v/>
      </c>
      <c r="H1727">
        <f>IF(D1727="","",F1727*G1727)</f>
        <v/>
      </c>
      <c r="I1727">
        <f>IF(D1727="","",H1727-F1727*IFERROR(INDEX(الأصناف!$D$2:$D$2000,MATCH(D1727,الأصناف!$A$2:$A$2000,0)),0))</f>
        <v/>
      </c>
      <c r="J1727" s="4" t="n"/>
      <c r="K1727" s="7">
        <f>IF(OR(B1727="",B1727&lt;&gt;الإيصال!$C$3),"",COUNTIF(B$2:B1727,الإيصال!$C$3))</f>
        <v/>
      </c>
    </row>
    <row r="1728">
      <c r="A1728" s="6" t="n"/>
      <c r="B1728" s="4" t="n"/>
      <c r="C1728" s="4" t="n"/>
      <c r="D1728" s="4" t="n"/>
      <c r="E1728">
        <f>IF(D1728="","",IFERROR(INDEX(الأصناف!$B$2:$B$2000,MATCH(D1728,الأصناف!$A$2:$A$2000,0)),"كود غير موجود"))</f>
        <v/>
      </c>
      <c r="F1728" s="4" t="n"/>
      <c r="G1728">
        <f>IF(D1728="","",IFERROR(INDEX(الأصناف!$C$2:$C$2000,MATCH(D1728,الأصناف!$A$2:$A$2000,0)),0))</f>
        <v/>
      </c>
      <c r="H1728">
        <f>IF(D1728="","",F1728*G1728)</f>
        <v/>
      </c>
      <c r="I1728">
        <f>IF(D1728="","",H1728-F1728*IFERROR(INDEX(الأصناف!$D$2:$D$2000,MATCH(D1728,الأصناف!$A$2:$A$2000,0)),0))</f>
        <v/>
      </c>
      <c r="J1728" s="4" t="n"/>
      <c r="K1728" s="7">
        <f>IF(OR(B1728="",B1728&lt;&gt;الإيصال!$C$3),"",COUNTIF(B$2:B1728,الإيصال!$C$3))</f>
        <v/>
      </c>
    </row>
    <row r="1729">
      <c r="A1729" s="6" t="n"/>
      <c r="B1729" s="4" t="n"/>
      <c r="C1729" s="4" t="n"/>
      <c r="D1729" s="4" t="n"/>
      <c r="E1729">
        <f>IF(D1729="","",IFERROR(INDEX(الأصناف!$B$2:$B$2000,MATCH(D1729,الأصناف!$A$2:$A$2000,0)),"كود غير موجود"))</f>
        <v/>
      </c>
      <c r="F1729" s="4" t="n"/>
      <c r="G1729">
        <f>IF(D1729="","",IFERROR(INDEX(الأصناف!$C$2:$C$2000,MATCH(D1729,الأصناف!$A$2:$A$2000,0)),0))</f>
        <v/>
      </c>
      <c r="H1729">
        <f>IF(D1729="","",F1729*G1729)</f>
        <v/>
      </c>
      <c r="I1729">
        <f>IF(D1729="","",H1729-F1729*IFERROR(INDEX(الأصناف!$D$2:$D$2000,MATCH(D1729,الأصناف!$A$2:$A$2000,0)),0))</f>
        <v/>
      </c>
      <c r="J1729" s="4" t="n"/>
      <c r="K1729" s="7">
        <f>IF(OR(B1729="",B1729&lt;&gt;الإيصال!$C$3),"",COUNTIF(B$2:B1729,الإيصال!$C$3))</f>
        <v/>
      </c>
    </row>
    <row r="1730">
      <c r="A1730" s="6" t="n"/>
      <c r="B1730" s="4" t="n"/>
      <c r="C1730" s="4" t="n"/>
      <c r="D1730" s="4" t="n"/>
      <c r="E1730">
        <f>IF(D1730="","",IFERROR(INDEX(الأصناف!$B$2:$B$2000,MATCH(D1730,الأصناف!$A$2:$A$2000,0)),"كود غير موجود"))</f>
        <v/>
      </c>
      <c r="F1730" s="4" t="n"/>
      <c r="G1730">
        <f>IF(D1730="","",IFERROR(INDEX(الأصناف!$C$2:$C$2000,MATCH(D1730,الأصناف!$A$2:$A$2000,0)),0))</f>
        <v/>
      </c>
      <c r="H1730">
        <f>IF(D1730="","",F1730*G1730)</f>
        <v/>
      </c>
      <c r="I1730">
        <f>IF(D1730="","",H1730-F1730*IFERROR(INDEX(الأصناف!$D$2:$D$2000,MATCH(D1730,الأصناف!$A$2:$A$2000,0)),0))</f>
        <v/>
      </c>
      <c r="J1730" s="4" t="n"/>
      <c r="K1730" s="7">
        <f>IF(OR(B1730="",B1730&lt;&gt;الإيصال!$C$3),"",COUNTIF(B$2:B1730,الإيصال!$C$3))</f>
        <v/>
      </c>
    </row>
    <row r="1731">
      <c r="A1731" s="6" t="n"/>
      <c r="B1731" s="4" t="n"/>
      <c r="C1731" s="4" t="n"/>
      <c r="D1731" s="4" t="n"/>
      <c r="E1731">
        <f>IF(D1731="","",IFERROR(INDEX(الأصناف!$B$2:$B$2000,MATCH(D1731,الأصناف!$A$2:$A$2000,0)),"كود غير موجود"))</f>
        <v/>
      </c>
      <c r="F1731" s="4" t="n"/>
      <c r="G1731">
        <f>IF(D1731="","",IFERROR(INDEX(الأصناف!$C$2:$C$2000,MATCH(D1731,الأصناف!$A$2:$A$2000,0)),0))</f>
        <v/>
      </c>
      <c r="H1731">
        <f>IF(D1731="","",F1731*G1731)</f>
        <v/>
      </c>
      <c r="I1731">
        <f>IF(D1731="","",H1731-F1731*IFERROR(INDEX(الأصناف!$D$2:$D$2000,MATCH(D1731,الأصناف!$A$2:$A$2000,0)),0))</f>
        <v/>
      </c>
      <c r="J1731" s="4" t="n"/>
      <c r="K1731" s="7">
        <f>IF(OR(B1731="",B1731&lt;&gt;الإيصال!$C$3),"",COUNTIF(B$2:B1731,الإيصال!$C$3))</f>
        <v/>
      </c>
    </row>
    <row r="1732">
      <c r="A1732" s="6" t="n"/>
      <c r="B1732" s="4" t="n"/>
      <c r="C1732" s="4" t="n"/>
      <c r="D1732" s="4" t="n"/>
      <c r="E1732">
        <f>IF(D1732="","",IFERROR(INDEX(الأصناف!$B$2:$B$2000,MATCH(D1732,الأصناف!$A$2:$A$2000,0)),"كود غير موجود"))</f>
        <v/>
      </c>
      <c r="F1732" s="4" t="n"/>
      <c r="G1732">
        <f>IF(D1732="","",IFERROR(INDEX(الأصناف!$C$2:$C$2000,MATCH(D1732,الأصناف!$A$2:$A$2000,0)),0))</f>
        <v/>
      </c>
      <c r="H1732">
        <f>IF(D1732="","",F1732*G1732)</f>
        <v/>
      </c>
      <c r="I1732">
        <f>IF(D1732="","",H1732-F1732*IFERROR(INDEX(الأصناف!$D$2:$D$2000,MATCH(D1732,الأصناف!$A$2:$A$2000,0)),0))</f>
        <v/>
      </c>
      <c r="J1732" s="4" t="n"/>
      <c r="K1732" s="7">
        <f>IF(OR(B1732="",B1732&lt;&gt;الإيصال!$C$3),"",COUNTIF(B$2:B1732,الإيصال!$C$3))</f>
        <v/>
      </c>
    </row>
    <row r="1733">
      <c r="A1733" s="6" t="n"/>
      <c r="B1733" s="4" t="n"/>
      <c r="C1733" s="4" t="n"/>
      <c r="D1733" s="4" t="n"/>
      <c r="E1733">
        <f>IF(D1733="","",IFERROR(INDEX(الأصناف!$B$2:$B$2000,MATCH(D1733,الأصناف!$A$2:$A$2000,0)),"كود غير موجود"))</f>
        <v/>
      </c>
      <c r="F1733" s="4" t="n"/>
      <c r="G1733">
        <f>IF(D1733="","",IFERROR(INDEX(الأصناف!$C$2:$C$2000,MATCH(D1733,الأصناف!$A$2:$A$2000,0)),0))</f>
        <v/>
      </c>
      <c r="H1733">
        <f>IF(D1733="","",F1733*G1733)</f>
        <v/>
      </c>
      <c r="I1733">
        <f>IF(D1733="","",H1733-F1733*IFERROR(INDEX(الأصناف!$D$2:$D$2000,MATCH(D1733,الأصناف!$A$2:$A$2000,0)),0))</f>
        <v/>
      </c>
      <c r="J1733" s="4" t="n"/>
      <c r="K1733" s="7">
        <f>IF(OR(B1733="",B1733&lt;&gt;الإيصال!$C$3),"",COUNTIF(B$2:B1733,الإيصال!$C$3))</f>
        <v/>
      </c>
    </row>
    <row r="1734">
      <c r="A1734" s="6" t="n"/>
      <c r="B1734" s="4" t="n"/>
      <c r="C1734" s="4" t="n"/>
      <c r="D1734" s="4" t="n"/>
      <c r="E1734">
        <f>IF(D1734="","",IFERROR(INDEX(الأصناف!$B$2:$B$2000,MATCH(D1734,الأصناف!$A$2:$A$2000,0)),"كود غير موجود"))</f>
        <v/>
      </c>
      <c r="F1734" s="4" t="n"/>
      <c r="G1734">
        <f>IF(D1734="","",IFERROR(INDEX(الأصناف!$C$2:$C$2000,MATCH(D1734,الأصناف!$A$2:$A$2000,0)),0))</f>
        <v/>
      </c>
      <c r="H1734">
        <f>IF(D1734="","",F1734*G1734)</f>
        <v/>
      </c>
      <c r="I1734">
        <f>IF(D1734="","",H1734-F1734*IFERROR(INDEX(الأصناف!$D$2:$D$2000,MATCH(D1734,الأصناف!$A$2:$A$2000,0)),0))</f>
        <v/>
      </c>
      <c r="J1734" s="4" t="n"/>
      <c r="K1734" s="7">
        <f>IF(OR(B1734="",B1734&lt;&gt;الإيصال!$C$3),"",COUNTIF(B$2:B1734,الإيصال!$C$3))</f>
        <v/>
      </c>
    </row>
    <row r="1735">
      <c r="A1735" s="6" t="n"/>
      <c r="B1735" s="4" t="n"/>
      <c r="C1735" s="4" t="n"/>
      <c r="D1735" s="4" t="n"/>
      <c r="E1735">
        <f>IF(D1735="","",IFERROR(INDEX(الأصناف!$B$2:$B$2000,MATCH(D1735,الأصناف!$A$2:$A$2000,0)),"كود غير موجود"))</f>
        <v/>
      </c>
      <c r="F1735" s="4" t="n"/>
      <c r="G1735">
        <f>IF(D1735="","",IFERROR(INDEX(الأصناف!$C$2:$C$2000,MATCH(D1735,الأصناف!$A$2:$A$2000,0)),0))</f>
        <v/>
      </c>
      <c r="H1735">
        <f>IF(D1735="","",F1735*G1735)</f>
        <v/>
      </c>
      <c r="I1735">
        <f>IF(D1735="","",H1735-F1735*IFERROR(INDEX(الأصناف!$D$2:$D$2000,MATCH(D1735,الأصناف!$A$2:$A$2000,0)),0))</f>
        <v/>
      </c>
      <c r="J1735" s="4" t="n"/>
      <c r="K1735" s="7">
        <f>IF(OR(B1735="",B1735&lt;&gt;الإيصال!$C$3),"",COUNTIF(B$2:B1735,الإيصال!$C$3))</f>
        <v/>
      </c>
    </row>
    <row r="1736">
      <c r="A1736" s="6" t="n"/>
      <c r="B1736" s="4" t="n"/>
      <c r="C1736" s="4" t="n"/>
      <c r="D1736" s="4" t="n"/>
      <c r="E1736">
        <f>IF(D1736="","",IFERROR(INDEX(الأصناف!$B$2:$B$2000,MATCH(D1736,الأصناف!$A$2:$A$2000,0)),"كود غير موجود"))</f>
        <v/>
      </c>
      <c r="F1736" s="4" t="n"/>
      <c r="G1736">
        <f>IF(D1736="","",IFERROR(INDEX(الأصناف!$C$2:$C$2000,MATCH(D1736,الأصناف!$A$2:$A$2000,0)),0))</f>
        <v/>
      </c>
      <c r="H1736">
        <f>IF(D1736="","",F1736*G1736)</f>
        <v/>
      </c>
      <c r="I1736">
        <f>IF(D1736="","",H1736-F1736*IFERROR(INDEX(الأصناف!$D$2:$D$2000,MATCH(D1736,الأصناف!$A$2:$A$2000,0)),0))</f>
        <v/>
      </c>
      <c r="J1736" s="4" t="n"/>
      <c r="K1736" s="7">
        <f>IF(OR(B1736="",B1736&lt;&gt;الإيصال!$C$3),"",COUNTIF(B$2:B1736,الإيصال!$C$3))</f>
        <v/>
      </c>
    </row>
    <row r="1737">
      <c r="A1737" s="6" t="n"/>
      <c r="B1737" s="4" t="n"/>
      <c r="C1737" s="4" t="n"/>
      <c r="D1737" s="4" t="n"/>
      <c r="E1737">
        <f>IF(D1737="","",IFERROR(INDEX(الأصناف!$B$2:$B$2000,MATCH(D1737,الأصناف!$A$2:$A$2000,0)),"كود غير موجود"))</f>
        <v/>
      </c>
      <c r="F1737" s="4" t="n"/>
      <c r="G1737">
        <f>IF(D1737="","",IFERROR(INDEX(الأصناف!$C$2:$C$2000,MATCH(D1737,الأصناف!$A$2:$A$2000,0)),0))</f>
        <v/>
      </c>
      <c r="H1737">
        <f>IF(D1737="","",F1737*G1737)</f>
        <v/>
      </c>
      <c r="I1737">
        <f>IF(D1737="","",H1737-F1737*IFERROR(INDEX(الأصناف!$D$2:$D$2000,MATCH(D1737,الأصناف!$A$2:$A$2000,0)),0))</f>
        <v/>
      </c>
      <c r="J1737" s="4" t="n"/>
      <c r="K1737" s="7">
        <f>IF(OR(B1737="",B1737&lt;&gt;الإيصال!$C$3),"",COUNTIF(B$2:B1737,الإيصال!$C$3))</f>
        <v/>
      </c>
    </row>
    <row r="1738">
      <c r="A1738" s="6" t="n"/>
      <c r="B1738" s="4" t="n"/>
      <c r="C1738" s="4" t="n"/>
      <c r="D1738" s="4" t="n"/>
      <c r="E1738">
        <f>IF(D1738="","",IFERROR(INDEX(الأصناف!$B$2:$B$2000,MATCH(D1738,الأصناف!$A$2:$A$2000,0)),"كود غير موجود"))</f>
        <v/>
      </c>
      <c r="F1738" s="4" t="n"/>
      <c r="G1738">
        <f>IF(D1738="","",IFERROR(INDEX(الأصناف!$C$2:$C$2000,MATCH(D1738,الأصناف!$A$2:$A$2000,0)),0))</f>
        <v/>
      </c>
      <c r="H1738">
        <f>IF(D1738="","",F1738*G1738)</f>
        <v/>
      </c>
      <c r="I1738">
        <f>IF(D1738="","",H1738-F1738*IFERROR(INDEX(الأصناف!$D$2:$D$2000,MATCH(D1738,الأصناف!$A$2:$A$2000,0)),0))</f>
        <v/>
      </c>
      <c r="J1738" s="4" t="n"/>
      <c r="K1738" s="7">
        <f>IF(OR(B1738="",B1738&lt;&gt;الإيصال!$C$3),"",COUNTIF(B$2:B1738,الإيصال!$C$3))</f>
        <v/>
      </c>
    </row>
    <row r="1739">
      <c r="A1739" s="6" t="n"/>
      <c r="B1739" s="4" t="n"/>
      <c r="C1739" s="4" t="n"/>
      <c r="D1739" s="4" t="n"/>
      <c r="E1739">
        <f>IF(D1739="","",IFERROR(INDEX(الأصناف!$B$2:$B$2000,MATCH(D1739,الأصناف!$A$2:$A$2000,0)),"كود غير موجود"))</f>
        <v/>
      </c>
      <c r="F1739" s="4" t="n"/>
      <c r="G1739">
        <f>IF(D1739="","",IFERROR(INDEX(الأصناف!$C$2:$C$2000,MATCH(D1739,الأصناف!$A$2:$A$2000,0)),0))</f>
        <v/>
      </c>
      <c r="H1739">
        <f>IF(D1739="","",F1739*G1739)</f>
        <v/>
      </c>
      <c r="I1739">
        <f>IF(D1739="","",H1739-F1739*IFERROR(INDEX(الأصناف!$D$2:$D$2000,MATCH(D1739,الأصناف!$A$2:$A$2000,0)),0))</f>
        <v/>
      </c>
      <c r="J1739" s="4" t="n"/>
      <c r="K1739" s="7">
        <f>IF(OR(B1739="",B1739&lt;&gt;الإيصال!$C$3),"",COUNTIF(B$2:B1739,الإيصال!$C$3))</f>
        <v/>
      </c>
    </row>
    <row r="1740">
      <c r="A1740" s="6" t="n"/>
      <c r="B1740" s="4" t="n"/>
      <c r="C1740" s="4" t="n"/>
      <c r="D1740" s="4" t="n"/>
      <c r="E1740">
        <f>IF(D1740="","",IFERROR(INDEX(الأصناف!$B$2:$B$2000,MATCH(D1740,الأصناف!$A$2:$A$2000,0)),"كود غير موجود"))</f>
        <v/>
      </c>
      <c r="F1740" s="4" t="n"/>
      <c r="G1740">
        <f>IF(D1740="","",IFERROR(INDEX(الأصناف!$C$2:$C$2000,MATCH(D1740,الأصناف!$A$2:$A$2000,0)),0))</f>
        <v/>
      </c>
      <c r="H1740">
        <f>IF(D1740="","",F1740*G1740)</f>
        <v/>
      </c>
      <c r="I1740">
        <f>IF(D1740="","",H1740-F1740*IFERROR(INDEX(الأصناف!$D$2:$D$2000,MATCH(D1740,الأصناف!$A$2:$A$2000,0)),0))</f>
        <v/>
      </c>
      <c r="J1740" s="4" t="n"/>
      <c r="K1740" s="7">
        <f>IF(OR(B1740="",B1740&lt;&gt;الإيصال!$C$3),"",COUNTIF(B$2:B1740,الإيصال!$C$3))</f>
        <v/>
      </c>
    </row>
    <row r="1741">
      <c r="A1741" s="6" t="n"/>
      <c r="B1741" s="4" t="n"/>
      <c r="C1741" s="4" t="n"/>
      <c r="D1741" s="4" t="n"/>
      <c r="E1741">
        <f>IF(D1741="","",IFERROR(INDEX(الأصناف!$B$2:$B$2000,MATCH(D1741,الأصناف!$A$2:$A$2000,0)),"كود غير موجود"))</f>
        <v/>
      </c>
      <c r="F1741" s="4" t="n"/>
      <c r="G1741">
        <f>IF(D1741="","",IFERROR(INDEX(الأصناف!$C$2:$C$2000,MATCH(D1741,الأصناف!$A$2:$A$2000,0)),0))</f>
        <v/>
      </c>
      <c r="H1741">
        <f>IF(D1741="","",F1741*G1741)</f>
        <v/>
      </c>
      <c r="I1741">
        <f>IF(D1741="","",H1741-F1741*IFERROR(INDEX(الأصناف!$D$2:$D$2000,MATCH(D1741,الأصناف!$A$2:$A$2000,0)),0))</f>
        <v/>
      </c>
      <c r="J1741" s="4" t="n"/>
      <c r="K1741" s="7">
        <f>IF(OR(B1741="",B1741&lt;&gt;الإيصال!$C$3),"",COUNTIF(B$2:B1741,الإيصال!$C$3))</f>
        <v/>
      </c>
    </row>
    <row r="1742">
      <c r="A1742" s="6" t="n"/>
      <c r="B1742" s="4" t="n"/>
      <c r="C1742" s="4" t="n"/>
      <c r="D1742" s="4" t="n"/>
      <c r="E1742">
        <f>IF(D1742="","",IFERROR(INDEX(الأصناف!$B$2:$B$2000,MATCH(D1742,الأصناف!$A$2:$A$2000,0)),"كود غير موجود"))</f>
        <v/>
      </c>
      <c r="F1742" s="4" t="n"/>
      <c r="G1742">
        <f>IF(D1742="","",IFERROR(INDEX(الأصناف!$C$2:$C$2000,MATCH(D1742,الأصناف!$A$2:$A$2000,0)),0))</f>
        <v/>
      </c>
      <c r="H1742">
        <f>IF(D1742="","",F1742*G1742)</f>
        <v/>
      </c>
      <c r="I1742">
        <f>IF(D1742="","",H1742-F1742*IFERROR(INDEX(الأصناف!$D$2:$D$2000,MATCH(D1742,الأصناف!$A$2:$A$2000,0)),0))</f>
        <v/>
      </c>
      <c r="J1742" s="4" t="n"/>
      <c r="K1742" s="7">
        <f>IF(OR(B1742="",B1742&lt;&gt;الإيصال!$C$3),"",COUNTIF(B$2:B1742,الإيصال!$C$3))</f>
        <v/>
      </c>
    </row>
    <row r="1743">
      <c r="A1743" s="6" t="n"/>
      <c r="B1743" s="4" t="n"/>
      <c r="C1743" s="4" t="n"/>
      <c r="D1743" s="4" t="n"/>
      <c r="E1743">
        <f>IF(D1743="","",IFERROR(INDEX(الأصناف!$B$2:$B$2000,MATCH(D1743,الأصناف!$A$2:$A$2000,0)),"كود غير موجود"))</f>
        <v/>
      </c>
      <c r="F1743" s="4" t="n"/>
      <c r="G1743">
        <f>IF(D1743="","",IFERROR(INDEX(الأصناف!$C$2:$C$2000,MATCH(D1743,الأصناف!$A$2:$A$2000,0)),0))</f>
        <v/>
      </c>
      <c r="H1743">
        <f>IF(D1743="","",F1743*G1743)</f>
        <v/>
      </c>
      <c r="I1743">
        <f>IF(D1743="","",H1743-F1743*IFERROR(INDEX(الأصناف!$D$2:$D$2000,MATCH(D1743,الأصناف!$A$2:$A$2000,0)),0))</f>
        <v/>
      </c>
      <c r="J1743" s="4" t="n"/>
      <c r="K1743" s="7">
        <f>IF(OR(B1743="",B1743&lt;&gt;الإيصال!$C$3),"",COUNTIF(B$2:B1743,الإيصال!$C$3))</f>
        <v/>
      </c>
    </row>
    <row r="1744">
      <c r="A1744" s="6" t="n"/>
      <c r="B1744" s="4" t="n"/>
      <c r="C1744" s="4" t="n"/>
      <c r="D1744" s="4" t="n"/>
      <c r="E1744">
        <f>IF(D1744="","",IFERROR(INDEX(الأصناف!$B$2:$B$2000,MATCH(D1744,الأصناف!$A$2:$A$2000,0)),"كود غير موجود"))</f>
        <v/>
      </c>
      <c r="F1744" s="4" t="n"/>
      <c r="G1744">
        <f>IF(D1744="","",IFERROR(INDEX(الأصناف!$C$2:$C$2000,MATCH(D1744,الأصناف!$A$2:$A$2000,0)),0))</f>
        <v/>
      </c>
      <c r="H1744">
        <f>IF(D1744="","",F1744*G1744)</f>
        <v/>
      </c>
      <c r="I1744">
        <f>IF(D1744="","",H1744-F1744*IFERROR(INDEX(الأصناف!$D$2:$D$2000,MATCH(D1744,الأصناف!$A$2:$A$2000,0)),0))</f>
        <v/>
      </c>
      <c r="J1744" s="4" t="n"/>
      <c r="K1744" s="7">
        <f>IF(OR(B1744="",B1744&lt;&gt;الإيصال!$C$3),"",COUNTIF(B$2:B1744,الإيصال!$C$3))</f>
        <v/>
      </c>
    </row>
    <row r="1745">
      <c r="A1745" s="6" t="n"/>
      <c r="B1745" s="4" t="n"/>
      <c r="C1745" s="4" t="n"/>
      <c r="D1745" s="4" t="n"/>
      <c r="E1745">
        <f>IF(D1745="","",IFERROR(INDEX(الأصناف!$B$2:$B$2000,MATCH(D1745,الأصناف!$A$2:$A$2000,0)),"كود غير موجود"))</f>
        <v/>
      </c>
      <c r="F1745" s="4" t="n"/>
      <c r="G1745">
        <f>IF(D1745="","",IFERROR(INDEX(الأصناف!$C$2:$C$2000,MATCH(D1745,الأصناف!$A$2:$A$2000,0)),0))</f>
        <v/>
      </c>
      <c r="H1745">
        <f>IF(D1745="","",F1745*G1745)</f>
        <v/>
      </c>
      <c r="I1745">
        <f>IF(D1745="","",H1745-F1745*IFERROR(INDEX(الأصناف!$D$2:$D$2000,MATCH(D1745,الأصناف!$A$2:$A$2000,0)),0))</f>
        <v/>
      </c>
      <c r="J1745" s="4" t="n"/>
      <c r="K1745" s="7">
        <f>IF(OR(B1745="",B1745&lt;&gt;الإيصال!$C$3),"",COUNTIF(B$2:B1745,الإيصال!$C$3))</f>
        <v/>
      </c>
    </row>
    <row r="1746">
      <c r="A1746" s="6" t="n"/>
      <c r="B1746" s="4" t="n"/>
      <c r="C1746" s="4" t="n"/>
      <c r="D1746" s="4" t="n"/>
      <c r="E1746">
        <f>IF(D1746="","",IFERROR(INDEX(الأصناف!$B$2:$B$2000,MATCH(D1746,الأصناف!$A$2:$A$2000,0)),"كود غير موجود"))</f>
        <v/>
      </c>
      <c r="F1746" s="4" t="n"/>
      <c r="G1746">
        <f>IF(D1746="","",IFERROR(INDEX(الأصناف!$C$2:$C$2000,MATCH(D1746,الأصناف!$A$2:$A$2000,0)),0))</f>
        <v/>
      </c>
      <c r="H1746">
        <f>IF(D1746="","",F1746*G1746)</f>
        <v/>
      </c>
      <c r="I1746">
        <f>IF(D1746="","",H1746-F1746*IFERROR(INDEX(الأصناف!$D$2:$D$2000,MATCH(D1746,الأصناف!$A$2:$A$2000,0)),0))</f>
        <v/>
      </c>
      <c r="J1746" s="4" t="n"/>
      <c r="K1746" s="7">
        <f>IF(OR(B1746="",B1746&lt;&gt;الإيصال!$C$3),"",COUNTIF(B$2:B1746,الإيصال!$C$3))</f>
        <v/>
      </c>
    </row>
    <row r="1747">
      <c r="A1747" s="6" t="n"/>
      <c r="B1747" s="4" t="n"/>
      <c r="C1747" s="4" t="n"/>
      <c r="D1747" s="4" t="n"/>
      <c r="E1747">
        <f>IF(D1747="","",IFERROR(INDEX(الأصناف!$B$2:$B$2000,MATCH(D1747,الأصناف!$A$2:$A$2000,0)),"كود غير موجود"))</f>
        <v/>
      </c>
      <c r="F1747" s="4" t="n"/>
      <c r="G1747">
        <f>IF(D1747="","",IFERROR(INDEX(الأصناف!$C$2:$C$2000,MATCH(D1747,الأصناف!$A$2:$A$2000,0)),0))</f>
        <v/>
      </c>
      <c r="H1747">
        <f>IF(D1747="","",F1747*G1747)</f>
        <v/>
      </c>
      <c r="I1747">
        <f>IF(D1747="","",H1747-F1747*IFERROR(INDEX(الأصناف!$D$2:$D$2000,MATCH(D1747,الأصناف!$A$2:$A$2000,0)),0))</f>
        <v/>
      </c>
      <c r="J1747" s="4" t="n"/>
      <c r="K1747" s="7">
        <f>IF(OR(B1747="",B1747&lt;&gt;الإيصال!$C$3),"",COUNTIF(B$2:B1747,الإيصال!$C$3))</f>
        <v/>
      </c>
    </row>
    <row r="1748">
      <c r="A1748" s="6" t="n"/>
      <c r="B1748" s="4" t="n"/>
      <c r="C1748" s="4" t="n"/>
      <c r="D1748" s="4" t="n"/>
      <c r="E1748">
        <f>IF(D1748="","",IFERROR(INDEX(الأصناف!$B$2:$B$2000,MATCH(D1748,الأصناف!$A$2:$A$2000,0)),"كود غير موجود"))</f>
        <v/>
      </c>
      <c r="F1748" s="4" t="n"/>
      <c r="G1748">
        <f>IF(D1748="","",IFERROR(INDEX(الأصناف!$C$2:$C$2000,MATCH(D1748,الأصناف!$A$2:$A$2000,0)),0))</f>
        <v/>
      </c>
      <c r="H1748">
        <f>IF(D1748="","",F1748*G1748)</f>
        <v/>
      </c>
      <c r="I1748">
        <f>IF(D1748="","",H1748-F1748*IFERROR(INDEX(الأصناف!$D$2:$D$2000,MATCH(D1748,الأصناف!$A$2:$A$2000,0)),0))</f>
        <v/>
      </c>
      <c r="J1748" s="4" t="n"/>
      <c r="K1748" s="7">
        <f>IF(OR(B1748="",B1748&lt;&gt;الإيصال!$C$3),"",COUNTIF(B$2:B1748,الإيصال!$C$3))</f>
        <v/>
      </c>
    </row>
    <row r="1749">
      <c r="A1749" s="6" t="n"/>
      <c r="B1749" s="4" t="n"/>
      <c r="C1749" s="4" t="n"/>
      <c r="D1749" s="4" t="n"/>
      <c r="E1749">
        <f>IF(D1749="","",IFERROR(INDEX(الأصناف!$B$2:$B$2000,MATCH(D1749,الأصناف!$A$2:$A$2000,0)),"كود غير موجود"))</f>
        <v/>
      </c>
      <c r="F1749" s="4" t="n"/>
      <c r="G1749">
        <f>IF(D1749="","",IFERROR(INDEX(الأصناف!$C$2:$C$2000,MATCH(D1749,الأصناف!$A$2:$A$2000,0)),0))</f>
        <v/>
      </c>
      <c r="H1749">
        <f>IF(D1749="","",F1749*G1749)</f>
        <v/>
      </c>
      <c r="I1749">
        <f>IF(D1749="","",H1749-F1749*IFERROR(INDEX(الأصناف!$D$2:$D$2000,MATCH(D1749,الأصناف!$A$2:$A$2000,0)),0))</f>
        <v/>
      </c>
      <c r="J1749" s="4" t="n"/>
      <c r="K1749" s="7">
        <f>IF(OR(B1749="",B1749&lt;&gt;الإيصال!$C$3),"",COUNTIF(B$2:B1749,الإيصال!$C$3))</f>
        <v/>
      </c>
    </row>
    <row r="1750">
      <c r="A1750" s="6" t="n"/>
      <c r="B1750" s="4" t="n"/>
      <c r="C1750" s="4" t="n"/>
      <c r="D1750" s="4" t="n"/>
      <c r="E1750">
        <f>IF(D1750="","",IFERROR(INDEX(الأصناف!$B$2:$B$2000,MATCH(D1750,الأصناف!$A$2:$A$2000,0)),"كود غير موجود"))</f>
        <v/>
      </c>
      <c r="F1750" s="4" t="n"/>
      <c r="G1750">
        <f>IF(D1750="","",IFERROR(INDEX(الأصناف!$C$2:$C$2000,MATCH(D1750,الأصناف!$A$2:$A$2000,0)),0))</f>
        <v/>
      </c>
      <c r="H1750">
        <f>IF(D1750="","",F1750*G1750)</f>
        <v/>
      </c>
      <c r="I1750">
        <f>IF(D1750="","",H1750-F1750*IFERROR(INDEX(الأصناف!$D$2:$D$2000,MATCH(D1750,الأصناف!$A$2:$A$2000,0)),0))</f>
        <v/>
      </c>
      <c r="J1750" s="4" t="n"/>
      <c r="K1750" s="7">
        <f>IF(OR(B1750="",B1750&lt;&gt;الإيصال!$C$3),"",COUNTIF(B$2:B1750,الإيصال!$C$3))</f>
        <v/>
      </c>
    </row>
    <row r="1751">
      <c r="A1751" s="6" t="n"/>
      <c r="B1751" s="4" t="n"/>
      <c r="C1751" s="4" t="n"/>
      <c r="D1751" s="4" t="n"/>
      <c r="E1751">
        <f>IF(D1751="","",IFERROR(INDEX(الأصناف!$B$2:$B$2000,MATCH(D1751,الأصناف!$A$2:$A$2000,0)),"كود غير موجود"))</f>
        <v/>
      </c>
      <c r="F1751" s="4" t="n"/>
      <c r="G1751">
        <f>IF(D1751="","",IFERROR(INDEX(الأصناف!$C$2:$C$2000,MATCH(D1751,الأصناف!$A$2:$A$2000,0)),0))</f>
        <v/>
      </c>
      <c r="H1751">
        <f>IF(D1751="","",F1751*G1751)</f>
        <v/>
      </c>
      <c r="I1751">
        <f>IF(D1751="","",H1751-F1751*IFERROR(INDEX(الأصناف!$D$2:$D$2000,MATCH(D1751,الأصناف!$A$2:$A$2000,0)),0))</f>
        <v/>
      </c>
      <c r="J1751" s="4" t="n"/>
      <c r="K1751" s="7">
        <f>IF(OR(B1751="",B1751&lt;&gt;الإيصال!$C$3),"",COUNTIF(B$2:B1751,الإيصال!$C$3))</f>
        <v/>
      </c>
    </row>
    <row r="1752">
      <c r="A1752" s="6" t="n"/>
      <c r="B1752" s="4" t="n"/>
      <c r="C1752" s="4" t="n"/>
      <c r="D1752" s="4" t="n"/>
      <c r="E1752">
        <f>IF(D1752="","",IFERROR(INDEX(الأصناف!$B$2:$B$2000,MATCH(D1752,الأصناف!$A$2:$A$2000,0)),"كود غير موجود"))</f>
        <v/>
      </c>
      <c r="F1752" s="4" t="n"/>
      <c r="G1752">
        <f>IF(D1752="","",IFERROR(INDEX(الأصناف!$C$2:$C$2000,MATCH(D1752,الأصناف!$A$2:$A$2000,0)),0))</f>
        <v/>
      </c>
      <c r="H1752">
        <f>IF(D1752="","",F1752*G1752)</f>
        <v/>
      </c>
      <c r="I1752">
        <f>IF(D1752="","",H1752-F1752*IFERROR(INDEX(الأصناف!$D$2:$D$2000,MATCH(D1752,الأصناف!$A$2:$A$2000,0)),0))</f>
        <v/>
      </c>
      <c r="J1752" s="4" t="n"/>
      <c r="K1752" s="7">
        <f>IF(OR(B1752="",B1752&lt;&gt;الإيصال!$C$3),"",COUNTIF(B$2:B1752,الإيصال!$C$3))</f>
        <v/>
      </c>
    </row>
    <row r="1753">
      <c r="A1753" s="6" t="n"/>
      <c r="B1753" s="4" t="n"/>
      <c r="C1753" s="4" t="n"/>
      <c r="D1753" s="4" t="n"/>
      <c r="E1753">
        <f>IF(D1753="","",IFERROR(INDEX(الأصناف!$B$2:$B$2000,MATCH(D1753,الأصناف!$A$2:$A$2000,0)),"كود غير موجود"))</f>
        <v/>
      </c>
      <c r="F1753" s="4" t="n"/>
      <c r="G1753">
        <f>IF(D1753="","",IFERROR(INDEX(الأصناف!$C$2:$C$2000,MATCH(D1753,الأصناف!$A$2:$A$2000,0)),0))</f>
        <v/>
      </c>
      <c r="H1753">
        <f>IF(D1753="","",F1753*G1753)</f>
        <v/>
      </c>
      <c r="I1753">
        <f>IF(D1753="","",H1753-F1753*IFERROR(INDEX(الأصناف!$D$2:$D$2000,MATCH(D1753,الأصناف!$A$2:$A$2000,0)),0))</f>
        <v/>
      </c>
      <c r="J1753" s="4" t="n"/>
      <c r="K1753" s="7">
        <f>IF(OR(B1753="",B1753&lt;&gt;الإيصال!$C$3),"",COUNTIF(B$2:B1753,الإيصال!$C$3))</f>
        <v/>
      </c>
    </row>
    <row r="1754">
      <c r="A1754" s="6" t="n"/>
      <c r="B1754" s="4" t="n"/>
      <c r="C1754" s="4" t="n"/>
      <c r="D1754" s="4" t="n"/>
      <c r="E1754">
        <f>IF(D1754="","",IFERROR(INDEX(الأصناف!$B$2:$B$2000,MATCH(D1754,الأصناف!$A$2:$A$2000,0)),"كود غير موجود"))</f>
        <v/>
      </c>
      <c r="F1754" s="4" t="n"/>
      <c r="G1754">
        <f>IF(D1754="","",IFERROR(INDEX(الأصناف!$C$2:$C$2000,MATCH(D1754,الأصناف!$A$2:$A$2000,0)),0))</f>
        <v/>
      </c>
      <c r="H1754">
        <f>IF(D1754="","",F1754*G1754)</f>
        <v/>
      </c>
      <c r="I1754">
        <f>IF(D1754="","",H1754-F1754*IFERROR(INDEX(الأصناف!$D$2:$D$2000,MATCH(D1754,الأصناف!$A$2:$A$2000,0)),0))</f>
        <v/>
      </c>
      <c r="J1754" s="4" t="n"/>
      <c r="K1754" s="7">
        <f>IF(OR(B1754="",B1754&lt;&gt;الإيصال!$C$3),"",COUNTIF(B$2:B1754,الإيصال!$C$3))</f>
        <v/>
      </c>
    </row>
    <row r="1755">
      <c r="A1755" s="6" t="n"/>
      <c r="B1755" s="4" t="n"/>
      <c r="C1755" s="4" t="n"/>
      <c r="D1755" s="4" t="n"/>
      <c r="E1755">
        <f>IF(D1755="","",IFERROR(INDEX(الأصناف!$B$2:$B$2000,MATCH(D1755,الأصناف!$A$2:$A$2000,0)),"كود غير موجود"))</f>
        <v/>
      </c>
      <c r="F1755" s="4" t="n"/>
      <c r="G1755">
        <f>IF(D1755="","",IFERROR(INDEX(الأصناف!$C$2:$C$2000,MATCH(D1755,الأصناف!$A$2:$A$2000,0)),0))</f>
        <v/>
      </c>
      <c r="H1755">
        <f>IF(D1755="","",F1755*G1755)</f>
        <v/>
      </c>
      <c r="I1755">
        <f>IF(D1755="","",H1755-F1755*IFERROR(INDEX(الأصناف!$D$2:$D$2000,MATCH(D1755,الأصناف!$A$2:$A$2000,0)),0))</f>
        <v/>
      </c>
      <c r="J1755" s="4" t="n"/>
      <c r="K1755" s="7">
        <f>IF(OR(B1755="",B1755&lt;&gt;الإيصال!$C$3),"",COUNTIF(B$2:B1755,الإيصال!$C$3))</f>
        <v/>
      </c>
    </row>
    <row r="1756">
      <c r="A1756" s="6" t="n"/>
      <c r="B1756" s="4" t="n"/>
      <c r="C1756" s="4" t="n"/>
      <c r="D1756" s="4" t="n"/>
      <c r="E1756">
        <f>IF(D1756="","",IFERROR(INDEX(الأصناف!$B$2:$B$2000,MATCH(D1756,الأصناف!$A$2:$A$2000,0)),"كود غير موجود"))</f>
        <v/>
      </c>
      <c r="F1756" s="4" t="n"/>
      <c r="G1756">
        <f>IF(D1756="","",IFERROR(INDEX(الأصناف!$C$2:$C$2000,MATCH(D1756,الأصناف!$A$2:$A$2000,0)),0))</f>
        <v/>
      </c>
      <c r="H1756">
        <f>IF(D1756="","",F1756*G1756)</f>
        <v/>
      </c>
      <c r="I1756">
        <f>IF(D1756="","",H1756-F1756*IFERROR(INDEX(الأصناف!$D$2:$D$2000,MATCH(D1756,الأصناف!$A$2:$A$2000,0)),0))</f>
        <v/>
      </c>
      <c r="J1756" s="4" t="n"/>
      <c r="K1756" s="7">
        <f>IF(OR(B1756="",B1756&lt;&gt;الإيصال!$C$3),"",COUNTIF(B$2:B1756,الإيصال!$C$3))</f>
        <v/>
      </c>
    </row>
    <row r="1757">
      <c r="A1757" s="6" t="n"/>
      <c r="B1757" s="4" t="n"/>
      <c r="C1757" s="4" t="n"/>
      <c r="D1757" s="4" t="n"/>
      <c r="E1757">
        <f>IF(D1757="","",IFERROR(INDEX(الأصناف!$B$2:$B$2000,MATCH(D1757,الأصناف!$A$2:$A$2000,0)),"كود غير موجود"))</f>
        <v/>
      </c>
      <c r="F1757" s="4" t="n"/>
      <c r="G1757">
        <f>IF(D1757="","",IFERROR(INDEX(الأصناف!$C$2:$C$2000,MATCH(D1757,الأصناف!$A$2:$A$2000,0)),0))</f>
        <v/>
      </c>
      <c r="H1757">
        <f>IF(D1757="","",F1757*G1757)</f>
        <v/>
      </c>
      <c r="I1757">
        <f>IF(D1757="","",H1757-F1757*IFERROR(INDEX(الأصناف!$D$2:$D$2000,MATCH(D1757,الأصناف!$A$2:$A$2000,0)),0))</f>
        <v/>
      </c>
      <c r="J1757" s="4" t="n"/>
      <c r="K1757" s="7">
        <f>IF(OR(B1757="",B1757&lt;&gt;الإيصال!$C$3),"",COUNTIF(B$2:B1757,الإيصال!$C$3))</f>
        <v/>
      </c>
    </row>
    <row r="1758">
      <c r="A1758" s="6" t="n"/>
      <c r="B1758" s="4" t="n"/>
      <c r="C1758" s="4" t="n"/>
      <c r="D1758" s="4" t="n"/>
      <c r="E1758">
        <f>IF(D1758="","",IFERROR(INDEX(الأصناف!$B$2:$B$2000,MATCH(D1758,الأصناف!$A$2:$A$2000,0)),"كود غير موجود"))</f>
        <v/>
      </c>
      <c r="F1758" s="4" t="n"/>
      <c r="G1758">
        <f>IF(D1758="","",IFERROR(INDEX(الأصناف!$C$2:$C$2000,MATCH(D1758,الأصناف!$A$2:$A$2000,0)),0))</f>
        <v/>
      </c>
      <c r="H1758">
        <f>IF(D1758="","",F1758*G1758)</f>
        <v/>
      </c>
      <c r="I1758">
        <f>IF(D1758="","",H1758-F1758*IFERROR(INDEX(الأصناف!$D$2:$D$2000,MATCH(D1758,الأصناف!$A$2:$A$2000,0)),0))</f>
        <v/>
      </c>
      <c r="J1758" s="4" t="n"/>
      <c r="K1758" s="7">
        <f>IF(OR(B1758="",B1758&lt;&gt;الإيصال!$C$3),"",COUNTIF(B$2:B1758,الإيصال!$C$3))</f>
        <v/>
      </c>
    </row>
    <row r="1759">
      <c r="A1759" s="6" t="n"/>
      <c r="B1759" s="4" t="n"/>
      <c r="C1759" s="4" t="n"/>
      <c r="D1759" s="4" t="n"/>
      <c r="E1759">
        <f>IF(D1759="","",IFERROR(INDEX(الأصناف!$B$2:$B$2000,MATCH(D1759,الأصناف!$A$2:$A$2000,0)),"كود غير موجود"))</f>
        <v/>
      </c>
      <c r="F1759" s="4" t="n"/>
      <c r="G1759">
        <f>IF(D1759="","",IFERROR(INDEX(الأصناف!$C$2:$C$2000,MATCH(D1759,الأصناف!$A$2:$A$2000,0)),0))</f>
        <v/>
      </c>
      <c r="H1759">
        <f>IF(D1759="","",F1759*G1759)</f>
        <v/>
      </c>
      <c r="I1759">
        <f>IF(D1759="","",H1759-F1759*IFERROR(INDEX(الأصناف!$D$2:$D$2000,MATCH(D1759,الأصناف!$A$2:$A$2000,0)),0))</f>
        <v/>
      </c>
      <c r="J1759" s="4" t="n"/>
      <c r="K1759" s="7">
        <f>IF(OR(B1759="",B1759&lt;&gt;الإيصال!$C$3),"",COUNTIF(B$2:B1759,الإيصال!$C$3))</f>
        <v/>
      </c>
    </row>
    <row r="1760">
      <c r="A1760" s="6" t="n"/>
      <c r="B1760" s="4" t="n"/>
      <c r="C1760" s="4" t="n"/>
      <c r="D1760" s="4" t="n"/>
      <c r="E1760">
        <f>IF(D1760="","",IFERROR(INDEX(الأصناف!$B$2:$B$2000,MATCH(D1760,الأصناف!$A$2:$A$2000,0)),"كود غير موجود"))</f>
        <v/>
      </c>
      <c r="F1760" s="4" t="n"/>
      <c r="G1760">
        <f>IF(D1760="","",IFERROR(INDEX(الأصناف!$C$2:$C$2000,MATCH(D1760,الأصناف!$A$2:$A$2000,0)),0))</f>
        <v/>
      </c>
      <c r="H1760">
        <f>IF(D1760="","",F1760*G1760)</f>
        <v/>
      </c>
      <c r="I1760">
        <f>IF(D1760="","",H1760-F1760*IFERROR(INDEX(الأصناف!$D$2:$D$2000,MATCH(D1760,الأصناف!$A$2:$A$2000,0)),0))</f>
        <v/>
      </c>
      <c r="J1760" s="4" t="n"/>
      <c r="K1760" s="7">
        <f>IF(OR(B1760="",B1760&lt;&gt;الإيصال!$C$3),"",COUNTIF(B$2:B1760,الإيصال!$C$3))</f>
        <v/>
      </c>
    </row>
    <row r="1761">
      <c r="A1761" s="6" t="n"/>
      <c r="B1761" s="4" t="n"/>
      <c r="C1761" s="4" t="n"/>
      <c r="D1761" s="4" t="n"/>
      <c r="E1761">
        <f>IF(D1761="","",IFERROR(INDEX(الأصناف!$B$2:$B$2000,MATCH(D1761,الأصناف!$A$2:$A$2000,0)),"كود غير موجود"))</f>
        <v/>
      </c>
      <c r="F1761" s="4" t="n"/>
      <c r="G1761">
        <f>IF(D1761="","",IFERROR(INDEX(الأصناف!$C$2:$C$2000,MATCH(D1761,الأصناف!$A$2:$A$2000,0)),0))</f>
        <v/>
      </c>
      <c r="H1761">
        <f>IF(D1761="","",F1761*G1761)</f>
        <v/>
      </c>
      <c r="I1761">
        <f>IF(D1761="","",H1761-F1761*IFERROR(INDEX(الأصناف!$D$2:$D$2000,MATCH(D1761,الأصناف!$A$2:$A$2000,0)),0))</f>
        <v/>
      </c>
      <c r="J1761" s="4" t="n"/>
      <c r="K1761" s="7">
        <f>IF(OR(B1761="",B1761&lt;&gt;الإيصال!$C$3),"",COUNTIF(B$2:B1761,الإيصال!$C$3))</f>
        <v/>
      </c>
    </row>
    <row r="1762">
      <c r="A1762" s="6" t="n"/>
      <c r="B1762" s="4" t="n"/>
      <c r="C1762" s="4" t="n"/>
      <c r="D1762" s="4" t="n"/>
      <c r="E1762">
        <f>IF(D1762="","",IFERROR(INDEX(الأصناف!$B$2:$B$2000,MATCH(D1762,الأصناف!$A$2:$A$2000,0)),"كود غير موجود"))</f>
        <v/>
      </c>
      <c r="F1762" s="4" t="n"/>
      <c r="G1762">
        <f>IF(D1762="","",IFERROR(INDEX(الأصناف!$C$2:$C$2000,MATCH(D1762,الأصناف!$A$2:$A$2000,0)),0))</f>
        <v/>
      </c>
      <c r="H1762">
        <f>IF(D1762="","",F1762*G1762)</f>
        <v/>
      </c>
      <c r="I1762">
        <f>IF(D1762="","",H1762-F1762*IFERROR(INDEX(الأصناف!$D$2:$D$2000,MATCH(D1762,الأصناف!$A$2:$A$2000,0)),0))</f>
        <v/>
      </c>
      <c r="J1762" s="4" t="n"/>
      <c r="K1762" s="7">
        <f>IF(OR(B1762="",B1762&lt;&gt;الإيصال!$C$3),"",COUNTIF(B$2:B1762,الإيصال!$C$3))</f>
        <v/>
      </c>
    </row>
    <row r="1763">
      <c r="A1763" s="6" t="n"/>
      <c r="B1763" s="4" t="n"/>
      <c r="C1763" s="4" t="n"/>
      <c r="D1763" s="4" t="n"/>
      <c r="E1763">
        <f>IF(D1763="","",IFERROR(INDEX(الأصناف!$B$2:$B$2000,MATCH(D1763,الأصناف!$A$2:$A$2000,0)),"كود غير موجود"))</f>
        <v/>
      </c>
      <c r="F1763" s="4" t="n"/>
      <c r="G1763">
        <f>IF(D1763="","",IFERROR(INDEX(الأصناف!$C$2:$C$2000,MATCH(D1763,الأصناف!$A$2:$A$2000,0)),0))</f>
        <v/>
      </c>
      <c r="H1763">
        <f>IF(D1763="","",F1763*G1763)</f>
        <v/>
      </c>
      <c r="I1763">
        <f>IF(D1763="","",H1763-F1763*IFERROR(INDEX(الأصناف!$D$2:$D$2000,MATCH(D1763,الأصناف!$A$2:$A$2000,0)),0))</f>
        <v/>
      </c>
      <c r="J1763" s="4" t="n"/>
      <c r="K1763" s="7">
        <f>IF(OR(B1763="",B1763&lt;&gt;الإيصال!$C$3),"",COUNTIF(B$2:B1763,الإيصال!$C$3))</f>
        <v/>
      </c>
    </row>
    <row r="1764">
      <c r="A1764" s="6" t="n"/>
      <c r="B1764" s="4" t="n"/>
      <c r="C1764" s="4" t="n"/>
      <c r="D1764" s="4" t="n"/>
      <c r="E1764">
        <f>IF(D1764="","",IFERROR(INDEX(الأصناف!$B$2:$B$2000,MATCH(D1764,الأصناف!$A$2:$A$2000,0)),"كود غير موجود"))</f>
        <v/>
      </c>
      <c r="F1764" s="4" t="n"/>
      <c r="G1764">
        <f>IF(D1764="","",IFERROR(INDEX(الأصناف!$C$2:$C$2000,MATCH(D1764,الأصناف!$A$2:$A$2000,0)),0))</f>
        <v/>
      </c>
      <c r="H1764">
        <f>IF(D1764="","",F1764*G1764)</f>
        <v/>
      </c>
      <c r="I1764">
        <f>IF(D1764="","",H1764-F1764*IFERROR(INDEX(الأصناف!$D$2:$D$2000,MATCH(D1764,الأصناف!$A$2:$A$2000,0)),0))</f>
        <v/>
      </c>
      <c r="J1764" s="4" t="n"/>
      <c r="K1764" s="7">
        <f>IF(OR(B1764="",B1764&lt;&gt;الإيصال!$C$3),"",COUNTIF(B$2:B1764,الإيصال!$C$3))</f>
        <v/>
      </c>
    </row>
    <row r="1765">
      <c r="A1765" s="6" t="n"/>
      <c r="B1765" s="4" t="n"/>
      <c r="C1765" s="4" t="n"/>
      <c r="D1765" s="4" t="n"/>
      <c r="E1765">
        <f>IF(D1765="","",IFERROR(INDEX(الأصناف!$B$2:$B$2000,MATCH(D1765,الأصناف!$A$2:$A$2000,0)),"كود غير موجود"))</f>
        <v/>
      </c>
      <c r="F1765" s="4" t="n"/>
      <c r="G1765">
        <f>IF(D1765="","",IFERROR(INDEX(الأصناف!$C$2:$C$2000,MATCH(D1765,الأصناف!$A$2:$A$2000,0)),0))</f>
        <v/>
      </c>
      <c r="H1765">
        <f>IF(D1765="","",F1765*G1765)</f>
        <v/>
      </c>
      <c r="I1765">
        <f>IF(D1765="","",H1765-F1765*IFERROR(INDEX(الأصناف!$D$2:$D$2000,MATCH(D1765,الأصناف!$A$2:$A$2000,0)),0))</f>
        <v/>
      </c>
      <c r="J1765" s="4" t="n"/>
      <c r="K1765" s="7">
        <f>IF(OR(B1765="",B1765&lt;&gt;الإيصال!$C$3),"",COUNTIF(B$2:B1765,الإيصال!$C$3))</f>
        <v/>
      </c>
    </row>
    <row r="1766">
      <c r="A1766" s="6" t="n"/>
      <c r="B1766" s="4" t="n"/>
      <c r="C1766" s="4" t="n"/>
      <c r="D1766" s="4" t="n"/>
      <c r="E1766">
        <f>IF(D1766="","",IFERROR(INDEX(الأصناف!$B$2:$B$2000,MATCH(D1766,الأصناف!$A$2:$A$2000,0)),"كود غير موجود"))</f>
        <v/>
      </c>
      <c r="F1766" s="4" t="n"/>
      <c r="G1766">
        <f>IF(D1766="","",IFERROR(INDEX(الأصناف!$C$2:$C$2000,MATCH(D1766,الأصناف!$A$2:$A$2000,0)),0))</f>
        <v/>
      </c>
      <c r="H1766">
        <f>IF(D1766="","",F1766*G1766)</f>
        <v/>
      </c>
      <c r="I1766">
        <f>IF(D1766="","",H1766-F1766*IFERROR(INDEX(الأصناف!$D$2:$D$2000,MATCH(D1766,الأصناف!$A$2:$A$2000,0)),0))</f>
        <v/>
      </c>
      <c r="J1766" s="4" t="n"/>
      <c r="K1766" s="7">
        <f>IF(OR(B1766="",B1766&lt;&gt;الإيصال!$C$3),"",COUNTIF(B$2:B1766,الإيصال!$C$3))</f>
        <v/>
      </c>
    </row>
    <row r="1767">
      <c r="A1767" s="6" t="n"/>
      <c r="B1767" s="4" t="n"/>
      <c r="C1767" s="4" t="n"/>
      <c r="D1767" s="4" t="n"/>
      <c r="E1767">
        <f>IF(D1767="","",IFERROR(INDEX(الأصناف!$B$2:$B$2000,MATCH(D1767,الأصناف!$A$2:$A$2000,0)),"كود غير موجود"))</f>
        <v/>
      </c>
      <c r="F1767" s="4" t="n"/>
      <c r="G1767">
        <f>IF(D1767="","",IFERROR(INDEX(الأصناف!$C$2:$C$2000,MATCH(D1767,الأصناف!$A$2:$A$2000,0)),0))</f>
        <v/>
      </c>
      <c r="H1767">
        <f>IF(D1767="","",F1767*G1767)</f>
        <v/>
      </c>
      <c r="I1767">
        <f>IF(D1767="","",H1767-F1767*IFERROR(INDEX(الأصناف!$D$2:$D$2000,MATCH(D1767,الأصناف!$A$2:$A$2000,0)),0))</f>
        <v/>
      </c>
      <c r="J1767" s="4" t="n"/>
      <c r="K1767" s="7">
        <f>IF(OR(B1767="",B1767&lt;&gt;الإيصال!$C$3),"",COUNTIF(B$2:B1767,الإيصال!$C$3))</f>
        <v/>
      </c>
    </row>
    <row r="1768">
      <c r="A1768" s="6" t="n"/>
      <c r="B1768" s="4" t="n"/>
      <c r="C1768" s="4" t="n"/>
      <c r="D1768" s="4" t="n"/>
      <c r="E1768">
        <f>IF(D1768="","",IFERROR(INDEX(الأصناف!$B$2:$B$2000,MATCH(D1768,الأصناف!$A$2:$A$2000,0)),"كود غير موجود"))</f>
        <v/>
      </c>
      <c r="F1768" s="4" t="n"/>
      <c r="G1768">
        <f>IF(D1768="","",IFERROR(INDEX(الأصناف!$C$2:$C$2000,MATCH(D1768,الأصناف!$A$2:$A$2000,0)),0))</f>
        <v/>
      </c>
      <c r="H1768">
        <f>IF(D1768="","",F1768*G1768)</f>
        <v/>
      </c>
      <c r="I1768">
        <f>IF(D1768="","",H1768-F1768*IFERROR(INDEX(الأصناف!$D$2:$D$2000,MATCH(D1768,الأصناف!$A$2:$A$2000,0)),0))</f>
        <v/>
      </c>
      <c r="J1768" s="4" t="n"/>
      <c r="K1768" s="7">
        <f>IF(OR(B1768="",B1768&lt;&gt;الإيصال!$C$3),"",COUNTIF(B$2:B1768,الإيصال!$C$3))</f>
        <v/>
      </c>
    </row>
    <row r="1769">
      <c r="A1769" s="6" t="n"/>
      <c r="B1769" s="4" t="n"/>
      <c r="C1769" s="4" t="n"/>
      <c r="D1769" s="4" t="n"/>
      <c r="E1769">
        <f>IF(D1769="","",IFERROR(INDEX(الأصناف!$B$2:$B$2000,MATCH(D1769,الأصناف!$A$2:$A$2000,0)),"كود غير موجود"))</f>
        <v/>
      </c>
      <c r="F1769" s="4" t="n"/>
      <c r="G1769">
        <f>IF(D1769="","",IFERROR(INDEX(الأصناف!$C$2:$C$2000,MATCH(D1769,الأصناف!$A$2:$A$2000,0)),0))</f>
        <v/>
      </c>
      <c r="H1769">
        <f>IF(D1769="","",F1769*G1769)</f>
        <v/>
      </c>
      <c r="I1769">
        <f>IF(D1769="","",H1769-F1769*IFERROR(INDEX(الأصناف!$D$2:$D$2000,MATCH(D1769,الأصناف!$A$2:$A$2000,0)),0))</f>
        <v/>
      </c>
      <c r="J1769" s="4" t="n"/>
      <c r="K1769" s="7">
        <f>IF(OR(B1769="",B1769&lt;&gt;الإيصال!$C$3),"",COUNTIF(B$2:B1769,الإيصال!$C$3))</f>
        <v/>
      </c>
    </row>
    <row r="1770">
      <c r="A1770" s="6" t="n"/>
      <c r="B1770" s="4" t="n"/>
      <c r="C1770" s="4" t="n"/>
      <c r="D1770" s="4" t="n"/>
      <c r="E1770">
        <f>IF(D1770="","",IFERROR(INDEX(الأصناف!$B$2:$B$2000,MATCH(D1770,الأصناف!$A$2:$A$2000,0)),"كود غير موجود"))</f>
        <v/>
      </c>
      <c r="F1770" s="4" t="n"/>
      <c r="G1770">
        <f>IF(D1770="","",IFERROR(INDEX(الأصناف!$C$2:$C$2000,MATCH(D1770,الأصناف!$A$2:$A$2000,0)),0))</f>
        <v/>
      </c>
      <c r="H1770">
        <f>IF(D1770="","",F1770*G1770)</f>
        <v/>
      </c>
      <c r="I1770">
        <f>IF(D1770="","",H1770-F1770*IFERROR(INDEX(الأصناف!$D$2:$D$2000,MATCH(D1770,الأصناف!$A$2:$A$2000,0)),0))</f>
        <v/>
      </c>
      <c r="J1770" s="4" t="n"/>
      <c r="K1770" s="7">
        <f>IF(OR(B1770="",B1770&lt;&gt;الإيصال!$C$3),"",COUNTIF(B$2:B1770,الإيصال!$C$3))</f>
        <v/>
      </c>
    </row>
    <row r="1771">
      <c r="A1771" s="6" t="n"/>
      <c r="B1771" s="4" t="n"/>
      <c r="C1771" s="4" t="n"/>
      <c r="D1771" s="4" t="n"/>
      <c r="E1771">
        <f>IF(D1771="","",IFERROR(INDEX(الأصناف!$B$2:$B$2000,MATCH(D1771,الأصناف!$A$2:$A$2000,0)),"كود غير موجود"))</f>
        <v/>
      </c>
      <c r="F1771" s="4" t="n"/>
      <c r="G1771">
        <f>IF(D1771="","",IFERROR(INDEX(الأصناف!$C$2:$C$2000,MATCH(D1771,الأصناف!$A$2:$A$2000,0)),0))</f>
        <v/>
      </c>
      <c r="H1771">
        <f>IF(D1771="","",F1771*G1771)</f>
        <v/>
      </c>
      <c r="I1771">
        <f>IF(D1771="","",H1771-F1771*IFERROR(INDEX(الأصناف!$D$2:$D$2000,MATCH(D1771,الأصناف!$A$2:$A$2000,0)),0))</f>
        <v/>
      </c>
      <c r="J1771" s="4" t="n"/>
      <c r="K1771" s="7">
        <f>IF(OR(B1771="",B1771&lt;&gt;الإيصال!$C$3),"",COUNTIF(B$2:B1771,الإيصال!$C$3))</f>
        <v/>
      </c>
    </row>
    <row r="1772">
      <c r="A1772" s="6" t="n"/>
      <c r="B1772" s="4" t="n"/>
      <c r="C1772" s="4" t="n"/>
      <c r="D1772" s="4" t="n"/>
      <c r="E1772">
        <f>IF(D1772="","",IFERROR(INDEX(الأصناف!$B$2:$B$2000,MATCH(D1772,الأصناف!$A$2:$A$2000,0)),"كود غير موجود"))</f>
        <v/>
      </c>
      <c r="F1772" s="4" t="n"/>
      <c r="G1772">
        <f>IF(D1772="","",IFERROR(INDEX(الأصناف!$C$2:$C$2000,MATCH(D1772,الأصناف!$A$2:$A$2000,0)),0))</f>
        <v/>
      </c>
      <c r="H1772">
        <f>IF(D1772="","",F1772*G1772)</f>
        <v/>
      </c>
      <c r="I1772">
        <f>IF(D1772="","",H1772-F1772*IFERROR(INDEX(الأصناف!$D$2:$D$2000,MATCH(D1772,الأصناف!$A$2:$A$2000,0)),0))</f>
        <v/>
      </c>
      <c r="J1772" s="4" t="n"/>
      <c r="K1772" s="7">
        <f>IF(OR(B1772="",B1772&lt;&gt;الإيصال!$C$3),"",COUNTIF(B$2:B1772,الإيصال!$C$3))</f>
        <v/>
      </c>
    </row>
    <row r="1773">
      <c r="A1773" s="6" t="n"/>
      <c r="B1773" s="4" t="n"/>
      <c r="C1773" s="4" t="n"/>
      <c r="D1773" s="4" t="n"/>
      <c r="E1773">
        <f>IF(D1773="","",IFERROR(INDEX(الأصناف!$B$2:$B$2000,MATCH(D1773,الأصناف!$A$2:$A$2000,0)),"كود غير موجود"))</f>
        <v/>
      </c>
      <c r="F1773" s="4" t="n"/>
      <c r="G1773">
        <f>IF(D1773="","",IFERROR(INDEX(الأصناف!$C$2:$C$2000,MATCH(D1773,الأصناف!$A$2:$A$2000,0)),0))</f>
        <v/>
      </c>
      <c r="H1773">
        <f>IF(D1773="","",F1773*G1773)</f>
        <v/>
      </c>
      <c r="I1773">
        <f>IF(D1773="","",H1773-F1773*IFERROR(INDEX(الأصناف!$D$2:$D$2000,MATCH(D1773,الأصناف!$A$2:$A$2000,0)),0))</f>
        <v/>
      </c>
      <c r="J1773" s="4" t="n"/>
      <c r="K1773" s="7">
        <f>IF(OR(B1773="",B1773&lt;&gt;الإيصال!$C$3),"",COUNTIF(B$2:B1773,الإيصال!$C$3))</f>
        <v/>
      </c>
    </row>
    <row r="1774">
      <c r="A1774" s="6" t="n"/>
      <c r="B1774" s="4" t="n"/>
      <c r="C1774" s="4" t="n"/>
      <c r="D1774" s="4" t="n"/>
      <c r="E1774">
        <f>IF(D1774="","",IFERROR(INDEX(الأصناف!$B$2:$B$2000,MATCH(D1774,الأصناف!$A$2:$A$2000,0)),"كود غير موجود"))</f>
        <v/>
      </c>
      <c r="F1774" s="4" t="n"/>
      <c r="G1774">
        <f>IF(D1774="","",IFERROR(INDEX(الأصناف!$C$2:$C$2000,MATCH(D1774,الأصناف!$A$2:$A$2000,0)),0))</f>
        <v/>
      </c>
      <c r="H1774">
        <f>IF(D1774="","",F1774*G1774)</f>
        <v/>
      </c>
      <c r="I1774">
        <f>IF(D1774="","",H1774-F1774*IFERROR(INDEX(الأصناف!$D$2:$D$2000,MATCH(D1774,الأصناف!$A$2:$A$2000,0)),0))</f>
        <v/>
      </c>
      <c r="J1774" s="4" t="n"/>
      <c r="K1774" s="7">
        <f>IF(OR(B1774="",B1774&lt;&gt;الإيصال!$C$3),"",COUNTIF(B$2:B1774,الإيصال!$C$3))</f>
        <v/>
      </c>
    </row>
    <row r="1775">
      <c r="A1775" s="6" t="n"/>
      <c r="B1775" s="4" t="n"/>
      <c r="C1775" s="4" t="n"/>
      <c r="D1775" s="4" t="n"/>
      <c r="E1775">
        <f>IF(D1775="","",IFERROR(INDEX(الأصناف!$B$2:$B$2000,MATCH(D1775,الأصناف!$A$2:$A$2000,0)),"كود غير موجود"))</f>
        <v/>
      </c>
      <c r="F1775" s="4" t="n"/>
      <c r="G1775">
        <f>IF(D1775="","",IFERROR(INDEX(الأصناف!$C$2:$C$2000,MATCH(D1775,الأصناف!$A$2:$A$2000,0)),0))</f>
        <v/>
      </c>
      <c r="H1775">
        <f>IF(D1775="","",F1775*G1775)</f>
        <v/>
      </c>
      <c r="I1775">
        <f>IF(D1775="","",H1775-F1775*IFERROR(INDEX(الأصناف!$D$2:$D$2000,MATCH(D1775,الأصناف!$A$2:$A$2000,0)),0))</f>
        <v/>
      </c>
      <c r="J1775" s="4" t="n"/>
      <c r="K1775" s="7">
        <f>IF(OR(B1775="",B1775&lt;&gt;الإيصال!$C$3),"",COUNTIF(B$2:B1775,الإيصال!$C$3))</f>
        <v/>
      </c>
    </row>
    <row r="1776">
      <c r="A1776" s="6" t="n"/>
      <c r="B1776" s="4" t="n"/>
      <c r="C1776" s="4" t="n"/>
      <c r="D1776" s="4" t="n"/>
      <c r="E1776">
        <f>IF(D1776="","",IFERROR(INDEX(الأصناف!$B$2:$B$2000,MATCH(D1776,الأصناف!$A$2:$A$2000,0)),"كود غير موجود"))</f>
        <v/>
      </c>
      <c r="F1776" s="4" t="n"/>
      <c r="G1776">
        <f>IF(D1776="","",IFERROR(INDEX(الأصناف!$C$2:$C$2000,MATCH(D1776,الأصناف!$A$2:$A$2000,0)),0))</f>
        <v/>
      </c>
      <c r="H1776">
        <f>IF(D1776="","",F1776*G1776)</f>
        <v/>
      </c>
      <c r="I1776">
        <f>IF(D1776="","",H1776-F1776*IFERROR(INDEX(الأصناف!$D$2:$D$2000,MATCH(D1776,الأصناف!$A$2:$A$2000,0)),0))</f>
        <v/>
      </c>
      <c r="J1776" s="4" t="n"/>
      <c r="K1776" s="7">
        <f>IF(OR(B1776="",B1776&lt;&gt;الإيصال!$C$3),"",COUNTIF(B$2:B1776,الإيصال!$C$3))</f>
        <v/>
      </c>
    </row>
    <row r="1777">
      <c r="A1777" s="6" t="n"/>
      <c r="B1777" s="4" t="n"/>
      <c r="C1777" s="4" t="n"/>
      <c r="D1777" s="4" t="n"/>
      <c r="E1777">
        <f>IF(D1777="","",IFERROR(INDEX(الأصناف!$B$2:$B$2000,MATCH(D1777,الأصناف!$A$2:$A$2000,0)),"كود غير موجود"))</f>
        <v/>
      </c>
      <c r="F1777" s="4" t="n"/>
      <c r="G1777">
        <f>IF(D1777="","",IFERROR(INDEX(الأصناف!$C$2:$C$2000,MATCH(D1777,الأصناف!$A$2:$A$2000,0)),0))</f>
        <v/>
      </c>
      <c r="H1777">
        <f>IF(D1777="","",F1777*G1777)</f>
        <v/>
      </c>
      <c r="I1777">
        <f>IF(D1777="","",H1777-F1777*IFERROR(INDEX(الأصناف!$D$2:$D$2000,MATCH(D1777,الأصناف!$A$2:$A$2000,0)),0))</f>
        <v/>
      </c>
      <c r="J1777" s="4" t="n"/>
      <c r="K1777" s="7">
        <f>IF(OR(B1777="",B1777&lt;&gt;الإيصال!$C$3),"",COUNTIF(B$2:B1777,الإيصال!$C$3))</f>
        <v/>
      </c>
    </row>
    <row r="1778">
      <c r="A1778" s="6" t="n"/>
      <c r="B1778" s="4" t="n"/>
      <c r="C1778" s="4" t="n"/>
      <c r="D1778" s="4" t="n"/>
      <c r="E1778">
        <f>IF(D1778="","",IFERROR(INDEX(الأصناف!$B$2:$B$2000,MATCH(D1778,الأصناف!$A$2:$A$2000,0)),"كود غير موجود"))</f>
        <v/>
      </c>
      <c r="F1778" s="4" t="n"/>
      <c r="G1778">
        <f>IF(D1778="","",IFERROR(INDEX(الأصناف!$C$2:$C$2000,MATCH(D1778,الأصناف!$A$2:$A$2000,0)),0))</f>
        <v/>
      </c>
      <c r="H1778">
        <f>IF(D1778="","",F1778*G1778)</f>
        <v/>
      </c>
      <c r="I1778">
        <f>IF(D1778="","",H1778-F1778*IFERROR(INDEX(الأصناف!$D$2:$D$2000,MATCH(D1778,الأصناف!$A$2:$A$2000,0)),0))</f>
        <v/>
      </c>
      <c r="J1778" s="4" t="n"/>
      <c r="K1778" s="7">
        <f>IF(OR(B1778="",B1778&lt;&gt;الإيصال!$C$3),"",COUNTIF(B$2:B1778,الإيصال!$C$3))</f>
        <v/>
      </c>
    </row>
    <row r="1779">
      <c r="A1779" s="6" t="n"/>
      <c r="B1779" s="4" t="n"/>
      <c r="C1779" s="4" t="n"/>
      <c r="D1779" s="4" t="n"/>
      <c r="E1779">
        <f>IF(D1779="","",IFERROR(INDEX(الأصناف!$B$2:$B$2000,MATCH(D1779,الأصناف!$A$2:$A$2000,0)),"كود غير موجود"))</f>
        <v/>
      </c>
      <c r="F1779" s="4" t="n"/>
      <c r="G1779">
        <f>IF(D1779="","",IFERROR(INDEX(الأصناف!$C$2:$C$2000,MATCH(D1779,الأصناف!$A$2:$A$2000,0)),0))</f>
        <v/>
      </c>
      <c r="H1779">
        <f>IF(D1779="","",F1779*G1779)</f>
        <v/>
      </c>
      <c r="I1779">
        <f>IF(D1779="","",H1779-F1779*IFERROR(INDEX(الأصناف!$D$2:$D$2000,MATCH(D1779,الأصناف!$A$2:$A$2000,0)),0))</f>
        <v/>
      </c>
      <c r="J1779" s="4" t="n"/>
      <c r="K1779" s="7">
        <f>IF(OR(B1779="",B1779&lt;&gt;الإيصال!$C$3),"",COUNTIF(B$2:B1779,الإيصال!$C$3))</f>
        <v/>
      </c>
    </row>
    <row r="1780">
      <c r="A1780" s="6" t="n"/>
      <c r="B1780" s="4" t="n"/>
      <c r="C1780" s="4" t="n"/>
      <c r="D1780" s="4" t="n"/>
      <c r="E1780">
        <f>IF(D1780="","",IFERROR(INDEX(الأصناف!$B$2:$B$2000,MATCH(D1780,الأصناف!$A$2:$A$2000,0)),"كود غير موجود"))</f>
        <v/>
      </c>
      <c r="F1780" s="4" t="n"/>
      <c r="G1780">
        <f>IF(D1780="","",IFERROR(INDEX(الأصناف!$C$2:$C$2000,MATCH(D1780,الأصناف!$A$2:$A$2000,0)),0))</f>
        <v/>
      </c>
      <c r="H1780">
        <f>IF(D1780="","",F1780*G1780)</f>
        <v/>
      </c>
      <c r="I1780">
        <f>IF(D1780="","",H1780-F1780*IFERROR(INDEX(الأصناف!$D$2:$D$2000,MATCH(D1780,الأصناف!$A$2:$A$2000,0)),0))</f>
        <v/>
      </c>
      <c r="J1780" s="4" t="n"/>
      <c r="K1780" s="7">
        <f>IF(OR(B1780="",B1780&lt;&gt;الإيصال!$C$3),"",COUNTIF(B$2:B1780,الإيصال!$C$3))</f>
        <v/>
      </c>
    </row>
    <row r="1781">
      <c r="A1781" s="6" t="n"/>
      <c r="B1781" s="4" t="n"/>
      <c r="C1781" s="4" t="n"/>
      <c r="D1781" s="4" t="n"/>
      <c r="E1781">
        <f>IF(D1781="","",IFERROR(INDEX(الأصناف!$B$2:$B$2000,MATCH(D1781,الأصناف!$A$2:$A$2000,0)),"كود غير موجود"))</f>
        <v/>
      </c>
      <c r="F1781" s="4" t="n"/>
      <c r="G1781">
        <f>IF(D1781="","",IFERROR(INDEX(الأصناف!$C$2:$C$2000,MATCH(D1781,الأصناف!$A$2:$A$2000,0)),0))</f>
        <v/>
      </c>
      <c r="H1781">
        <f>IF(D1781="","",F1781*G1781)</f>
        <v/>
      </c>
      <c r="I1781">
        <f>IF(D1781="","",H1781-F1781*IFERROR(INDEX(الأصناف!$D$2:$D$2000,MATCH(D1781,الأصناف!$A$2:$A$2000,0)),0))</f>
        <v/>
      </c>
      <c r="J1781" s="4" t="n"/>
      <c r="K1781" s="7">
        <f>IF(OR(B1781="",B1781&lt;&gt;الإيصال!$C$3),"",COUNTIF(B$2:B1781,الإيصال!$C$3))</f>
        <v/>
      </c>
    </row>
    <row r="1782">
      <c r="A1782" s="6" t="n"/>
      <c r="B1782" s="4" t="n"/>
      <c r="C1782" s="4" t="n"/>
      <c r="D1782" s="4" t="n"/>
      <c r="E1782">
        <f>IF(D1782="","",IFERROR(INDEX(الأصناف!$B$2:$B$2000,MATCH(D1782,الأصناف!$A$2:$A$2000,0)),"كود غير موجود"))</f>
        <v/>
      </c>
      <c r="F1782" s="4" t="n"/>
      <c r="G1782">
        <f>IF(D1782="","",IFERROR(INDEX(الأصناف!$C$2:$C$2000,MATCH(D1782,الأصناف!$A$2:$A$2000,0)),0))</f>
        <v/>
      </c>
      <c r="H1782">
        <f>IF(D1782="","",F1782*G1782)</f>
        <v/>
      </c>
      <c r="I1782">
        <f>IF(D1782="","",H1782-F1782*IFERROR(INDEX(الأصناف!$D$2:$D$2000,MATCH(D1782,الأصناف!$A$2:$A$2000,0)),0))</f>
        <v/>
      </c>
      <c r="J1782" s="4" t="n"/>
      <c r="K1782" s="7">
        <f>IF(OR(B1782="",B1782&lt;&gt;الإيصال!$C$3),"",COUNTIF(B$2:B1782,الإيصال!$C$3))</f>
        <v/>
      </c>
    </row>
    <row r="1783">
      <c r="A1783" s="6" t="n"/>
      <c r="B1783" s="4" t="n"/>
      <c r="C1783" s="4" t="n"/>
      <c r="D1783" s="4" t="n"/>
      <c r="E1783">
        <f>IF(D1783="","",IFERROR(INDEX(الأصناف!$B$2:$B$2000,MATCH(D1783,الأصناف!$A$2:$A$2000,0)),"كود غير موجود"))</f>
        <v/>
      </c>
      <c r="F1783" s="4" t="n"/>
      <c r="G1783">
        <f>IF(D1783="","",IFERROR(INDEX(الأصناف!$C$2:$C$2000,MATCH(D1783,الأصناف!$A$2:$A$2000,0)),0))</f>
        <v/>
      </c>
      <c r="H1783">
        <f>IF(D1783="","",F1783*G1783)</f>
        <v/>
      </c>
      <c r="I1783">
        <f>IF(D1783="","",H1783-F1783*IFERROR(INDEX(الأصناف!$D$2:$D$2000,MATCH(D1783,الأصناف!$A$2:$A$2000,0)),0))</f>
        <v/>
      </c>
      <c r="J1783" s="4" t="n"/>
      <c r="K1783" s="7">
        <f>IF(OR(B1783="",B1783&lt;&gt;الإيصال!$C$3),"",COUNTIF(B$2:B1783,الإيصال!$C$3))</f>
        <v/>
      </c>
    </row>
    <row r="1784">
      <c r="A1784" s="6" t="n"/>
      <c r="B1784" s="4" t="n"/>
      <c r="C1784" s="4" t="n"/>
      <c r="D1784" s="4" t="n"/>
      <c r="E1784">
        <f>IF(D1784="","",IFERROR(INDEX(الأصناف!$B$2:$B$2000,MATCH(D1784,الأصناف!$A$2:$A$2000,0)),"كود غير موجود"))</f>
        <v/>
      </c>
      <c r="F1784" s="4" t="n"/>
      <c r="G1784">
        <f>IF(D1784="","",IFERROR(INDEX(الأصناف!$C$2:$C$2000,MATCH(D1784,الأصناف!$A$2:$A$2000,0)),0))</f>
        <v/>
      </c>
      <c r="H1784">
        <f>IF(D1784="","",F1784*G1784)</f>
        <v/>
      </c>
      <c r="I1784">
        <f>IF(D1784="","",H1784-F1784*IFERROR(INDEX(الأصناف!$D$2:$D$2000,MATCH(D1784,الأصناف!$A$2:$A$2000,0)),0))</f>
        <v/>
      </c>
      <c r="J1784" s="4" t="n"/>
      <c r="K1784" s="7">
        <f>IF(OR(B1784="",B1784&lt;&gt;الإيصال!$C$3),"",COUNTIF(B$2:B1784,الإيصال!$C$3))</f>
        <v/>
      </c>
    </row>
    <row r="1785">
      <c r="A1785" s="6" t="n"/>
      <c r="B1785" s="4" t="n"/>
      <c r="C1785" s="4" t="n"/>
      <c r="D1785" s="4" t="n"/>
      <c r="E1785">
        <f>IF(D1785="","",IFERROR(INDEX(الأصناف!$B$2:$B$2000,MATCH(D1785,الأصناف!$A$2:$A$2000,0)),"كود غير موجود"))</f>
        <v/>
      </c>
      <c r="F1785" s="4" t="n"/>
      <c r="G1785">
        <f>IF(D1785="","",IFERROR(INDEX(الأصناف!$C$2:$C$2000,MATCH(D1785,الأصناف!$A$2:$A$2000,0)),0))</f>
        <v/>
      </c>
      <c r="H1785">
        <f>IF(D1785="","",F1785*G1785)</f>
        <v/>
      </c>
      <c r="I1785">
        <f>IF(D1785="","",H1785-F1785*IFERROR(INDEX(الأصناف!$D$2:$D$2000,MATCH(D1785,الأصناف!$A$2:$A$2000,0)),0))</f>
        <v/>
      </c>
      <c r="J1785" s="4" t="n"/>
      <c r="K1785" s="7">
        <f>IF(OR(B1785="",B1785&lt;&gt;الإيصال!$C$3),"",COUNTIF(B$2:B1785,الإيصال!$C$3))</f>
        <v/>
      </c>
    </row>
    <row r="1786">
      <c r="A1786" s="6" t="n"/>
      <c r="B1786" s="4" t="n"/>
      <c r="C1786" s="4" t="n"/>
      <c r="D1786" s="4" t="n"/>
      <c r="E1786">
        <f>IF(D1786="","",IFERROR(INDEX(الأصناف!$B$2:$B$2000,MATCH(D1786,الأصناف!$A$2:$A$2000,0)),"كود غير موجود"))</f>
        <v/>
      </c>
      <c r="F1786" s="4" t="n"/>
      <c r="G1786">
        <f>IF(D1786="","",IFERROR(INDEX(الأصناف!$C$2:$C$2000,MATCH(D1786,الأصناف!$A$2:$A$2000,0)),0))</f>
        <v/>
      </c>
      <c r="H1786">
        <f>IF(D1786="","",F1786*G1786)</f>
        <v/>
      </c>
      <c r="I1786">
        <f>IF(D1786="","",H1786-F1786*IFERROR(INDEX(الأصناف!$D$2:$D$2000,MATCH(D1786,الأصناف!$A$2:$A$2000,0)),0))</f>
        <v/>
      </c>
      <c r="J1786" s="4" t="n"/>
      <c r="K1786" s="7">
        <f>IF(OR(B1786="",B1786&lt;&gt;الإيصال!$C$3),"",COUNTIF(B$2:B1786,الإيصال!$C$3))</f>
        <v/>
      </c>
    </row>
    <row r="1787">
      <c r="A1787" s="6" t="n"/>
      <c r="B1787" s="4" t="n"/>
      <c r="C1787" s="4" t="n"/>
      <c r="D1787" s="4" t="n"/>
      <c r="E1787">
        <f>IF(D1787="","",IFERROR(INDEX(الأصناف!$B$2:$B$2000,MATCH(D1787,الأصناف!$A$2:$A$2000,0)),"كود غير موجود"))</f>
        <v/>
      </c>
      <c r="F1787" s="4" t="n"/>
      <c r="G1787">
        <f>IF(D1787="","",IFERROR(INDEX(الأصناف!$C$2:$C$2000,MATCH(D1787,الأصناف!$A$2:$A$2000,0)),0))</f>
        <v/>
      </c>
      <c r="H1787">
        <f>IF(D1787="","",F1787*G1787)</f>
        <v/>
      </c>
      <c r="I1787">
        <f>IF(D1787="","",H1787-F1787*IFERROR(INDEX(الأصناف!$D$2:$D$2000,MATCH(D1787,الأصناف!$A$2:$A$2000,0)),0))</f>
        <v/>
      </c>
      <c r="J1787" s="4" t="n"/>
      <c r="K1787" s="7">
        <f>IF(OR(B1787="",B1787&lt;&gt;الإيصال!$C$3),"",COUNTIF(B$2:B1787,الإيصال!$C$3))</f>
        <v/>
      </c>
    </row>
    <row r="1788">
      <c r="A1788" s="6" t="n"/>
      <c r="B1788" s="4" t="n"/>
      <c r="C1788" s="4" t="n"/>
      <c r="D1788" s="4" t="n"/>
      <c r="E1788">
        <f>IF(D1788="","",IFERROR(INDEX(الأصناف!$B$2:$B$2000,MATCH(D1788,الأصناف!$A$2:$A$2000,0)),"كود غير موجود"))</f>
        <v/>
      </c>
      <c r="F1788" s="4" t="n"/>
      <c r="G1788">
        <f>IF(D1788="","",IFERROR(INDEX(الأصناف!$C$2:$C$2000,MATCH(D1788,الأصناف!$A$2:$A$2000,0)),0))</f>
        <v/>
      </c>
      <c r="H1788">
        <f>IF(D1788="","",F1788*G1788)</f>
        <v/>
      </c>
      <c r="I1788">
        <f>IF(D1788="","",H1788-F1788*IFERROR(INDEX(الأصناف!$D$2:$D$2000,MATCH(D1788,الأصناف!$A$2:$A$2000,0)),0))</f>
        <v/>
      </c>
      <c r="J1788" s="4" t="n"/>
      <c r="K1788" s="7">
        <f>IF(OR(B1788="",B1788&lt;&gt;الإيصال!$C$3),"",COUNTIF(B$2:B1788,الإيصال!$C$3))</f>
        <v/>
      </c>
    </row>
    <row r="1789">
      <c r="A1789" s="6" t="n"/>
      <c r="B1789" s="4" t="n"/>
      <c r="C1789" s="4" t="n"/>
      <c r="D1789" s="4" t="n"/>
      <c r="E1789">
        <f>IF(D1789="","",IFERROR(INDEX(الأصناف!$B$2:$B$2000,MATCH(D1789,الأصناف!$A$2:$A$2000,0)),"كود غير موجود"))</f>
        <v/>
      </c>
      <c r="F1789" s="4" t="n"/>
      <c r="G1789">
        <f>IF(D1789="","",IFERROR(INDEX(الأصناف!$C$2:$C$2000,MATCH(D1789,الأصناف!$A$2:$A$2000,0)),0))</f>
        <v/>
      </c>
      <c r="H1789">
        <f>IF(D1789="","",F1789*G1789)</f>
        <v/>
      </c>
      <c r="I1789">
        <f>IF(D1789="","",H1789-F1789*IFERROR(INDEX(الأصناف!$D$2:$D$2000,MATCH(D1789,الأصناف!$A$2:$A$2000,0)),0))</f>
        <v/>
      </c>
      <c r="J1789" s="4" t="n"/>
      <c r="K1789" s="7">
        <f>IF(OR(B1789="",B1789&lt;&gt;الإيصال!$C$3),"",COUNTIF(B$2:B1789,الإيصال!$C$3))</f>
        <v/>
      </c>
    </row>
    <row r="1790">
      <c r="A1790" s="6" t="n"/>
      <c r="B1790" s="4" t="n"/>
      <c r="C1790" s="4" t="n"/>
      <c r="D1790" s="4" t="n"/>
      <c r="E1790">
        <f>IF(D1790="","",IFERROR(INDEX(الأصناف!$B$2:$B$2000,MATCH(D1790,الأصناف!$A$2:$A$2000,0)),"كود غير موجود"))</f>
        <v/>
      </c>
      <c r="F1790" s="4" t="n"/>
      <c r="G1790">
        <f>IF(D1790="","",IFERROR(INDEX(الأصناف!$C$2:$C$2000,MATCH(D1790,الأصناف!$A$2:$A$2000,0)),0))</f>
        <v/>
      </c>
      <c r="H1790">
        <f>IF(D1790="","",F1790*G1790)</f>
        <v/>
      </c>
      <c r="I1790">
        <f>IF(D1790="","",H1790-F1790*IFERROR(INDEX(الأصناف!$D$2:$D$2000,MATCH(D1790,الأصناف!$A$2:$A$2000,0)),0))</f>
        <v/>
      </c>
      <c r="J1790" s="4" t="n"/>
      <c r="K1790" s="7">
        <f>IF(OR(B1790="",B1790&lt;&gt;الإيصال!$C$3),"",COUNTIF(B$2:B1790,الإيصال!$C$3))</f>
        <v/>
      </c>
    </row>
    <row r="1791">
      <c r="A1791" s="6" t="n"/>
      <c r="B1791" s="4" t="n"/>
      <c r="C1791" s="4" t="n"/>
      <c r="D1791" s="4" t="n"/>
      <c r="E1791">
        <f>IF(D1791="","",IFERROR(INDEX(الأصناف!$B$2:$B$2000,MATCH(D1791,الأصناف!$A$2:$A$2000,0)),"كود غير موجود"))</f>
        <v/>
      </c>
      <c r="F1791" s="4" t="n"/>
      <c r="G1791">
        <f>IF(D1791="","",IFERROR(INDEX(الأصناف!$C$2:$C$2000,MATCH(D1791,الأصناف!$A$2:$A$2000,0)),0))</f>
        <v/>
      </c>
      <c r="H1791">
        <f>IF(D1791="","",F1791*G1791)</f>
        <v/>
      </c>
      <c r="I1791">
        <f>IF(D1791="","",H1791-F1791*IFERROR(INDEX(الأصناف!$D$2:$D$2000,MATCH(D1791,الأصناف!$A$2:$A$2000,0)),0))</f>
        <v/>
      </c>
      <c r="J1791" s="4" t="n"/>
      <c r="K1791" s="7">
        <f>IF(OR(B1791="",B1791&lt;&gt;الإيصال!$C$3),"",COUNTIF(B$2:B1791,الإيصال!$C$3))</f>
        <v/>
      </c>
    </row>
    <row r="1792">
      <c r="A1792" s="6" t="n"/>
      <c r="B1792" s="4" t="n"/>
      <c r="C1792" s="4" t="n"/>
      <c r="D1792" s="4" t="n"/>
      <c r="E1792">
        <f>IF(D1792="","",IFERROR(INDEX(الأصناف!$B$2:$B$2000,MATCH(D1792,الأصناف!$A$2:$A$2000,0)),"كود غير موجود"))</f>
        <v/>
      </c>
      <c r="F1792" s="4" t="n"/>
      <c r="G1792">
        <f>IF(D1792="","",IFERROR(INDEX(الأصناف!$C$2:$C$2000,MATCH(D1792,الأصناف!$A$2:$A$2000,0)),0))</f>
        <v/>
      </c>
      <c r="H1792">
        <f>IF(D1792="","",F1792*G1792)</f>
        <v/>
      </c>
      <c r="I1792">
        <f>IF(D1792="","",H1792-F1792*IFERROR(INDEX(الأصناف!$D$2:$D$2000,MATCH(D1792,الأصناف!$A$2:$A$2000,0)),0))</f>
        <v/>
      </c>
      <c r="J1792" s="4" t="n"/>
      <c r="K1792" s="7">
        <f>IF(OR(B1792="",B1792&lt;&gt;الإيصال!$C$3),"",COUNTIF(B$2:B1792,الإيصال!$C$3))</f>
        <v/>
      </c>
    </row>
    <row r="1793">
      <c r="A1793" s="6" t="n"/>
      <c r="B1793" s="4" t="n"/>
      <c r="C1793" s="4" t="n"/>
      <c r="D1793" s="4" t="n"/>
      <c r="E1793">
        <f>IF(D1793="","",IFERROR(INDEX(الأصناف!$B$2:$B$2000,MATCH(D1793,الأصناف!$A$2:$A$2000,0)),"كود غير موجود"))</f>
        <v/>
      </c>
      <c r="F1793" s="4" t="n"/>
      <c r="G1793">
        <f>IF(D1793="","",IFERROR(INDEX(الأصناف!$C$2:$C$2000,MATCH(D1793,الأصناف!$A$2:$A$2000,0)),0))</f>
        <v/>
      </c>
      <c r="H1793">
        <f>IF(D1793="","",F1793*G1793)</f>
        <v/>
      </c>
      <c r="I1793">
        <f>IF(D1793="","",H1793-F1793*IFERROR(INDEX(الأصناف!$D$2:$D$2000,MATCH(D1793,الأصناف!$A$2:$A$2000,0)),0))</f>
        <v/>
      </c>
      <c r="J1793" s="4" t="n"/>
      <c r="K1793" s="7">
        <f>IF(OR(B1793="",B1793&lt;&gt;الإيصال!$C$3),"",COUNTIF(B$2:B1793,الإيصال!$C$3))</f>
        <v/>
      </c>
    </row>
    <row r="1794">
      <c r="A1794" s="6" t="n"/>
      <c r="B1794" s="4" t="n"/>
      <c r="C1794" s="4" t="n"/>
      <c r="D1794" s="4" t="n"/>
      <c r="E1794">
        <f>IF(D1794="","",IFERROR(INDEX(الأصناف!$B$2:$B$2000,MATCH(D1794,الأصناف!$A$2:$A$2000,0)),"كود غير موجود"))</f>
        <v/>
      </c>
      <c r="F1794" s="4" t="n"/>
      <c r="G1794">
        <f>IF(D1794="","",IFERROR(INDEX(الأصناف!$C$2:$C$2000,MATCH(D1794,الأصناف!$A$2:$A$2000,0)),0))</f>
        <v/>
      </c>
      <c r="H1794">
        <f>IF(D1794="","",F1794*G1794)</f>
        <v/>
      </c>
      <c r="I1794">
        <f>IF(D1794="","",H1794-F1794*IFERROR(INDEX(الأصناف!$D$2:$D$2000,MATCH(D1794,الأصناف!$A$2:$A$2000,0)),0))</f>
        <v/>
      </c>
      <c r="J1794" s="4" t="n"/>
      <c r="K1794" s="7">
        <f>IF(OR(B1794="",B1794&lt;&gt;الإيصال!$C$3),"",COUNTIF(B$2:B1794,الإيصال!$C$3))</f>
        <v/>
      </c>
    </row>
    <row r="1795">
      <c r="A1795" s="6" t="n"/>
      <c r="B1795" s="4" t="n"/>
      <c r="C1795" s="4" t="n"/>
      <c r="D1795" s="4" t="n"/>
      <c r="E1795">
        <f>IF(D1795="","",IFERROR(INDEX(الأصناف!$B$2:$B$2000,MATCH(D1795,الأصناف!$A$2:$A$2000,0)),"كود غير موجود"))</f>
        <v/>
      </c>
      <c r="F1795" s="4" t="n"/>
      <c r="G1795">
        <f>IF(D1795="","",IFERROR(INDEX(الأصناف!$C$2:$C$2000,MATCH(D1795,الأصناف!$A$2:$A$2000,0)),0))</f>
        <v/>
      </c>
      <c r="H1795">
        <f>IF(D1795="","",F1795*G1795)</f>
        <v/>
      </c>
      <c r="I1795">
        <f>IF(D1795="","",H1795-F1795*IFERROR(INDEX(الأصناف!$D$2:$D$2000,MATCH(D1795,الأصناف!$A$2:$A$2000,0)),0))</f>
        <v/>
      </c>
      <c r="J1795" s="4" t="n"/>
      <c r="K1795" s="7">
        <f>IF(OR(B1795="",B1795&lt;&gt;الإيصال!$C$3),"",COUNTIF(B$2:B1795,الإيصال!$C$3))</f>
        <v/>
      </c>
    </row>
    <row r="1796">
      <c r="A1796" s="6" t="n"/>
      <c r="B1796" s="4" t="n"/>
      <c r="C1796" s="4" t="n"/>
      <c r="D1796" s="4" t="n"/>
      <c r="E1796">
        <f>IF(D1796="","",IFERROR(INDEX(الأصناف!$B$2:$B$2000,MATCH(D1796,الأصناف!$A$2:$A$2000,0)),"كود غير موجود"))</f>
        <v/>
      </c>
      <c r="F1796" s="4" t="n"/>
      <c r="G1796">
        <f>IF(D1796="","",IFERROR(INDEX(الأصناف!$C$2:$C$2000,MATCH(D1796,الأصناف!$A$2:$A$2000,0)),0))</f>
        <v/>
      </c>
      <c r="H1796">
        <f>IF(D1796="","",F1796*G1796)</f>
        <v/>
      </c>
      <c r="I1796">
        <f>IF(D1796="","",H1796-F1796*IFERROR(INDEX(الأصناف!$D$2:$D$2000,MATCH(D1796,الأصناف!$A$2:$A$2000,0)),0))</f>
        <v/>
      </c>
      <c r="J1796" s="4" t="n"/>
      <c r="K1796" s="7">
        <f>IF(OR(B1796="",B1796&lt;&gt;الإيصال!$C$3),"",COUNTIF(B$2:B1796,الإيصال!$C$3))</f>
        <v/>
      </c>
    </row>
    <row r="1797">
      <c r="A1797" s="6" t="n"/>
      <c r="B1797" s="4" t="n"/>
      <c r="C1797" s="4" t="n"/>
      <c r="D1797" s="4" t="n"/>
      <c r="E1797">
        <f>IF(D1797="","",IFERROR(INDEX(الأصناف!$B$2:$B$2000,MATCH(D1797,الأصناف!$A$2:$A$2000,0)),"كود غير موجود"))</f>
        <v/>
      </c>
      <c r="F1797" s="4" t="n"/>
      <c r="G1797">
        <f>IF(D1797="","",IFERROR(INDEX(الأصناف!$C$2:$C$2000,MATCH(D1797,الأصناف!$A$2:$A$2000,0)),0))</f>
        <v/>
      </c>
      <c r="H1797">
        <f>IF(D1797="","",F1797*G1797)</f>
        <v/>
      </c>
      <c r="I1797">
        <f>IF(D1797="","",H1797-F1797*IFERROR(INDEX(الأصناف!$D$2:$D$2000,MATCH(D1797,الأصناف!$A$2:$A$2000,0)),0))</f>
        <v/>
      </c>
      <c r="J1797" s="4" t="n"/>
      <c r="K1797" s="7">
        <f>IF(OR(B1797="",B1797&lt;&gt;الإيصال!$C$3),"",COUNTIF(B$2:B1797,الإيصال!$C$3))</f>
        <v/>
      </c>
    </row>
    <row r="1798">
      <c r="A1798" s="6" t="n"/>
      <c r="B1798" s="4" t="n"/>
      <c r="C1798" s="4" t="n"/>
      <c r="D1798" s="4" t="n"/>
      <c r="E1798">
        <f>IF(D1798="","",IFERROR(INDEX(الأصناف!$B$2:$B$2000,MATCH(D1798,الأصناف!$A$2:$A$2000,0)),"كود غير موجود"))</f>
        <v/>
      </c>
      <c r="F1798" s="4" t="n"/>
      <c r="G1798">
        <f>IF(D1798="","",IFERROR(INDEX(الأصناف!$C$2:$C$2000,MATCH(D1798,الأصناف!$A$2:$A$2000,0)),0))</f>
        <v/>
      </c>
      <c r="H1798">
        <f>IF(D1798="","",F1798*G1798)</f>
        <v/>
      </c>
      <c r="I1798">
        <f>IF(D1798="","",H1798-F1798*IFERROR(INDEX(الأصناف!$D$2:$D$2000,MATCH(D1798,الأصناف!$A$2:$A$2000,0)),0))</f>
        <v/>
      </c>
      <c r="J1798" s="4" t="n"/>
      <c r="K1798" s="7">
        <f>IF(OR(B1798="",B1798&lt;&gt;الإيصال!$C$3),"",COUNTIF(B$2:B1798,الإيصال!$C$3))</f>
        <v/>
      </c>
    </row>
    <row r="1799">
      <c r="A1799" s="6" t="n"/>
      <c r="B1799" s="4" t="n"/>
      <c r="C1799" s="4" t="n"/>
      <c r="D1799" s="4" t="n"/>
      <c r="E1799">
        <f>IF(D1799="","",IFERROR(INDEX(الأصناف!$B$2:$B$2000,MATCH(D1799,الأصناف!$A$2:$A$2000,0)),"كود غير موجود"))</f>
        <v/>
      </c>
      <c r="F1799" s="4" t="n"/>
      <c r="G1799">
        <f>IF(D1799="","",IFERROR(INDEX(الأصناف!$C$2:$C$2000,MATCH(D1799,الأصناف!$A$2:$A$2000,0)),0))</f>
        <v/>
      </c>
      <c r="H1799">
        <f>IF(D1799="","",F1799*G1799)</f>
        <v/>
      </c>
      <c r="I1799">
        <f>IF(D1799="","",H1799-F1799*IFERROR(INDEX(الأصناف!$D$2:$D$2000,MATCH(D1799,الأصناف!$A$2:$A$2000,0)),0))</f>
        <v/>
      </c>
      <c r="J1799" s="4" t="n"/>
      <c r="K1799" s="7">
        <f>IF(OR(B1799="",B1799&lt;&gt;الإيصال!$C$3),"",COUNTIF(B$2:B1799,الإيصال!$C$3))</f>
        <v/>
      </c>
    </row>
    <row r="1800">
      <c r="A1800" s="6" t="n"/>
      <c r="B1800" s="4" t="n"/>
      <c r="C1800" s="4" t="n"/>
      <c r="D1800" s="4" t="n"/>
      <c r="E1800">
        <f>IF(D1800="","",IFERROR(INDEX(الأصناف!$B$2:$B$2000,MATCH(D1800,الأصناف!$A$2:$A$2000,0)),"كود غير موجود"))</f>
        <v/>
      </c>
      <c r="F1800" s="4" t="n"/>
      <c r="G1800">
        <f>IF(D1800="","",IFERROR(INDEX(الأصناف!$C$2:$C$2000,MATCH(D1800,الأصناف!$A$2:$A$2000,0)),0))</f>
        <v/>
      </c>
      <c r="H1800">
        <f>IF(D1800="","",F1800*G1800)</f>
        <v/>
      </c>
      <c r="I1800">
        <f>IF(D1800="","",H1800-F1800*IFERROR(INDEX(الأصناف!$D$2:$D$2000,MATCH(D1800,الأصناف!$A$2:$A$2000,0)),0))</f>
        <v/>
      </c>
      <c r="J1800" s="4" t="n"/>
      <c r="K1800" s="7">
        <f>IF(OR(B1800="",B1800&lt;&gt;الإيصال!$C$3),"",COUNTIF(B$2:B1800,الإيصال!$C$3))</f>
        <v/>
      </c>
    </row>
    <row r="1801">
      <c r="A1801" s="6" t="n"/>
      <c r="B1801" s="4" t="n"/>
      <c r="C1801" s="4" t="n"/>
      <c r="D1801" s="4" t="n"/>
      <c r="E1801">
        <f>IF(D1801="","",IFERROR(INDEX(الأصناف!$B$2:$B$2000,MATCH(D1801,الأصناف!$A$2:$A$2000,0)),"كود غير موجود"))</f>
        <v/>
      </c>
      <c r="F1801" s="4" t="n"/>
      <c r="G1801">
        <f>IF(D1801="","",IFERROR(INDEX(الأصناف!$C$2:$C$2000,MATCH(D1801,الأصناف!$A$2:$A$2000,0)),0))</f>
        <v/>
      </c>
      <c r="H1801">
        <f>IF(D1801="","",F1801*G1801)</f>
        <v/>
      </c>
      <c r="I1801">
        <f>IF(D1801="","",H1801-F1801*IFERROR(INDEX(الأصناف!$D$2:$D$2000,MATCH(D1801,الأصناف!$A$2:$A$2000,0)),0))</f>
        <v/>
      </c>
      <c r="J1801" s="4" t="n"/>
      <c r="K1801" s="7">
        <f>IF(OR(B1801="",B1801&lt;&gt;الإيصال!$C$3),"",COUNTIF(B$2:B1801,الإيصال!$C$3))</f>
        <v/>
      </c>
    </row>
    <row r="1802">
      <c r="A1802" s="6" t="n"/>
      <c r="B1802" s="4" t="n"/>
      <c r="C1802" s="4" t="n"/>
      <c r="D1802" s="4" t="n"/>
      <c r="E1802">
        <f>IF(D1802="","",IFERROR(INDEX(الأصناف!$B$2:$B$2000,MATCH(D1802,الأصناف!$A$2:$A$2000,0)),"كود غير موجود"))</f>
        <v/>
      </c>
      <c r="F1802" s="4" t="n"/>
      <c r="G1802">
        <f>IF(D1802="","",IFERROR(INDEX(الأصناف!$C$2:$C$2000,MATCH(D1802,الأصناف!$A$2:$A$2000,0)),0))</f>
        <v/>
      </c>
      <c r="H1802">
        <f>IF(D1802="","",F1802*G1802)</f>
        <v/>
      </c>
      <c r="I1802">
        <f>IF(D1802="","",H1802-F1802*IFERROR(INDEX(الأصناف!$D$2:$D$2000,MATCH(D1802,الأصناف!$A$2:$A$2000,0)),0))</f>
        <v/>
      </c>
      <c r="J1802" s="4" t="n"/>
      <c r="K1802" s="7">
        <f>IF(OR(B1802="",B1802&lt;&gt;الإيصال!$C$3),"",COUNTIF(B$2:B1802,الإيصال!$C$3))</f>
        <v/>
      </c>
    </row>
    <row r="1803">
      <c r="A1803" s="6" t="n"/>
      <c r="B1803" s="4" t="n"/>
      <c r="C1803" s="4" t="n"/>
      <c r="D1803" s="4" t="n"/>
      <c r="E1803">
        <f>IF(D1803="","",IFERROR(INDEX(الأصناف!$B$2:$B$2000,MATCH(D1803,الأصناف!$A$2:$A$2000,0)),"كود غير موجود"))</f>
        <v/>
      </c>
      <c r="F1803" s="4" t="n"/>
      <c r="G1803">
        <f>IF(D1803="","",IFERROR(INDEX(الأصناف!$C$2:$C$2000,MATCH(D1803,الأصناف!$A$2:$A$2000,0)),0))</f>
        <v/>
      </c>
      <c r="H1803">
        <f>IF(D1803="","",F1803*G1803)</f>
        <v/>
      </c>
      <c r="I1803">
        <f>IF(D1803="","",H1803-F1803*IFERROR(INDEX(الأصناف!$D$2:$D$2000,MATCH(D1803,الأصناف!$A$2:$A$2000,0)),0))</f>
        <v/>
      </c>
      <c r="J1803" s="4" t="n"/>
      <c r="K1803" s="7">
        <f>IF(OR(B1803="",B1803&lt;&gt;الإيصال!$C$3),"",COUNTIF(B$2:B1803,الإيصال!$C$3))</f>
        <v/>
      </c>
    </row>
    <row r="1804">
      <c r="A1804" s="6" t="n"/>
      <c r="B1804" s="4" t="n"/>
      <c r="C1804" s="4" t="n"/>
      <c r="D1804" s="4" t="n"/>
      <c r="E1804">
        <f>IF(D1804="","",IFERROR(INDEX(الأصناف!$B$2:$B$2000,MATCH(D1804,الأصناف!$A$2:$A$2000,0)),"كود غير موجود"))</f>
        <v/>
      </c>
      <c r="F1804" s="4" t="n"/>
      <c r="G1804">
        <f>IF(D1804="","",IFERROR(INDEX(الأصناف!$C$2:$C$2000,MATCH(D1804,الأصناف!$A$2:$A$2000,0)),0))</f>
        <v/>
      </c>
      <c r="H1804">
        <f>IF(D1804="","",F1804*G1804)</f>
        <v/>
      </c>
      <c r="I1804">
        <f>IF(D1804="","",H1804-F1804*IFERROR(INDEX(الأصناف!$D$2:$D$2000,MATCH(D1804,الأصناف!$A$2:$A$2000,0)),0))</f>
        <v/>
      </c>
      <c r="J1804" s="4" t="n"/>
      <c r="K1804" s="7">
        <f>IF(OR(B1804="",B1804&lt;&gt;الإيصال!$C$3),"",COUNTIF(B$2:B1804,الإيصال!$C$3))</f>
        <v/>
      </c>
    </row>
    <row r="1805">
      <c r="A1805" s="6" t="n"/>
      <c r="B1805" s="4" t="n"/>
      <c r="C1805" s="4" t="n"/>
      <c r="D1805" s="4" t="n"/>
      <c r="E1805">
        <f>IF(D1805="","",IFERROR(INDEX(الأصناف!$B$2:$B$2000,MATCH(D1805,الأصناف!$A$2:$A$2000,0)),"كود غير موجود"))</f>
        <v/>
      </c>
      <c r="F1805" s="4" t="n"/>
      <c r="G1805">
        <f>IF(D1805="","",IFERROR(INDEX(الأصناف!$C$2:$C$2000,MATCH(D1805,الأصناف!$A$2:$A$2000,0)),0))</f>
        <v/>
      </c>
      <c r="H1805">
        <f>IF(D1805="","",F1805*G1805)</f>
        <v/>
      </c>
      <c r="I1805">
        <f>IF(D1805="","",H1805-F1805*IFERROR(INDEX(الأصناف!$D$2:$D$2000,MATCH(D1805,الأصناف!$A$2:$A$2000,0)),0))</f>
        <v/>
      </c>
      <c r="J1805" s="4" t="n"/>
      <c r="K1805" s="7">
        <f>IF(OR(B1805="",B1805&lt;&gt;الإيصال!$C$3),"",COUNTIF(B$2:B1805,الإيصال!$C$3))</f>
        <v/>
      </c>
    </row>
    <row r="1806">
      <c r="A1806" s="6" t="n"/>
      <c r="B1806" s="4" t="n"/>
      <c r="C1806" s="4" t="n"/>
      <c r="D1806" s="4" t="n"/>
      <c r="E1806">
        <f>IF(D1806="","",IFERROR(INDEX(الأصناف!$B$2:$B$2000,MATCH(D1806,الأصناف!$A$2:$A$2000,0)),"كود غير موجود"))</f>
        <v/>
      </c>
      <c r="F1806" s="4" t="n"/>
      <c r="G1806">
        <f>IF(D1806="","",IFERROR(INDEX(الأصناف!$C$2:$C$2000,MATCH(D1806,الأصناف!$A$2:$A$2000,0)),0))</f>
        <v/>
      </c>
      <c r="H1806">
        <f>IF(D1806="","",F1806*G1806)</f>
        <v/>
      </c>
      <c r="I1806">
        <f>IF(D1806="","",H1806-F1806*IFERROR(INDEX(الأصناف!$D$2:$D$2000,MATCH(D1806,الأصناف!$A$2:$A$2000,0)),0))</f>
        <v/>
      </c>
      <c r="J1806" s="4" t="n"/>
      <c r="K1806" s="7">
        <f>IF(OR(B1806="",B1806&lt;&gt;الإيصال!$C$3),"",COUNTIF(B$2:B1806,الإيصال!$C$3))</f>
        <v/>
      </c>
    </row>
    <row r="1807">
      <c r="A1807" s="6" t="n"/>
      <c r="B1807" s="4" t="n"/>
      <c r="C1807" s="4" t="n"/>
      <c r="D1807" s="4" t="n"/>
      <c r="E1807">
        <f>IF(D1807="","",IFERROR(INDEX(الأصناف!$B$2:$B$2000,MATCH(D1807,الأصناف!$A$2:$A$2000,0)),"كود غير موجود"))</f>
        <v/>
      </c>
      <c r="F1807" s="4" t="n"/>
      <c r="G1807">
        <f>IF(D1807="","",IFERROR(INDEX(الأصناف!$C$2:$C$2000,MATCH(D1807,الأصناف!$A$2:$A$2000,0)),0))</f>
        <v/>
      </c>
      <c r="H1807">
        <f>IF(D1807="","",F1807*G1807)</f>
        <v/>
      </c>
      <c r="I1807">
        <f>IF(D1807="","",H1807-F1807*IFERROR(INDEX(الأصناف!$D$2:$D$2000,MATCH(D1807,الأصناف!$A$2:$A$2000,0)),0))</f>
        <v/>
      </c>
      <c r="J1807" s="4" t="n"/>
      <c r="K1807" s="7">
        <f>IF(OR(B1807="",B1807&lt;&gt;الإيصال!$C$3),"",COUNTIF(B$2:B1807,الإيصال!$C$3))</f>
        <v/>
      </c>
    </row>
    <row r="1808">
      <c r="A1808" s="6" t="n"/>
      <c r="B1808" s="4" t="n"/>
      <c r="C1808" s="4" t="n"/>
      <c r="D1808" s="4" t="n"/>
      <c r="E1808">
        <f>IF(D1808="","",IFERROR(INDEX(الأصناف!$B$2:$B$2000,MATCH(D1808,الأصناف!$A$2:$A$2000,0)),"كود غير موجود"))</f>
        <v/>
      </c>
      <c r="F1808" s="4" t="n"/>
      <c r="G1808">
        <f>IF(D1808="","",IFERROR(INDEX(الأصناف!$C$2:$C$2000,MATCH(D1808,الأصناف!$A$2:$A$2000,0)),0))</f>
        <v/>
      </c>
      <c r="H1808">
        <f>IF(D1808="","",F1808*G1808)</f>
        <v/>
      </c>
      <c r="I1808">
        <f>IF(D1808="","",H1808-F1808*IFERROR(INDEX(الأصناف!$D$2:$D$2000,MATCH(D1808,الأصناف!$A$2:$A$2000,0)),0))</f>
        <v/>
      </c>
      <c r="J1808" s="4" t="n"/>
      <c r="K1808" s="7">
        <f>IF(OR(B1808="",B1808&lt;&gt;الإيصال!$C$3),"",COUNTIF(B$2:B1808,الإيصال!$C$3))</f>
        <v/>
      </c>
    </row>
    <row r="1809">
      <c r="A1809" s="6" t="n"/>
      <c r="B1809" s="4" t="n"/>
      <c r="C1809" s="4" t="n"/>
      <c r="D1809" s="4" t="n"/>
      <c r="E1809">
        <f>IF(D1809="","",IFERROR(INDEX(الأصناف!$B$2:$B$2000,MATCH(D1809,الأصناف!$A$2:$A$2000,0)),"كود غير موجود"))</f>
        <v/>
      </c>
      <c r="F1809" s="4" t="n"/>
      <c r="G1809">
        <f>IF(D1809="","",IFERROR(INDEX(الأصناف!$C$2:$C$2000,MATCH(D1809,الأصناف!$A$2:$A$2000,0)),0))</f>
        <v/>
      </c>
      <c r="H1809">
        <f>IF(D1809="","",F1809*G1809)</f>
        <v/>
      </c>
      <c r="I1809">
        <f>IF(D1809="","",H1809-F1809*IFERROR(INDEX(الأصناف!$D$2:$D$2000,MATCH(D1809,الأصناف!$A$2:$A$2000,0)),0))</f>
        <v/>
      </c>
      <c r="J1809" s="4" t="n"/>
      <c r="K1809" s="7">
        <f>IF(OR(B1809="",B1809&lt;&gt;الإيصال!$C$3),"",COUNTIF(B$2:B1809,الإيصال!$C$3))</f>
        <v/>
      </c>
    </row>
    <row r="1810">
      <c r="A1810" s="6" t="n"/>
      <c r="B1810" s="4" t="n"/>
      <c r="C1810" s="4" t="n"/>
      <c r="D1810" s="4" t="n"/>
      <c r="E1810">
        <f>IF(D1810="","",IFERROR(INDEX(الأصناف!$B$2:$B$2000,MATCH(D1810,الأصناف!$A$2:$A$2000,0)),"كود غير موجود"))</f>
        <v/>
      </c>
      <c r="F1810" s="4" t="n"/>
      <c r="G1810">
        <f>IF(D1810="","",IFERROR(INDEX(الأصناف!$C$2:$C$2000,MATCH(D1810,الأصناف!$A$2:$A$2000,0)),0))</f>
        <v/>
      </c>
      <c r="H1810">
        <f>IF(D1810="","",F1810*G1810)</f>
        <v/>
      </c>
      <c r="I1810">
        <f>IF(D1810="","",H1810-F1810*IFERROR(INDEX(الأصناف!$D$2:$D$2000,MATCH(D1810,الأصناف!$A$2:$A$2000,0)),0))</f>
        <v/>
      </c>
      <c r="J1810" s="4" t="n"/>
      <c r="K1810" s="7">
        <f>IF(OR(B1810="",B1810&lt;&gt;الإيصال!$C$3),"",COUNTIF(B$2:B1810,الإيصال!$C$3))</f>
        <v/>
      </c>
    </row>
    <row r="1811">
      <c r="A1811" s="6" t="n"/>
      <c r="B1811" s="4" t="n"/>
      <c r="C1811" s="4" t="n"/>
      <c r="D1811" s="4" t="n"/>
      <c r="E1811">
        <f>IF(D1811="","",IFERROR(INDEX(الأصناف!$B$2:$B$2000,MATCH(D1811,الأصناف!$A$2:$A$2000,0)),"كود غير موجود"))</f>
        <v/>
      </c>
      <c r="F1811" s="4" t="n"/>
      <c r="G1811">
        <f>IF(D1811="","",IFERROR(INDEX(الأصناف!$C$2:$C$2000,MATCH(D1811,الأصناف!$A$2:$A$2000,0)),0))</f>
        <v/>
      </c>
      <c r="H1811">
        <f>IF(D1811="","",F1811*G1811)</f>
        <v/>
      </c>
      <c r="I1811">
        <f>IF(D1811="","",H1811-F1811*IFERROR(INDEX(الأصناف!$D$2:$D$2000,MATCH(D1811,الأصناف!$A$2:$A$2000,0)),0))</f>
        <v/>
      </c>
      <c r="J1811" s="4" t="n"/>
      <c r="K1811" s="7">
        <f>IF(OR(B1811="",B1811&lt;&gt;الإيصال!$C$3),"",COUNTIF(B$2:B1811,الإيصال!$C$3))</f>
        <v/>
      </c>
    </row>
    <row r="1812">
      <c r="A1812" s="6" t="n"/>
      <c r="B1812" s="4" t="n"/>
      <c r="C1812" s="4" t="n"/>
      <c r="D1812" s="4" t="n"/>
      <c r="E1812">
        <f>IF(D1812="","",IFERROR(INDEX(الأصناف!$B$2:$B$2000,MATCH(D1812,الأصناف!$A$2:$A$2000,0)),"كود غير موجود"))</f>
        <v/>
      </c>
      <c r="F1812" s="4" t="n"/>
      <c r="G1812">
        <f>IF(D1812="","",IFERROR(INDEX(الأصناف!$C$2:$C$2000,MATCH(D1812,الأصناف!$A$2:$A$2000,0)),0))</f>
        <v/>
      </c>
      <c r="H1812">
        <f>IF(D1812="","",F1812*G1812)</f>
        <v/>
      </c>
      <c r="I1812">
        <f>IF(D1812="","",H1812-F1812*IFERROR(INDEX(الأصناف!$D$2:$D$2000,MATCH(D1812,الأصناف!$A$2:$A$2000,0)),0))</f>
        <v/>
      </c>
      <c r="J1812" s="4" t="n"/>
      <c r="K1812" s="7">
        <f>IF(OR(B1812="",B1812&lt;&gt;الإيصال!$C$3),"",COUNTIF(B$2:B1812,الإيصال!$C$3))</f>
        <v/>
      </c>
    </row>
    <row r="1813">
      <c r="A1813" s="6" t="n"/>
      <c r="B1813" s="4" t="n"/>
      <c r="C1813" s="4" t="n"/>
      <c r="D1813" s="4" t="n"/>
      <c r="E1813">
        <f>IF(D1813="","",IFERROR(INDEX(الأصناف!$B$2:$B$2000,MATCH(D1813,الأصناف!$A$2:$A$2000,0)),"كود غير موجود"))</f>
        <v/>
      </c>
      <c r="F1813" s="4" t="n"/>
      <c r="G1813">
        <f>IF(D1813="","",IFERROR(INDEX(الأصناف!$C$2:$C$2000,MATCH(D1813,الأصناف!$A$2:$A$2000,0)),0))</f>
        <v/>
      </c>
      <c r="H1813">
        <f>IF(D1813="","",F1813*G1813)</f>
        <v/>
      </c>
      <c r="I1813">
        <f>IF(D1813="","",H1813-F1813*IFERROR(INDEX(الأصناف!$D$2:$D$2000,MATCH(D1813,الأصناف!$A$2:$A$2000,0)),0))</f>
        <v/>
      </c>
      <c r="J1813" s="4" t="n"/>
      <c r="K1813" s="7">
        <f>IF(OR(B1813="",B1813&lt;&gt;الإيصال!$C$3),"",COUNTIF(B$2:B1813,الإيصال!$C$3))</f>
        <v/>
      </c>
    </row>
    <row r="1814">
      <c r="A1814" s="6" t="n"/>
      <c r="B1814" s="4" t="n"/>
      <c r="C1814" s="4" t="n"/>
      <c r="D1814" s="4" t="n"/>
      <c r="E1814">
        <f>IF(D1814="","",IFERROR(INDEX(الأصناف!$B$2:$B$2000,MATCH(D1814,الأصناف!$A$2:$A$2000,0)),"كود غير موجود"))</f>
        <v/>
      </c>
      <c r="F1814" s="4" t="n"/>
      <c r="G1814">
        <f>IF(D1814="","",IFERROR(INDEX(الأصناف!$C$2:$C$2000,MATCH(D1814,الأصناف!$A$2:$A$2000,0)),0))</f>
        <v/>
      </c>
      <c r="H1814">
        <f>IF(D1814="","",F1814*G1814)</f>
        <v/>
      </c>
      <c r="I1814">
        <f>IF(D1814="","",H1814-F1814*IFERROR(INDEX(الأصناف!$D$2:$D$2000,MATCH(D1814,الأصناف!$A$2:$A$2000,0)),0))</f>
        <v/>
      </c>
      <c r="J1814" s="4" t="n"/>
      <c r="K1814" s="7">
        <f>IF(OR(B1814="",B1814&lt;&gt;الإيصال!$C$3),"",COUNTIF(B$2:B1814,الإيصال!$C$3))</f>
        <v/>
      </c>
    </row>
    <row r="1815">
      <c r="A1815" s="6" t="n"/>
      <c r="B1815" s="4" t="n"/>
      <c r="C1815" s="4" t="n"/>
      <c r="D1815" s="4" t="n"/>
      <c r="E1815">
        <f>IF(D1815="","",IFERROR(INDEX(الأصناف!$B$2:$B$2000,MATCH(D1815,الأصناف!$A$2:$A$2000,0)),"كود غير موجود"))</f>
        <v/>
      </c>
      <c r="F1815" s="4" t="n"/>
      <c r="G1815">
        <f>IF(D1815="","",IFERROR(INDEX(الأصناف!$C$2:$C$2000,MATCH(D1815,الأصناف!$A$2:$A$2000,0)),0))</f>
        <v/>
      </c>
      <c r="H1815">
        <f>IF(D1815="","",F1815*G1815)</f>
        <v/>
      </c>
      <c r="I1815">
        <f>IF(D1815="","",H1815-F1815*IFERROR(INDEX(الأصناف!$D$2:$D$2000,MATCH(D1815,الأصناف!$A$2:$A$2000,0)),0))</f>
        <v/>
      </c>
      <c r="J1815" s="4" t="n"/>
      <c r="K1815" s="7">
        <f>IF(OR(B1815="",B1815&lt;&gt;الإيصال!$C$3),"",COUNTIF(B$2:B1815,الإيصال!$C$3))</f>
        <v/>
      </c>
    </row>
    <row r="1816">
      <c r="A1816" s="6" t="n"/>
      <c r="B1816" s="4" t="n"/>
      <c r="C1816" s="4" t="n"/>
      <c r="D1816" s="4" t="n"/>
      <c r="E1816">
        <f>IF(D1816="","",IFERROR(INDEX(الأصناف!$B$2:$B$2000,MATCH(D1816,الأصناف!$A$2:$A$2000,0)),"كود غير موجود"))</f>
        <v/>
      </c>
      <c r="F1816" s="4" t="n"/>
      <c r="G1816">
        <f>IF(D1816="","",IFERROR(INDEX(الأصناف!$C$2:$C$2000,MATCH(D1816,الأصناف!$A$2:$A$2000,0)),0))</f>
        <v/>
      </c>
      <c r="H1816">
        <f>IF(D1816="","",F1816*G1816)</f>
        <v/>
      </c>
      <c r="I1816">
        <f>IF(D1816="","",H1816-F1816*IFERROR(INDEX(الأصناف!$D$2:$D$2000,MATCH(D1816,الأصناف!$A$2:$A$2000,0)),0))</f>
        <v/>
      </c>
      <c r="J1816" s="4" t="n"/>
      <c r="K1816" s="7">
        <f>IF(OR(B1816="",B1816&lt;&gt;الإيصال!$C$3),"",COUNTIF(B$2:B1816,الإيصال!$C$3))</f>
        <v/>
      </c>
    </row>
    <row r="1817">
      <c r="A1817" s="6" t="n"/>
      <c r="B1817" s="4" t="n"/>
      <c r="C1817" s="4" t="n"/>
      <c r="D1817" s="4" t="n"/>
      <c r="E1817">
        <f>IF(D1817="","",IFERROR(INDEX(الأصناف!$B$2:$B$2000,MATCH(D1817,الأصناف!$A$2:$A$2000,0)),"كود غير موجود"))</f>
        <v/>
      </c>
      <c r="F1817" s="4" t="n"/>
      <c r="G1817">
        <f>IF(D1817="","",IFERROR(INDEX(الأصناف!$C$2:$C$2000,MATCH(D1817,الأصناف!$A$2:$A$2000,0)),0))</f>
        <v/>
      </c>
      <c r="H1817">
        <f>IF(D1817="","",F1817*G1817)</f>
        <v/>
      </c>
      <c r="I1817">
        <f>IF(D1817="","",H1817-F1817*IFERROR(INDEX(الأصناف!$D$2:$D$2000,MATCH(D1817,الأصناف!$A$2:$A$2000,0)),0))</f>
        <v/>
      </c>
      <c r="J1817" s="4" t="n"/>
      <c r="K1817" s="7">
        <f>IF(OR(B1817="",B1817&lt;&gt;الإيصال!$C$3),"",COUNTIF(B$2:B1817,الإيصال!$C$3))</f>
        <v/>
      </c>
    </row>
    <row r="1818">
      <c r="A1818" s="6" t="n"/>
      <c r="B1818" s="4" t="n"/>
      <c r="C1818" s="4" t="n"/>
      <c r="D1818" s="4" t="n"/>
      <c r="E1818">
        <f>IF(D1818="","",IFERROR(INDEX(الأصناف!$B$2:$B$2000,MATCH(D1818,الأصناف!$A$2:$A$2000,0)),"كود غير موجود"))</f>
        <v/>
      </c>
      <c r="F1818" s="4" t="n"/>
      <c r="G1818">
        <f>IF(D1818="","",IFERROR(INDEX(الأصناف!$C$2:$C$2000,MATCH(D1818,الأصناف!$A$2:$A$2000,0)),0))</f>
        <v/>
      </c>
      <c r="H1818">
        <f>IF(D1818="","",F1818*G1818)</f>
        <v/>
      </c>
      <c r="I1818">
        <f>IF(D1818="","",H1818-F1818*IFERROR(INDEX(الأصناف!$D$2:$D$2000,MATCH(D1818,الأصناف!$A$2:$A$2000,0)),0))</f>
        <v/>
      </c>
      <c r="J1818" s="4" t="n"/>
      <c r="K1818" s="7">
        <f>IF(OR(B1818="",B1818&lt;&gt;الإيصال!$C$3),"",COUNTIF(B$2:B1818,الإيصال!$C$3))</f>
        <v/>
      </c>
    </row>
    <row r="1819">
      <c r="A1819" s="6" t="n"/>
      <c r="B1819" s="4" t="n"/>
      <c r="C1819" s="4" t="n"/>
      <c r="D1819" s="4" t="n"/>
      <c r="E1819">
        <f>IF(D1819="","",IFERROR(INDEX(الأصناف!$B$2:$B$2000,MATCH(D1819,الأصناف!$A$2:$A$2000,0)),"كود غير موجود"))</f>
        <v/>
      </c>
      <c r="F1819" s="4" t="n"/>
      <c r="G1819">
        <f>IF(D1819="","",IFERROR(INDEX(الأصناف!$C$2:$C$2000,MATCH(D1819,الأصناف!$A$2:$A$2000,0)),0))</f>
        <v/>
      </c>
      <c r="H1819">
        <f>IF(D1819="","",F1819*G1819)</f>
        <v/>
      </c>
      <c r="I1819">
        <f>IF(D1819="","",H1819-F1819*IFERROR(INDEX(الأصناف!$D$2:$D$2000,MATCH(D1819,الأصناف!$A$2:$A$2000,0)),0))</f>
        <v/>
      </c>
      <c r="J1819" s="4" t="n"/>
      <c r="K1819" s="7">
        <f>IF(OR(B1819="",B1819&lt;&gt;الإيصال!$C$3),"",COUNTIF(B$2:B1819,الإيصال!$C$3))</f>
        <v/>
      </c>
    </row>
    <row r="1820">
      <c r="A1820" s="6" t="n"/>
      <c r="B1820" s="4" t="n"/>
      <c r="C1820" s="4" t="n"/>
      <c r="D1820" s="4" t="n"/>
      <c r="E1820">
        <f>IF(D1820="","",IFERROR(INDEX(الأصناف!$B$2:$B$2000,MATCH(D1820,الأصناف!$A$2:$A$2000,0)),"كود غير موجود"))</f>
        <v/>
      </c>
      <c r="F1820" s="4" t="n"/>
      <c r="G1820">
        <f>IF(D1820="","",IFERROR(INDEX(الأصناف!$C$2:$C$2000,MATCH(D1820,الأصناف!$A$2:$A$2000,0)),0))</f>
        <v/>
      </c>
      <c r="H1820">
        <f>IF(D1820="","",F1820*G1820)</f>
        <v/>
      </c>
      <c r="I1820">
        <f>IF(D1820="","",H1820-F1820*IFERROR(INDEX(الأصناف!$D$2:$D$2000,MATCH(D1820,الأصناف!$A$2:$A$2000,0)),0))</f>
        <v/>
      </c>
      <c r="J1820" s="4" t="n"/>
      <c r="K1820" s="7">
        <f>IF(OR(B1820="",B1820&lt;&gt;الإيصال!$C$3),"",COUNTIF(B$2:B1820,الإيصال!$C$3))</f>
        <v/>
      </c>
    </row>
    <row r="1821">
      <c r="A1821" s="6" t="n"/>
      <c r="B1821" s="4" t="n"/>
      <c r="C1821" s="4" t="n"/>
      <c r="D1821" s="4" t="n"/>
      <c r="E1821">
        <f>IF(D1821="","",IFERROR(INDEX(الأصناف!$B$2:$B$2000,MATCH(D1821,الأصناف!$A$2:$A$2000,0)),"كود غير موجود"))</f>
        <v/>
      </c>
      <c r="F1821" s="4" t="n"/>
      <c r="G1821">
        <f>IF(D1821="","",IFERROR(INDEX(الأصناف!$C$2:$C$2000,MATCH(D1821,الأصناف!$A$2:$A$2000,0)),0))</f>
        <v/>
      </c>
      <c r="H1821">
        <f>IF(D1821="","",F1821*G1821)</f>
        <v/>
      </c>
      <c r="I1821">
        <f>IF(D1821="","",H1821-F1821*IFERROR(INDEX(الأصناف!$D$2:$D$2000,MATCH(D1821,الأصناف!$A$2:$A$2000,0)),0))</f>
        <v/>
      </c>
      <c r="J1821" s="4" t="n"/>
      <c r="K1821" s="7">
        <f>IF(OR(B1821="",B1821&lt;&gt;الإيصال!$C$3),"",COUNTIF(B$2:B1821,الإيصال!$C$3))</f>
        <v/>
      </c>
    </row>
    <row r="1822">
      <c r="A1822" s="6" t="n"/>
      <c r="B1822" s="4" t="n"/>
      <c r="C1822" s="4" t="n"/>
      <c r="D1822" s="4" t="n"/>
      <c r="E1822">
        <f>IF(D1822="","",IFERROR(INDEX(الأصناف!$B$2:$B$2000,MATCH(D1822,الأصناف!$A$2:$A$2000,0)),"كود غير موجود"))</f>
        <v/>
      </c>
      <c r="F1822" s="4" t="n"/>
      <c r="G1822">
        <f>IF(D1822="","",IFERROR(INDEX(الأصناف!$C$2:$C$2000,MATCH(D1822,الأصناف!$A$2:$A$2000,0)),0))</f>
        <v/>
      </c>
      <c r="H1822">
        <f>IF(D1822="","",F1822*G1822)</f>
        <v/>
      </c>
      <c r="I1822">
        <f>IF(D1822="","",H1822-F1822*IFERROR(INDEX(الأصناف!$D$2:$D$2000,MATCH(D1822,الأصناف!$A$2:$A$2000,0)),0))</f>
        <v/>
      </c>
      <c r="J1822" s="4" t="n"/>
      <c r="K1822" s="7">
        <f>IF(OR(B1822="",B1822&lt;&gt;الإيصال!$C$3),"",COUNTIF(B$2:B1822,الإيصال!$C$3))</f>
        <v/>
      </c>
    </row>
    <row r="1823">
      <c r="A1823" s="6" t="n"/>
      <c r="B1823" s="4" t="n"/>
      <c r="C1823" s="4" t="n"/>
      <c r="D1823" s="4" t="n"/>
      <c r="E1823">
        <f>IF(D1823="","",IFERROR(INDEX(الأصناف!$B$2:$B$2000,MATCH(D1823,الأصناف!$A$2:$A$2000,0)),"كود غير موجود"))</f>
        <v/>
      </c>
      <c r="F1823" s="4" t="n"/>
      <c r="G1823">
        <f>IF(D1823="","",IFERROR(INDEX(الأصناف!$C$2:$C$2000,MATCH(D1823,الأصناف!$A$2:$A$2000,0)),0))</f>
        <v/>
      </c>
      <c r="H1823">
        <f>IF(D1823="","",F1823*G1823)</f>
        <v/>
      </c>
      <c r="I1823">
        <f>IF(D1823="","",H1823-F1823*IFERROR(INDEX(الأصناف!$D$2:$D$2000,MATCH(D1823,الأصناف!$A$2:$A$2000,0)),0))</f>
        <v/>
      </c>
      <c r="J1823" s="4" t="n"/>
      <c r="K1823" s="7">
        <f>IF(OR(B1823="",B1823&lt;&gt;الإيصال!$C$3),"",COUNTIF(B$2:B1823,الإيصال!$C$3))</f>
        <v/>
      </c>
    </row>
    <row r="1824">
      <c r="A1824" s="6" t="n"/>
      <c r="B1824" s="4" t="n"/>
      <c r="C1824" s="4" t="n"/>
      <c r="D1824" s="4" t="n"/>
      <c r="E1824">
        <f>IF(D1824="","",IFERROR(INDEX(الأصناف!$B$2:$B$2000,MATCH(D1824,الأصناف!$A$2:$A$2000,0)),"كود غير موجود"))</f>
        <v/>
      </c>
      <c r="F1824" s="4" t="n"/>
      <c r="G1824">
        <f>IF(D1824="","",IFERROR(INDEX(الأصناف!$C$2:$C$2000,MATCH(D1824,الأصناف!$A$2:$A$2000,0)),0))</f>
        <v/>
      </c>
      <c r="H1824">
        <f>IF(D1824="","",F1824*G1824)</f>
        <v/>
      </c>
      <c r="I1824">
        <f>IF(D1824="","",H1824-F1824*IFERROR(INDEX(الأصناف!$D$2:$D$2000,MATCH(D1824,الأصناف!$A$2:$A$2000,0)),0))</f>
        <v/>
      </c>
      <c r="J1824" s="4" t="n"/>
      <c r="K1824" s="7">
        <f>IF(OR(B1824="",B1824&lt;&gt;الإيصال!$C$3),"",COUNTIF(B$2:B1824,الإيصال!$C$3))</f>
        <v/>
      </c>
    </row>
    <row r="1825">
      <c r="A1825" s="6" t="n"/>
      <c r="B1825" s="4" t="n"/>
      <c r="C1825" s="4" t="n"/>
      <c r="D1825" s="4" t="n"/>
      <c r="E1825">
        <f>IF(D1825="","",IFERROR(INDEX(الأصناف!$B$2:$B$2000,MATCH(D1825,الأصناف!$A$2:$A$2000,0)),"كود غير موجود"))</f>
        <v/>
      </c>
      <c r="F1825" s="4" t="n"/>
      <c r="G1825">
        <f>IF(D1825="","",IFERROR(INDEX(الأصناف!$C$2:$C$2000,MATCH(D1825,الأصناف!$A$2:$A$2000,0)),0))</f>
        <v/>
      </c>
      <c r="H1825">
        <f>IF(D1825="","",F1825*G1825)</f>
        <v/>
      </c>
      <c r="I1825">
        <f>IF(D1825="","",H1825-F1825*IFERROR(INDEX(الأصناف!$D$2:$D$2000,MATCH(D1825,الأصناف!$A$2:$A$2000,0)),0))</f>
        <v/>
      </c>
      <c r="J1825" s="4" t="n"/>
      <c r="K1825" s="7">
        <f>IF(OR(B1825="",B1825&lt;&gt;الإيصال!$C$3),"",COUNTIF(B$2:B1825,الإيصال!$C$3))</f>
        <v/>
      </c>
    </row>
    <row r="1826">
      <c r="A1826" s="6" t="n"/>
      <c r="B1826" s="4" t="n"/>
      <c r="C1826" s="4" t="n"/>
      <c r="D1826" s="4" t="n"/>
      <c r="E1826">
        <f>IF(D1826="","",IFERROR(INDEX(الأصناف!$B$2:$B$2000,MATCH(D1826,الأصناف!$A$2:$A$2000,0)),"كود غير موجود"))</f>
        <v/>
      </c>
      <c r="F1826" s="4" t="n"/>
      <c r="G1826">
        <f>IF(D1826="","",IFERROR(INDEX(الأصناف!$C$2:$C$2000,MATCH(D1826,الأصناف!$A$2:$A$2000,0)),0))</f>
        <v/>
      </c>
      <c r="H1826">
        <f>IF(D1826="","",F1826*G1826)</f>
        <v/>
      </c>
      <c r="I1826">
        <f>IF(D1826="","",H1826-F1826*IFERROR(INDEX(الأصناف!$D$2:$D$2000,MATCH(D1826,الأصناف!$A$2:$A$2000,0)),0))</f>
        <v/>
      </c>
      <c r="J1826" s="4" t="n"/>
      <c r="K1826" s="7">
        <f>IF(OR(B1826="",B1826&lt;&gt;الإيصال!$C$3),"",COUNTIF(B$2:B1826,الإيصال!$C$3))</f>
        <v/>
      </c>
    </row>
    <row r="1827">
      <c r="A1827" s="6" t="n"/>
      <c r="B1827" s="4" t="n"/>
      <c r="C1827" s="4" t="n"/>
      <c r="D1827" s="4" t="n"/>
      <c r="E1827">
        <f>IF(D1827="","",IFERROR(INDEX(الأصناف!$B$2:$B$2000,MATCH(D1827,الأصناف!$A$2:$A$2000,0)),"كود غير موجود"))</f>
        <v/>
      </c>
      <c r="F1827" s="4" t="n"/>
      <c r="G1827">
        <f>IF(D1827="","",IFERROR(INDEX(الأصناف!$C$2:$C$2000,MATCH(D1827,الأصناف!$A$2:$A$2000,0)),0))</f>
        <v/>
      </c>
      <c r="H1827">
        <f>IF(D1827="","",F1827*G1827)</f>
        <v/>
      </c>
      <c r="I1827">
        <f>IF(D1827="","",H1827-F1827*IFERROR(INDEX(الأصناف!$D$2:$D$2000,MATCH(D1827,الأصناف!$A$2:$A$2000,0)),0))</f>
        <v/>
      </c>
      <c r="J1827" s="4" t="n"/>
      <c r="K1827" s="7">
        <f>IF(OR(B1827="",B1827&lt;&gt;الإيصال!$C$3),"",COUNTIF(B$2:B1827,الإيصال!$C$3))</f>
        <v/>
      </c>
    </row>
    <row r="1828">
      <c r="A1828" s="6" t="n"/>
      <c r="B1828" s="4" t="n"/>
      <c r="C1828" s="4" t="n"/>
      <c r="D1828" s="4" t="n"/>
      <c r="E1828">
        <f>IF(D1828="","",IFERROR(INDEX(الأصناف!$B$2:$B$2000,MATCH(D1828,الأصناف!$A$2:$A$2000,0)),"كود غير موجود"))</f>
        <v/>
      </c>
      <c r="F1828" s="4" t="n"/>
      <c r="G1828">
        <f>IF(D1828="","",IFERROR(INDEX(الأصناف!$C$2:$C$2000,MATCH(D1828,الأصناف!$A$2:$A$2000,0)),0))</f>
        <v/>
      </c>
      <c r="H1828">
        <f>IF(D1828="","",F1828*G1828)</f>
        <v/>
      </c>
      <c r="I1828">
        <f>IF(D1828="","",H1828-F1828*IFERROR(INDEX(الأصناف!$D$2:$D$2000,MATCH(D1828,الأصناف!$A$2:$A$2000,0)),0))</f>
        <v/>
      </c>
      <c r="J1828" s="4" t="n"/>
      <c r="K1828" s="7">
        <f>IF(OR(B1828="",B1828&lt;&gt;الإيصال!$C$3),"",COUNTIF(B$2:B1828,الإيصال!$C$3))</f>
        <v/>
      </c>
    </row>
    <row r="1829">
      <c r="A1829" s="6" t="n"/>
      <c r="B1829" s="4" t="n"/>
      <c r="C1829" s="4" t="n"/>
      <c r="D1829" s="4" t="n"/>
      <c r="E1829">
        <f>IF(D1829="","",IFERROR(INDEX(الأصناف!$B$2:$B$2000,MATCH(D1829,الأصناف!$A$2:$A$2000,0)),"كود غير موجود"))</f>
        <v/>
      </c>
      <c r="F1829" s="4" t="n"/>
      <c r="G1829">
        <f>IF(D1829="","",IFERROR(INDEX(الأصناف!$C$2:$C$2000,MATCH(D1829,الأصناف!$A$2:$A$2000,0)),0))</f>
        <v/>
      </c>
      <c r="H1829">
        <f>IF(D1829="","",F1829*G1829)</f>
        <v/>
      </c>
      <c r="I1829">
        <f>IF(D1829="","",H1829-F1829*IFERROR(INDEX(الأصناف!$D$2:$D$2000,MATCH(D1829,الأصناف!$A$2:$A$2000,0)),0))</f>
        <v/>
      </c>
      <c r="J1829" s="4" t="n"/>
      <c r="K1829" s="7">
        <f>IF(OR(B1829="",B1829&lt;&gt;الإيصال!$C$3),"",COUNTIF(B$2:B1829,الإيصال!$C$3))</f>
        <v/>
      </c>
    </row>
    <row r="1830">
      <c r="A1830" s="6" t="n"/>
      <c r="B1830" s="4" t="n"/>
      <c r="C1830" s="4" t="n"/>
      <c r="D1830" s="4" t="n"/>
      <c r="E1830">
        <f>IF(D1830="","",IFERROR(INDEX(الأصناف!$B$2:$B$2000,MATCH(D1830,الأصناف!$A$2:$A$2000,0)),"كود غير موجود"))</f>
        <v/>
      </c>
      <c r="F1830" s="4" t="n"/>
      <c r="G1830">
        <f>IF(D1830="","",IFERROR(INDEX(الأصناف!$C$2:$C$2000,MATCH(D1830,الأصناف!$A$2:$A$2000,0)),0))</f>
        <v/>
      </c>
      <c r="H1830">
        <f>IF(D1830="","",F1830*G1830)</f>
        <v/>
      </c>
      <c r="I1830">
        <f>IF(D1830="","",H1830-F1830*IFERROR(INDEX(الأصناف!$D$2:$D$2000,MATCH(D1830,الأصناف!$A$2:$A$2000,0)),0))</f>
        <v/>
      </c>
      <c r="J1830" s="4" t="n"/>
      <c r="K1830" s="7">
        <f>IF(OR(B1830="",B1830&lt;&gt;الإيصال!$C$3),"",COUNTIF(B$2:B1830,الإيصال!$C$3))</f>
        <v/>
      </c>
    </row>
    <row r="1831">
      <c r="A1831" s="6" t="n"/>
      <c r="B1831" s="4" t="n"/>
      <c r="C1831" s="4" t="n"/>
      <c r="D1831" s="4" t="n"/>
      <c r="E1831">
        <f>IF(D1831="","",IFERROR(INDEX(الأصناف!$B$2:$B$2000,MATCH(D1831,الأصناف!$A$2:$A$2000,0)),"كود غير موجود"))</f>
        <v/>
      </c>
      <c r="F1831" s="4" t="n"/>
      <c r="G1831">
        <f>IF(D1831="","",IFERROR(INDEX(الأصناف!$C$2:$C$2000,MATCH(D1831,الأصناف!$A$2:$A$2000,0)),0))</f>
        <v/>
      </c>
      <c r="H1831">
        <f>IF(D1831="","",F1831*G1831)</f>
        <v/>
      </c>
      <c r="I1831">
        <f>IF(D1831="","",H1831-F1831*IFERROR(INDEX(الأصناف!$D$2:$D$2000,MATCH(D1831,الأصناف!$A$2:$A$2000,0)),0))</f>
        <v/>
      </c>
      <c r="J1831" s="4" t="n"/>
      <c r="K1831" s="7">
        <f>IF(OR(B1831="",B1831&lt;&gt;الإيصال!$C$3),"",COUNTIF(B$2:B1831,الإيصال!$C$3))</f>
        <v/>
      </c>
    </row>
    <row r="1832">
      <c r="A1832" s="6" t="n"/>
      <c r="B1832" s="4" t="n"/>
      <c r="C1832" s="4" t="n"/>
      <c r="D1832" s="4" t="n"/>
      <c r="E1832">
        <f>IF(D1832="","",IFERROR(INDEX(الأصناف!$B$2:$B$2000,MATCH(D1832,الأصناف!$A$2:$A$2000,0)),"كود غير موجود"))</f>
        <v/>
      </c>
      <c r="F1832" s="4" t="n"/>
      <c r="G1832">
        <f>IF(D1832="","",IFERROR(INDEX(الأصناف!$C$2:$C$2000,MATCH(D1832,الأصناف!$A$2:$A$2000,0)),0))</f>
        <v/>
      </c>
      <c r="H1832">
        <f>IF(D1832="","",F1832*G1832)</f>
        <v/>
      </c>
      <c r="I1832">
        <f>IF(D1832="","",H1832-F1832*IFERROR(INDEX(الأصناف!$D$2:$D$2000,MATCH(D1832,الأصناف!$A$2:$A$2000,0)),0))</f>
        <v/>
      </c>
      <c r="J1832" s="4" t="n"/>
      <c r="K1832" s="7">
        <f>IF(OR(B1832="",B1832&lt;&gt;الإيصال!$C$3),"",COUNTIF(B$2:B1832,الإيصال!$C$3))</f>
        <v/>
      </c>
    </row>
    <row r="1833">
      <c r="A1833" s="6" t="n"/>
      <c r="B1833" s="4" t="n"/>
      <c r="C1833" s="4" t="n"/>
      <c r="D1833" s="4" t="n"/>
      <c r="E1833">
        <f>IF(D1833="","",IFERROR(INDEX(الأصناف!$B$2:$B$2000,MATCH(D1833,الأصناف!$A$2:$A$2000,0)),"كود غير موجود"))</f>
        <v/>
      </c>
      <c r="F1833" s="4" t="n"/>
      <c r="G1833">
        <f>IF(D1833="","",IFERROR(INDEX(الأصناف!$C$2:$C$2000,MATCH(D1833,الأصناف!$A$2:$A$2000,0)),0))</f>
        <v/>
      </c>
      <c r="H1833">
        <f>IF(D1833="","",F1833*G1833)</f>
        <v/>
      </c>
      <c r="I1833">
        <f>IF(D1833="","",H1833-F1833*IFERROR(INDEX(الأصناف!$D$2:$D$2000,MATCH(D1833,الأصناف!$A$2:$A$2000,0)),0))</f>
        <v/>
      </c>
      <c r="J1833" s="4" t="n"/>
      <c r="K1833" s="7">
        <f>IF(OR(B1833="",B1833&lt;&gt;الإيصال!$C$3),"",COUNTIF(B$2:B1833,الإيصال!$C$3))</f>
        <v/>
      </c>
    </row>
    <row r="1834">
      <c r="A1834" s="6" t="n"/>
      <c r="B1834" s="4" t="n"/>
      <c r="C1834" s="4" t="n"/>
      <c r="D1834" s="4" t="n"/>
      <c r="E1834">
        <f>IF(D1834="","",IFERROR(INDEX(الأصناف!$B$2:$B$2000,MATCH(D1834,الأصناف!$A$2:$A$2000,0)),"كود غير موجود"))</f>
        <v/>
      </c>
      <c r="F1834" s="4" t="n"/>
      <c r="G1834">
        <f>IF(D1834="","",IFERROR(INDEX(الأصناف!$C$2:$C$2000,MATCH(D1834,الأصناف!$A$2:$A$2000,0)),0))</f>
        <v/>
      </c>
      <c r="H1834">
        <f>IF(D1834="","",F1834*G1834)</f>
        <v/>
      </c>
      <c r="I1834">
        <f>IF(D1834="","",H1834-F1834*IFERROR(INDEX(الأصناف!$D$2:$D$2000,MATCH(D1834,الأصناف!$A$2:$A$2000,0)),0))</f>
        <v/>
      </c>
      <c r="J1834" s="4" t="n"/>
      <c r="K1834" s="7">
        <f>IF(OR(B1834="",B1834&lt;&gt;الإيصال!$C$3),"",COUNTIF(B$2:B1834,الإيصال!$C$3))</f>
        <v/>
      </c>
    </row>
    <row r="1835">
      <c r="A1835" s="6" t="n"/>
      <c r="B1835" s="4" t="n"/>
      <c r="C1835" s="4" t="n"/>
      <c r="D1835" s="4" t="n"/>
      <c r="E1835">
        <f>IF(D1835="","",IFERROR(INDEX(الأصناف!$B$2:$B$2000,MATCH(D1835,الأصناف!$A$2:$A$2000,0)),"كود غير موجود"))</f>
        <v/>
      </c>
      <c r="F1835" s="4" t="n"/>
      <c r="G1835">
        <f>IF(D1835="","",IFERROR(INDEX(الأصناف!$C$2:$C$2000,MATCH(D1835,الأصناف!$A$2:$A$2000,0)),0))</f>
        <v/>
      </c>
      <c r="H1835">
        <f>IF(D1835="","",F1835*G1835)</f>
        <v/>
      </c>
      <c r="I1835">
        <f>IF(D1835="","",H1835-F1835*IFERROR(INDEX(الأصناف!$D$2:$D$2000,MATCH(D1835,الأصناف!$A$2:$A$2000,0)),0))</f>
        <v/>
      </c>
      <c r="J1835" s="4" t="n"/>
      <c r="K1835" s="7">
        <f>IF(OR(B1835="",B1835&lt;&gt;الإيصال!$C$3),"",COUNTIF(B$2:B1835,الإيصال!$C$3))</f>
        <v/>
      </c>
    </row>
    <row r="1836">
      <c r="A1836" s="6" t="n"/>
      <c r="B1836" s="4" t="n"/>
      <c r="C1836" s="4" t="n"/>
      <c r="D1836" s="4" t="n"/>
      <c r="E1836">
        <f>IF(D1836="","",IFERROR(INDEX(الأصناف!$B$2:$B$2000,MATCH(D1836,الأصناف!$A$2:$A$2000,0)),"كود غير موجود"))</f>
        <v/>
      </c>
      <c r="F1836" s="4" t="n"/>
      <c r="G1836">
        <f>IF(D1836="","",IFERROR(INDEX(الأصناف!$C$2:$C$2000,MATCH(D1836,الأصناف!$A$2:$A$2000,0)),0))</f>
        <v/>
      </c>
      <c r="H1836">
        <f>IF(D1836="","",F1836*G1836)</f>
        <v/>
      </c>
      <c r="I1836">
        <f>IF(D1836="","",H1836-F1836*IFERROR(INDEX(الأصناف!$D$2:$D$2000,MATCH(D1836,الأصناف!$A$2:$A$2000,0)),0))</f>
        <v/>
      </c>
      <c r="J1836" s="4" t="n"/>
      <c r="K1836" s="7">
        <f>IF(OR(B1836="",B1836&lt;&gt;الإيصال!$C$3),"",COUNTIF(B$2:B1836,الإيصال!$C$3))</f>
        <v/>
      </c>
    </row>
    <row r="1837">
      <c r="A1837" s="6" t="n"/>
      <c r="B1837" s="4" t="n"/>
      <c r="C1837" s="4" t="n"/>
      <c r="D1837" s="4" t="n"/>
      <c r="E1837">
        <f>IF(D1837="","",IFERROR(INDEX(الأصناف!$B$2:$B$2000,MATCH(D1837,الأصناف!$A$2:$A$2000,0)),"كود غير موجود"))</f>
        <v/>
      </c>
      <c r="F1837" s="4" t="n"/>
      <c r="G1837">
        <f>IF(D1837="","",IFERROR(INDEX(الأصناف!$C$2:$C$2000,MATCH(D1837,الأصناف!$A$2:$A$2000,0)),0))</f>
        <v/>
      </c>
      <c r="H1837">
        <f>IF(D1837="","",F1837*G1837)</f>
        <v/>
      </c>
      <c r="I1837">
        <f>IF(D1837="","",H1837-F1837*IFERROR(INDEX(الأصناف!$D$2:$D$2000,MATCH(D1837,الأصناف!$A$2:$A$2000,0)),0))</f>
        <v/>
      </c>
      <c r="J1837" s="4" t="n"/>
      <c r="K1837" s="7">
        <f>IF(OR(B1837="",B1837&lt;&gt;الإيصال!$C$3),"",COUNTIF(B$2:B1837,الإيصال!$C$3))</f>
        <v/>
      </c>
    </row>
    <row r="1838">
      <c r="A1838" s="6" t="n"/>
      <c r="B1838" s="4" t="n"/>
      <c r="C1838" s="4" t="n"/>
      <c r="D1838" s="4" t="n"/>
      <c r="E1838">
        <f>IF(D1838="","",IFERROR(INDEX(الأصناف!$B$2:$B$2000,MATCH(D1838,الأصناف!$A$2:$A$2000,0)),"كود غير موجود"))</f>
        <v/>
      </c>
      <c r="F1838" s="4" t="n"/>
      <c r="G1838">
        <f>IF(D1838="","",IFERROR(INDEX(الأصناف!$C$2:$C$2000,MATCH(D1838,الأصناف!$A$2:$A$2000,0)),0))</f>
        <v/>
      </c>
      <c r="H1838">
        <f>IF(D1838="","",F1838*G1838)</f>
        <v/>
      </c>
      <c r="I1838">
        <f>IF(D1838="","",H1838-F1838*IFERROR(INDEX(الأصناف!$D$2:$D$2000,MATCH(D1838,الأصناف!$A$2:$A$2000,0)),0))</f>
        <v/>
      </c>
      <c r="J1838" s="4" t="n"/>
      <c r="K1838" s="7">
        <f>IF(OR(B1838="",B1838&lt;&gt;الإيصال!$C$3),"",COUNTIF(B$2:B1838,الإيصال!$C$3))</f>
        <v/>
      </c>
    </row>
    <row r="1839">
      <c r="A1839" s="6" t="n"/>
      <c r="B1839" s="4" t="n"/>
      <c r="C1839" s="4" t="n"/>
      <c r="D1839" s="4" t="n"/>
      <c r="E1839">
        <f>IF(D1839="","",IFERROR(INDEX(الأصناف!$B$2:$B$2000,MATCH(D1839,الأصناف!$A$2:$A$2000,0)),"كود غير موجود"))</f>
        <v/>
      </c>
      <c r="F1839" s="4" t="n"/>
      <c r="G1839">
        <f>IF(D1839="","",IFERROR(INDEX(الأصناف!$C$2:$C$2000,MATCH(D1839,الأصناف!$A$2:$A$2000,0)),0))</f>
        <v/>
      </c>
      <c r="H1839">
        <f>IF(D1839="","",F1839*G1839)</f>
        <v/>
      </c>
      <c r="I1839">
        <f>IF(D1839="","",H1839-F1839*IFERROR(INDEX(الأصناف!$D$2:$D$2000,MATCH(D1839,الأصناف!$A$2:$A$2000,0)),0))</f>
        <v/>
      </c>
      <c r="J1839" s="4" t="n"/>
      <c r="K1839" s="7">
        <f>IF(OR(B1839="",B1839&lt;&gt;الإيصال!$C$3),"",COUNTIF(B$2:B1839,الإيصال!$C$3))</f>
        <v/>
      </c>
    </row>
    <row r="1840">
      <c r="A1840" s="6" t="n"/>
      <c r="B1840" s="4" t="n"/>
      <c r="C1840" s="4" t="n"/>
      <c r="D1840" s="4" t="n"/>
      <c r="E1840">
        <f>IF(D1840="","",IFERROR(INDEX(الأصناف!$B$2:$B$2000,MATCH(D1840,الأصناف!$A$2:$A$2000,0)),"كود غير موجود"))</f>
        <v/>
      </c>
      <c r="F1840" s="4" t="n"/>
      <c r="G1840">
        <f>IF(D1840="","",IFERROR(INDEX(الأصناف!$C$2:$C$2000,MATCH(D1840,الأصناف!$A$2:$A$2000,0)),0))</f>
        <v/>
      </c>
      <c r="H1840">
        <f>IF(D1840="","",F1840*G1840)</f>
        <v/>
      </c>
      <c r="I1840">
        <f>IF(D1840="","",H1840-F1840*IFERROR(INDEX(الأصناف!$D$2:$D$2000,MATCH(D1840,الأصناف!$A$2:$A$2000,0)),0))</f>
        <v/>
      </c>
      <c r="J1840" s="4" t="n"/>
      <c r="K1840" s="7">
        <f>IF(OR(B1840="",B1840&lt;&gt;الإيصال!$C$3),"",COUNTIF(B$2:B1840,الإيصال!$C$3))</f>
        <v/>
      </c>
    </row>
    <row r="1841">
      <c r="A1841" s="6" t="n"/>
      <c r="B1841" s="4" t="n"/>
      <c r="C1841" s="4" t="n"/>
      <c r="D1841" s="4" t="n"/>
      <c r="E1841">
        <f>IF(D1841="","",IFERROR(INDEX(الأصناف!$B$2:$B$2000,MATCH(D1841,الأصناف!$A$2:$A$2000,0)),"كود غير موجود"))</f>
        <v/>
      </c>
      <c r="F1841" s="4" t="n"/>
      <c r="G1841">
        <f>IF(D1841="","",IFERROR(INDEX(الأصناف!$C$2:$C$2000,MATCH(D1841,الأصناف!$A$2:$A$2000,0)),0))</f>
        <v/>
      </c>
      <c r="H1841">
        <f>IF(D1841="","",F1841*G1841)</f>
        <v/>
      </c>
      <c r="I1841">
        <f>IF(D1841="","",H1841-F1841*IFERROR(INDEX(الأصناف!$D$2:$D$2000,MATCH(D1841,الأصناف!$A$2:$A$2000,0)),0))</f>
        <v/>
      </c>
      <c r="J1841" s="4" t="n"/>
      <c r="K1841" s="7">
        <f>IF(OR(B1841="",B1841&lt;&gt;الإيصال!$C$3),"",COUNTIF(B$2:B1841,الإيصال!$C$3))</f>
        <v/>
      </c>
    </row>
    <row r="1842">
      <c r="A1842" s="6" t="n"/>
      <c r="B1842" s="4" t="n"/>
      <c r="C1842" s="4" t="n"/>
      <c r="D1842" s="4" t="n"/>
      <c r="E1842">
        <f>IF(D1842="","",IFERROR(INDEX(الأصناف!$B$2:$B$2000,MATCH(D1842,الأصناف!$A$2:$A$2000,0)),"كود غير موجود"))</f>
        <v/>
      </c>
      <c r="F1842" s="4" t="n"/>
      <c r="G1842">
        <f>IF(D1842="","",IFERROR(INDEX(الأصناف!$C$2:$C$2000,MATCH(D1842,الأصناف!$A$2:$A$2000,0)),0))</f>
        <v/>
      </c>
      <c r="H1842">
        <f>IF(D1842="","",F1842*G1842)</f>
        <v/>
      </c>
      <c r="I1842">
        <f>IF(D1842="","",H1842-F1842*IFERROR(INDEX(الأصناف!$D$2:$D$2000,MATCH(D1842,الأصناف!$A$2:$A$2000,0)),0))</f>
        <v/>
      </c>
      <c r="J1842" s="4" t="n"/>
      <c r="K1842" s="7">
        <f>IF(OR(B1842="",B1842&lt;&gt;الإيصال!$C$3),"",COUNTIF(B$2:B1842,الإيصال!$C$3))</f>
        <v/>
      </c>
    </row>
    <row r="1843">
      <c r="A1843" s="6" t="n"/>
      <c r="B1843" s="4" t="n"/>
      <c r="C1843" s="4" t="n"/>
      <c r="D1843" s="4" t="n"/>
      <c r="E1843">
        <f>IF(D1843="","",IFERROR(INDEX(الأصناف!$B$2:$B$2000,MATCH(D1843,الأصناف!$A$2:$A$2000,0)),"كود غير موجود"))</f>
        <v/>
      </c>
      <c r="F1843" s="4" t="n"/>
      <c r="G1843">
        <f>IF(D1843="","",IFERROR(INDEX(الأصناف!$C$2:$C$2000,MATCH(D1843,الأصناف!$A$2:$A$2000,0)),0))</f>
        <v/>
      </c>
      <c r="H1843">
        <f>IF(D1843="","",F1843*G1843)</f>
        <v/>
      </c>
      <c r="I1843">
        <f>IF(D1843="","",H1843-F1843*IFERROR(INDEX(الأصناف!$D$2:$D$2000,MATCH(D1843,الأصناف!$A$2:$A$2000,0)),0))</f>
        <v/>
      </c>
      <c r="J1843" s="4" t="n"/>
      <c r="K1843" s="7">
        <f>IF(OR(B1843="",B1843&lt;&gt;الإيصال!$C$3),"",COUNTIF(B$2:B1843,الإيصال!$C$3))</f>
        <v/>
      </c>
    </row>
    <row r="1844">
      <c r="A1844" s="6" t="n"/>
      <c r="B1844" s="4" t="n"/>
      <c r="C1844" s="4" t="n"/>
      <c r="D1844" s="4" t="n"/>
      <c r="E1844">
        <f>IF(D1844="","",IFERROR(INDEX(الأصناف!$B$2:$B$2000,MATCH(D1844,الأصناف!$A$2:$A$2000,0)),"كود غير موجود"))</f>
        <v/>
      </c>
      <c r="F1844" s="4" t="n"/>
      <c r="G1844">
        <f>IF(D1844="","",IFERROR(INDEX(الأصناف!$C$2:$C$2000,MATCH(D1844,الأصناف!$A$2:$A$2000,0)),0))</f>
        <v/>
      </c>
      <c r="H1844">
        <f>IF(D1844="","",F1844*G1844)</f>
        <v/>
      </c>
      <c r="I1844">
        <f>IF(D1844="","",H1844-F1844*IFERROR(INDEX(الأصناف!$D$2:$D$2000,MATCH(D1844,الأصناف!$A$2:$A$2000,0)),0))</f>
        <v/>
      </c>
      <c r="J1844" s="4" t="n"/>
      <c r="K1844" s="7">
        <f>IF(OR(B1844="",B1844&lt;&gt;الإيصال!$C$3),"",COUNTIF(B$2:B1844,الإيصال!$C$3))</f>
        <v/>
      </c>
    </row>
    <row r="1845">
      <c r="A1845" s="6" t="n"/>
      <c r="B1845" s="4" t="n"/>
      <c r="C1845" s="4" t="n"/>
      <c r="D1845" s="4" t="n"/>
      <c r="E1845">
        <f>IF(D1845="","",IFERROR(INDEX(الأصناف!$B$2:$B$2000,MATCH(D1845,الأصناف!$A$2:$A$2000,0)),"كود غير موجود"))</f>
        <v/>
      </c>
      <c r="F1845" s="4" t="n"/>
      <c r="G1845">
        <f>IF(D1845="","",IFERROR(INDEX(الأصناف!$C$2:$C$2000,MATCH(D1845,الأصناف!$A$2:$A$2000,0)),0))</f>
        <v/>
      </c>
      <c r="H1845">
        <f>IF(D1845="","",F1845*G1845)</f>
        <v/>
      </c>
      <c r="I1845">
        <f>IF(D1845="","",H1845-F1845*IFERROR(INDEX(الأصناف!$D$2:$D$2000,MATCH(D1845,الأصناف!$A$2:$A$2000,0)),0))</f>
        <v/>
      </c>
      <c r="J1845" s="4" t="n"/>
      <c r="K1845" s="7">
        <f>IF(OR(B1845="",B1845&lt;&gt;الإيصال!$C$3),"",COUNTIF(B$2:B1845,الإيصال!$C$3))</f>
        <v/>
      </c>
    </row>
    <row r="1846">
      <c r="A1846" s="6" t="n"/>
      <c r="B1846" s="4" t="n"/>
      <c r="C1846" s="4" t="n"/>
      <c r="D1846" s="4" t="n"/>
      <c r="E1846">
        <f>IF(D1846="","",IFERROR(INDEX(الأصناف!$B$2:$B$2000,MATCH(D1846,الأصناف!$A$2:$A$2000,0)),"كود غير موجود"))</f>
        <v/>
      </c>
      <c r="F1846" s="4" t="n"/>
      <c r="G1846">
        <f>IF(D1846="","",IFERROR(INDEX(الأصناف!$C$2:$C$2000,MATCH(D1846,الأصناف!$A$2:$A$2000,0)),0))</f>
        <v/>
      </c>
      <c r="H1846">
        <f>IF(D1846="","",F1846*G1846)</f>
        <v/>
      </c>
      <c r="I1846">
        <f>IF(D1846="","",H1846-F1846*IFERROR(INDEX(الأصناف!$D$2:$D$2000,MATCH(D1846,الأصناف!$A$2:$A$2000,0)),0))</f>
        <v/>
      </c>
      <c r="J1846" s="4" t="n"/>
      <c r="K1846" s="7">
        <f>IF(OR(B1846="",B1846&lt;&gt;الإيصال!$C$3),"",COUNTIF(B$2:B1846,الإيصال!$C$3))</f>
        <v/>
      </c>
    </row>
    <row r="1847">
      <c r="A1847" s="6" t="n"/>
      <c r="B1847" s="4" t="n"/>
      <c r="C1847" s="4" t="n"/>
      <c r="D1847" s="4" t="n"/>
      <c r="E1847">
        <f>IF(D1847="","",IFERROR(INDEX(الأصناف!$B$2:$B$2000,MATCH(D1847,الأصناف!$A$2:$A$2000,0)),"كود غير موجود"))</f>
        <v/>
      </c>
      <c r="F1847" s="4" t="n"/>
      <c r="G1847">
        <f>IF(D1847="","",IFERROR(INDEX(الأصناف!$C$2:$C$2000,MATCH(D1847,الأصناف!$A$2:$A$2000,0)),0))</f>
        <v/>
      </c>
      <c r="H1847">
        <f>IF(D1847="","",F1847*G1847)</f>
        <v/>
      </c>
      <c r="I1847">
        <f>IF(D1847="","",H1847-F1847*IFERROR(INDEX(الأصناف!$D$2:$D$2000,MATCH(D1847,الأصناف!$A$2:$A$2000,0)),0))</f>
        <v/>
      </c>
      <c r="J1847" s="4" t="n"/>
      <c r="K1847" s="7">
        <f>IF(OR(B1847="",B1847&lt;&gt;الإيصال!$C$3),"",COUNTIF(B$2:B1847,الإيصال!$C$3))</f>
        <v/>
      </c>
    </row>
    <row r="1848">
      <c r="A1848" s="6" t="n"/>
      <c r="B1848" s="4" t="n"/>
      <c r="C1848" s="4" t="n"/>
      <c r="D1848" s="4" t="n"/>
      <c r="E1848">
        <f>IF(D1848="","",IFERROR(INDEX(الأصناف!$B$2:$B$2000,MATCH(D1848,الأصناف!$A$2:$A$2000,0)),"كود غير موجود"))</f>
        <v/>
      </c>
      <c r="F1848" s="4" t="n"/>
      <c r="G1848">
        <f>IF(D1848="","",IFERROR(INDEX(الأصناف!$C$2:$C$2000,MATCH(D1848,الأصناف!$A$2:$A$2000,0)),0))</f>
        <v/>
      </c>
      <c r="H1848">
        <f>IF(D1848="","",F1848*G1848)</f>
        <v/>
      </c>
      <c r="I1848">
        <f>IF(D1848="","",H1848-F1848*IFERROR(INDEX(الأصناف!$D$2:$D$2000,MATCH(D1848,الأصناف!$A$2:$A$2000,0)),0))</f>
        <v/>
      </c>
      <c r="J1848" s="4" t="n"/>
      <c r="K1848" s="7">
        <f>IF(OR(B1848="",B1848&lt;&gt;الإيصال!$C$3),"",COUNTIF(B$2:B1848,الإيصال!$C$3))</f>
        <v/>
      </c>
    </row>
    <row r="1849">
      <c r="A1849" s="6" t="n"/>
      <c r="B1849" s="4" t="n"/>
      <c r="C1849" s="4" t="n"/>
      <c r="D1849" s="4" t="n"/>
      <c r="E1849">
        <f>IF(D1849="","",IFERROR(INDEX(الأصناف!$B$2:$B$2000,MATCH(D1849,الأصناف!$A$2:$A$2000,0)),"كود غير موجود"))</f>
        <v/>
      </c>
      <c r="F1849" s="4" t="n"/>
      <c r="G1849">
        <f>IF(D1849="","",IFERROR(INDEX(الأصناف!$C$2:$C$2000,MATCH(D1849,الأصناف!$A$2:$A$2000,0)),0))</f>
        <v/>
      </c>
      <c r="H1849">
        <f>IF(D1849="","",F1849*G1849)</f>
        <v/>
      </c>
      <c r="I1849">
        <f>IF(D1849="","",H1849-F1849*IFERROR(INDEX(الأصناف!$D$2:$D$2000,MATCH(D1849,الأصناف!$A$2:$A$2000,0)),0))</f>
        <v/>
      </c>
      <c r="J1849" s="4" t="n"/>
      <c r="K1849" s="7">
        <f>IF(OR(B1849="",B1849&lt;&gt;الإيصال!$C$3),"",COUNTIF(B$2:B1849,الإيصال!$C$3))</f>
        <v/>
      </c>
    </row>
    <row r="1850">
      <c r="A1850" s="6" t="n"/>
      <c r="B1850" s="4" t="n"/>
      <c r="C1850" s="4" t="n"/>
      <c r="D1850" s="4" t="n"/>
      <c r="E1850">
        <f>IF(D1850="","",IFERROR(INDEX(الأصناف!$B$2:$B$2000,MATCH(D1850,الأصناف!$A$2:$A$2000,0)),"كود غير موجود"))</f>
        <v/>
      </c>
      <c r="F1850" s="4" t="n"/>
      <c r="G1850">
        <f>IF(D1850="","",IFERROR(INDEX(الأصناف!$C$2:$C$2000,MATCH(D1850,الأصناف!$A$2:$A$2000,0)),0))</f>
        <v/>
      </c>
      <c r="H1850">
        <f>IF(D1850="","",F1850*G1850)</f>
        <v/>
      </c>
      <c r="I1850">
        <f>IF(D1850="","",H1850-F1850*IFERROR(INDEX(الأصناف!$D$2:$D$2000,MATCH(D1850,الأصناف!$A$2:$A$2000,0)),0))</f>
        <v/>
      </c>
      <c r="J1850" s="4" t="n"/>
      <c r="K1850" s="7">
        <f>IF(OR(B1850="",B1850&lt;&gt;الإيصال!$C$3),"",COUNTIF(B$2:B1850,الإيصال!$C$3))</f>
        <v/>
      </c>
    </row>
    <row r="1851">
      <c r="A1851" s="6" t="n"/>
      <c r="B1851" s="4" t="n"/>
      <c r="C1851" s="4" t="n"/>
      <c r="D1851" s="4" t="n"/>
      <c r="E1851">
        <f>IF(D1851="","",IFERROR(INDEX(الأصناف!$B$2:$B$2000,MATCH(D1851,الأصناف!$A$2:$A$2000,0)),"كود غير موجود"))</f>
        <v/>
      </c>
      <c r="F1851" s="4" t="n"/>
      <c r="G1851">
        <f>IF(D1851="","",IFERROR(INDEX(الأصناف!$C$2:$C$2000,MATCH(D1851,الأصناف!$A$2:$A$2000,0)),0))</f>
        <v/>
      </c>
      <c r="H1851">
        <f>IF(D1851="","",F1851*G1851)</f>
        <v/>
      </c>
      <c r="I1851">
        <f>IF(D1851="","",H1851-F1851*IFERROR(INDEX(الأصناف!$D$2:$D$2000,MATCH(D1851,الأصناف!$A$2:$A$2000,0)),0))</f>
        <v/>
      </c>
      <c r="J1851" s="4" t="n"/>
      <c r="K1851" s="7">
        <f>IF(OR(B1851="",B1851&lt;&gt;الإيصال!$C$3),"",COUNTIF(B$2:B1851,الإيصال!$C$3))</f>
        <v/>
      </c>
    </row>
    <row r="1852">
      <c r="A1852" s="6" t="n"/>
      <c r="B1852" s="4" t="n"/>
      <c r="C1852" s="4" t="n"/>
      <c r="D1852" s="4" t="n"/>
      <c r="E1852">
        <f>IF(D1852="","",IFERROR(INDEX(الأصناف!$B$2:$B$2000,MATCH(D1852,الأصناف!$A$2:$A$2000,0)),"كود غير موجود"))</f>
        <v/>
      </c>
      <c r="F1852" s="4" t="n"/>
      <c r="G1852">
        <f>IF(D1852="","",IFERROR(INDEX(الأصناف!$C$2:$C$2000,MATCH(D1852,الأصناف!$A$2:$A$2000,0)),0))</f>
        <v/>
      </c>
      <c r="H1852">
        <f>IF(D1852="","",F1852*G1852)</f>
        <v/>
      </c>
      <c r="I1852">
        <f>IF(D1852="","",H1852-F1852*IFERROR(INDEX(الأصناف!$D$2:$D$2000,MATCH(D1852,الأصناف!$A$2:$A$2000,0)),0))</f>
        <v/>
      </c>
      <c r="J1852" s="4" t="n"/>
      <c r="K1852" s="7">
        <f>IF(OR(B1852="",B1852&lt;&gt;الإيصال!$C$3),"",COUNTIF(B$2:B1852,الإيصال!$C$3))</f>
        <v/>
      </c>
    </row>
    <row r="1853">
      <c r="A1853" s="6" t="n"/>
      <c r="B1853" s="4" t="n"/>
      <c r="C1853" s="4" t="n"/>
      <c r="D1853" s="4" t="n"/>
      <c r="E1853">
        <f>IF(D1853="","",IFERROR(INDEX(الأصناف!$B$2:$B$2000,MATCH(D1853,الأصناف!$A$2:$A$2000,0)),"كود غير موجود"))</f>
        <v/>
      </c>
      <c r="F1853" s="4" t="n"/>
      <c r="G1853">
        <f>IF(D1853="","",IFERROR(INDEX(الأصناف!$C$2:$C$2000,MATCH(D1853,الأصناف!$A$2:$A$2000,0)),0))</f>
        <v/>
      </c>
      <c r="H1853">
        <f>IF(D1853="","",F1853*G1853)</f>
        <v/>
      </c>
      <c r="I1853">
        <f>IF(D1853="","",H1853-F1853*IFERROR(INDEX(الأصناف!$D$2:$D$2000,MATCH(D1853,الأصناف!$A$2:$A$2000,0)),0))</f>
        <v/>
      </c>
      <c r="J1853" s="4" t="n"/>
      <c r="K1853" s="7">
        <f>IF(OR(B1853="",B1853&lt;&gt;الإيصال!$C$3),"",COUNTIF(B$2:B1853,الإيصال!$C$3))</f>
        <v/>
      </c>
    </row>
    <row r="1854">
      <c r="A1854" s="6" t="n"/>
      <c r="B1854" s="4" t="n"/>
      <c r="C1854" s="4" t="n"/>
      <c r="D1854" s="4" t="n"/>
      <c r="E1854">
        <f>IF(D1854="","",IFERROR(INDEX(الأصناف!$B$2:$B$2000,MATCH(D1854,الأصناف!$A$2:$A$2000,0)),"كود غير موجود"))</f>
        <v/>
      </c>
      <c r="F1854" s="4" t="n"/>
      <c r="G1854">
        <f>IF(D1854="","",IFERROR(INDEX(الأصناف!$C$2:$C$2000,MATCH(D1854,الأصناف!$A$2:$A$2000,0)),0))</f>
        <v/>
      </c>
      <c r="H1854">
        <f>IF(D1854="","",F1854*G1854)</f>
        <v/>
      </c>
      <c r="I1854">
        <f>IF(D1854="","",H1854-F1854*IFERROR(INDEX(الأصناف!$D$2:$D$2000,MATCH(D1854,الأصناف!$A$2:$A$2000,0)),0))</f>
        <v/>
      </c>
      <c r="J1854" s="4" t="n"/>
      <c r="K1854" s="7">
        <f>IF(OR(B1854="",B1854&lt;&gt;الإيصال!$C$3),"",COUNTIF(B$2:B1854,الإيصال!$C$3))</f>
        <v/>
      </c>
    </row>
    <row r="1855">
      <c r="A1855" s="6" t="n"/>
      <c r="B1855" s="4" t="n"/>
      <c r="C1855" s="4" t="n"/>
      <c r="D1855" s="4" t="n"/>
      <c r="E1855">
        <f>IF(D1855="","",IFERROR(INDEX(الأصناف!$B$2:$B$2000,MATCH(D1855,الأصناف!$A$2:$A$2000,0)),"كود غير موجود"))</f>
        <v/>
      </c>
      <c r="F1855" s="4" t="n"/>
      <c r="G1855">
        <f>IF(D1855="","",IFERROR(INDEX(الأصناف!$C$2:$C$2000,MATCH(D1855,الأصناف!$A$2:$A$2000,0)),0))</f>
        <v/>
      </c>
      <c r="H1855">
        <f>IF(D1855="","",F1855*G1855)</f>
        <v/>
      </c>
      <c r="I1855">
        <f>IF(D1855="","",H1855-F1855*IFERROR(INDEX(الأصناف!$D$2:$D$2000,MATCH(D1855,الأصناف!$A$2:$A$2000,0)),0))</f>
        <v/>
      </c>
      <c r="J1855" s="4" t="n"/>
      <c r="K1855" s="7">
        <f>IF(OR(B1855="",B1855&lt;&gt;الإيصال!$C$3),"",COUNTIF(B$2:B1855,الإيصال!$C$3))</f>
        <v/>
      </c>
    </row>
    <row r="1856">
      <c r="A1856" s="6" t="n"/>
      <c r="B1856" s="4" t="n"/>
      <c r="C1856" s="4" t="n"/>
      <c r="D1856" s="4" t="n"/>
      <c r="E1856">
        <f>IF(D1856="","",IFERROR(INDEX(الأصناف!$B$2:$B$2000,MATCH(D1856,الأصناف!$A$2:$A$2000,0)),"كود غير موجود"))</f>
        <v/>
      </c>
      <c r="F1856" s="4" t="n"/>
      <c r="G1856">
        <f>IF(D1856="","",IFERROR(INDEX(الأصناف!$C$2:$C$2000,MATCH(D1856,الأصناف!$A$2:$A$2000,0)),0))</f>
        <v/>
      </c>
      <c r="H1856">
        <f>IF(D1856="","",F1856*G1856)</f>
        <v/>
      </c>
      <c r="I1856">
        <f>IF(D1856="","",H1856-F1856*IFERROR(INDEX(الأصناف!$D$2:$D$2000,MATCH(D1856,الأصناف!$A$2:$A$2000,0)),0))</f>
        <v/>
      </c>
      <c r="J1856" s="4" t="n"/>
      <c r="K1856" s="7">
        <f>IF(OR(B1856="",B1856&lt;&gt;الإيصال!$C$3),"",COUNTIF(B$2:B1856,الإيصال!$C$3))</f>
        <v/>
      </c>
    </row>
    <row r="1857">
      <c r="A1857" s="6" t="n"/>
      <c r="B1857" s="4" t="n"/>
      <c r="C1857" s="4" t="n"/>
      <c r="D1857" s="4" t="n"/>
      <c r="E1857">
        <f>IF(D1857="","",IFERROR(INDEX(الأصناف!$B$2:$B$2000,MATCH(D1857,الأصناف!$A$2:$A$2000,0)),"كود غير موجود"))</f>
        <v/>
      </c>
      <c r="F1857" s="4" t="n"/>
      <c r="G1857">
        <f>IF(D1857="","",IFERROR(INDEX(الأصناف!$C$2:$C$2000,MATCH(D1857,الأصناف!$A$2:$A$2000,0)),0))</f>
        <v/>
      </c>
      <c r="H1857">
        <f>IF(D1857="","",F1857*G1857)</f>
        <v/>
      </c>
      <c r="I1857">
        <f>IF(D1857="","",H1857-F1857*IFERROR(INDEX(الأصناف!$D$2:$D$2000,MATCH(D1857,الأصناف!$A$2:$A$2000,0)),0))</f>
        <v/>
      </c>
      <c r="J1857" s="4" t="n"/>
      <c r="K1857" s="7">
        <f>IF(OR(B1857="",B1857&lt;&gt;الإيصال!$C$3),"",COUNTIF(B$2:B1857,الإيصال!$C$3))</f>
        <v/>
      </c>
    </row>
    <row r="1858">
      <c r="A1858" s="6" t="n"/>
      <c r="B1858" s="4" t="n"/>
      <c r="C1858" s="4" t="n"/>
      <c r="D1858" s="4" t="n"/>
      <c r="E1858">
        <f>IF(D1858="","",IFERROR(INDEX(الأصناف!$B$2:$B$2000,MATCH(D1858,الأصناف!$A$2:$A$2000,0)),"كود غير موجود"))</f>
        <v/>
      </c>
      <c r="F1858" s="4" t="n"/>
      <c r="G1858">
        <f>IF(D1858="","",IFERROR(INDEX(الأصناف!$C$2:$C$2000,MATCH(D1858,الأصناف!$A$2:$A$2000,0)),0))</f>
        <v/>
      </c>
      <c r="H1858">
        <f>IF(D1858="","",F1858*G1858)</f>
        <v/>
      </c>
      <c r="I1858">
        <f>IF(D1858="","",H1858-F1858*IFERROR(INDEX(الأصناف!$D$2:$D$2000,MATCH(D1858,الأصناف!$A$2:$A$2000,0)),0))</f>
        <v/>
      </c>
      <c r="J1858" s="4" t="n"/>
      <c r="K1858" s="7">
        <f>IF(OR(B1858="",B1858&lt;&gt;الإيصال!$C$3),"",COUNTIF(B$2:B1858,الإيصال!$C$3))</f>
        <v/>
      </c>
    </row>
    <row r="1859">
      <c r="A1859" s="6" t="n"/>
      <c r="B1859" s="4" t="n"/>
      <c r="C1859" s="4" t="n"/>
      <c r="D1859" s="4" t="n"/>
      <c r="E1859">
        <f>IF(D1859="","",IFERROR(INDEX(الأصناف!$B$2:$B$2000,MATCH(D1859,الأصناف!$A$2:$A$2000,0)),"كود غير موجود"))</f>
        <v/>
      </c>
      <c r="F1859" s="4" t="n"/>
      <c r="G1859">
        <f>IF(D1859="","",IFERROR(INDEX(الأصناف!$C$2:$C$2000,MATCH(D1859,الأصناف!$A$2:$A$2000,0)),0))</f>
        <v/>
      </c>
      <c r="H1859">
        <f>IF(D1859="","",F1859*G1859)</f>
        <v/>
      </c>
      <c r="I1859">
        <f>IF(D1859="","",H1859-F1859*IFERROR(INDEX(الأصناف!$D$2:$D$2000,MATCH(D1859,الأصناف!$A$2:$A$2000,0)),0))</f>
        <v/>
      </c>
      <c r="J1859" s="4" t="n"/>
      <c r="K1859" s="7">
        <f>IF(OR(B1859="",B1859&lt;&gt;الإيصال!$C$3),"",COUNTIF(B$2:B1859,الإيصال!$C$3))</f>
        <v/>
      </c>
    </row>
    <row r="1860">
      <c r="A1860" s="6" t="n"/>
      <c r="B1860" s="4" t="n"/>
      <c r="C1860" s="4" t="n"/>
      <c r="D1860" s="4" t="n"/>
      <c r="E1860">
        <f>IF(D1860="","",IFERROR(INDEX(الأصناف!$B$2:$B$2000,MATCH(D1860,الأصناف!$A$2:$A$2000,0)),"كود غير موجود"))</f>
        <v/>
      </c>
      <c r="F1860" s="4" t="n"/>
      <c r="G1860">
        <f>IF(D1860="","",IFERROR(INDEX(الأصناف!$C$2:$C$2000,MATCH(D1860,الأصناف!$A$2:$A$2000,0)),0))</f>
        <v/>
      </c>
      <c r="H1860">
        <f>IF(D1860="","",F1860*G1860)</f>
        <v/>
      </c>
      <c r="I1860">
        <f>IF(D1860="","",H1860-F1860*IFERROR(INDEX(الأصناف!$D$2:$D$2000,MATCH(D1860,الأصناف!$A$2:$A$2000,0)),0))</f>
        <v/>
      </c>
      <c r="J1860" s="4" t="n"/>
      <c r="K1860" s="7">
        <f>IF(OR(B1860="",B1860&lt;&gt;الإيصال!$C$3),"",COUNTIF(B$2:B1860,الإيصال!$C$3))</f>
        <v/>
      </c>
    </row>
    <row r="1861">
      <c r="A1861" s="6" t="n"/>
      <c r="B1861" s="4" t="n"/>
      <c r="C1861" s="4" t="n"/>
      <c r="D1861" s="4" t="n"/>
      <c r="E1861">
        <f>IF(D1861="","",IFERROR(INDEX(الأصناف!$B$2:$B$2000,MATCH(D1861,الأصناف!$A$2:$A$2000,0)),"كود غير موجود"))</f>
        <v/>
      </c>
      <c r="F1861" s="4" t="n"/>
      <c r="G1861">
        <f>IF(D1861="","",IFERROR(INDEX(الأصناف!$C$2:$C$2000,MATCH(D1861,الأصناف!$A$2:$A$2000,0)),0))</f>
        <v/>
      </c>
      <c r="H1861">
        <f>IF(D1861="","",F1861*G1861)</f>
        <v/>
      </c>
      <c r="I1861">
        <f>IF(D1861="","",H1861-F1861*IFERROR(INDEX(الأصناف!$D$2:$D$2000,MATCH(D1861,الأصناف!$A$2:$A$2000,0)),0))</f>
        <v/>
      </c>
      <c r="J1861" s="4" t="n"/>
      <c r="K1861" s="7">
        <f>IF(OR(B1861="",B1861&lt;&gt;الإيصال!$C$3),"",COUNTIF(B$2:B1861,الإيصال!$C$3))</f>
        <v/>
      </c>
    </row>
    <row r="1862">
      <c r="A1862" s="6" t="n"/>
      <c r="B1862" s="4" t="n"/>
      <c r="C1862" s="4" t="n"/>
      <c r="D1862" s="4" t="n"/>
      <c r="E1862">
        <f>IF(D1862="","",IFERROR(INDEX(الأصناف!$B$2:$B$2000,MATCH(D1862,الأصناف!$A$2:$A$2000,0)),"كود غير موجود"))</f>
        <v/>
      </c>
      <c r="F1862" s="4" t="n"/>
      <c r="G1862">
        <f>IF(D1862="","",IFERROR(INDEX(الأصناف!$C$2:$C$2000,MATCH(D1862,الأصناف!$A$2:$A$2000,0)),0))</f>
        <v/>
      </c>
      <c r="H1862">
        <f>IF(D1862="","",F1862*G1862)</f>
        <v/>
      </c>
      <c r="I1862">
        <f>IF(D1862="","",H1862-F1862*IFERROR(INDEX(الأصناف!$D$2:$D$2000,MATCH(D1862,الأصناف!$A$2:$A$2000,0)),0))</f>
        <v/>
      </c>
      <c r="J1862" s="4" t="n"/>
      <c r="K1862" s="7">
        <f>IF(OR(B1862="",B1862&lt;&gt;الإيصال!$C$3),"",COUNTIF(B$2:B1862,الإيصال!$C$3))</f>
        <v/>
      </c>
    </row>
    <row r="1863">
      <c r="A1863" s="6" t="n"/>
      <c r="B1863" s="4" t="n"/>
      <c r="C1863" s="4" t="n"/>
      <c r="D1863" s="4" t="n"/>
      <c r="E1863">
        <f>IF(D1863="","",IFERROR(INDEX(الأصناف!$B$2:$B$2000,MATCH(D1863,الأصناف!$A$2:$A$2000,0)),"كود غير موجود"))</f>
        <v/>
      </c>
      <c r="F1863" s="4" t="n"/>
      <c r="G1863">
        <f>IF(D1863="","",IFERROR(INDEX(الأصناف!$C$2:$C$2000,MATCH(D1863,الأصناف!$A$2:$A$2000,0)),0))</f>
        <v/>
      </c>
      <c r="H1863">
        <f>IF(D1863="","",F1863*G1863)</f>
        <v/>
      </c>
      <c r="I1863">
        <f>IF(D1863="","",H1863-F1863*IFERROR(INDEX(الأصناف!$D$2:$D$2000,MATCH(D1863,الأصناف!$A$2:$A$2000,0)),0))</f>
        <v/>
      </c>
      <c r="J1863" s="4" t="n"/>
      <c r="K1863" s="7">
        <f>IF(OR(B1863="",B1863&lt;&gt;الإيصال!$C$3),"",COUNTIF(B$2:B1863,الإيصال!$C$3))</f>
        <v/>
      </c>
    </row>
    <row r="1864">
      <c r="A1864" s="6" t="n"/>
      <c r="B1864" s="4" t="n"/>
      <c r="C1864" s="4" t="n"/>
      <c r="D1864" s="4" t="n"/>
      <c r="E1864">
        <f>IF(D1864="","",IFERROR(INDEX(الأصناف!$B$2:$B$2000,MATCH(D1864,الأصناف!$A$2:$A$2000,0)),"كود غير موجود"))</f>
        <v/>
      </c>
      <c r="F1864" s="4" t="n"/>
      <c r="G1864">
        <f>IF(D1864="","",IFERROR(INDEX(الأصناف!$C$2:$C$2000,MATCH(D1864,الأصناف!$A$2:$A$2000,0)),0))</f>
        <v/>
      </c>
      <c r="H1864">
        <f>IF(D1864="","",F1864*G1864)</f>
        <v/>
      </c>
      <c r="I1864">
        <f>IF(D1864="","",H1864-F1864*IFERROR(INDEX(الأصناف!$D$2:$D$2000,MATCH(D1864,الأصناف!$A$2:$A$2000,0)),0))</f>
        <v/>
      </c>
      <c r="J1864" s="4" t="n"/>
      <c r="K1864" s="7">
        <f>IF(OR(B1864="",B1864&lt;&gt;الإيصال!$C$3),"",COUNTIF(B$2:B1864,الإيصال!$C$3))</f>
        <v/>
      </c>
    </row>
    <row r="1865">
      <c r="A1865" s="6" t="n"/>
      <c r="B1865" s="4" t="n"/>
      <c r="C1865" s="4" t="n"/>
      <c r="D1865" s="4" t="n"/>
      <c r="E1865">
        <f>IF(D1865="","",IFERROR(INDEX(الأصناف!$B$2:$B$2000,MATCH(D1865,الأصناف!$A$2:$A$2000,0)),"كود غير موجود"))</f>
        <v/>
      </c>
      <c r="F1865" s="4" t="n"/>
      <c r="G1865">
        <f>IF(D1865="","",IFERROR(INDEX(الأصناف!$C$2:$C$2000,MATCH(D1865,الأصناف!$A$2:$A$2000,0)),0))</f>
        <v/>
      </c>
      <c r="H1865">
        <f>IF(D1865="","",F1865*G1865)</f>
        <v/>
      </c>
      <c r="I1865">
        <f>IF(D1865="","",H1865-F1865*IFERROR(INDEX(الأصناف!$D$2:$D$2000,MATCH(D1865,الأصناف!$A$2:$A$2000,0)),0))</f>
        <v/>
      </c>
      <c r="J1865" s="4" t="n"/>
      <c r="K1865" s="7">
        <f>IF(OR(B1865="",B1865&lt;&gt;الإيصال!$C$3),"",COUNTIF(B$2:B1865,الإيصال!$C$3))</f>
        <v/>
      </c>
    </row>
    <row r="1866">
      <c r="A1866" s="6" t="n"/>
      <c r="B1866" s="4" t="n"/>
      <c r="C1866" s="4" t="n"/>
      <c r="D1866" s="4" t="n"/>
      <c r="E1866">
        <f>IF(D1866="","",IFERROR(INDEX(الأصناف!$B$2:$B$2000,MATCH(D1866,الأصناف!$A$2:$A$2000,0)),"كود غير موجود"))</f>
        <v/>
      </c>
      <c r="F1866" s="4" t="n"/>
      <c r="G1866">
        <f>IF(D1866="","",IFERROR(INDEX(الأصناف!$C$2:$C$2000,MATCH(D1866,الأصناف!$A$2:$A$2000,0)),0))</f>
        <v/>
      </c>
      <c r="H1866">
        <f>IF(D1866="","",F1866*G1866)</f>
        <v/>
      </c>
      <c r="I1866">
        <f>IF(D1866="","",H1866-F1866*IFERROR(INDEX(الأصناف!$D$2:$D$2000,MATCH(D1866,الأصناف!$A$2:$A$2000,0)),0))</f>
        <v/>
      </c>
      <c r="J1866" s="4" t="n"/>
      <c r="K1866" s="7">
        <f>IF(OR(B1866="",B1866&lt;&gt;الإيصال!$C$3),"",COUNTIF(B$2:B1866,الإيصال!$C$3))</f>
        <v/>
      </c>
    </row>
    <row r="1867">
      <c r="A1867" s="6" t="n"/>
      <c r="B1867" s="4" t="n"/>
      <c r="C1867" s="4" t="n"/>
      <c r="D1867" s="4" t="n"/>
      <c r="E1867">
        <f>IF(D1867="","",IFERROR(INDEX(الأصناف!$B$2:$B$2000,MATCH(D1867,الأصناف!$A$2:$A$2000,0)),"كود غير موجود"))</f>
        <v/>
      </c>
      <c r="F1867" s="4" t="n"/>
      <c r="G1867">
        <f>IF(D1867="","",IFERROR(INDEX(الأصناف!$C$2:$C$2000,MATCH(D1867,الأصناف!$A$2:$A$2000,0)),0))</f>
        <v/>
      </c>
      <c r="H1867">
        <f>IF(D1867="","",F1867*G1867)</f>
        <v/>
      </c>
      <c r="I1867">
        <f>IF(D1867="","",H1867-F1867*IFERROR(INDEX(الأصناف!$D$2:$D$2000,MATCH(D1867,الأصناف!$A$2:$A$2000,0)),0))</f>
        <v/>
      </c>
      <c r="J1867" s="4" t="n"/>
      <c r="K1867" s="7">
        <f>IF(OR(B1867="",B1867&lt;&gt;الإيصال!$C$3),"",COUNTIF(B$2:B1867,الإيصال!$C$3))</f>
        <v/>
      </c>
    </row>
    <row r="1868">
      <c r="A1868" s="6" t="n"/>
      <c r="B1868" s="4" t="n"/>
      <c r="C1868" s="4" t="n"/>
      <c r="D1868" s="4" t="n"/>
      <c r="E1868">
        <f>IF(D1868="","",IFERROR(INDEX(الأصناف!$B$2:$B$2000,MATCH(D1868,الأصناف!$A$2:$A$2000,0)),"كود غير موجود"))</f>
        <v/>
      </c>
      <c r="F1868" s="4" t="n"/>
      <c r="G1868">
        <f>IF(D1868="","",IFERROR(INDEX(الأصناف!$C$2:$C$2000,MATCH(D1868,الأصناف!$A$2:$A$2000,0)),0))</f>
        <v/>
      </c>
      <c r="H1868">
        <f>IF(D1868="","",F1868*G1868)</f>
        <v/>
      </c>
      <c r="I1868">
        <f>IF(D1868="","",H1868-F1868*IFERROR(INDEX(الأصناف!$D$2:$D$2000,MATCH(D1868,الأصناف!$A$2:$A$2000,0)),0))</f>
        <v/>
      </c>
      <c r="J1868" s="4" t="n"/>
      <c r="K1868" s="7">
        <f>IF(OR(B1868="",B1868&lt;&gt;الإيصال!$C$3),"",COUNTIF(B$2:B1868,الإيصال!$C$3))</f>
        <v/>
      </c>
    </row>
    <row r="1869">
      <c r="A1869" s="6" t="n"/>
      <c r="B1869" s="4" t="n"/>
      <c r="C1869" s="4" t="n"/>
      <c r="D1869" s="4" t="n"/>
      <c r="E1869">
        <f>IF(D1869="","",IFERROR(INDEX(الأصناف!$B$2:$B$2000,MATCH(D1869,الأصناف!$A$2:$A$2000,0)),"كود غير موجود"))</f>
        <v/>
      </c>
      <c r="F1869" s="4" t="n"/>
      <c r="G1869">
        <f>IF(D1869="","",IFERROR(INDEX(الأصناف!$C$2:$C$2000,MATCH(D1869,الأصناف!$A$2:$A$2000,0)),0))</f>
        <v/>
      </c>
      <c r="H1869">
        <f>IF(D1869="","",F1869*G1869)</f>
        <v/>
      </c>
      <c r="I1869">
        <f>IF(D1869="","",H1869-F1869*IFERROR(INDEX(الأصناف!$D$2:$D$2000,MATCH(D1869,الأصناف!$A$2:$A$2000,0)),0))</f>
        <v/>
      </c>
      <c r="J1869" s="4" t="n"/>
      <c r="K1869" s="7">
        <f>IF(OR(B1869="",B1869&lt;&gt;الإيصال!$C$3),"",COUNTIF(B$2:B1869,الإيصال!$C$3))</f>
        <v/>
      </c>
    </row>
    <row r="1870">
      <c r="A1870" s="6" t="n"/>
      <c r="B1870" s="4" t="n"/>
      <c r="C1870" s="4" t="n"/>
      <c r="D1870" s="4" t="n"/>
      <c r="E1870">
        <f>IF(D1870="","",IFERROR(INDEX(الأصناف!$B$2:$B$2000,MATCH(D1870,الأصناف!$A$2:$A$2000,0)),"كود غير موجود"))</f>
        <v/>
      </c>
      <c r="F1870" s="4" t="n"/>
      <c r="G1870">
        <f>IF(D1870="","",IFERROR(INDEX(الأصناف!$C$2:$C$2000,MATCH(D1870,الأصناف!$A$2:$A$2000,0)),0))</f>
        <v/>
      </c>
      <c r="H1870">
        <f>IF(D1870="","",F1870*G1870)</f>
        <v/>
      </c>
      <c r="I1870">
        <f>IF(D1870="","",H1870-F1870*IFERROR(INDEX(الأصناف!$D$2:$D$2000,MATCH(D1870,الأصناف!$A$2:$A$2000,0)),0))</f>
        <v/>
      </c>
      <c r="J1870" s="4" t="n"/>
      <c r="K1870" s="7">
        <f>IF(OR(B1870="",B1870&lt;&gt;الإيصال!$C$3),"",COUNTIF(B$2:B1870,الإيصال!$C$3))</f>
        <v/>
      </c>
    </row>
    <row r="1871">
      <c r="A1871" s="6" t="n"/>
      <c r="B1871" s="4" t="n"/>
      <c r="C1871" s="4" t="n"/>
      <c r="D1871" s="4" t="n"/>
      <c r="E1871">
        <f>IF(D1871="","",IFERROR(INDEX(الأصناف!$B$2:$B$2000,MATCH(D1871,الأصناف!$A$2:$A$2000,0)),"كود غير موجود"))</f>
        <v/>
      </c>
      <c r="F1871" s="4" t="n"/>
      <c r="G1871">
        <f>IF(D1871="","",IFERROR(INDEX(الأصناف!$C$2:$C$2000,MATCH(D1871,الأصناف!$A$2:$A$2000,0)),0))</f>
        <v/>
      </c>
      <c r="H1871">
        <f>IF(D1871="","",F1871*G1871)</f>
        <v/>
      </c>
      <c r="I1871">
        <f>IF(D1871="","",H1871-F1871*IFERROR(INDEX(الأصناف!$D$2:$D$2000,MATCH(D1871,الأصناف!$A$2:$A$2000,0)),0))</f>
        <v/>
      </c>
      <c r="J1871" s="4" t="n"/>
      <c r="K1871" s="7">
        <f>IF(OR(B1871="",B1871&lt;&gt;الإيصال!$C$3),"",COUNTIF(B$2:B1871,الإيصال!$C$3))</f>
        <v/>
      </c>
    </row>
    <row r="1872">
      <c r="A1872" s="6" t="n"/>
      <c r="B1872" s="4" t="n"/>
      <c r="C1872" s="4" t="n"/>
      <c r="D1872" s="4" t="n"/>
      <c r="E1872">
        <f>IF(D1872="","",IFERROR(INDEX(الأصناف!$B$2:$B$2000,MATCH(D1872,الأصناف!$A$2:$A$2000,0)),"كود غير موجود"))</f>
        <v/>
      </c>
      <c r="F1872" s="4" t="n"/>
      <c r="G1872">
        <f>IF(D1872="","",IFERROR(INDEX(الأصناف!$C$2:$C$2000,MATCH(D1872,الأصناف!$A$2:$A$2000,0)),0))</f>
        <v/>
      </c>
      <c r="H1872">
        <f>IF(D1872="","",F1872*G1872)</f>
        <v/>
      </c>
      <c r="I1872">
        <f>IF(D1872="","",H1872-F1872*IFERROR(INDEX(الأصناف!$D$2:$D$2000,MATCH(D1872,الأصناف!$A$2:$A$2000,0)),0))</f>
        <v/>
      </c>
      <c r="J1872" s="4" t="n"/>
      <c r="K1872" s="7">
        <f>IF(OR(B1872="",B1872&lt;&gt;الإيصال!$C$3),"",COUNTIF(B$2:B1872,الإيصال!$C$3))</f>
        <v/>
      </c>
    </row>
    <row r="1873">
      <c r="A1873" s="6" t="n"/>
      <c r="B1873" s="4" t="n"/>
      <c r="C1873" s="4" t="n"/>
      <c r="D1873" s="4" t="n"/>
      <c r="E1873">
        <f>IF(D1873="","",IFERROR(INDEX(الأصناف!$B$2:$B$2000,MATCH(D1873,الأصناف!$A$2:$A$2000,0)),"كود غير موجود"))</f>
        <v/>
      </c>
      <c r="F1873" s="4" t="n"/>
      <c r="G1873">
        <f>IF(D1873="","",IFERROR(INDEX(الأصناف!$C$2:$C$2000,MATCH(D1873,الأصناف!$A$2:$A$2000,0)),0))</f>
        <v/>
      </c>
      <c r="H1873">
        <f>IF(D1873="","",F1873*G1873)</f>
        <v/>
      </c>
      <c r="I1873">
        <f>IF(D1873="","",H1873-F1873*IFERROR(INDEX(الأصناف!$D$2:$D$2000,MATCH(D1873,الأصناف!$A$2:$A$2000,0)),0))</f>
        <v/>
      </c>
      <c r="J1873" s="4" t="n"/>
      <c r="K1873" s="7">
        <f>IF(OR(B1873="",B1873&lt;&gt;الإيصال!$C$3),"",COUNTIF(B$2:B1873,الإيصال!$C$3))</f>
        <v/>
      </c>
    </row>
    <row r="1874">
      <c r="A1874" s="6" t="n"/>
      <c r="B1874" s="4" t="n"/>
      <c r="C1874" s="4" t="n"/>
      <c r="D1874" s="4" t="n"/>
      <c r="E1874">
        <f>IF(D1874="","",IFERROR(INDEX(الأصناف!$B$2:$B$2000,MATCH(D1874,الأصناف!$A$2:$A$2000,0)),"كود غير موجود"))</f>
        <v/>
      </c>
      <c r="F1874" s="4" t="n"/>
      <c r="G1874">
        <f>IF(D1874="","",IFERROR(INDEX(الأصناف!$C$2:$C$2000,MATCH(D1874,الأصناف!$A$2:$A$2000,0)),0))</f>
        <v/>
      </c>
      <c r="H1874">
        <f>IF(D1874="","",F1874*G1874)</f>
        <v/>
      </c>
      <c r="I1874">
        <f>IF(D1874="","",H1874-F1874*IFERROR(INDEX(الأصناف!$D$2:$D$2000,MATCH(D1874,الأصناف!$A$2:$A$2000,0)),0))</f>
        <v/>
      </c>
      <c r="J1874" s="4" t="n"/>
      <c r="K1874" s="7">
        <f>IF(OR(B1874="",B1874&lt;&gt;الإيصال!$C$3),"",COUNTIF(B$2:B1874,الإيصال!$C$3))</f>
        <v/>
      </c>
    </row>
    <row r="1875">
      <c r="A1875" s="6" t="n"/>
      <c r="B1875" s="4" t="n"/>
      <c r="C1875" s="4" t="n"/>
      <c r="D1875" s="4" t="n"/>
      <c r="E1875">
        <f>IF(D1875="","",IFERROR(INDEX(الأصناف!$B$2:$B$2000,MATCH(D1875,الأصناف!$A$2:$A$2000,0)),"كود غير موجود"))</f>
        <v/>
      </c>
      <c r="F1875" s="4" t="n"/>
      <c r="G1875">
        <f>IF(D1875="","",IFERROR(INDEX(الأصناف!$C$2:$C$2000,MATCH(D1875,الأصناف!$A$2:$A$2000,0)),0))</f>
        <v/>
      </c>
      <c r="H1875">
        <f>IF(D1875="","",F1875*G1875)</f>
        <v/>
      </c>
      <c r="I1875">
        <f>IF(D1875="","",H1875-F1875*IFERROR(INDEX(الأصناف!$D$2:$D$2000,MATCH(D1875,الأصناف!$A$2:$A$2000,0)),0))</f>
        <v/>
      </c>
      <c r="J1875" s="4" t="n"/>
      <c r="K1875" s="7">
        <f>IF(OR(B1875="",B1875&lt;&gt;الإيصال!$C$3),"",COUNTIF(B$2:B1875,الإيصال!$C$3))</f>
        <v/>
      </c>
    </row>
    <row r="1876">
      <c r="A1876" s="6" t="n"/>
      <c r="B1876" s="4" t="n"/>
      <c r="C1876" s="4" t="n"/>
      <c r="D1876" s="4" t="n"/>
      <c r="E1876">
        <f>IF(D1876="","",IFERROR(INDEX(الأصناف!$B$2:$B$2000,MATCH(D1876,الأصناف!$A$2:$A$2000,0)),"كود غير موجود"))</f>
        <v/>
      </c>
      <c r="F1876" s="4" t="n"/>
      <c r="G1876">
        <f>IF(D1876="","",IFERROR(INDEX(الأصناف!$C$2:$C$2000,MATCH(D1876,الأصناف!$A$2:$A$2000,0)),0))</f>
        <v/>
      </c>
      <c r="H1876">
        <f>IF(D1876="","",F1876*G1876)</f>
        <v/>
      </c>
      <c r="I1876">
        <f>IF(D1876="","",H1876-F1876*IFERROR(INDEX(الأصناف!$D$2:$D$2000,MATCH(D1876,الأصناف!$A$2:$A$2000,0)),0))</f>
        <v/>
      </c>
      <c r="J1876" s="4" t="n"/>
      <c r="K1876" s="7">
        <f>IF(OR(B1876="",B1876&lt;&gt;الإيصال!$C$3),"",COUNTIF(B$2:B1876,الإيصال!$C$3))</f>
        <v/>
      </c>
    </row>
    <row r="1877">
      <c r="A1877" s="6" t="n"/>
      <c r="B1877" s="4" t="n"/>
      <c r="C1877" s="4" t="n"/>
      <c r="D1877" s="4" t="n"/>
      <c r="E1877">
        <f>IF(D1877="","",IFERROR(INDEX(الأصناف!$B$2:$B$2000,MATCH(D1877,الأصناف!$A$2:$A$2000,0)),"كود غير موجود"))</f>
        <v/>
      </c>
      <c r="F1877" s="4" t="n"/>
      <c r="G1877">
        <f>IF(D1877="","",IFERROR(INDEX(الأصناف!$C$2:$C$2000,MATCH(D1877,الأصناف!$A$2:$A$2000,0)),0))</f>
        <v/>
      </c>
      <c r="H1877">
        <f>IF(D1877="","",F1877*G1877)</f>
        <v/>
      </c>
      <c r="I1877">
        <f>IF(D1877="","",H1877-F1877*IFERROR(INDEX(الأصناف!$D$2:$D$2000,MATCH(D1877,الأصناف!$A$2:$A$2000,0)),0))</f>
        <v/>
      </c>
      <c r="J1877" s="4" t="n"/>
      <c r="K1877" s="7">
        <f>IF(OR(B1877="",B1877&lt;&gt;الإيصال!$C$3),"",COUNTIF(B$2:B1877,الإيصال!$C$3))</f>
        <v/>
      </c>
    </row>
    <row r="1878">
      <c r="A1878" s="6" t="n"/>
      <c r="B1878" s="4" t="n"/>
      <c r="C1878" s="4" t="n"/>
      <c r="D1878" s="4" t="n"/>
      <c r="E1878">
        <f>IF(D1878="","",IFERROR(INDEX(الأصناف!$B$2:$B$2000,MATCH(D1878,الأصناف!$A$2:$A$2000,0)),"كود غير موجود"))</f>
        <v/>
      </c>
      <c r="F1878" s="4" t="n"/>
      <c r="G1878">
        <f>IF(D1878="","",IFERROR(INDEX(الأصناف!$C$2:$C$2000,MATCH(D1878,الأصناف!$A$2:$A$2000,0)),0))</f>
        <v/>
      </c>
      <c r="H1878">
        <f>IF(D1878="","",F1878*G1878)</f>
        <v/>
      </c>
      <c r="I1878">
        <f>IF(D1878="","",H1878-F1878*IFERROR(INDEX(الأصناف!$D$2:$D$2000,MATCH(D1878,الأصناف!$A$2:$A$2000,0)),0))</f>
        <v/>
      </c>
      <c r="J1878" s="4" t="n"/>
      <c r="K1878" s="7">
        <f>IF(OR(B1878="",B1878&lt;&gt;الإيصال!$C$3),"",COUNTIF(B$2:B1878,الإيصال!$C$3))</f>
        <v/>
      </c>
    </row>
    <row r="1879">
      <c r="A1879" s="6" t="n"/>
      <c r="B1879" s="4" t="n"/>
      <c r="C1879" s="4" t="n"/>
      <c r="D1879" s="4" t="n"/>
      <c r="E1879">
        <f>IF(D1879="","",IFERROR(INDEX(الأصناف!$B$2:$B$2000,MATCH(D1879,الأصناف!$A$2:$A$2000,0)),"كود غير موجود"))</f>
        <v/>
      </c>
      <c r="F1879" s="4" t="n"/>
      <c r="G1879">
        <f>IF(D1879="","",IFERROR(INDEX(الأصناف!$C$2:$C$2000,MATCH(D1879,الأصناف!$A$2:$A$2000,0)),0))</f>
        <v/>
      </c>
      <c r="H1879">
        <f>IF(D1879="","",F1879*G1879)</f>
        <v/>
      </c>
      <c r="I1879">
        <f>IF(D1879="","",H1879-F1879*IFERROR(INDEX(الأصناف!$D$2:$D$2000,MATCH(D1879,الأصناف!$A$2:$A$2000,0)),0))</f>
        <v/>
      </c>
      <c r="J1879" s="4" t="n"/>
      <c r="K1879" s="7">
        <f>IF(OR(B1879="",B1879&lt;&gt;الإيصال!$C$3),"",COUNTIF(B$2:B1879,الإيصال!$C$3))</f>
        <v/>
      </c>
    </row>
    <row r="1880">
      <c r="A1880" s="6" t="n"/>
      <c r="B1880" s="4" t="n"/>
      <c r="C1880" s="4" t="n"/>
      <c r="D1880" s="4" t="n"/>
      <c r="E1880">
        <f>IF(D1880="","",IFERROR(INDEX(الأصناف!$B$2:$B$2000,MATCH(D1880,الأصناف!$A$2:$A$2000,0)),"كود غير موجود"))</f>
        <v/>
      </c>
      <c r="F1880" s="4" t="n"/>
      <c r="G1880">
        <f>IF(D1880="","",IFERROR(INDEX(الأصناف!$C$2:$C$2000,MATCH(D1880,الأصناف!$A$2:$A$2000,0)),0))</f>
        <v/>
      </c>
      <c r="H1880">
        <f>IF(D1880="","",F1880*G1880)</f>
        <v/>
      </c>
      <c r="I1880">
        <f>IF(D1880="","",H1880-F1880*IFERROR(INDEX(الأصناف!$D$2:$D$2000,MATCH(D1880,الأصناف!$A$2:$A$2000,0)),0))</f>
        <v/>
      </c>
      <c r="J1880" s="4" t="n"/>
      <c r="K1880" s="7">
        <f>IF(OR(B1880="",B1880&lt;&gt;الإيصال!$C$3),"",COUNTIF(B$2:B1880,الإيصال!$C$3))</f>
        <v/>
      </c>
    </row>
    <row r="1881">
      <c r="A1881" s="6" t="n"/>
      <c r="B1881" s="4" t="n"/>
      <c r="C1881" s="4" t="n"/>
      <c r="D1881" s="4" t="n"/>
      <c r="E1881">
        <f>IF(D1881="","",IFERROR(INDEX(الأصناف!$B$2:$B$2000,MATCH(D1881,الأصناف!$A$2:$A$2000,0)),"كود غير موجود"))</f>
        <v/>
      </c>
      <c r="F1881" s="4" t="n"/>
      <c r="G1881">
        <f>IF(D1881="","",IFERROR(INDEX(الأصناف!$C$2:$C$2000,MATCH(D1881,الأصناف!$A$2:$A$2000,0)),0))</f>
        <v/>
      </c>
      <c r="H1881">
        <f>IF(D1881="","",F1881*G1881)</f>
        <v/>
      </c>
      <c r="I1881">
        <f>IF(D1881="","",H1881-F1881*IFERROR(INDEX(الأصناف!$D$2:$D$2000,MATCH(D1881,الأصناف!$A$2:$A$2000,0)),0))</f>
        <v/>
      </c>
      <c r="J1881" s="4" t="n"/>
      <c r="K1881" s="7">
        <f>IF(OR(B1881="",B1881&lt;&gt;الإيصال!$C$3),"",COUNTIF(B$2:B1881,الإيصال!$C$3))</f>
        <v/>
      </c>
    </row>
    <row r="1882">
      <c r="A1882" s="6" t="n"/>
      <c r="B1882" s="4" t="n"/>
      <c r="C1882" s="4" t="n"/>
      <c r="D1882" s="4" t="n"/>
      <c r="E1882">
        <f>IF(D1882="","",IFERROR(INDEX(الأصناف!$B$2:$B$2000,MATCH(D1882,الأصناف!$A$2:$A$2000,0)),"كود غير موجود"))</f>
        <v/>
      </c>
      <c r="F1882" s="4" t="n"/>
      <c r="G1882">
        <f>IF(D1882="","",IFERROR(INDEX(الأصناف!$C$2:$C$2000,MATCH(D1882,الأصناف!$A$2:$A$2000,0)),0))</f>
        <v/>
      </c>
      <c r="H1882">
        <f>IF(D1882="","",F1882*G1882)</f>
        <v/>
      </c>
      <c r="I1882">
        <f>IF(D1882="","",H1882-F1882*IFERROR(INDEX(الأصناف!$D$2:$D$2000,MATCH(D1882,الأصناف!$A$2:$A$2000,0)),0))</f>
        <v/>
      </c>
      <c r="J1882" s="4" t="n"/>
      <c r="K1882" s="7">
        <f>IF(OR(B1882="",B1882&lt;&gt;الإيصال!$C$3),"",COUNTIF(B$2:B1882,الإيصال!$C$3))</f>
        <v/>
      </c>
    </row>
    <row r="1883">
      <c r="A1883" s="6" t="n"/>
      <c r="B1883" s="4" t="n"/>
      <c r="C1883" s="4" t="n"/>
      <c r="D1883" s="4" t="n"/>
      <c r="E1883">
        <f>IF(D1883="","",IFERROR(INDEX(الأصناف!$B$2:$B$2000,MATCH(D1883,الأصناف!$A$2:$A$2000,0)),"كود غير موجود"))</f>
        <v/>
      </c>
      <c r="F1883" s="4" t="n"/>
      <c r="G1883">
        <f>IF(D1883="","",IFERROR(INDEX(الأصناف!$C$2:$C$2000,MATCH(D1883,الأصناف!$A$2:$A$2000,0)),0))</f>
        <v/>
      </c>
      <c r="H1883">
        <f>IF(D1883="","",F1883*G1883)</f>
        <v/>
      </c>
      <c r="I1883">
        <f>IF(D1883="","",H1883-F1883*IFERROR(INDEX(الأصناف!$D$2:$D$2000,MATCH(D1883,الأصناف!$A$2:$A$2000,0)),0))</f>
        <v/>
      </c>
      <c r="J1883" s="4" t="n"/>
      <c r="K1883" s="7">
        <f>IF(OR(B1883="",B1883&lt;&gt;الإيصال!$C$3),"",COUNTIF(B$2:B1883,الإيصال!$C$3))</f>
        <v/>
      </c>
    </row>
    <row r="1884">
      <c r="A1884" s="6" t="n"/>
      <c r="B1884" s="4" t="n"/>
      <c r="C1884" s="4" t="n"/>
      <c r="D1884" s="4" t="n"/>
      <c r="E1884">
        <f>IF(D1884="","",IFERROR(INDEX(الأصناف!$B$2:$B$2000,MATCH(D1884,الأصناف!$A$2:$A$2000,0)),"كود غير موجود"))</f>
        <v/>
      </c>
      <c r="F1884" s="4" t="n"/>
      <c r="G1884">
        <f>IF(D1884="","",IFERROR(INDEX(الأصناف!$C$2:$C$2000,MATCH(D1884,الأصناف!$A$2:$A$2000,0)),0))</f>
        <v/>
      </c>
      <c r="H1884">
        <f>IF(D1884="","",F1884*G1884)</f>
        <v/>
      </c>
      <c r="I1884">
        <f>IF(D1884="","",H1884-F1884*IFERROR(INDEX(الأصناف!$D$2:$D$2000,MATCH(D1884,الأصناف!$A$2:$A$2000,0)),0))</f>
        <v/>
      </c>
      <c r="J1884" s="4" t="n"/>
      <c r="K1884" s="7">
        <f>IF(OR(B1884="",B1884&lt;&gt;الإيصال!$C$3),"",COUNTIF(B$2:B1884,الإيصال!$C$3))</f>
        <v/>
      </c>
    </row>
    <row r="1885">
      <c r="A1885" s="6" t="n"/>
      <c r="B1885" s="4" t="n"/>
      <c r="C1885" s="4" t="n"/>
      <c r="D1885" s="4" t="n"/>
      <c r="E1885">
        <f>IF(D1885="","",IFERROR(INDEX(الأصناف!$B$2:$B$2000,MATCH(D1885,الأصناف!$A$2:$A$2000,0)),"كود غير موجود"))</f>
        <v/>
      </c>
      <c r="F1885" s="4" t="n"/>
      <c r="G1885">
        <f>IF(D1885="","",IFERROR(INDEX(الأصناف!$C$2:$C$2000,MATCH(D1885,الأصناف!$A$2:$A$2000,0)),0))</f>
        <v/>
      </c>
      <c r="H1885">
        <f>IF(D1885="","",F1885*G1885)</f>
        <v/>
      </c>
      <c r="I1885">
        <f>IF(D1885="","",H1885-F1885*IFERROR(INDEX(الأصناف!$D$2:$D$2000,MATCH(D1885,الأصناف!$A$2:$A$2000,0)),0))</f>
        <v/>
      </c>
      <c r="J1885" s="4" t="n"/>
      <c r="K1885" s="7">
        <f>IF(OR(B1885="",B1885&lt;&gt;الإيصال!$C$3),"",COUNTIF(B$2:B1885,الإيصال!$C$3))</f>
        <v/>
      </c>
    </row>
    <row r="1886">
      <c r="A1886" s="6" t="n"/>
      <c r="B1886" s="4" t="n"/>
      <c r="C1886" s="4" t="n"/>
      <c r="D1886" s="4" t="n"/>
      <c r="E1886">
        <f>IF(D1886="","",IFERROR(INDEX(الأصناف!$B$2:$B$2000,MATCH(D1886,الأصناف!$A$2:$A$2000,0)),"كود غير موجود"))</f>
        <v/>
      </c>
      <c r="F1886" s="4" t="n"/>
      <c r="G1886">
        <f>IF(D1886="","",IFERROR(INDEX(الأصناف!$C$2:$C$2000,MATCH(D1886,الأصناف!$A$2:$A$2000,0)),0))</f>
        <v/>
      </c>
      <c r="H1886">
        <f>IF(D1886="","",F1886*G1886)</f>
        <v/>
      </c>
      <c r="I1886">
        <f>IF(D1886="","",H1886-F1886*IFERROR(INDEX(الأصناف!$D$2:$D$2000,MATCH(D1886,الأصناف!$A$2:$A$2000,0)),0))</f>
        <v/>
      </c>
      <c r="J1886" s="4" t="n"/>
      <c r="K1886" s="7">
        <f>IF(OR(B1886="",B1886&lt;&gt;الإيصال!$C$3),"",COUNTIF(B$2:B1886,الإيصال!$C$3))</f>
        <v/>
      </c>
    </row>
    <row r="1887">
      <c r="A1887" s="6" t="n"/>
      <c r="B1887" s="4" t="n"/>
      <c r="C1887" s="4" t="n"/>
      <c r="D1887" s="4" t="n"/>
      <c r="E1887">
        <f>IF(D1887="","",IFERROR(INDEX(الأصناف!$B$2:$B$2000,MATCH(D1887,الأصناف!$A$2:$A$2000,0)),"كود غير موجود"))</f>
        <v/>
      </c>
      <c r="F1887" s="4" t="n"/>
      <c r="G1887">
        <f>IF(D1887="","",IFERROR(INDEX(الأصناف!$C$2:$C$2000,MATCH(D1887,الأصناف!$A$2:$A$2000,0)),0))</f>
        <v/>
      </c>
      <c r="H1887">
        <f>IF(D1887="","",F1887*G1887)</f>
        <v/>
      </c>
      <c r="I1887">
        <f>IF(D1887="","",H1887-F1887*IFERROR(INDEX(الأصناف!$D$2:$D$2000,MATCH(D1887,الأصناف!$A$2:$A$2000,0)),0))</f>
        <v/>
      </c>
      <c r="J1887" s="4" t="n"/>
      <c r="K1887" s="7">
        <f>IF(OR(B1887="",B1887&lt;&gt;الإيصال!$C$3),"",COUNTIF(B$2:B1887,الإيصال!$C$3))</f>
        <v/>
      </c>
    </row>
    <row r="1888">
      <c r="A1888" s="6" t="n"/>
      <c r="B1888" s="4" t="n"/>
      <c r="C1888" s="4" t="n"/>
      <c r="D1888" s="4" t="n"/>
      <c r="E1888">
        <f>IF(D1888="","",IFERROR(INDEX(الأصناف!$B$2:$B$2000,MATCH(D1888,الأصناف!$A$2:$A$2000,0)),"كود غير موجود"))</f>
        <v/>
      </c>
      <c r="F1888" s="4" t="n"/>
      <c r="G1888">
        <f>IF(D1888="","",IFERROR(INDEX(الأصناف!$C$2:$C$2000,MATCH(D1888,الأصناف!$A$2:$A$2000,0)),0))</f>
        <v/>
      </c>
      <c r="H1888">
        <f>IF(D1888="","",F1888*G1888)</f>
        <v/>
      </c>
      <c r="I1888">
        <f>IF(D1888="","",H1888-F1888*IFERROR(INDEX(الأصناف!$D$2:$D$2000,MATCH(D1888,الأصناف!$A$2:$A$2000,0)),0))</f>
        <v/>
      </c>
      <c r="J1888" s="4" t="n"/>
      <c r="K1888" s="7">
        <f>IF(OR(B1888="",B1888&lt;&gt;الإيصال!$C$3),"",COUNTIF(B$2:B1888,الإيصال!$C$3))</f>
        <v/>
      </c>
    </row>
    <row r="1889">
      <c r="A1889" s="6" t="n"/>
      <c r="B1889" s="4" t="n"/>
      <c r="C1889" s="4" t="n"/>
      <c r="D1889" s="4" t="n"/>
      <c r="E1889">
        <f>IF(D1889="","",IFERROR(INDEX(الأصناف!$B$2:$B$2000,MATCH(D1889,الأصناف!$A$2:$A$2000,0)),"كود غير موجود"))</f>
        <v/>
      </c>
      <c r="F1889" s="4" t="n"/>
      <c r="G1889">
        <f>IF(D1889="","",IFERROR(INDEX(الأصناف!$C$2:$C$2000,MATCH(D1889,الأصناف!$A$2:$A$2000,0)),0))</f>
        <v/>
      </c>
      <c r="H1889">
        <f>IF(D1889="","",F1889*G1889)</f>
        <v/>
      </c>
      <c r="I1889">
        <f>IF(D1889="","",H1889-F1889*IFERROR(INDEX(الأصناف!$D$2:$D$2000,MATCH(D1889,الأصناف!$A$2:$A$2000,0)),0))</f>
        <v/>
      </c>
      <c r="J1889" s="4" t="n"/>
      <c r="K1889" s="7">
        <f>IF(OR(B1889="",B1889&lt;&gt;الإيصال!$C$3),"",COUNTIF(B$2:B1889,الإيصال!$C$3))</f>
        <v/>
      </c>
    </row>
    <row r="1890">
      <c r="A1890" s="6" t="n"/>
      <c r="B1890" s="4" t="n"/>
      <c r="C1890" s="4" t="n"/>
      <c r="D1890" s="4" t="n"/>
      <c r="E1890">
        <f>IF(D1890="","",IFERROR(INDEX(الأصناف!$B$2:$B$2000,MATCH(D1890,الأصناف!$A$2:$A$2000,0)),"كود غير موجود"))</f>
        <v/>
      </c>
      <c r="F1890" s="4" t="n"/>
      <c r="G1890">
        <f>IF(D1890="","",IFERROR(INDEX(الأصناف!$C$2:$C$2000,MATCH(D1890,الأصناف!$A$2:$A$2000,0)),0))</f>
        <v/>
      </c>
      <c r="H1890">
        <f>IF(D1890="","",F1890*G1890)</f>
        <v/>
      </c>
      <c r="I1890">
        <f>IF(D1890="","",H1890-F1890*IFERROR(INDEX(الأصناف!$D$2:$D$2000,MATCH(D1890,الأصناف!$A$2:$A$2000,0)),0))</f>
        <v/>
      </c>
      <c r="J1890" s="4" t="n"/>
      <c r="K1890" s="7">
        <f>IF(OR(B1890="",B1890&lt;&gt;الإيصال!$C$3),"",COUNTIF(B$2:B1890,الإيصال!$C$3))</f>
        <v/>
      </c>
    </row>
    <row r="1891">
      <c r="A1891" s="6" t="n"/>
      <c r="B1891" s="4" t="n"/>
      <c r="C1891" s="4" t="n"/>
      <c r="D1891" s="4" t="n"/>
      <c r="E1891">
        <f>IF(D1891="","",IFERROR(INDEX(الأصناف!$B$2:$B$2000,MATCH(D1891,الأصناف!$A$2:$A$2000,0)),"كود غير موجود"))</f>
        <v/>
      </c>
      <c r="F1891" s="4" t="n"/>
      <c r="G1891">
        <f>IF(D1891="","",IFERROR(INDEX(الأصناف!$C$2:$C$2000,MATCH(D1891,الأصناف!$A$2:$A$2000,0)),0))</f>
        <v/>
      </c>
      <c r="H1891">
        <f>IF(D1891="","",F1891*G1891)</f>
        <v/>
      </c>
      <c r="I1891">
        <f>IF(D1891="","",H1891-F1891*IFERROR(INDEX(الأصناف!$D$2:$D$2000,MATCH(D1891,الأصناف!$A$2:$A$2000,0)),0))</f>
        <v/>
      </c>
      <c r="J1891" s="4" t="n"/>
      <c r="K1891" s="7">
        <f>IF(OR(B1891="",B1891&lt;&gt;الإيصال!$C$3),"",COUNTIF(B$2:B1891,الإيصال!$C$3))</f>
        <v/>
      </c>
    </row>
    <row r="1892">
      <c r="A1892" s="6" t="n"/>
      <c r="B1892" s="4" t="n"/>
      <c r="C1892" s="4" t="n"/>
      <c r="D1892" s="4" t="n"/>
      <c r="E1892">
        <f>IF(D1892="","",IFERROR(INDEX(الأصناف!$B$2:$B$2000,MATCH(D1892,الأصناف!$A$2:$A$2000,0)),"كود غير موجود"))</f>
        <v/>
      </c>
      <c r="F1892" s="4" t="n"/>
      <c r="G1892">
        <f>IF(D1892="","",IFERROR(INDEX(الأصناف!$C$2:$C$2000,MATCH(D1892,الأصناف!$A$2:$A$2000,0)),0))</f>
        <v/>
      </c>
      <c r="H1892">
        <f>IF(D1892="","",F1892*G1892)</f>
        <v/>
      </c>
      <c r="I1892">
        <f>IF(D1892="","",H1892-F1892*IFERROR(INDEX(الأصناف!$D$2:$D$2000,MATCH(D1892,الأصناف!$A$2:$A$2000,0)),0))</f>
        <v/>
      </c>
      <c r="J1892" s="4" t="n"/>
      <c r="K1892" s="7">
        <f>IF(OR(B1892="",B1892&lt;&gt;الإيصال!$C$3),"",COUNTIF(B$2:B1892,الإيصال!$C$3))</f>
        <v/>
      </c>
    </row>
    <row r="1893">
      <c r="A1893" s="6" t="n"/>
      <c r="B1893" s="4" t="n"/>
      <c r="C1893" s="4" t="n"/>
      <c r="D1893" s="4" t="n"/>
      <c r="E1893">
        <f>IF(D1893="","",IFERROR(INDEX(الأصناف!$B$2:$B$2000,MATCH(D1893,الأصناف!$A$2:$A$2000,0)),"كود غير موجود"))</f>
        <v/>
      </c>
      <c r="F1893" s="4" t="n"/>
      <c r="G1893">
        <f>IF(D1893="","",IFERROR(INDEX(الأصناف!$C$2:$C$2000,MATCH(D1893,الأصناف!$A$2:$A$2000,0)),0))</f>
        <v/>
      </c>
      <c r="H1893">
        <f>IF(D1893="","",F1893*G1893)</f>
        <v/>
      </c>
      <c r="I1893">
        <f>IF(D1893="","",H1893-F1893*IFERROR(INDEX(الأصناف!$D$2:$D$2000,MATCH(D1893,الأصناف!$A$2:$A$2000,0)),0))</f>
        <v/>
      </c>
      <c r="J1893" s="4" t="n"/>
      <c r="K1893" s="7">
        <f>IF(OR(B1893="",B1893&lt;&gt;الإيصال!$C$3),"",COUNTIF(B$2:B1893,الإيصال!$C$3))</f>
        <v/>
      </c>
    </row>
    <row r="1894">
      <c r="A1894" s="6" t="n"/>
      <c r="B1894" s="4" t="n"/>
      <c r="C1894" s="4" t="n"/>
      <c r="D1894" s="4" t="n"/>
      <c r="E1894">
        <f>IF(D1894="","",IFERROR(INDEX(الأصناف!$B$2:$B$2000,MATCH(D1894,الأصناف!$A$2:$A$2000,0)),"كود غير موجود"))</f>
        <v/>
      </c>
      <c r="F1894" s="4" t="n"/>
      <c r="G1894">
        <f>IF(D1894="","",IFERROR(INDEX(الأصناف!$C$2:$C$2000,MATCH(D1894,الأصناف!$A$2:$A$2000,0)),0))</f>
        <v/>
      </c>
      <c r="H1894">
        <f>IF(D1894="","",F1894*G1894)</f>
        <v/>
      </c>
      <c r="I1894">
        <f>IF(D1894="","",H1894-F1894*IFERROR(INDEX(الأصناف!$D$2:$D$2000,MATCH(D1894,الأصناف!$A$2:$A$2000,0)),0))</f>
        <v/>
      </c>
      <c r="J1894" s="4" t="n"/>
      <c r="K1894" s="7">
        <f>IF(OR(B1894="",B1894&lt;&gt;الإيصال!$C$3),"",COUNTIF(B$2:B1894,الإيصال!$C$3))</f>
        <v/>
      </c>
    </row>
    <row r="1895">
      <c r="A1895" s="6" t="n"/>
      <c r="B1895" s="4" t="n"/>
      <c r="C1895" s="4" t="n"/>
      <c r="D1895" s="4" t="n"/>
      <c r="E1895">
        <f>IF(D1895="","",IFERROR(INDEX(الأصناف!$B$2:$B$2000,MATCH(D1895,الأصناف!$A$2:$A$2000,0)),"كود غير موجود"))</f>
        <v/>
      </c>
      <c r="F1895" s="4" t="n"/>
      <c r="G1895">
        <f>IF(D1895="","",IFERROR(INDEX(الأصناف!$C$2:$C$2000,MATCH(D1895,الأصناف!$A$2:$A$2000,0)),0))</f>
        <v/>
      </c>
      <c r="H1895">
        <f>IF(D1895="","",F1895*G1895)</f>
        <v/>
      </c>
      <c r="I1895">
        <f>IF(D1895="","",H1895-F1895*IFERROR(INDEX(الأصناف!$D$2:$D$2000,MATCH(D1895,الأصناف!$A$2:$A$2000,0)),0))</f>
        <v/>
      </c>
      <c r="J1895" s="4" t="n"/>
      <c r="K1895" s="7">
        <f>IF(OR(B1895="",B1895&lt;&gt;الإيصال!$C$3),"",COUNTIF(B$2:B1895,الإيصال!$C$3))</f>
        <v/>
      </c>
    </row>
    <row r="1896">
      <c r="A1896" s="6" t="n"/>
      <c r="B1896" s="4" t="n"/>
      <c r="C1896" s="4" t="n"/>
      <c r="D1896" s="4" t="n"/>
      <c r="E1896">
        <f>IF(D1896="","",IFERROR(INDEX(الأصناف!$B$2:$B$2000,MATCH(D1896,الأصناف!$A$2:$A$2000,0)),"كود غير موجود"))</f>
        <v/>
      </c>
      <c r="F1896" s="4" t="n"/>
      <c r="G1896">
        <f>IF(D1896="","",IFERROR(INDEX(الأصناف!$C$2:$C$2000,MATCH(D1896,الأصناف!$A$2:$A$2000,0)),0))</f>
        <v/>
      </c>
      <c r="H1896">
        <f>IF(D1896="","",F1896*G1896)</f>
        <v/>
      </c>
      <c r="I1896">
        <f>IF(D1896="","",H1896-F1896*IFERROR(INDEX(الأصناف!$D$2:$D$2000,MATCH(D1896,الأصناف!$A$2:$A$2000,0)),0))</f>
        <v/>
      </c>
      <c r="J1896" s="4" t="n"/>
      <c r="K1896" s="7">
        <f>IF(OR(B1896="",B1896&lt;&gt;الإيصال!$C$3),"",COUNTIF(B$2:B1896,الإيصال!$C$3))</f>
        <v/>
      </c>
    </row>
    <row r="1897">
      <c r="A1897" s="6" t="n"/>
      <c r="B1897" s="4" t="n"/>
      <c r="C1897" s="4" t="n"/>
      <c r="D1897" s="4" t="n"/>
      <c r="E1897">
        <f>IF(D1897="","",IFERROR(INDEX(الأصناف!$B$2:$B$2000,MATCH(D1897,الأصناف!$A$2:$A$2000,0)),"كود غير موجود"))</f>
        <v/>
      </c>
      <c r="F1897" s="4" t="n"/>
      <c r="G1897">
        <f>IF(D1897="","",IFERROR(INDEX(الأصناف!$C$2:$C$2000,MATCH(D1897,الأصناف!$A$2:$A$2000,0)),0))</f>
        <v/>
      </c>
      <c r="H1897">
        <f>IF(D1897="","",F1897*G1897)</f>
        <v/>
      </c>
      <c r="I1897">
        <f>IF(D1897="","",H1897-F1897*IFERROR(INDEX(الأصناف!$D$2:$D$2000,MATCH(D1897,الأصناف!$A$2:$A$2000,0)),0))</f>
        <v/>
      </c>
      <c r="J1897" s="4" t="n"/>
      <c r="K1897" s="7">
        <f>IF(OR(B1897="",B1897&lt;&gt;الإيصال!$C$3),"",COUNTIF(B$2:B1897,الإيصال!$C$3))</f>
        <v/>
      </c>
    </row>
    <row r="1898">
      <c r="A1898" s="6" t="n"/>
      <c r="B1898" s="4" t="n"/>
      <c r="C1898" s="4" t="n"/>
      <c r="D1898" s="4" t="n"/>
      <c r="E1898">
        <f>IF(D1898="","",IFERROR(INDEX(الأصناف!$B$2:$B$2000,MATCH(D1898,الأصناف!$A$2:$A$2000,0)),"كود غير موجود"))</f>
        <v/>
      </c>
      <c r="F1898" s="4" t="n"/>
      <c r="G1898">
        <f>IF(D1898="","",IFERROR(INDEX(الأصناف!$C$2:$C$2000,MATCH(D1898,الأصناف!$A$2:$A$2000,0)),0))</f>
        <v/>
      </c>
      <c r="H1898">
        <f>IF(D1898="","",F1898*G1898)</f>
        <v/>
      </c>
      <c r="I1898">
        <f>IF(D1898="","",H1898-F1898*IFERROR(INDEX(الأصناف!$D$2:$D$2000,MATCH(D1898,الأصناف!$A$2:$A$2000,0)),0))</f>
        <v/>
      </c>
      <c r="J1898" s="4" t="n"/>
      <c r="K1898" s="7">
        <f>IF(OR(B1898="",B1898&lt;&gt;الإيصال!$C$3),"",COUNTIF(B$2:B1898,الإيصال!$C$3))</f>
        <v/>
      </c>
    </row>
    <row r="1899">
      <c r="A1899" s="6" t="n"/>
      <c r="B1899" s="4" t="n"/>
      <c r="C1899" s="4" t="n"/>
      <c r="D1899" s="4" t="n"/>
      <c r="E1899">
        <f>IF(D1899="","",IFERROR(INDEX(الأصناف!$B$2:$B$2000,MATCH(D1899,الأصناف!$A$2:$A$2000,0)),"كود غير موجود"))</f>
        <v/>
      </c>
      <c r="F1899" s="4" t="n"/>
      <c r="G1899">
        <f>IF(D1899="","",IFERROR(INDEX(الأصناف!$C$2:$C$2000,MATCH(D1899,الأصناف!$A$2:$A$2000,0)),0))</f>
        <v/>
      </c>
      <c r="H1899">
        <f>IF(D1899="","",F1899*G1899)</f>
        <v/>
      </c>
      <c r="I1899">
        <f>IF(D1899="","",H1899-F1899*IFERROR(INDEX(الأصناف!$D$2:$D$2000,MATCH(D1899,الأصناف!$A$2:$A$2000,0)),0))</f>
        <v/>
      </c>
      <c r="J1899" s="4" t="n"/>
      <c r="K1899" s="7">
        <f>IF(OR(B1899="",B1899&lt;&gt;الإيصال!$C$3),"",COUNTIF(B$2:B1899,الإيصال!$C$3))</f>
        <v/>
      </c>
    </row>
    <row r="1900">
      <c r="A1900" s="6" t="n"/>
      <c r="B1900" s="4" t="n"/>
      <c r="C1900" s="4" t="n"/>
      <c r="D1900" s="4" t="n"/>
      <c r="E1900">
        <f>IF(D1900="","",IFERROR(INDEX(الأصناف!$B$2:$B$2000,MATCH(D1900,الأصناف!$A$2:$A$2000,0)),"كود غير موجود"))</f>
        <v/>
      </c>
      <c r="F1900" s="4" t="n"/>
      <c r="G1900">
        <f>IF(D1900="","",IFERROR(INDEX(الأصناف!$C$2:$C$2000,MATCH(D1900,الأصناف!$A$2:$A$2000,0)),0))</f>
        <v/>
      </c>
      <c r="H1900">
        <f>IF(D1900="","",F1900*G1900)</f>
        <v/>
      </c>
      <c r="I1900">
        <f>IF(D1900="","",H1900-F1900*IFERROR(INDEX(الأصناف!$D$2:$D$2000,MATCH(D1900,الأصناف!$A$2:$A$2000,0)),0))</f>
        <v/>
      </c>
      <c r="J1900" s="4" t="n"/>
      <c r="K1900" s="7">
        <f>IF(OR(B1900="",B1900&lt;&gt;الإيصال!$C$3),"",COUNTIF(B$2:B1900,الإيصال!$C$3))</f>
        <v/>
      </c>
    </row>
    <row r="1901">
      <c r="A1901" s="6" t="n"/>
      <c r="B1901" s="4" t="n"/>
      <c r="C1901" s="4" t="n"/>
      <c r="D1901" s="4" t="n"/>
      <c r="E1901">
        <f>IF(D1901="","",IFERROR(INDEX(الأصناف!$B$2:$B$2000,MATCH(D1901,الأصناف!$A$2:$A$2000,0)),"كود غير موجود"))</f>
        <v/>
      </c>
      <c r="F1901" s="4" t="n"/>
      <c r="G1901">
        <f>IF(D1901="","",IFERROR(INDEX(الأصناف!$C$2:$C$2000,MATCH(D1901,الأصناف!$A$2:$A$2000,0)),0))</f>
        <v/>
      </c>
      <c r="H1901">
        <f>IF(D1901="","",F1901*G1901)</f>
        <v/>
      </c>
      <c r="I1901">
        <f>IF(D1901="","",H1901-F1901*IFERROR(INDEX(الأصناف!$D$2:$D$2000,MATCH(D1901,الأصناف!$A$2:$A$2000,0)),0))</f>
        <v/>
      </c>
      <c r="J1901" s="4" t="n"/>
      <c r="K1901" s="7">
        <f>IF(OR(B1901="",B1901&lt;&gt;الإيصال!$C$3),"",COUNTIF(B$2:B1901,الإيصال!$C$3))</f>
        <v/>
      </c>
    </row>
    <row r="1902">
      <c r="A1902" s="6" t="n"/>
      <c r="B1902" s="4" t="n"/>
      <c r="C1902" s="4" t="n"/>
      <c r="D1902" s="4" t="n"/>
      <c r="E1902">
        <f>IF(D1902="","",IFERROR(INDEX(الأصناف!$B$2:$B$2000,MATCH(D1902,الأصناف!$A$2:$A$2000,0)),"كود غير موجود"))</f>
        <v/>
      </c>
      <c r="F1902" s="4" t="n"/>
      <c r="G1902">
        <f>IF(D1902="","",IFERROR(INDEX(الأصناف!$C$2:$C$2000,MATCH(D1902,الأصناف!$A$2:$A$2000,0)),0))</f>
        <v/>
      </c>
      <c r="H1902">
        <f>IF(D1902="","",F1902*G1902)</f>
        <v/>
      </c>
      <c r="I1902">
        <f>IF(D1902="","",H1902-F1902*IFERROR(INDEX(الأصناف!$D$2:$D$2000,MATCH(D1902,الأصناف!$A$2:$A$2000,0)),0))</f>
        <v/>
      </c>
      <c r="J1902" s="4" t="n"/>
      <c r="K1902" s="7">
        <f>IF(OR(B1902="",B1902&lt;&gt;الإيصال!$C$3),"",COUNTIF(B$2:B1902,الإيصال!$C$3))</f>
        <v/>
      </c>
    </row>
    <row r="1903">
      <c r="A1903" s="6" t="n"/>
      <c r="B1903" s="4" t="n"/>
      <c r="C1903" s="4" t="n"/>
      <c r="D1903" s="4" t="n"/>
      <c r="E1903">
        <f>IF(D1903="","",IFERROR(INDEX(الأصناف!$B$2:$B$2000,MATCH(D1903,الأصناف!$A$2:$A$2000,0)),"كود غير موجود"))</f>
        <v/>
      </c>
      <c r="F1903" s="4" t="n"/>
      <c r="G1903">
        <f>IF(D1903="","",IFERROR(INDEX(الأصناف!$C$2:$C$2000,MATCH(D1903,الأصناف!$A$2:$A$2000,0)),0))</f>
        <v/>
      </c>
      <c r="H1903">
        <f>IF(D1903="","",F1903*G1903)</f>
        <v/>
      </c>
      <c r="I1903">
        <f>IF(D1903="","",H1903-F1903*IFERROR(INDEX(الأصناف!$D$2:$D$2000,MATCH(D1903,الأصناف!$A$2:$A$2000,0)),0))</f>
        <v/>
      </c>
      <c r="J1903" s="4" t="n"/>
      <c r="K1903" s="7">
        <f>IF(OR(B1903="",B1903&lt;&gt;الإيصال!$C$3),"",COUNTIF(B$2:B1903,الإيصال!$C$3))</f>
        <v/>
      </c>
    </row>
    <row r="1904">
      <c r="A1904" s="6" t="n"/>
      <c r="B1904" s="4" t="n"/>
      <c r="C1904" s="4" t="n"/>
      <c r="D1904" s="4" t="n"/>
      <c r="E1904">
        <f>IF(D1904="","",IFERROR(INDEX(الأصناف!$B$2:$B$2000,MATCH(D1904,الأصناف!$A$2:$A$2000,0)),"كود غير موجود"))</f>
        <v/>
      </c>
      <c r="F1904" s="4" t="n"/>
      <c r="G1904">
        <f>IF(D1904="","",IFERROR(INDEX(الأصناف!$C$2:$C$2000,MATCH(D1904,الأصناف!$A$2:$A$2000,0)),0))</f>
        <v/>
      </c>
      <c r="H1904">
        <f>IF(D1904="","",F1904*G1904)</f>
        <v/>
      </c>
      <c r="I1904">
        <f>IF(D1904="","",H1904-F1904*IFERROR(INDEX(الأصناف!$D$2:$D$2000,MATCH(D1904,الأصناف!$A$2:$A$2000,0)),0))</f>
        <v/>
      </c>
      <c r="J1904" s="4" t="n"/>
      <c r="K1904" s="7">
        <f>IF(OR(B1904="",B1904&lt;&gt;الإيصال!$C$3),"",COUNTIF(B$2:B1904,الإيصال!$C$3))</f>
        <v/>
      </c>
    </row>
    <row r="1905">
      <c r="A1905" s="6" t="n"/>
      <c r="B1905" s="4" t="n"/>
      <c r="C1905" s="4" t="n"/>
      <c r="D1905" s="4" t="n"/>
      <c r="E1905">
        <f>IF(D1905="","",IFERROR(INDEX(الأصناف!$B$2:$B$2000,MATCH(D1905,الأصناف!$A$2:$A$2000,0)),"كود غير موجود"))</f>
        <v/>
      </c>
      <c r="F1905" s="4" t="n"/>
      <c r="G1905">
        <f>IF(D1905="","",IFERROR(INDEX(الأصناف!$C$2:$C$2000,MATCH(D1905,الأصناف!$A$2:$A$2000,0)),0))</f>
        <v/>
      </c>
      <c r="H1905">
        <f>IF(D1905="","",F1905*G1905)</f>
        <v/>
      </c>
      <c r="I1905">
        <f>IF(D1905="","",H1905-F1905*IFERROR(INDEX(الأصناف!$D$2:$D$2000,MATCH(D1905,الأصناف!$A$2:$A$2000,0)),0))</f>
        <v/>
      </c>
      <c r="J1905" s="4" t="n"/>
      <c r="K1905" s="7">
        <f>IF(OR(B1905="",B1905&lt;&gt;الإيصال!$C$3),"",COUNTIF(B$2:B1905,الإيصال!$C$3))</f>
        <v/>
      </c>
    </row>
    <row r="1906">
      <c r="A1906" s="6" t="n"/>
      <c r="B1906" s="4" t="n"/>
      <c r="C1906" s="4" t="n"/>
      <c r="D1906" s="4" t="n"/>
      <c r="E1906">
        <f>IF(D1906="","",IFERROR(INDEX(الأصناف!$B$2:$B$2000,MATCH(D1906,الأصناف!$A$2:$A$2000,0)),"كود غير موجود"))</f>
        <v/>
      </c>
      <c r="F1906" s="4" t="n"/>
      <c r="G1906">
        <f>IF(D1906="","",IFERROR(INDEX(الأصناف!$C$2:$C$2000,MATCH(D1906,الأصناف!$A$2:$A$2000,0)),0))</f>
        <v/>
      </c>
      <c r="H1906">
        <f>IF(D1906="","",F1906*G1906)</f>
        <v/>
      </c>
      <c r="I1906">
        <f>IF(D1906="","",H1906-F1906*IFERROR(INDEX(الأصناف!$D$2:$D$2000,MATCH(D1906,الأصناف!$A$2:$A$2000,0)),0))</f>
        <v/>
      </c>
      <c r="J1906" s="4" t="n"/>
      <c r="K1906" s="7">
        <f>IF(OR(B1906="",B1906&lt;&gt;الإيصال!$C$3),"",COUNTIF(B$2:B1906,الإيصال!$C$3))</f>
        <v/>
      </c>
    </row>
    <row r="1907">
      <c r="A1907" s="6" t="n"/>
      <c r="B1907" s="4" t="n"/>
      <c r="C1907" s="4" t="n"/>
      <c r="D1907" s="4" t="n"/>
      <c r="E1907">
        <f>IF(D1907="","",IFERROR(INDEX(الأصناف!$B$2:$B$2000,MATCH(D1907,الأصناف!$A$2:$A$2000,0)),"كود غير موجود"))</f>
        <v/>
      </c>
      <c r="F1907" s="4" t="n"/>
      <c r="G1907">
        <f>IF(D1907="","",IFERROR(INDEX(الأصناف!$C$2:$C$2000,MATCH(D1907,الأصناف!$A$2:$A$2000,0)),0))</f>
        <v/>
      </c>
      <c r="H1907">
        <f>IF(D1907="","",F1907*G1907)</f>
        <v/>
      </c>
      <c r="I1907">
        <f>IF(D1907="","",H1907-F1907*IFERROR(INDEX(الأصناف!$D$2:$D$2000,MATCH(D1907,الأصناف!$A$2:$A$2000,0)),0))</f>
        <v/>
      </c>
      <c r="J1907" s="4" t="n"/>
      <c r="K1907" s="7">
        <f>IF(OR(B1907="",B1907&lt;&gt;الإيصال!$C$3),"",COUNTIF(B$2:B1907,الإيصال!$C$3))</f>
        <v/>
      </c>
    </row>
    <row r="1908">
      <c r="A1908" s="6" t="n"/>
      <c r="B1908" s="4" t="n"/>
      <c r="C1908" s="4" t="n"/>
      <c r="D1908" s="4" t="n"/>
      <c r="E1908">
        <f>IF(D1908="","",IFERROR(INDEX(الأصناف!$B$2:$B$2000,MATCH(D1908,الأصناف!$A$2:$A$2000,0)),"كود غير موجود"))</f>
        <v/>
      </c>
      <c r="F1908" s="4" t="n"/>
      <c r="G1908">
        <f>IF(D1908="","",IFERROR(INDEX(الأصناف!$C$2:$C$2000,MATCH(D1908,الأصناف!$A$2:$A$2000,0)),0))</f>
        <v/>
      </c>
      <c r="H1908">
        <f>IF(D1908="","",F1908*G1908)</f>
        <v/>
      </c>
      <c r="I1908">
        <f>IF(D1908="","",H1908-F1908*IFERROR(INDEX(الأصناف!$D$2:$D$2000,MATCH(D1908,الأصناف!$A$2:$A$2000,0)),0))</f>
        <v/>
      </c>
      <c r="J1908" s="4" t="n"/>
      <c r="K1908" s="7">
        <f>IF(OR(B1908="",B1908&lt;&gt;الإيصال!$C$3),"",COUNTIF(B$2:B1908,الإيصال!$C$3))</f>
        <v/>
      </c>
    </row>
    <row r="1909">
      <c r="A1909" s="6" t="n"/>
      <c r="B1909" s="4" t="n"/>
      <c r="C1909" s="4" t="n"/>
      <c r="D1909" s="4" t="n"/>
      <c r="E1909">
        <f>IF(D1909="","",IFERROR(INDEX(الأصناف!$B$2:$B$2000,MATCH(D1909,الأصناف!$A$2:$A$2000,0)),"كود غير موجود"))</f>
        <v/>
      </c>
      <c r="F1909" s="4" t="n"/>
      <c r="G1909">
        <f>IF(D1909="","",IFERROR(INDEX(الأصناف!$C$2:$C$2000,MATCH(D1909,الأصناف!$A$2:$A$2000,0)),0))</f>
        <v/>
      </c>
      <c r="H1909">
        <f>IF(D1909="","",F1909*G1909)</f>
        <v/>
      </c>
      <c r="I1909">
        <f>IF(D1909="","",H1909-F1909*IFERROR(INDEX(الأصناف!$D$2:$D$2000,MATCH(D1909,الأصناف!$A$2:$A$2000,0)),0))</f>
        <v/>
      </c>
      <c r="J1909" s="4" t="n"/>
      <c r="K1909" s="7">
        <f>IF(OR(B1909="",B1909&lt;&gt;الإيصال!$C$3),"",COUNTIF(B$2:B1909,الإيصال!$C$3))</f>
        <v/>
      </c>
    </row>
    <row r="1910">
      <c r="A1910" s="6" t="n"/>
      <c r="B1910" s="4" t="n"/>
      <c r="C1910" s="4" t="n"/>
      <c r="D1910" s="4" t="n"/>
      <c r="E1910">
        <f>IF(D1910="","",IFERROR(INDEX(الأصناف!$B$2:$B$2000,MATCH(D1910,الأصناف!$A$2:$A$2000,0)),"كود غير موجود"))</f>
        <v/>
      </c>
      <c r="F1910" s="4" t="n"/>
      <c r="G1910">
        <f>IF(D1910="","",IFERROR(INDEX(الأصناف!$C$2:$C$2000,MATCH(D1910,الأصناف!$A$2:$A$2000,0)),0))</f>
        <v/>
      </c>
      <c r="H1910">
        <f>IF(D1910="","",F1910*G1910)</f>
        <v/>
      </c>
      <c r="I1910">
        <f>IF(D1910="","",H1910-F1910*IFERROR(INDEX(الأصناف!$D$2:$D$2000,MATCH(D1910,الأصناف!$A$2:$A$2000,0)),0))</f>
        <v/>
      </c>
      <c r="J1910" s="4" t="n"/>
      <c r="K1910" s="7">
        <f>IF(OR(B1910="",B1910&lt;&gt;الإيصال!$C$3),"",COUNTIF(B$2:B1910,الإيصال!$C$3))</f>
        <v/>
      </c>
    </row>
    <row r="1911">
      <c r="A1911" s="6" t="n"/>
      <c r="B1911" s="4" t="n"/>
      <c r="C1911" s="4" t="n"/>
      <c r="D1911" s="4" t="n"/>
      <c r="E1911">
        <f>IF(D1911="","",IFERROR(INDEX(الأصناف!$B$2:$B$2000,MATCH(D1911,الأصناف!$A$2:$A$2000,0)),"كود غير موجود"))</f>
        <v/>
      </c>
      <c r="F1911" s="4" t="n"/>
      <c r="G1911">
        <f>IF(D1911="","",IFERROR(INDEX(الأصناف!$C$2:$C$2000,MATCH(D1911,الأصناف!$A$2:$A$2000,0)),0))</f>
        <v/>
      </c>
      <c r="H1911">
        <f>IF(D1911="","",F1911*G1911)</f>
        <v/>
      </c>
      <c r="I1911">
        <f>IF(D1911="","",H1911-F1911*IFERROR(INDEX(الأصناف!$D$2:$D$2000,MATCH(D1911,الأصناف!$A$2:$A$2000,0)),0))</f>
        <v/>
      </c>
      <c r="J1911" s="4" t="n"/>
      <c r="K1911" s="7">
        <f>IF(OR(B1911="",B1911&lt;&gt;الإيصال!$C$3),"",COUNTIF(B$2:B1911,الإيصال!$C$3))</f>
        <v/>
      </c>
    </row>
    <row r="1912">
      <c r="A1912" s="6" t="n"/>
      <c r="B1912" s="4" t="n"/>
      <c r="C1912" s="4" t="n"/>
      <c r="D1912" s="4" t="n"/>
      <c r="E1912">
        <f>IF(D1912="","",IFERROR(INDEX(الأصناف!$B$2:$B$2000,MATCH(D1912,الأصناف!$A$2:$A$2000,0)),"كود غير موجود"))</f>
        <v/>
      </c>
      <c r="F1912" s="4" t="n"/>
      <c r="G1912">
        <f>IF(D1912="","",IFERROR(INDEX(الأصناف!$C$2:$C$2000,MATCH(D1912,الأصناف!$A$2:$A$2000,0)),0))</f>
        <v/>
      </c>
      <c r="H1912">
        <f>IF(D1912="","",F1912*G1912)</f>
        <v/>
      </c>
      <c r="I1912">
        <f>IF(D1912="","",H1912-F1912*IFERROR(INDEX(الأصناف!$D$2:$D$2000,MATCH(D1912,الأصناف!$A$2:$A$2000,0)),0))</f>
        <v/>
      </c>
      <c r="J1912" s="4" t="n"/>
      <c r="K1912" s="7">
        <f>IF(OR(B1912="",B1912&lt;&gt;الإيصال!$C$3),"",COUNTIF(B$2:B1912,الإيصال!$C$3))</f>
        <v/>
      </c>
    </row>
    <row r="1913">
      <c r="A1913" s="6" t="n"/>
      <c r="B1913" s="4" t="n"/>
      <c r="C1913" s="4" t="n"/>
      <c r="D1913" s="4" t="n"/>
      <c r="E1913">
        <f>IF(D1913="","",IFERROR(INDEX(الأصناف!$B$2:$B$2000,MATCH(D1913,الأصناف!$A$2:$A$2000,0)),"كود غير موجود"))</f>
        <v/>
      </c>
      <c r="F1913" s="4" t="n"/>
      <c r="G1913">
        <f>IF(D1913="","",IFERROR(INDEX(الأصناف!$C$2:$C$2000,MATCH(D1913,الأصناف!$A$2:$A$2000,0)),0))</f>
        <v/>
      </c>
      <c r="H1913">
        <f>IF(D1913="","",F1913*G1913)</f>
        <v/>
      </c>
      <c r="I1913">
        <f>IF(D1913="","",H1913-F1913*IFERROR(INDEX(الأصناف!$D$2:$D$2000,MATCH(D1913,الأصناف!$A$2:$A$2000,0)),0))</f>
        <v/>
      </c>
      <c r="J1913" s="4" t="n"/>
      <c r="K1913" s="7">
        <f>IF(OR(B1913="",B1913&lt;&gt;الإيصال!$C$3),"",COUNTIF(B$2:B1913,الإيصال!$C$3))</f>
        <v/>
      </c>
    </row>
    <row r="1914">
      <c r="A1914" s="6" t="n"/>
      <c r="B1914" s="4" t="n"/>
      <c r="C1914" s="4" t="n"/>
      <c r="D1914" s="4" t="n"/>
      <c r="E1914">
        <f>IF(D1914="","",IFERROR(INDEX(الأصناف!$B$2:$B$2000,MATCH(D1914,الأصناف!$A$2:$A$2000,0)),"كود غير موجود"))</f>
        <v/>
      </c>
      <c r="F1914" s="4" t="n"/>
      <c r="G1914">
        <f>IF(D1914="","",IFERROR(INDEX(الأصناف!$C$2:$C$2000,MATCH(D1914,الأصناف!$A$2:$A$2000,0)),0))</f>
        <v/>
      </c>
      <c r="H1914">
        <f>IF(D1914="","",F1914*G1914)</f>
        <v/>
      </c>
      <c r="I1914">
        <f>IF(D1914="","",H1914-F1914*IFERROR(INDEX(الأصناف!$D$2:$D$2000,MATCH(D1914,الأصناف!$A$2:$A$2000,0)),0))</f>
        <v/>
      </c>
      <c r="J1914" s="4" t="n"/>
      <c r="K1914" s="7">
        <f>IF(OR(B1914="",B1914&lt;&gt;الإيصال!$C$3),"",COUNTIF(B$2:B1914,الإيصال!$C$3))</f>
        <v/>
      </c>
    </row>
    <row r="1915">
      <c r="A1915" s="6" t="n"/>
      <c r="B1915" s="4" t="n"/>
      <c r="C1915" s="4" t="n"/>
      <c r="D1915" s="4" t="n"/>
      <c r="E1915">
        <f>IF(D1915="","",IFERROR(INDEX(الأصناف!$B$2:$B$2000,MATCH(D1915,الأصناف!$A$2:$A$2000,0)),"كود غير موجود"))</f>
        <v/>
      </c>
      <c r="F1915" s="4" t="n"/>
      <c r="G1915">
        <f>IF(D1915="","",IFERROR(INDEX(الأصناف!$C$2:$C$2000,MATCH(D1915,الأصناف!$A$2:$A$2000,0)),0))</f>
        <v/>
      </c>
      <c r="H1915">
        <f>IF(D1915="","",F1915*G1915)</f>
        <v/>
      </c>
      <c r="I1915">
        <f>IF(D1915="","",H1915-F1915*IFERROR(INDEX(الأصناف!$D$2:$D$2000,MATCH(D1915,الأصناف!$A$2:$A$2000,0)),0))</f>
        <v/>
      </c>
      <c r="J1915" s="4" t="n"/>
      <c r="K1915" s="7">
        <f>IF(OR(B1915="",B1915&lt;&gt;الإيصال!$C$3),"",COUNTIF(B$2:B1915,الإيصال!$C$3))</f>
        <v/>
      </c>
    </row>
    <row r="1916">
      <c r="A1916" s="6" t="n"/>
      <c r="B1916" s="4" t="n"/>
      <c r="C1916" s="4" t="n"/>
      <c r="D1916" s="4" t="n"/>
      <c r="E1916">
        <f>IF(D1916="","",IFERROR(INDEX(الأصناف!$B$2:$B$2000,MATCH(D1916,الأصناف!$A$2:$A$2000,0)),"كود غير موجود"))</f>
        <v/>
      </c>
      <c r="F1916" s="4" t="n"/>
      <c r="G1916">
        <f>IF(D1916="","",IFERROR(INDEX(الأصناف!$C$2:$C$2000,MATCH(D1916,الأصناف!$A$2:$A$2000,0)),0))</f>
        <v/>
      </c>
      <c r="H1916">
        <f>IF(D1916="","",F1916*G1916)</f>
        <v/>
      </c>
      <c r="I1916">
        <f>IF(D1916="","",H1916-F1916*IFERROR(INDEX(الأصناف!$D$2:$D$2000,MATCH(D1916,الأصناف!$A$2:$A$2000,0)),0))</f>
        <v/>
      </c>
      <c r="J1916" s="4" t="n"/>
      <c r="K1916" s="7">
        <f>IF(OR(B1916="",B1916&lt;&gt;الإيصال!$C$3),"",COUNTIF(B$2:B1916,الإيصال!$C$3))</f>
        <v/>
      </c>
    </row>
    <row r="1917">
      <c r="A1917" s="6" t="n"/>
      <c r="B1917" s="4" t="n"/>
      <c r="C1917" s="4" t="n"/>
      <c r="D1917" s="4" t="n"/>
      <c r="E1917">
        <f>IF(D1917="","",IFERROR(INDEX(الأصناف!$B$2:$B$2000,MATCH(D1917,الأصناف!$A$2:$A$2000,0)),"كود غير موجود"))</f>
        <v/>
      </c>
      <c r="F1917" s="4" t="n"/>
      <c r="G1917">
        <f>IF(D1917="","",IFERROR(INDEX(الأصناف!$C$2:$C$2000,MATCH(D1917,الأصناف!$A$2:$A$2000,0)),0))</f>
        <v/>
      </c>
      <c r="H1917">
        <f>IF(D1917="","",F1917*G1917)</f>
        <v/>
      </c>
      <c r="I1917">
        <f>IF(D1917="","",H1917-F1917*IFERROR(INDEX(الأصناف!$D$2:$D$2000,MATCH(D1917,الأصناف!$A$2:$A$2000,0)),0))</f>
        <v/>
      </c>
      <c r="J1917" s="4" t="n"/>
      <c r="K1917" s="7">
        <f>IF(OR(B1917="",B1917&lt;&gt;الإيصال!$C$3),"",COUNTIF(B$2:B1917,الإيصال!$C$3))</f>
        <v/>
      </c>
    </row>
    <row r="1918">
      <c r="A1918" s="6" t="n"/>
      <c r="B1918" s="4" t="n"/>
      <c r="C1918" s="4" t="n"/>
      <c r="D1918" s="4" t="n"/>
      <c r="E1918">
        <f>IF(D1918="","",IFERROR(INDEX(الأصناف!$B$2:$B$2000,MATCH(D1918,الأصناف!$A$2:$A$2000,0)),"كود غير موجود"))</f>
        <v/>
      </c>
      <c r="F1918" s="4" t="n"/>
      <c r="G1918">
        <f>IF(D1918="","",IFERROR(INDEX(الأصناف!$C$2:$C$2000,MATCH(D1918,الأصناف!$A$2:$A$2000,0)),0))</f>
        <v/>
      </c>
      <c r="H1918">
        <f>IF(D1918="","",F1918*G1918)</f>
        <v/>
      </c>
      <c r="I1918">
        <f>IF(D1918="","",H1918-F1918*IFERROR(INDEX(الأصناف!$D$2:$D$2000,MATCH(D1918,الأصناف!$A$2:$A$2000,0)),0))</f>
        <v/>
      </c>
      <c r="J1918" s="4" t="n"/>
      <c r="K1918" s="7">
        <f>IF(OR(B1918="",B1918&lt;&gt;الإيصال!$C$3),"",COUNTIF(B$2:B1918,الإيصال!$C$3))</f>
        <v/>
      </c>
    </row>
    <row r="1919">
      <c r="A1919" s="6" t="n"/>
      <c r="B1919" s="4" t="n"/>
      <c r="C1919" s="4" t="n"/>
      <c r="D1919" s="4" t="n"/>
      <c r="E1919">
        <f>IF(D1919="","",IFERROR(INDEX(الأصناف!$B$2:$B$2000,MATCH(D1919,الأصناف!$A$2:$A$2000,0)),"كود غير موجود"))</f>
        <v/>
      </c>
      <c r="F1919" s="4" t="n"/>
      <c r="G1919">
        <f>IF(D1919="","",IFERROR(INDEX(الأصناف!$C$2:$C$2000,MATCH(D1919,الأصناف!$A$2:$A$2000,0)),0))</f>
        <v/>
      </c>
      <c r="H1919">
        <f>IF(D1919="","",F1919*G1919)</f>
        <v/>
      </c>
      <c r="I1919">
        <f>IF(D1919="","",H1919-F1919*IFERROR(INDEX(الأصناف!$D$2:$D$2000,MATCH(D1919,الأصناف!$A$2:$A$2000,0)),0))</f>
        <v/>
      </c>
      <c r="J1919" s="4" t="n"/>
      <c r="K1919" s="7">
        <f>IF(OR(B1919="",B1919&lt;&gt;الإيصال!$C$3),"",COUNTIF(B$2:B1919,الإيصال!$C$3))</f>
        <v/>
      </c>
    </row>
    <row r="1920">
      <c r="A1920" s="6" t="n"/>
      <c r="B1920" s="4" t="n"/>
      <c r="C1920" s="4" t="n"/>
      <c r="D1920" s="4" t="n"/>
      <c r="E1920">
        <f>IF(D1920="","",IFERROR(INDEX(الأصناف!$B$2:$B$2000,MATCH(D1920,الأصناف!$A$2:$A$2000,0)),"كود غير موجود"))</f>
        <v/>
      </c>
      <c r="F1920" s="4" t="n"/>
      <c r="G1920">
        <f>IF(D1920="","",IFERROR(INDEX(الأصناف!$C$2:$C$2000,MATCH(D1920,الأصناف!$A$2:$A$2000,0)),0))</f>
        <v/>
      </c>
      <c r="H1920">
        <f>IF(D1920="","",F1920*G1920)</f>
        <v/>
      </c>
      <c r="I1920">
        <f>IF(D1920="","",H1920-F1920*IFERROR(INDEX(الأصناف!$D$2:$D$2000,MATCH(D1920,الأصناف!$A$2:$A$2000,0)),0))</f>
        <v/>
      </c>
      <c r="J1920" s="4" t="n"/>
      <c r="K1920" s="7">
        <f>IF(OR(B1920="",B1920&lt;&gt;الإيصال!$C$3),"",COUNTIF(B$2:B1920,الإيصال!$C$3))</f>
        <v/>
      </c>
    </row>
    <row r="1921">
      <c r="A1921" s="6" t="n"/>
      <c r="B1921" s="4" t="n"/>
      <c r="C1921" s="4" t="n"/>
      <c r="D1921" s="4" t="n"/>
      <c r="E1921">
        <f>IF(D1921="","",IFERROR(INDEX(الأصناف!$B$2:$B$2000,MATCH(D1921,الأصناف!$A$2:$A$2000,0)),"كود غير موجود"))</f>
        <v/>
      </c>
      <c r="F1921" s="4" t="n"/>
      <c r="G1921">
        <f>IF(D1921="","",IFERROR(INDEX(الأصناف!$C$2:$C$2000,MATCH(D1921,الأصناف!$A$2:$A$2000,0)),0))</f>
        <v/>
      </c>
      <c r="H1921">
        <f>IF(D1921="","",F1921*G1921)</f>
        <v/>
      </c>
      <c r="I1921">
        <f>IF(D1921="","",H1921-F1921*IFERROR(INDEX(الأصناف!$D$2:$D$2000,MATCH(D1921,الأصناف!$A$2:$A$2000,0)),0))</f>
        <v/>
      </c>
      <c r="J1921" s="4" t="n"/>
      <c r="K1921" s="7">
        <f>IF(OR(B1921="",B1921&lt;&gt;الإيصال!$C$3),"",COUNTIF(B$2:B1921,الإيصال!$C$3))</f>
        <v/>
      </c>
    </row>
    <row r="1922">
      <c r="A1922" s="6" t="n"/>
      <c r="B1922" s="4" t="n"/>
      <c r="C1922" s="4" t="n"/>
      <c r="D1922" s="4" t="n"/>
      <c r="E1922">
        <f>IF(D1922="","",IFERROR(INDEX(الأصناف!$B$2:$B$2000,MATCH(D1922,الأصناف!$A$2:$A$2000,0)),"كود غير موجود"))</f>
        <v/>
      </c>
      <c r="F1922" s="4" t="n"/>
      <c r="G1922">
        <f>IF(D1922="","",IFERROR(INDEX(الأصناف!$C$2:$C$2000,MATCH(D1922,الأصناف!$A$2:$A$2000,0)),0))</f>
        <v/>
      </c>
      <c r="H1922">
        <f>IF(D1922="","",F1922*G1922)</f>
        <v/>
      </c>
      <c r="I1922">
        <f>IF(D1922="","",H1922-F1922*IFERROR(INDEX(الأصناف!$D$2:$D$2000,MATCH(D1922,الأصناف!$A$2:$A$2000,0)),0))</f>
        <v/>
      </c>
      <c r="J1922" s="4" t="n"/>
      <c r="K1922" s="7">
        <f>IF(OR(B1922="",B1922&lt;&gt;الإيصال!$C$3),"",COUNTIF(B$2:B1922,الإيصال!$C$3))</f>
        <v/>
      </c>
    </row>
    <row r="1923">
      <c r="A1923" s="6" t="n"/>
      <c r="B1923" s="4" t="n"/>
      <c r="C1923" s="4" t="n"/>
      <c r="D1923" s="4" t="n"/>
      <c r="E1923">
        <f>IF(D1923="","",IFERROR(INDEX(الأصناف!$B$2:$B$2000,MATCH(D1923,الأصناف!$A$2:$A$2000,0)),"كود غير موجود"))</f>
        <v/>
      </c>
      <c r="F1923" s="4" t="n"/>
      <c r="G1923">
        <f>IF(D1923="","",IFERROR(INDEX(الأصناف!$C$2:$C$2000,MATCH(D1923,الأصناف!$A$2:$A$2000,0)),0))</f>
        <v/>
      </c>
      <c r="H1923">
        <f>IF(D1923="","",F1923*G1923)</f>
        <v/>
      </c>
      <c r="I1923">
        <f>IF(D1923="","",H1923-F1923*IFERROR(INDEX(الأصناف!$D$2:$D$2000,MATCH(D1923,الأصناف!$A$2:$A$2000,0)),0))</f>
        <v/>
      </c>
      <c r="J1923" s="4" t="n"/>
      <c r="K1923" s="7">
        <f>IF(OR(B1923="",B1923&lt;&gt;الإيصال!$C$3),"",COUNTIF(B$2:B1923,الإيصال!$C$3))</f>
        <v/>
      </c>
    </row>
    <row r="1924">
      <c r="A1924" s="6" t="n"/>
      <c r="B1924" s="4" t="n"/>
      <c r="C1924" s="4" t="n"/>
      <c r="D1924" s="4" t="n"/>
      <c r="E1924">
        <f>IF(D1924="","",IFERROR(INDEX(الأصناف!$B$2:$B$2000,MATCH(D1924,الأصناف!$A$2:$A$2000,0)),"كود غير موجود"))</f>
        <v/>
      </c>
      <c r="F1924" s="4" t="n"/>
      <c r="G1924">
        <f>IF(D1924="","",IFERROR(INDEX(الأصناف!$C$2:$C$2000,MATCH(D1924,الأصناف!$A$2:$A$2000,0)),0))</f>
        <v/>
      </c>
      <c r="H1924">
        <f>IF(D1924="","",F1924*G1924)</f>
        <v/>
      </c>
      <c r="I1924">
        <f>IF(D1924="","",H1924-F1924*IFERROR(INDEX(الأصناف!$D$2:$D$2000,MATCH(D1924,الأصناف!$A$2:$A$2000,0)),0))</f>
        <v/>
      </c>
      <c r="J1924" s="4" t="n"/>
      <c r="K1924" s="7">
        <f>IF(OR(B1924="",B1924&lt;&gt;الإيصال!$C$3),"",COUNTIF(B$2:B1924,الإيصال!$C$3))</f>
        <v/>
      </c>
    </row>
    <row r="1925">
      <c r="A1925" s="6" t="n"/>
      <c r="B1925" s="4" t="n"/>
      <c r="C1925" s="4" t="n"/>
      <c r="D1925" s="4" t="n"/>
      <c r="E1925">
        <f>IF(D1925="","",IFERROR(INDEX(الأصناف!$B$2:$B$2000,MATCH(D1925,الأصناف!$A$2:$A$2000,0)),"كود غير موجود"))</f>
        <v/>
      </c>
      <c r="F1925" s="4" t="n"/>
      <c r="G1925">
        <f>IF(D1925="","",IFERROR(INDEX(الأصناف!$C$2:$C$2000,MATCH(D1925,الأصناف!$A$2:$A$2000,0)),0))</f>
        <v/>
      </c>
      <c r="H1925">
        <f>IF(D1925="","",F1925*G1925)</f>
        <v/>
      </c>
      <c r="I1925">
        <f>IF(D1925="","",H1925-F1925*IFERROR(INDEX(الأصناف!$D$2:$D$2000,MATCH(D1925,الأصناف!$A$2:$A$2000,0)),0))</f>
        <v/>
      </c>
      <c r="J1925" s="4" t="n"/>
      <c r="K1925" s="7">
        <f>IF(OR(B1925="",B1925&lt;&gt;الإيصال!$C$3),"",COUNTIF(B$2:B1925,الإيصال!$C$3))</f>
        <v/>
      </c>
    </row>
    <row r="1926">
      <c r="A1926" s="6" t="n"/>
      <c r="B1926" s="4" t="n"/>
      <c r="C1926" s="4" t="n"/>
      <c r="D1926" s="4" t="n"/>
      <c r="E1926">
        <f>IF(D1926="","",IFERROR(INDEX(الأصناف!$B$2:$B$2000,MATCH(D1926,الأصناف!$A$2:$A$2000,0)),"كود غير موجود"))</f>
        <v/>
      </c>
      <c r="F1926" s="4" t="n"/>
      <c r="G1926">
        <f>IF(D1926="","",IFERROR(INDEX(الأصناف!$C$2:$C$2000,MATCH(D1926,الأصناف!$A$2:$A$2000,0)),0))</f>
        <v/>
      </c>
      <c r="H1926">
        <f>IF(D1926="","",F1926*G1926)</f>
        <v/>
      </c>
      <c r="I1926">
        <f>IF(D1926="","",H1926-F1926*IFERROR(INDEX(الأصناف!$D$2:$D$2000,MATCH(D1926,الأصناف!$A$2:$A$2000,0)),0))</f>
        <v/>
      </c>
      <c r="J1926" s="4" t="n"/>
      <c r="K1926" s="7">
        <f>IF(OR(B1926="",B1926&lt;&gt;الإيصال!$C$3),"",COUNTIF(B$2:B1926,الإيصال!$C$3))</f>
        <v/>
      </c>
    </row>
    <row r="1927">
      <c r="A1927" s="6" t="n"/>
      <c r="B1927" s="4" t="n"/>
      <c r="C1927" s="4" t="n"/>
      <c r="D1927" s="4" t="n"/>
      <c r="E1927">
        <f>IF(D1927="","",IFERROR(INDEX(الأصناف!$B$2:$B$2000,MATCH(D1927,الأصناف!$A$2:$A$2000,0)),"كود غير موجود"))</f>
        <v/>
      </c>
      <c r="F1927" s="4" t="n"/>
      <c r="G1927">
        <f>IF(D1927="","",IFERROR(INDEX(الأصناف!$C$2:$C$2000,MATCH(D1927,الأصناف!$A$2:$A$2000,0)),0))</f>
        <v/>
      </c>
      <c r="H1927">
        <f>IF(D1927="","",F1927*G1927)</f>
        <v/>
      </c>
      <c r="I1927">
        <f>IF(D1927="","",H1927-F1927*IFERROR(INDEX(الأصناف!$D$2:$D$2000,MATCH(D1927,الأصناف!$A$2:$A$2000,0)),0))</f>
        <v/>
      </c>
      <c r="J1927" s="4" t="n"/>
      <c r="K1927" s="7">
        <f>IF(OR(B1927="",B1927&lt;&gt;الإيصال!$C$3),"",COUNTIF(B$2:B1927,الإيصال!$C$3))</f>
        <v/>
      </c>
    </row>
    <row r="1928">
      <c r="A1928" s="6" t="n"/>
      <c r="B1928" s="4" t="n"/>
      <c r="C1928" s="4" t="n"/>
      <c r="D1928" s="4" t="n"/>
      <c r="E1928">
        <f>IF(D1928="","",IFERROR(INDEX(الأصناف!$B$2:$B$2000,MATCH(D1928,الأصناف!$A$2:$A$2000,0)),"كود غير موجود"))</f>
        <v/>
      </c>
      <c r="F1928" s="4" t="n"/>
      <c r="G1928">
        <f>IF(D1928="","",IFERROR(INDEX(الأصناف!$C$2:$C$2000,MATCH(D1928,الأصناف!$A$2:$A$2000,0)),0))</f>
        <v/>
      </c>
      <c r="H1928">
        <f>IF(D1928="","",F1928*G1928)</f>
        <v/>
      </c>
      <c r="I1928">
        <f>IF(D1928="","",H1928-F1928*IFERROR(INDEX(الأصناف!$D$2:$D$2000,MATCH(D1928,الأصناف!$A$2:$A$2000,0)),0))</f>
        <v/>
      </c>
      <c r="J1928" s="4" t="n"/>
      <c r="K1928" s="7">
        <f>IF(OR(B1928="",B1928&lt;&gt;الإيصال!$C$3),"",COUNTIF(B$2:B1928,الإيصال!$C$3))</f>
        <v/>
      </c>
    </row>
    <row r="1929">
      <c r="A1929" s="6" t="n"/>
      <c r="B1929" s="4" t="n"/>
      <c r="C1929" s="4" t="n"/>
      <c r="D1929" s="4" t="n"/>
      <c r="E1929">
        <f>IF(D1929="","",IFERROR(INDEX(الأصناف!$B$2:$B$2000,MATCH(D1929,الأصناف!$A$2:$A$2000,0)),"كود غير موجود"))</f>
        <v/>
      </c>
      <c r="F1929" s="4" t="n"/>
      <c r="G1929">
        <f>IF(D1929="","",IFERROR(INDEX(الأصناف!$C$2:$C$2000,MATCH(D1929,الأصناف!$A$2:$A$2000,0)),0))</f>
        <v/>
      </c>
      <c r="H1929">
        <f>IF(D1929="","",F1929*G1929)</f>
        <v/>
      </c>
      <c r="I1929">
        <f>IF(D1929="","",H1929-F1929*IFERROR(INDEX(الأصناف!$D$2:$D$2000,MATCH(D1929,الأصناف!$A$2:$A$2000,0)),0))</f>
        <v/>
      </c>
      <c r="J1929" s="4" t="n"/>
      <c r="K1929" s="7">
        <f>IF(OR(B1929="",B1929&lt;&gt;الإيصال!$C$3),"",COUNTIF(B$2:B1929,الإيصال!$C$3))</f>
        <v/>
      </c>
    </row>
    <row r="1930">
      <c r="A1930" s="6" t="n"/>
      <c r="B1930" s="4" t="n"/>
      <c r="C1930" s="4" t="n"/>
      <c r="D1930" s="4" t="n"/>
      <c r="E1930">
        <f>IF(D1930="","",IFERROR(INDEX(الأصناف!$B$2:$B$2000,MATCH(D1930,الأصناف!$A$2:$A$2000,0)),"كود غير موجود"))</f>
        <v/>
      </c>
      <c r="F1930" s="4" t="n"/>
      <c r="G1930">
        <f>IF(D1930="","",IFERROR(INDEX(الأصناف!$C$2:$C$2000,MATCH(D1930,الأصناف!$A$2:$A$2000,0)),0))</f>
        <v/>
      </c>
      <c r="H1930">
        <f>IF(D1930="","",F1930*G1930)</f>
        <v/>
      </c>
      <c r="I1930">
        <f>IF(D1930="","",H1930-F1930*IFERROR(INDEX(الأصناف!$D$2:$D$2000,MATCH(D1930,الأصناف!$A$2:$A$2000,0)),0))</f>
        <v/>
      </c>
      <c r="J1930" s="4" t="n"/>
      <c r="K1930" s="7">
        <f>IF(OR(B1930="",B1930&lt;&gt;الإيصال!$C$3),"",COUNTIF(B$2:B1930,الإيصال!$C$3))</f>
        <v/>
      </c>
    </row>
    <row r="1931">
      <c r="A1931" s="6" t="n"/>
      <c r="B1931" s="4" t="n"/>
      <c r="C1931" s="4" t="n"/>
      <c r="D1931" s="4" t="n"/>
      <c r="E1931">
        <f>IF(D1931="","",IFERROR(INDEX(الأصناف!$B$2:$B$2000,MATCH(D1931,الأصناف!$A$2:$A$2000,0)),"كود غير موجود"))</f>
        <v/>
      </c>
      <c r="F1931" s="4" t="n"/>
      <c r="G1931">
        <f>IF(D1931="","",IFERROR(INDEX(الأصناف!$C$2:$C$2000,MATCH(D1931,الأصناف!$A$2:$A$2000,0)),0))</f>
        <v/>
      </c>
      <c r="H1931">
        <f>IF(D1931="","",F1931*G1931)</f>
        <v/>
      </c>
      <c r="I1931">
        <f>IF(D1931="","",H1931-F1931*IFERROR(INDEX(الأصناف!$D$2:$D$2000,MATCH(D1931,الأصناف!$A$2:$A$2000,0)),0))</f>
        <v/>
      </c>
      <c r="J1931" s="4" t="n"/>
      <c r="K1931" s="7">
        <f>IF(OR(B1931="",B1931&lt;&gt;الإيصال!$C$3),"",COUNTIF(B$2:B1931,الإيصال!$C$3))</f>
        <v/>
      </c>
    </row>
    <row r="1932">
      <c r="A1932" s="6" t="n"/>
      <c r="B1932" s="4" t="n"/>
      <c r="C1932" s="4" t="n"/>
      <c r="D1932" s="4" t="n"/>
      <c r="E1932">
        <f>IF(D1932="","",IFERROR(INDEX(الأصناف!$B$2:$B$2000,MATCH(D1932,الأصناف!$A$2:$A$2000,0)),"كود غير موجود"))</f>
        <v/>
      </c>
      <c r="F1932" s="4" t="n"/>
      <c r="G1932">
        <f>IF(D1932="","",IFERROR(INDEX(الأصناف!$C$2:$C$2000,MATCH(D1932,الأصناف!$A$2:$A$2000,0)),0))</f>
        <v/>
      </c>
      <c r="H1932">
        <f>IF(D1932="","",F1932*G1932)</f>
        <v/>
      </c>
      <c r="I1932">
        <f>IF(D1932="","",H1932-F1932*IFERROR(INDEX(الأصناف!$D$2:$D$2000,MATCH(D1932,الأصناف!$A$2:$A$2000,0)),0))</f>
        <v/>
      </c>
      <c r="J1932" s="4" t="n"/>
      <c r="K1932" s="7">
        <f>IF(OR(B1932="",B1932&lt;&gt;الإيصال!$C$3),"",COUNTIF(B$2:B1932,الإيصال!$C$3))</f>
        <v/>
      </c>
    </row>
    <row r="1933">
      <c r="A1933" s="6" t="n"/>
      <c r="B1933" s="4" t="n"/>
      <c r="C1933" s="4" t="n"/>
      <c r="D1933" s="4" t="n"/>
      <c r="E1933">
        <f>IF(D1933="","",IFERROR(INDEX(الأصناف!$B$2:$B$2000,MATCH(D1933,الأصناف!$A$2:$A$2000,0)),"كود غير موجود"))</f>
        <v/>
      </c>
      <c r="F1933" s="4" t="n"/>
      <c r="G1933">
        <f>IF(D1933="","",IFERROR(INDEX(الأصناف!$C$2:$C$2000,MATCH(D1933,الأصناف!$A$2:$A$2000,0)),0))</f>
        <v/>
      </c>
      <c r="H1933">
        <f>IF(D1933="","",F1933*G1933)</f>
        <v/>
      </c>
      <c r="I1933">
        <f>IF(D1933="","",H1933-F1933*IFERROR(INDEX(الأصناف!$D$2:$D$2000,MATCH(D1933,الأصناف!$A$2:$A$2000,0)),0))</f>
        <v/>
      </c>
      <c r="J1933" s="4" t="n"/>
      <c r="K1933" s="7">
        <f>IF(OR(B1933="",B1933&lt;&gt;الإيصال!$C$3),"",COUNTIF(B$2:B1933,الإيصال!$C$3))</f>
        <v/>
      </c>
    </row>
    <row r="1934">
      <c r="A1934" s="6" t="n"/>
      <c r="B1934" s="4" t="n"/>
      <c r="C1934" s="4" t="n"/>
      <c r="D1934" s="4" t="n"/>
      <c r="E1934">
        <f>IF(D1934="","",IFERROR(INDEX(الأصناف!$B$2:$B$2000,MATCH(D1934,الأصناف!$A$2:$A$2000,0)),"كود غير موجود"))</f>
        <v/>
      </c>
      <c r="F1934" s="4" t="n"/>
      <c r="G1934">
        <f>IF(D1934="","",IFERROR(INDEX(الأصناف!$C$2:$C$2000,MATCH(D1934,الأصناف!$A$2:$A$2000,0)),0))</f>
        <v/>
      </c>
      <c r="H1934">
        <f>IF(D1934="","",F1934*G1934)</f>
        <v/>
      </c>
      <c r="I1934">
        <f>IF(D1934="","",H1934-F1934*IFERROR(INDEX(الأصناف!$D$2:$D$2000,MATCH(D1934,الأصناف!$A$2:$A$2000,0)),0))</f>
        <v/>
      </c>
      <c r="J1934" s="4" t="n"/>
      <c r="K1934" s="7">
        <f>IF(OR(B1934="",B1934&lt;&gt;الإيصال!$C$3),"",COUNTIF(B$2:B1934,الإيصال!$C$3))</f>
        <v/>
      </c>
    </row>
    <row r="1935">
      <c r="A1935" s="6" t="n"/>
      <c r="B1935" s="4" t="n"/>
      <c r="C1935" s="4" t="n"/>
      <c r="D1935" s="4" t="n"/>
      <c r="E1935">
        <f>IF(D1935="","",IFERROR(INDEX(الأصناف!$B$2:$B$2000,MATCH(D1935,الأصناف!$A$2:$A$2000,0)),"كود غير موجود"))</f>
        <v/>
      </c>
      <c r="F1935" s="4" t="n"/>
      <c r="G1935">
        <f>IF(D1935="","",IFERROR(INDEX(الأصناف!$C$2:$C$2000,MATCH(D1935,الأصناف!$A$2:$A$2000,0)),0))</f>
        <v/>
      </c>
      <c r="H1935">
        <f>IF(D1935="","",F1935*G1935)</f>
        <v/>
      </c>
      <c r="I1935">
        <f>IF(D1935="","",H1935-F1935*IFERROR(INDEX(الأصناف!$D$2:$D$2000,MATCH(D1935,الأصناف!$A$2:$A$2000,0)),0))</f>
        <v/>
      </c>
      <c r="J1935" s="4" t="n"/>
      <c r="K1935" s="7">
        <f>IF(OR(B1935="",B1935&lt;&gt;الإيصال!$C$3),"",COUNTIF(B$2:B1935,الإيصال!$C$3))</f>
        <v/>
      </c>
    </row>
    <row r="1936">
      <c r="A1936" s="6" t="n"/>
      <c r="B1936" s="4" t="n"/>
      <c r="C1936" s="4" t="n"/>
      <c r="D1936" s="4" t="n"/>
      <c r="E1936">
        <f>IF(D1936="","",IFERROR(INDEX(الأصناف!$B$2:$B$2000,MATCH(D1936,الأصناف!$A$2:$A$2000,0)),"كود غير موجود"))</f>
        <v/>
      </c>
      <c r="F1936" s="4" t="n"/>
      <c r="G1936">
        <f>IF(D1936="","",IFERROR(INDEX(الأصناف!$C$2:$C$2000,MATCH(D1936,الأصناف!$A$2:$A$2000,0)),0))</f>
        <v/>
      </c>
      <c r="H1936">
        <f>IF(D1936="","",F1936*G1936)</f>
        <v/>
      </c>
      <c r="I1936">
        <f>IF(D1936="","",H1936-F1936*IFERROR(INDEX(الأصناف!$D$2:$D$2000,MATCH(D1936,الأصناف!$A$2:$A$2000,0)),0))</f>
        <v/>
      </c>
      <c r="J1936" s="4" t="n"/>
      <c r="K1936" s="7">
        <f>IF(OR(B1936="",B1936&lt;&gt;الإيصال!$C$3),"",COUNTIF(B$2:B1936,الإيصال!$C$3))</f>
        <v/>
      </c>
    </row>
    <row r="1937">
      <c r="A1937" s="6" t="n"/>
      <c r="B1937" s="4" t="n"/>
      <c r="C1937" s="4" t="n"/>
      <c r="D1937" s="4" t="n"/>
      <c r="E1937">
        <f>IF(D1937="","",IFERROR(INDEX(الأصناف!$B$2:$B$2000,MATCH(D1937,الأصناف!$A$2:$A$2000,0)),"كود غير موجود"))</f>
        <v/>
      </c>
      <c r="F1937" s="4" t="n"/>
      <c r="G1937">
        <f>IF(D1937="","",IFERROR(INDEX(الأصناف!$C$2:$C$2000,MATCH(D1937,الأصناف!$A$2:$A$2000,0)),0))</f>
        <v/>
      </c>
      <c r="H1937">
        <f>IF(D1937="","",F1937*G1937)</f>
        <v/>
      </c>
      <c r="I1937">
        <f>IF(D1937="","",H1937-F1937*IFERROR(INDEX(الأصناف!$D$2:$D$2000,MATCH(D1937,الأصناف!$A$2:$A$2000,0)),0))</f>
        <v/>
      </c>
      <c r="J1937" s="4" t="n"/>
      <c r="K1937" s="7">
        <f>IF(OR(B1937="",B1937&lt;&gt;الإيصال!$C$3),"",COUNTIF(B$2:B1937,الإيصال!$C$3))</f>
        <v/>
      </c>
    </row>
    <row r="1938">
      <c r="A1938" s="6" t="n"/>
      <c r="B1938" s="4" t="n"/>
      <c r="C1938" s="4" t="n"/>
      <c r="D1938" s="4" t="n"/>
      <c r="E1938">
        <f>IF(D1938="","",IFERROR(INDEX(الأصناف!$B$2:$B$2000,MATCH(D1938,الأصناف!$A$2:$A$2000,0)),"كود غير موجود"))</f>
        <v/>
      </c>
      <c r="F1938" s="4" t="n"/>
      <c r="G1938">
        <f>IF(D1938="","",IFERROR(INDEX(الأصناف!$C$2:$C$2000,MATCH(D1938,الأصناف!$A$2:$A$2000,0)),0))</f>
        <v/>
      </c>
      <c r="H1938">
        <f>IF(D1938="","",F1938*G1938)</f>
        <v/>
      </c>
      <c r="I1938">
        <f>IF(D1938="","",H1938-F1938*IFERROR(INDEX(الأصناف!$D$2:$D$2000,MATCH(D1938,الأصناف!$A$2:$A$2000,0)),0))</f>
        <v/>
      </c>
      <c r="J1938" s="4" t="n"/>
      <c r="K1938" s="7">
        <f>IF(OR(B1938="",B1938&lt;&gt;الإيصال!$C$3),"",COUNTIF(B$2:B1938,الإيصال!$C$3))</f>
        <v/>
      </c>
    </row>
    <row r="1939">
      <c r="A1939" s="6" t="n"/>
      <c r="B1939" s="4" t="n"/>
      <c r="C1939" s="4" t="n"/>
      <c r="D1939" s="4" t="n"/>
      <c r="E1939">
        <f>IF(D1939="","",IFERROR(INDEX(الأصناف!$B$2:$B$2000,MATCH(D1939,الأصناف!$A$2:$A$2000,0)),"كود غير موجود"))</f>
        <v/>
      </c>
      <c r="F1939" s="4" t="n"/>
      <c r="G1939">
        <f>IF(D1939="","",IFERROR(INDEX(الأصناف!$C$2:$C$2000,MATCH(D1939,الأصناف!$A$2:$A$2000,0)),0))</f>
        <v/>
      </c>
      <c r="H1939">
        <f>IF(D1939="","",F1939*G1939)</f>
        <v/>
      </c>
      <c r="I1939">
        <f>IF(D1939="","",H1939-F1939*IFERROR(INDEX(الأصناف!$D$2:$D$2000,MATCH(D1939,الأصناف!$A$2:$A$2000,0)),0))</f>
        <v/>
      </c>
      <c r="J1939" s="4" t="n"/>
      <c r="K1939" s="7">
        <f>IF(OR(B1939="",B1939&lt;&gt;الإيصال!$C$3),"",COUNTIF(B$2:B1939,الإيصال!$C$3))</f>
        <v/>
      </c>
    </row>
    <row r="1940">
      <c r="A1940" s="6" t="n"/>
      <c r="B1940" s="4" t="n"/>
      <c r="C1940" s="4" t="n"/>
      <c r="D1940" s="4" t="n"/>
      <c r="E1940">
        <f>IF(D1940="","",IFERROR(INDEX(الأصناف!$B$2:$B$2000,MATCH(D1940,الأصناف!$A$2:$A$2000,0)),"كود غير موجود"))</f>
        <v/>
      </c>
      <c r="F1940" s="4" t="n"/>
      <c r="G1940">
        <f>IF(D1940="","",IFERROR(INDEX(الأصناف!$C$2:$C$2000,MATCH(D1940,الأصناف!$A$2:$A$2000,0)),0))</f>
        <v/>
      </c>
      <c r="H1940">
        <f>IF(D1940="","",F1940*G1940)</f>
        <v/>
      </c>
      <c r="I1940">
        <f>IF(D1940="","",H1940-F1940*IFERROR(INDEX(الأصناف!$D$2:$D$2000,MATCH(D1940,الأصناف!$A$2:$A$2000,0)),0))</f>
        <v/>
      </c>
      <c r="J1940" s="4" t="n"/>
      <c r="K1940" s="7">
        <f>IF(OR(B1940="",B1940&lt;&gt;الإيصال!$C$3),"",COUNTIF(B$2:B1940,الإيصال!$C$3))</f>
        <v/>
      </c>
    </row>
    <row r="1941">
      <c r="A1941" s="6" t="n"/>
      <c r="B1941" s="4" t="n"/>
      <c r="C1941" s="4" t="n"/>
      <c r="D1941" s="4" t="n"/>
      <c r="E1941">
        <f>IF(D1941="","",IFERROR(INDEX(الأصناف!$B$2:$B$2000,MATCH(D1941,الأصناف!$A$2:$A$2000,0)),"كود غير موجود"))</f>
        <v/>
      </c>
      <c r="F1941" s="4" t="n"/>
      <c r="G1941">
        <f>IF(D1941="","",IFERROR(INDEX(الأصناف!$C$2:$C$2000,MATCH(D1941,الأصناف!$A$2:$A$2000,0)),0))</f>
        <v/>
      </c>
      <c r="H1941">
        <f>IF(D1941="","",F1941*G1941)</f>
        <v/>
      </c>
      <c r="I1941">
        <f>IF(D1941="","",H1941-F1941*IFERROR(INDEX(الأصناف!$D$2:$D$2000,MATCH(D1941,الأصناف!$A$2:$A$2000,0)),0))</f>
        <v/>
      </c>
      <c r="J1941" s="4" t="n"/>
      <c r="K1941" s="7">
        <f>IF(OR(B1941="",B1941&lt;&gt;الإيصال!$C$3),"",COUNTIF(B$2:B1941,الإيصال!$C$3))</f>
        <v/>
      </c>
    </row>
    <row r="1942">
      <c r="A1942" s="6" t="n"/>
      <c r="B1942" s="4" t="n"/>
      <c r="C1942" s="4" t="n"/>
      <c r="D1942" s="4" t="n"/>
      <c r="E1942">
        <f>IF(D1942="","",IFERROR(INDEX(الأصناف!$B$2:$B$2000,MATCH(D1942,الأصناف!$A$2:$A$2000,0)),"كود غير موجود"))</f>
        <v/>
      </c>
      <c r="F1942" s="4" t="n"/>
      <c r="G1942">
        <f>IF(D1942="","",IFERROR(INDEX(الأصناف!$C$2:$C$2000,MATCH(D1942,الأصناف!$A$2:$A$2000,0)),0))</f>
        <v/>
      </c>
      <c r="H1942">
        <f>IF(D1942="","",F1942*G1942)</f>
        <v/>
      </c>
      <c r="I1942">
        <f>IF(D1942="","",H1942-F1942*IFERROR(INDEX(الأصناف!$D$2:$D$2000,MATCH(D1942,الأصناف!$A$2:$A$2000,0)),0))</f>
        <v/>
      </c>
      <c r="J1942" s="4" t="n"/>
      <c r="K1942" s="7">
        <f>IF(OR(B1942="",B1942&lt;&gt;الإيصال!$C$3),"",COUNTIF(B$2:B1942,الإيصال!$C$3))</f>
        <v/>
      </c>
    </row>
    <row r="1943">
      <c r="A1943" s="6" t="n"/>
      <c r="B1943" s="4" t="n"/>
      <c r="C1943" s="4" t="n"/>
      <c r="D1943" s="4" t="n"/>
      <c r="E1943">
        <f>IF(D1943="","",IFERROR(INDEX(الأصناف!$B$2:$B$2000,MATCH(D1943,الأصناف!$A$2:$A$2000,0)),"كود غير موجود"))</f>
        <v/>
      </c>
      <c r="F1943" s="4" t="n"/>
      <c r="G1943">
        <f>IF(D1943="","",IFERROR(INDEX(الأصناف!$C$2:$C$2000,MATCH(D1943,الأصناف!$A$2:$A$2000,0)),0))</f>
        <v/>
      </c>
      <c r="H1943">
        <f>IF(D1943="","",F1943*G1943)</f>
        <v/>
      </c>
      <c r="I1943">
        <f>IF(D1943="","",H1943-F1943*IFERROR(INDEX(الأصناف!$D$2:$D$2000,MATCH(D1943,الأصناف!$A$2:$A$2000,0)),0))</f>
        <v/>
      </c>
      <c r="J1943" s="4" t="n"/>
      <c r="K1943" s="7">
        <f>IF(OR(B1943="",B1943&lt;&gt;الإيصال!$C$3),"",COUNTIF(B$2:B1943,الإيصال!$C$3))</f>
        <v/>
      </c>
    </row>
    <row r="1944">
      <c r="A1944" s="6" t="n"/>
      <c r="B1944" s="4" t="n"/>
      <c r="C1944" s="4" t="n"/>
      <c r="D1944" s="4" t="n"/>
      <c r="E1944">
        <f>IF(D1944="","",IFERROR(INDEX(الأصناف!$B$2:$B$2000,MATCH(D1944,الأصناف!$A$2:$A$2000,0)),"كود غير موجود"))</f>
        <v/>
      </c>
      <c r="F1944" s="4" t="n"/>
      <c r="G1944">
        <f>IF(D1944="","",IFERROR(INDEX(الأصناف!$C$2:$C$2000,MATCH(D1944,الأصناف!$A$2:$A$2000,0)),0))</f>
        <v/>
      </c>
      <c r="H1944">
        <f>IF(D1944="","",F1944*G1944)</f>
        <v/>
      </c>
      <c r="I1944">
        <f>IF(D1944="","",H1944-F1944*IFERROR(INDEX(الأصناف!$D$2:$D$2000,MATCH(D1944,الأصناف!$A$2:$A$2000,0)),0))</f>
        <v/>
      </c>
      <c r="J1944" s="4" t="n"/>
      <c r="K1944" s="7">
        <f>IF(OR(B1944="",B1944&lt;&gt;الإيصال!$C$3),"",COUNTIF(B$2:B1944,الإيصال!$C$3))</f>
        <v/>
      </c>
    </row>
    <row r="1945">
      <c r="A1945" s="6" t="n"/>
      <c r="B1945" s="4" t="n"/>
      <c r="C1945" s="4" t="n"/>
      <c r="D1945" s="4" t="n"/>
      <c r="E1945">
        <f>IF(D1945="","",IFERROR(INDEX(الأصناف!$B$2:$B$2000,MATCH(D1945,الأصناف!$A$2:$A$2000,0)),"كود غير موجود"))</f>
        <v/>
      </c>
      <c r="F1945" s="4" t="n"/>
      <c r="G1945">
        <f>IF(D1945="","",IFERROR(INDEX(الأصناف!$C$2:$C$2000,MATCH(D1945,الأصناف!$A$2:$A$2000,0)),0))</f>
        <v/>
      </c>
      <c r="H1945">
        <f>IF(D1945="","",F1945*G1945)</f>
        <v/>
      </c>
      <c r="I1945">
        <f>IF(D1945="","",H1945-F1945*IFERROR(INDEX(الأصناف!$D$2:$D$2000,MATCH(D1945,الأصناف!$A$2:$A$2000,0)),0))</f>
        <v/>
      </c>
      <c r="J1945" s="4" t="n"/>
      <c r="K1945" s="7">
        <f>IF(OR(B1945="",B1945&lt;&gt;الإيصال!$C$3),"",COUNTIF(B$2:B1945,الإيصال!$C$3))</f>
        <v/>
      </c>
    </row>
    <row r="1946">
      <c r="A1946" s="6" t="n"/>
      <c r="B1946" s="4" t="n"/>
      <c r="C1946" s="4" t="n"/>
      <c r="D1946" s="4" t="n"/>
      <c r="E1946">
        <f>IF(D1946="","",IFERROR(INDEX(الأصناف!$B$2:$B$2000,MATCH(D1946,الأصناف!$A$2:$A$2000,0)),"كود غير موجود"))</f>
        <v/>
      </c>
      <c r="F1946" s="4" t="n"/>
      <c r="G1946">
        <f>IF(D1946="","",IFERROR(INDEX(الأصناف!$C$2:$C$2000,MATCH(D1946,الأصناف!$A$2:$A$2000,0)),0))</f>
        <v/>
      </c>
      <c r="H1946">
        <f>IF(D1946="","",F1946*G1946)</f>
        <v/>
      </c>
      <c r="I1946">
        <f>IF(D1946="","",H1946-F1946*IFERROR(INDEX(الأصناف!$D$2:$D$2000,MATCH(D1946,الأصناف!$A$2:$A$2000,0)),0))</f>
        <v/>
      </c>
      <c r="J1946" s="4" t="n"/>
      <c r="K1946" s="7">
        <f>IF(OR(B1946="",B1946&lt;&gt;الإيصال!$C$3),"",COUNTIF(B$2:B1946,الإيصال!$C$3))</f>
        <v/>
      </c>
    </row>
    <row r="1947">
      <c r="A1947" s="6" t="n"/>
      <c r="B1947" s="4" t="n"/>
      <c r="C1947" s="4" t="n"/>
      <c r="D1947" s="4" t="n"/>
      <c r="E1947">
        <f>IF(D1947="","",IFERROR(INDEX(الأصناف!$B$2:$B$2000,MATCH(D1947,الأصناف!$A$2:$A$2000,0)),"كود غير موجود"))</f>
        <v/>
      </c>
      <c r="F1947" s="4" t="n"/>
      <c r="G1947">
        <f>IF(D1947="","",IFERROR(INDEX(الأصناف!$C$2:$C$2000,MATCH(D1947,الأصناف!$A$2:$A$2000,0)),0))</f>
        <v/>
      </c>
      <c r="H1947">
        <f>IF(D1947="","",F1947*G1947)</f>
        <v/>
      </c>
      <c r="I1947">
        <f>IF(D1947="","",H1947-F1947*IFERROR(INDEX(الأصناف!$D$2:$D$2000,MATCH(D1947,الأصناف!$A$2:$A$2000,0)),0))</f>
        <v/>
      </c>
      <c r="J1947" s="4" t="n"/>
      <c r="K1947" s="7">
        <f>IF(OR(B1947="",B1947&lt;&gt;الإيصال!$C$3),"",COUNTIF(B$2:B1947,الإيصال!$C$3))</f>
        <v/>
      </c>
    </row>
    <row r="1948">
      <c r="A1948" s="6" t="n"/>
      <c r="B1948" s="4" t="n"/>
      <c r="C1948" s="4" t="n"/>
      <c r="D1948" s="4" t="n"/>
      <c r="E1948">
        <f>IF(D1948="","",IFERROR(INDEX(الأصناف!$B$2:$B$2000,MATCH(D1948,الأصناف!$A$2:$A$2000,0)),"كود غير موجود"))</f>
        <v/>
      </c>
      <c r="F1948" s="4" t="n"/>
      <c r="G1948">
        <f>IF(D1948="","",IFERROR(INDEX(الأصناف!$C$2:$C$2000,MATCH(D1948,الأصناف!$A$2:$A$2000,0)),0))</f>
        <v/>
      </c>
      <c r="H1948">
        <f>IF(D1948="","",F1948*G1948)</f>
        <v/>
      </c>
      <c r="I1948">
        <f>IF(D1948="","",H1948-F1948*IFERROR(INDEX(الأصناف!$D$2:$D$2000,MATCH(D1948,الأصناف!$A$2:$A$2000,0)),0))</f>
        <v/>
      </c>
      <c r="J1948" s="4" t="n"/>
      <c r="K1948" s="7">
        <f>IF(OR(B1948="",B1948&lt;&gt;الإيصال!$C$3),"",COUNTIF(B$2:B1948,الإيصال!$C$3))</f>
        <v/>
      </c>
    </row>
    <row r="1949">
      <c r="A1949" s="6" t="n"/>
      <c r="B1949" s="4" t="n"/>
      <c r="C1949" s="4" t="n"/>
      <c r="D1949" s="4" t="n"/>
      <c r="E1949">
        <f>IF(D1949="","",IFERROR(INDEX(الأصناف!$B$2:$B$2000,MATCH(D1949,الأصناف!$A$2:$A$2000,0)),"كود غير موجود"))</f>
        <v/>
      </c>
      <c r="F1949" s="4" t="n"/>
      <c r="G1949">
        <f>IF(D1949="","",IFERROR(INDEX(الأصناف!$C$2:$C$2000,MATCH(D1949,الأصناف!$A$2:$A$2000,0)),0))</f>
        <v/>
      </c>
      <c r="H1949">
        <f>IF(D1949="","",F1949*G1949)</f>
        <v/>
      </c>
      <c r="I1949">
        <f>IF(D1949="","",H1949-F1949*IFERROR(INDEX(الأصناف!$D$2:$D$2000,MATCH(D1949,الأصناف!$A$2:$A$2000,0)),0))</f>
        <v/>
      </c>
      <c r="J1949" s="4" t="n"/>
      <c r="K1949" s="7">
        <f>IF(OR(B1949="",B1949&lt;&gt;الإيصال!$C$3),"",COUNTIF(B$2:B1949,الإيصال!$C$3))</f>
        <v/>
      </c>
    </row>
    <row r="1950">
      <c r="A1950" s="6" t="n"/>
      <c r="B1950" s="4" t="n"/>
      <c r="C1950" s="4" t="n"/>
      <c r="D1950" s="4" t="n"/>
      <c r="E1950">
        <f>IF(D1950="","",IFERROR(INDEX(الأصناف!$B$2:$B$2000,MATCH(D1950,الأصناف!$A$2:$A$2000,0)),"كود غير موجود"))</f>
        <v/>
      </c>
      <c r="F1950" s="4" t="n"/>
      <c r="G1950">
        <f>IF(D1950="","",IFERROR(INDEX(الأصناف!$C$2:$C$2000,MATCH(D1950,الأصناف!$A$2:$A$2000,0)),0))</f>
        <v/>
      </c>
      <c r="H1950">
        <f>IF(D1950="","",F1950*G1950)</f>
        <v/>
      </c>
      <c r="I1950">
        <f>IF(D1950="","",H1950-F1950*IFERROR(INDEX(الأصناف!$D$2:$D$2000,MATCH(D1950,الأصناف!$A$2:$A$2000,0)),0))</f>
        <v/>
      </c>
      <c r="J1950" s="4" t="n"/>
      <c r="K1950" s="7">
        <f>IF(OR(B1950="",B1950&lt;&gt;الإيصال!$C$3),"",COUNTIF(B$2:B1950,الإيصال!$C$3))</f>
        <v/>
      </c>
    </row>
    <row r="1951">
      <c r="A1951" s="6" t="n"/>
      <c r="B1951" s="4" t="n"/>
      <c r="C1951" s="4" t="n"/>
      <c r="D1951" s="4" t="n"/>
      <c r="E1951">
        <f>IF(D1951="","",IFERROR(INDEX(الأصناف!$B$2:$B$2000,MATCH(D1951,الأصناف!$A$2:$A$2000,0)),"كود غير موجود"))</f>
        <v/>
      </c>
      <c r="F1951" s="4" t="n"/>
      <c r="G1951">
        <f>IF(D1951="","",IFERROR(INDEX(الأصناف!$C$2:$C$2000,MATCH(D1951,الأصناف!$A$2:$A$2000,0)),0))</f>
        <v/>
      </c>
      <c r="H1951">
        <f>IF(D1951="","",F1951*G1951)</f>
        <v/>
      </c>
      <c r="I1951">
        <f>IF(D1951="","",H1951-F1951*IFERROR(INDEX(الأصناف!$D$2:$D$2000,MATCH(D1951,الأصناف!$A$2:$A$2000,0)),0))</f>
        <v/>
      </c>
      <c r="J1951" s="4" t="n"/>
      <c r="K1951" s="7">
        <f>IF(OR(B1951="",B1951&lt;&gt;الإيصال!$C$3),"",COUNTIF(B$2:B1951,الإيصال!$C$3))</f>
        <v/>
      </c>
    </row>
    <row r="1952">
      <c r="A1952" s="6" t="n"/>
      <c r="B1952" s="4" t="n"/>
      <c r="C1952" s="4" t="n"/>
      <c r="D1952" s="4" t="n"/>
      <c r="E1952">
        <f>IF(D1952="","",IFERROR(INDEX(الأصناف!$B$2:$B$2000,MATCH(D1952,الأصناف!$A$2:$A$2000,0)),"كود غير موجود"))</f>
        <v/>
      </c>
      <c r="F1952" s="4" t="n"/>
      <c r="G1952">
        <f>IF(D1952="","",IFERROR(INDEX(الأصناف!$C$2:$C$2000,MATCH(D1952,الأصناف!$A$2:$A$2000,0)),0))</f>
        <v/>
      </c>
      <c r="H1952">
        <f>IF(D1952="","",F1952*G1952)</f>
        <v/>
      </c>
      <c r="I1952">
        <f>IF(D1952="","",H1952-F1952*IFERROR(INDEX(الأصناف!$D$2:$D$2000,MATCH(D1952,الأصناف!$A$2:$A$2000,0)),0))</f>
        <v/>
      </c>
      <c r="J1952" s="4" t="n"/>
      <c r="K1952" s="7">
        <f>IF(OR(B1952="",B1952&lt;&gt;الإيصال!$C$3),"",COUNTIF(B$2:B1952,الإيصال!$C$3))</f>
        <v/>
      </c>
    </row>
    <row r="1953">
      <c r="A1953" s="6" t="n"/>
      <c r="B1953" s="4" t="n"/>
      <c r="C1953" s="4" t="n"/>
      <c r="D1953" s="4" t="n"/>
      <c r="E1953">
        <f>IF(D1953="","",IFERROR(INDEX(الأصناف!$B$2:$B$2000,MATCH(D1953,الأصناف!$A$2:$A$2000,0)),"كود غير موجود"))</f>
        <v/>
      </c>
      <c r="F1953" s="4" t="n"/>
      <c r="G1953">
        <f>IF(D1953="","",IFERROR(INDEX(الأصناف!$C$2:$C$2000,MATCH(D1953,الأصناف!$A$2:$A$2000,0)),0))</f>
        <v/>
      </c>
      <c r="H1953">
        <f>IF(D1953="","",F1953*G1953)</f>
        <v/>
      </c>
      <c r="I1953">
        <f>IF(D1953="","",H1953-F1953*IFERROR(INDEX(الأصناف!$D$2:$D$2000,MATCH(D1953,الأصناف!$A$2:$A$2000,0)),0))</f>
        <v/>
      </c>
      <c r="J1953" s="4" t="n"/>
      <c r="K1953" s="7">
        <f>IF(OR(B1953="",B1953&lt;&gt;الإيصال!$C$3),"",COUNTIF(B$2:B1953,الإيصال!$C$3))</f>
        <v/>
      </c>
    </row>
    <row r="1954">
      <c r="A1954" s="6" t="n"/>
      <c r="B1954" s="4" t="n"/>
      <c r="C1954" s="4" t="n"/>
      <c r="D1954" s="4" t="n"/>
      <c r="E1954">
        <f>IF(D1954="","",IFERROR(INDEX(الأصناف!$B$2:$B$2000,MATCH(D1954,الأصناف!$A$2:$A$2000,0)),"كود غير موجود"))</f>
        <v/>
      </c>
      <c r="F1954" s="4" t="n"/>
      <c r="G1954">
        <f>IF(D1954="","",IFERROR(INDEX(الأصناف!$C$2:$C$2000,MATCH(D1954,الأصناف!$A$2:$A$2000,0)),0))</f>
        <v/>
      </c>
      <c r="H1954">
        <f>IF(D1954="","",F1954*G1954)</f>
        <v/>
      </c>
      <c r="I1954">
        <f>IF(D1954="","",H1954-F1954*IFERROR(INDEX(الأصناف!$D$2:$D$2000,MATCH(D1954,الأصناف!$A$2:$A$2000,0)),0))</f>
        <v/>
      </c>
      <c r="J1954" s="4" t="n"/>
      <c r="K1954" s="7">
        <f>IF(OR(B1954="",B1954&lt;&gt;الإيصال!$C$3),"",COUNTIF(B$2:B1954,الإيصال!$C$3))</f>
        <v/>
      </c>
    </row>
    <row r="1955">
      <c r="A1955" s="6" t="n"/>
      <c r="B1955" s="4" t="n"/>
      <c r="C1955" s="4" t="n"/>
      <c r="D1955" s="4" t="n"/>
      <c r="E1955">
        <f>IF(D1955="","",IFERROR(INDEX(الأصناف!$B$2:$B$2000,MATCH(D1955,الأصناف!$A$2:$A$2000,0)),"كود غير موجود"))</f>
        <v/>
      </c>
      <c r="F1955" s="4" t="n"/>
      <c r="G1955">
        <f>IF(D1955="","",IFERROR(INDEX(الأصناف!$C$2:$C$2000,MATCH(D1955,الأصناف!$A$2:$A$2000,0)),0))</f>
        <v/>
      </c>
      <c r="H1955">
        <f>IF(D1955="","",F1955*G1955)</f>
        <v/>
      </c>
      <c r="I1955">
        <f>IF(D1955="","",H1955-F1955*IFERROR(INDEX(الأصناف!$D$2:$D$2000,MATCH(D1955,الأصناف!$A$2:$A$2000,0)),0))</f>
        <v/>
      </c>
      <c r="J1955" s="4" t="n"/>
      <c r="K1955" s="7">
        <f>IF(OR(B1955="",B1955&lt;&gt;الإيصال!$C$3),"",COUNTIF(B$2:B1955,الإيصال!$C$3))</f>
        <v/>
      </c>
    </row>
    <row r="1956">
      <c r="A1956" s="6" t="n"/>
      <c r="B1956" s="4" t="n"/>
      <c r="C1956" s="4" t="n"/>
      <c r="D1956" s="4" t="n"/>
      <c r="E1956">
        <f>IF(D1956="","",IFERROR(INDEX(الأصناف!$B$2:$B$2000,MATCH(D1956,الأصناف!$A$2:$A$2000,0)),"كود غير موجود"))</f>
        <v/>
      </c>
      <c r="F1956" s="4" t="n"/>
      <c r="G1956">
        <f>IF(D1956="","",IFERROR(INDEX(الأصناف!$C$2:$C$2000,MATCH(D1956,الأصناف!$A$2:$A$2000,0)),0))</f>
        <v/>
      </c>
      <c r="H1956">
        <f>IF(D1956="","",F1956*G1956)</f>
        <v/>
      </c>
      <c r="I1956">
        <f>IF(D1956="","",H1956-F1956*IFERROR(INDEX(الأصناف!$D$2:$D$2000,MATCH(D1956,الأصناف!$A$2:$A$2000,0)),0))</f>
        <v/>
      </c>
      <c r="J1956" s="4" t="n"/>
      <c r="K1956" s="7">
        <f>IF(OR(B1956="",B1956&lt;&gt;الإيصال!$C$3),"",COUNTIF(B$2:B1956,الإيصال!$C$3))</f>
        <v/>
      </c>
    </row>
    <row r="1957">
      <c r="A1957" s="6" t="n"/>
      <c r="B1957" s="4" t="n"/>
      <c r="C1957" s="4" t="n"/>
      <c r="D1957" s="4" t="n"/>
      <c r="E1957">
        <f>IF(D1957="","",IFERROR(INDEX(الأصناف!$B$2:$B$2000,MATCH(D1957,الأصناف!$A$2:$A$2000,0)),"كود غير موجود"))</f>
        <v/>
      </c>
      <c r="F1957" s="4" t="n"/>
      <c r="G1957">
        <f>IF(D1957="","",IFERROR(INDEX(الأصناف!$C$2:$C$2000,MATCH(D1957,الأصناف!$A$2:$A$2000,0)),0))</f>
        <v/>
      </c>
      <c r="H1957">
        <f>IF(D1957="","",F1957*G1957)</f>
        <v/>
      </c>
      <c r="I1957">
        <f>IF(D1957="","",H1957-F1957*IFERROR(INDEX(الأصناف!$D$2:$D$2000,MATCH(D1957,الأصناف!$A$2:$A$2000,0)),0))</f>
        <v/>
      </c>
      <c r="J1957" s="4" t="n"/>
      <c r="K1957" s="7">
        <f>IF(OR(B1957="",B1957&lt;&gt;الإيصال!$C$3),"",COUNTIF(B$2:B1957,الإيصال!$C$3))</f>
        <v/>
      </c>
    </row>
    <row r="1958">
      <c r="A1958" s="6" t="n"/>
      <c r="B1958" s="4" t="n"/>
      <c r="C1958" s="4" t="n"/>
      <c r="D1958" s="4" t="n"/>
      <c r="E1958">
        <f>IF(D1958="","",IFERROR(INDEX(الأصناف!$B$2:$B$2000,MATCH(D1958,الأصناف!$A$2:$A$2000,0)),"كود غير موجود"))</f>
        <v/>
      </c>
      <c r="F1958" s="4" t="n"/>
      <c r="G1958">
        <f>IF(D1958="","",IFERROR(INDEX(الأصناف!$C$2:$C$2000,MATCH(D1958,الأصناف!$A$2:$A$2000,0)),0))</f>
        <v/>
      </c>
      <c r="H1958">
        <f>IF(D1958="","",F1958*G1958)</f>
        <v/>
      </c>
      <c r="I1958">
        <f>IF(D1958="","",H1958-F1958*IFERROR(INDEX(الأصناف!$D$2:$D$2000,MATCH(D1958,الأصناف!$A$2:$A$2000,0)),0))</f>
        <v/>
      </c>
      <c r="J1958" s="4" t="n"/>
      <c r="K1958" s="7">
        <f>IF(OR(B1958="",B1958&lt;&gt;الإيصال!$C$3),"",COUNTIF(B$2:B1958,الإيصال!$C$3))</f>
        <v/>
      </c>
    </row>
    <row r="1959">
      <c r="A1959" s="6" t="n"/>
      <c r="B1959" s="4" t="n"/>
      <c r="C1959" s="4" t="n"/>
      <c r="D1959" s="4" t="n"/>
      <c r="E1959">
        <f>IF(D1959="","",IFERROR(INDEX(الأصناف!$B$2:$B$2000,MATCH(D1959,الأصناف!$A$2:$A$2000,0)),"كود غير موجود"))</f>
        <v/>
      </c>
      <c r="F1959" s="4" t="n"/>
      <c r="G1959">
        <f>IF(D1959="","",IFERROR(INDEX(الأصناف!$C$2:$C$2000,MATCH(D1959,الأصناف!$A$2:$A$2000,0)),0))</f>
        <v/>
      </c>
      <c r="H1959">
        <f>IF(D1959="","",F1959*G1959)</f>
        <v/>
      </c>
      <c r="I1959">
        <f>IF(D1959="","",H1959-F1959*IFERROR(INDEX(الأصناف!$D$2:$D$2000,MATCH(D1959,الأصناف!$A$2:$A$2000,0)),0))</f>
        <v/>
      </c>
      <c r="J1959" s="4" t="n"/>
      <c r="K1959" s="7">
        <f>IF(OR(B1959="",B1959&lt;&gt;الإيصال!$C$3),"",COUNTIF(B$2:B1959,الإيصال!$C$3))</f>
        <v/>
      </c>
    </row>
    <row r="1960">
      <c r="A1960" s="6" t="n"/>
      <c r="B1960" s="4" t="n"/>
      <c r="C1960" s="4" t="n"/>
      <c r="D1960" s="4" t="n"/>
      <c r="E1960">
        <f>IF(D1960="","",IFERROR(INDEX(الأصناف!$B$2:$B$2000,MATCH(D1960,الأصناف!$A$2:$A$2000,0)),"كود غير موجود"))</f>
        <v/>
      </c>
      <c r="F1960" s="4" t="n"/>
      <c r="G1960">
        <f>IF(D1960="","",IFERROR(INDEX(الأصناف!$C$2:$C$2000,MATCH(D1960,الأصناف!$A$2:$A$2000,0)),0))</f>
        <v/>
      </c>
      <c r="H1960">
        <f>IF(D1960="","",F1960*G1960)</f>
        <v/>
      </c>
      <c r="I1960">
        <f>IF(D1960="","",H1960-F1960*IFERROR(INDEX(الأصناف!$D$2:$D$2000,MATCH(D1960,الأصناف!$A$2:$A$2000,0)),0))</f>
        <v/>
      </c>
      <c r="J1960" s="4" t="n"/>
      <c r="K1960" s="7">
        <f>IF(OR(B1960="",B1960&lt;&gt;الإيصال!$C$3),"",COUNTIF(B$2:B1960,الإيصال!$C$3))</f>
        <v/>
      </c>
    </row>
    <row r="1961">
      <c r="A1961" s="6" t="n"/>
      <c r="B1961" s="4" t="n"/>
      <c r="C1961" s="4" t="n"/>
      <c r="D1961" s="4" t="n"/>
      <c r="E1961">
        <f>IF(D1961="","",IFERROR(INDEX(الأصناف!$B$2:$B$2000,MATCH(D1961,الأصناف!$A$2:$A$2000,0)),"كود غير موجود"))</f>
        <v/>
      </c>
      <c r="F1961" s="4" t="n"/>
      <c r="G1961">
        <f>IF(D1961="","",IFERROR(INDEX(الأصناف!$C$2:$C$2000,MATCH(D1961,الأصناف!$A$2:$A$2000,0)),0))</f>
        <v/>
      </c>
      <c r="H1961">
        <f>IF(D1961="","",F1961*G1961)</f>
        <v/>
      </c>
      <c r="I1961">
        <f>IF(D1961="","",H1961-F1961*IFERROR(INDEX(الأصناف!$D$2:$D$2000,MATCH(D1961,الأصناف!$A$2:$A$2000,0)),0))</f>
        <v/>
      </c>
      <c r="J1961" s="4" t="n"/>
      <c r="K1961" s="7">
        <f>IF(OR(B1961="",B1961&lt;&gt;الإيصال!$C$3),"",COUNTIF(B$2:B1961,الإيصال!$C$3))</f>
        <v/>
      </c>
    </row>
    <row r="1962">
      <c r="A1962" s="6" t="n"/>
      <c r="B1962" s="4" t="n"/>
      <c r="C1962" s="4" t="n"/>
      <c r="D1962" s="4" t="n"/>
      <c r="E1962">
        <f>IF(D1962="","",IFERROR(INDEX(الأصناف!$B$2:$B$2000,MATCH(D1962,الأصناف!$A$2:$A$2000,0)),"كود غير موجود"))</f>
        <v/>
      </c>
      <c r="F1962" s="4" t="n"/>
      <c r="G1962">
        <f>IF(D1962="","",IFERROR(INDEX(الأصناف!$C$2:$C$2000,MATCH(D1962,الأصناف!$A$2:$A$2000,0)),0))</f>
        <v/>
      </c>
      <c r="H1962">
        <f>IF(D1962="","",F1962*G1962)</f>
        <v/>
      </c>
      <c r="I1962">
        <f>IF(D1962="","",H1962-F1962*IFERROR(INDEX(الأصناف!$D$2:$D$2000,MATCH(D1962,الأصناف!$A$2:$A$2000,0)),0))</f>
        <v/>
      </c>
      <c r="J1962" s="4" t="n"/>
      <c r="K1962" s="7">
        <f>IF(OR(B1962="",B1962&lt;&gt;الإيصال!$C$3),"",COUNTIF(B$2:B1962,الإيصال!$C$3))</f>
        <v/>
      </c>
    </row>
    <row r="1963">
      <c r="A1963" s="6" t="n"/>
      <c r="B1963" s="4" t="n"/>
      <c r="C1963" s="4" t="n"/>
      <c r="D1963" s="4" t="n"/>
      <c r="E1963">
        <f>IF(D1963="","",IFERROR(INDEX(الأصناف!$B$2:$B$2000,MATCH(D1963,الأصناف!$A$2:$A$2000,0)),"كود غير موجود"))</f>
        <v/>
      </c>
      <c r="F1963" s="4" t="n"/>
      <c r="G1963">
        <f>IF(D1963="","",IFERROR(INDEX(الأصناف!$C$2:$C$2000,MATCH(D1963,الأصناف!$A$2:$A$2000,0)),0))</f>
        <v/>
      </c>
      <c r="H1963">
        <f>IF(D1963="","",F1963*G1963)</f>
        <v/>
      </c>
      <c r="I1963">
        <f>IF(D1963="","",H1963-F1963*IFERROR(INDEX(الأصناف!$D$2:$D$2000,MATCH(D1963,الأصناف!$A$2:$A$2000,0)),0))</f>
        <v/>
      </c>
      <c r="J1963" s="4" t="n"/>
      <c r="K1963" s="7">
        <f>IF(OR(B1963="",B1963&lt;&gt;الإيصال!$C$3),"",COUNTIF(B$2:B1963,الإيصال!$C$3))</f>
        <v/>
      </c>
    </row>
    <row r="1964">
      <c r="A1964" s="6" t="n"/>
      <c r="B1964" s="4" t="n"/>
      <c r="C1964" s="4" t="n"/>
      <c r="D1964" s="4" t="n"/>
      <c r="E1964">
        <f>IF(D1964="","",IFERROR(INDEX(الأصناف!$B$2:$B$2000,MATCH(D1964,الأصناف!$A$2:$A$2000,0)),"كود غير موجود"))</f>
        <v/>
      </c>
      <c r="F1964" s="4" t="n"/>
      <c r="G1964">
        <f>IF(D1964="","",IFERROR(INDEX(الأصناف!$C$2:$C$2000,MATCH(D1964,الأصناف!$A$2:$A$2000,0)),0))</f>
        <v/>
      </c>
      <c r="H1964">
        <f>IF(D1964="","",F1964*G1964)</f>
        <v/>
      </c>
      <c r="I1964">
        <f>IF(D1964="","",H1964-F1964*IFERROR(INDEX(الأصناف!$D$2:$D$2000,MATCH(D1964,الأصناف!$A$2:$A$2000,0)),0))</f>
        <v/>
      </c>
      <c r="J1964" s="4" t="n"/>
      <c r="K1964" s="7">
        <f>IF(OR(B1964="",B1964&lt;&gt;الإيصال!$C$3),"",COUNTIF(B$2:B1964,الإيصال!$C$3))</f>
        <v/>
      </c>
    </row>
    <row r="1965">
      <c r="A1965" s="6" t="n"/>
      <c r="B1965" s="4" t="n"/>
      <c r="C1965" s="4" t="n"/>
      <c r="D1965" s="4" t="n"/>
      <c r="E1965">
        <f>IF(D1965="","",IFERROR(INDEX(الأصناف!$B$2:$B$2000,MATCH(D1965,الأصناف!$A$2:$A$2000,0)),"كود غير موجود"))</f>
        <v/>
      </c>
      <c r="F1965" s="4" t="n"/>
      <c r="G1965">
        <f>IF(D1965="","",IFERROR(INDEX(الأصناف!$C$2:$C$2000,MATCH(D1965,الأصناف!$A$2:$A$2000,0)),0))</f>
        <v/>
      </c>
      <c r="H1965">
        <f>IF(D1965="","",F1965*G1965)</f>
        <v/>
      </c>
      <c r="I1965">
        <f>IF(D1965="","",H1965-F1965*IFERROR(INDEX(الأصناف!$D$2:$D$2000,MATCH(D1965,الأصناف!$A$2:$A$2000,0)),0))</f>
        <v/>
      </c>
      <c r="J1965" s="4" t="n"/>
      <c r="K1965" s="7">
        <f>IF(OR(B1965="",B1965&lt;&gt;الإيصال!$C$3),"",COUNTIF(B$2:B1965,الإيصال!$C$3))</f>
        <v/>
      </c>
    </row>
    <row r="1966">
      <c r="A1966" s="6" t="n"/>
      <c r="B1966" s="4" t="n"/>
      <c r="C1966" s="4" t="n"/>
      <c r="D1966" s="4" t="n"/>
      <c r="E1966">
        <f>IF(D1966="","",IFERROR(INDEX(الأصناف!$B$2:$B$2000,MATCH(D1966,الأصناف!$A$2:$A$2000,0)),"كود غير موجود"))</f>
        <v/>
      </c>
      <c r="F1966" s="4" t="n"/>
      <c r="G1966">
        <f>IF(D1966="","",IFERROR(INDEX(الأصناف!$C$2:$C$2000,MATCH(D1966,الأصناف!$A$2:$A$2000,0)),0))</f>
        <v/>
      </c>
      <c r="H1966">
        <f>IF(D1966="","",F1966*G1966)</f>
        <v/>
      </c>
      <c r="I1966">
        <f>IF(D1966="","",H1966-F1966*IFERROR(INDEX(الأصناف!$D$2:$D$2000,MATCH(D1966,الأصناف!$A$2:$A$2000,0)),0))</f>
        <v/>
      </c>
      <c r="J1966" s="4" t="n"/>
      <c r="K1966" s="7">
        <f>IF(OR(B1966="",B1966&lt;&gt;الإيصال!$C$3),"",COUNTIF(B$2:B1966,الإيصال!$C$3))</f>
        <v/>
      </c>
    </row>
    <row r="1967">
      <c r="A1967" s="6" t="n"/>
      <c r="B1967" s="4" t="n"/>
      <c r="C1967" s="4" t="n"/>
      <c r="D1967" s="4" t="n"/>
      <c r="E1967">
        <f>IF(D1967="","",IFERROR(INDEX(الأصناف!$B$2:$B$2000,MATCH(D1967,الأصناف!$A$2:$A$2000,0)),"كود غير موجود"))</f>
        <v/>
      </c>
      <c r="F1967" s="4" t="n"/>
      <c r="G1967">
        <f>IF(D1967="","",IFERROR(INDEX(الأصناف!$C$2:$C$2000,MATCH(D1967,الأصناف!$A$2:$A$2000,0)),0))</f>
        <v/>
      </c>
      <c r="H1967">
        <f>IF(D1967="","",F1967*G1967)</f>
        <v/>
      </c>
      <c r="I1967">
        <f>IF(D1967="","",H1967-F1967*IFERROR(INDEX(الأصناف!$D$2:$D$2000,MATCH(D1967,الأصناف!$A$2:$A$2000,0)),0))</f>
        <v/>
      </c>
      <c r="J1967" s="4" t="n"/>
      <c r="K1967" s="7">
        <f>IF(OR(B1967="",B1967&lt;&gt;الإيصال!$C$3),"",COUNTIF(B$2:B1967,الإيصال!$C$3))</f>
        <v/>
      </c>
    </row>
    <row r="1968">
      <c r="A1968" s="6" t="n"/>
      <c r="B1968" s="4" t="n"/>
      <c r="C1968" s="4" t="n"/>
      <c r="D1968" s="4" t="n"/>
      <c r="E1968">
        <f>IF(D1968="","",IFERROR(INDEX(الأصناف!$B$2:$B$2000,MATCH(D1968,الأصناف!$A$2:$A$2000,0)),"كود غير موجود"))</f>
        <v/>
      </c>
      <c r="F1968" s="4" t="n"/>
      <c r="G1968">
        <f>IF(D1968="","",IFERROR(INDEX(الأصناف!$C$2:$C$2000,MATCH(D1968,الأصناف!$A$2:$A$2000,0)),0))</f>
        <v/>
      </c>
      <c r="H1968">
        <f>IF(D1968="","",F1968*G1968)</f>
        <v/>
      </c>
      <c r="I1968">
        <f>IF(D1968="","",H1968-F1968*IFERROR(INDEX(الأصناف!$D$2:$D$2000,MATCH(D1968,الأصناف!$A$2:$A$2000,0)),0))</f>
        <v/>
      </c>
      <c r="J1968" s="4" t="n"/>
      <c r="K1968" s="7">
        <f>IF(OR(B1968="",B1968&lt;&gt;الإيصال!$C$3),"",COUNTIF(B$2:B1968,الإيصال!$C$3))</f>
        <v/>
      </c>
    </row>
    <row r="1969">
      <c r="A1969" s="6" t="n"/>
      <c r="B1969" s="4" t="n"/>
      <c r="C1969" s="4" t="n"/>
      <c r="D1969" s="4" t="n"/>
      <c r="E1969">
        <f>IF(D1969="","",IFERROR(INDEX(الأصناف!$B$2:$B$2000,MATCH(D1969,الأصناف!$A$2:$A$2000,0)),"كود غير موجود"))</f>
        <v/>
      </c>
      <c r="F1969" s="4" t="n"/>
      <c r="G1969">
        <f>IF(D1969="","",IFERROR(INDEX(الأصناف!$C$2:$C$2000,MATCH(D1969,الأصناف!$A$2:$A$2000,0)),0))</f>
        <v/>
      </c>
      <c r="H1969">
        <f>IF(D1969="","",F1969*G1969)</f>
        <v/>
      </c>
      <c r="I1969">
        <f>IF(D1969="","",H1969-F1969*IFERROR(INDEX(الأصناف!$D$2:$D$2000,MATCH(D1969,الأصناف!$A$2:$A$2000,0)),0))</f>
        <v/>
      </c>
      <c r="J1969" s="4" t="n"/>
      <c r="K1969" s="7">
        <f>IF(OR(B1969="",B1969&lt;&gt;الإيصال!$C$3),"",COUNTIF(B$2:B1969,الإيصال!$C$3))</f>
        <v/>
      </c>
    </row>
    <row r="1970">
      <c r="A1970" s="6" t="n"/>
      <c r="B1970" s="4" t="n"/>
      <c r="C1970" s="4" t="n"/>
      <c r="D1970" s="4" t="n"/>
      <c r="E1970">
        <f>IF(D1970="","",IFERROR(INDEX(الأصناف!$B$2:$B$2000,MATCH(D1970,الأصناف!$A$2:$A$2000,0)),"كود غير موجود"))</f>
        <v/>
      </c>
      <c r="F1970" s="4" t="n"/>
      <c r="G1970">
        <f>IF(D1970="","",IFERROR(INDEX(الأصناف!$C$2:$C$2000,MATCH(D1970,الأصناف!$A$2:$A$2000,0)),0))</f>
        <v/>
      </c>
      <c r="H1970">
        <f>IF(D1970="","",F1970*G1970)</f>
        <v/>
      </c>
      <c r="I1970">
        <f>IF(D1970="","",H1970-F1970*IFERROR(INDEX(الأصناف!$D$2:$D$2000,MATCH(D1970,الأصناف!$A$2:$A$2000,0)),0))</f>
        <v/>
      </c>
      <c r="J1970" s="4" t="n"/>
      <c r="K1970" s="7">
        <f>IF(OR(B1970="",B1970&lt;&gt;الإيصال!$C$3),"",COUNTIF(B$2:B1970,الإيصال!$C$3))</f>
        <v/>
      </c>
    </row>
    <row r="1971">
      <c r="A1971" s="6" t="n"/>
      <c r="B1971" s="4" t="n"/>
      <c r="C1971" s="4" t="n"/>
      <c r="D1971" s="4" t="n"/>
      <c r="E1971">
        <f>IF(D1971="","",IFERROR(INDEX(الأصناف!$B$2:$B$2000,MATCH(D1971,الأصناف!$A$2:$A$2000,0)),"كود غير موجود"))</f>
        <v/>
      </c>
      <c r="F1971" s="4" t="n"/>
      <c r="G1971">
        <f>IF(D1971="","",IFERROR(INDEX(الأصناف!$C$2:$C$2000,MATCH(D1971,الأصناف!$A$2:$A$2000,0)),0))</f>
        <v/>
      </c>
      <c r="H1971">
        <f>IF(D1971="","",F1971*G1971)</f>
        <v/>
      </c>
      <c r="I1971">
        <f>IF(D1971="","",H1971-F1971*IFERROR(INDEX(الأصناف!$D$2:$D$2000,MATCH(D1971,الأصناف!$A$2:$A$2000,0)),0))</f>
        <v/>
      </c>
      <c r="J1971" s="4" t="n"/>
      <c r="K1971" s="7">
        <f>IF(OR(B1971="",B1971&lt;&gt;الإيصال!$C$3),"",COUNTIF(B$2:B1971,الإيصال!$C$3))</f>
        <v/>
      </c>
    </row>
    <row r="1972">
      <c r="A1972" s="6" t="n"/>
      <c r="B1972" s="4" t="n"/>
      <c r="C1972" s="4" t="n"/>
      <c r="D1972" s="4" t="n"/>
      <c r="E1972">
        <f>IF(D1972="","",IFERROR(INDEX(الأصناف!$B$2:$B$2000,MATCH(D1972,الأصناف!$A$2:$A$2000,0)),"كود غير موجود"))</f>
        <v/>
      </c>
      <c r="F1972" s="4" t="n"/>
      <c r="G1972">
        <f>IF(D1972="","",IFERROR(INDEX(الأصناف!$C$2:$C$2000,MATCH(D1972,الأصناف!$A$2:$A$2000,0)),0))</f>
        <v/>
      </c>
      <c r="H1972">
        <f>IF(D1972="","",F1972*G1972)</f>
        <v/>
      </c>
      <c r="I1972">
        <f>IF(D1972="","",H1972-F1972*IFERROR(INDEX(الأصناف!$D$2:$D$2000,MATCH(D1972,الأصناف!$A$2:$A$2000,0)),0))</f>
        <v/>
      </c>
      <c r="J1972" s="4" t="n"/>
      <c r="K1972" s="7">
        <f>IF(OR(B1972="",B1972&lt;&gt;الإيصال!$C$3),"",COUNTIF(B$2:B1972,الإيصال!$C$3))</f>
        <v/>
      </c>
    </row>
    <row r="1973">
      <c r="A1973" s="6" t="n"/>
      <c r="B1973" s="4" t="n"/>
      <c r="C1973" s="4" t="n"/>
      <c r="D1973" s="4" t="n"/>
      <c r="E1973">
        <f>IF(D1973="","",IFERROR(INDEX(الأصناف!$B$2:$B$2000,MATCH(D1973,الأصناف!$A$2:$A$2000,0)),"كود غير موجود"))</f>
        <v/>
      </c>
      <c r="F1973" s="4" t="n"/>
      <c r="G1973">
        <f>IF(D1973="","",IFERROR(INDEX(الأصناف!$C$2:$C$2000,MATCH(D1973,الأصناف!$A$2:$A$2000,0)),0))</f>
        <v/>
      </c>
      <c r="H1973">
        <f>IF(D1973="","",F1973*G1973)</f>
        <v/>
      </c>
      <c r="I1973">
        <f>IF(D1973="","",H1973-F1973*IFERROR(INDEX(الأصناف!$D$2:$D$2000,MATCH(D1973,الأصناف!$A$2:$A$2000,0)),0))</f>
        <v/>
      </c>
      <c r="J1973" s="4" t="n"/>
      <c r="K1973" s="7">
        <f>IF(OR(B1973="",B1973&lt;&gt;الإيصال!$C$3),"",COUNTIF(B$2:B1973,الإيصال!$C$3))</f>
        <v/>
      </c>
    </row>
    <row r="1974">
      <c r="A1974" s="6" t="n"/>
      <c r="B1974" s="4" t="n"/>
      <c r="C1974" s="4" t="n"/>
      <c r="D1974" s="4" t="n"/>
      <c r="E1974">
        <f>IF(D1974="","",IFERROR(INDEX(الأصناف!$B$2:$B$2000,MATCH(D1974,الأصناف!$A$2:$A$2000,0)),"كود غير موجود"))</f>
        <v/>
      </c>
      <c r="F1974" s="4" t="n"/>
      <c r="G1974">
        <f>IF(D1974="","",IFERROR(INDEX(الأصناف!$C$2:$C$2000,MATCH(D1974,الأصناف!$A$2:$A$2000,0)),0))</f>
        <v/>
      </c>
      <c r="H1974">
        <f>IF(D1974="","",F1974*G1974)</f>
        <v/>
      </c>
      <c r="I1974">
        <f>IF(D1974="","",H1974-F1974*IFERROR(INDEX(الأصناف!$D$2:$D$2000,MATCH(D1974,الأصناف!$A$2:$A$2000,0)),0))</f>
        <v/>
      </c>
      <c r="J1974" s="4" t="n"/>
      <c r="K1974" s="7">
        <f>IF(OR(B1974="",B1974&lt;&gt;الإيصال!$C$3),"",COUNTIF(B$2:B1974,الإيصال!$C$3))</f>
        <v/>
      </c>
    </row>
    <row r="1975">
      <c r="A1975" s="6" t="n"/>
      <c r="B1975" s="4" t="n"/>
      <c r="C1975" s="4" t="n"/>
      <c r="D1975" s="4" t="n"/>
      <c r="E1975">
        <f>IF(D1975="","",IFERROR(INDEX(الأصناف!$B$2:$B$2000,MATCH(D1975,الأصناف!$A$2:$A$2000,0)),"كود غير موجود"))</f>
        <v/>
      </c>
      <c r="F1975" s="4" t="n"/>
      <c r="G1975">
        <f>IF(D1975="","",IFERROR(INDEX(الأصناف!$C$2:$C$2000,MATCH(D1975,الأصناف!$A$2:$A$2000,0)),0))</f>
        <v/>
      </c>
      <c r="H1975">
        <f>IF(D1975="","",F1975*G1975)</f>
        <v/>
      </c>
      <c r="I1975">
        <f>IF(D1975="","",H1975-F1975*IFERROR(INDEX(الأصناف!$D$2:$D$2000,MATCH(D1975,الأصناف!$A$2:$A$2000,0)),0))</f>
        <v/>
      </c>
      <c r="J1975" s="4" t="n"/>
      <c r="K1975" s="7">
        <f>IF(OR(B1975="",B1975&lt;&gt;الإيصال!$C$3),"",COUNTIF(B$2:B1975,الإيصال!$C$3))</f>
        <v/>
      </c>
    </row>
    <row r="1976">
      <c r="A1976" s="6" t="n"/>
      <c r="B1976" s="4" t="n"/>
      <c r="C1976" s="4" t="n"/>
      <c r="D1976" s="4" t="n"/>
      <c r="E1976">
        <f>IF(D1976="","",IFERROR(INDEX(الأصناف!$B$2:$B$2000,MATCH(D1976,الأصناف!$A$2:$A$2000,0)),"كود غير موجود"))</f>
        <v/>
      </c>
      <c r="F1976" s="4" t="n"/>
      <c r="G1976">
        <f>IF(D1976="","",IFERROR(INDEX(الأصناف!$C$2:$C$2000,MATCH(D1976,الأصناف!$A$2:$A$2000,0)),0))</f>
        <v/>
      </c>
      <c r="H1976">
        <f>IF(D1976="","",F1976*G1976)</f>
        <v/>
      </c>
      <c r="I1976">
        <f>IF(D1976="","",H1976-F1976*IFERROR(INDEX(الأصناف!$D$2:$D$2000,MATCH(D1976,الأصناف!$A$2:$A$2000,0)),0))</f>
        <v/>
      </c>
      <c r="J1976" s="4" t="n"/>
      <c r="K1976" s="7">
        <f>IF(OR(B1976="",B1976&lt;&gt;الإيصال!$C$3),"",COUNTIF(B$2:B1976,الإيصال!$C$3))</f>
        <v/>
      </c>
    </row>
    <row r="1977">
      <c r="A1977" s="6" t="n"/>
      <c r="B1977" s="4" t="n"/>
      <c r="C1977" s="4" t="n"/>
      <c r="D1977" s="4" t="n"/>
      <c r="E1977">
        <f>IF(D1977="","",IFERROR(INDEX(الأصناف!$B$2:$B$2000,MATCH(D1977,الأصناف!$A$2:$A$2000,0)),"كود غير موجود"))</f>
        <v/>
      </c>
      <c r="F1977" s="4" t="n"/>
      <c r="G1977">
        <f>IF(D1977="","",IFERROR(INDEX(الأصناف!$C$2:$C$2000,MATCH(D1977,الأصناف!$A$2:$A$2000,0)),0))</f>
        <v/>
      </c>
      <c r="H1977">
        <f>IF(D1977="","",F1977*G1977)</f>
        <v/>
      </c>
      <c r="I1977">
        <f>IF(D1977="","",H1977-F1977*IFERROR(INDEX(الأصناف!$D$2:$D$2000,MATCH(D1977,الأصناف!$A$2:$A$2000,0)),0))</f>
        <v/>
      </c>
      <c r="J1977" s="4" t="n"/>
      <c r="K1977" s="7">
        <f>IF(OR(B1977="",B1977&lt;&gt;الإيصال!$C$3),"",COUNTIF(B$2:B1977,الإيصال!$C$3))</f>
        <v/>
      </c>
    </row>
    <row r="1978">
      <c r="A1978" s="6" t="n"/>
      <c r="B1978" s="4" t="n"/>
      <c r="C1978" s="4" t="n"/>
      <c r="D1978" s="4" t="n"/>
      <c r="E1978">
        <f>IF(D1978="","",IFERROR(INDEX(الأصناف!$B$2:$B$2000,MATCH(D1978,الأصناف!$A$2:$A$2000,0)),"كود غير موجود"))</f>
        <v/>
      </c>
      <c r="F1978" s="4" t="n"/>
      <c r="G1978">
        <f>IF(D1978="","",IFERROR(INDEX(الأصناف!$C$2:$C$2000,MATCH(D1978,الأصناف!$A$2:$A$2000,0)),0))</f>
        <v/>
      </c>
      <c r="H1978">
        <f>IF(D1978="","",F1978*G1978)</f>
        <v/>
      </c>
      <c r="I1978">
        <f>IF(D1978="","",H1978-F1978*IFERROR(INDEX(الأصناف!$D$2:$D$2000,MATCH(D1978,الأصناف!$A$2:$A$2000,0)),0))</f>
        <v/>
      </c>
      <c r="J1978" s="4" t="n"/>
      <c r="K1978" s="7">
        <f>IF(OR(B1978="",B1978&lt;&gt;الإيصال!$C$3),"",COUNTIF(B$2:B1978,الإيصال!$C$3))</f>
        <v/>
      </c>
    </row>
    <row r="1979">
      <c r="A1979" s="6" t="n"/>
      <c r="B1979" s="4" t="n"/>
      <c r="C1979" s="4" t="n"/>
      <c r="D1979" s="4" t="n"/>
      <c r="E1979">
        <f>IF(D1979="","",IFERROR(INDEX(الأصناف!$B$2:$B$2000,MATCH(D1979,الأصناف!$A$2:$A$2000,0)),"كود غير موجود"))</f>
        <v/>
      </c>
      <c r="F1979" s="4" t="n"/>
      <c r="G1979">
        <f>IF(D1979="","",IFERROR(INDEX(الأصناف!$C$2:$C$2000,MATCH(D1979,الأصناف!$A$2:$A$2000,0)),0))</f>
        <v/>
      </c>
      <c r="H1979">
        <f>IF(D1979="","",F1979*G1979)</f>
        <v/>
      </c>
      <c r="I1979">
        <f>IF(D1979="","",H1979-F1979*IFERROR(INDEX(الأصناف!$D$2:$D$2000,MATCH(D1979,الأصناف!$A$2:$A$2000,0)),0))</f>
        <v/>
      </c>
      <c r="J1979" s="4" t="n"/>
      <c r="K1979" s="7">
        <f>IF(OR(B1979="",B1979&lt;&gt;الإيصال!$C$3),"",COUNTIF(B$2:B1979,الإيصال!$C$3))</f>
        <v/>
      </c>
    </row>
    <row r="1980">
      <c r="A1980" s="6" t="n"/>
      <c r="B1980" s="4" t="n"/>
      <c r="C1980" s="4" t="n"/>
      <c r="D1980" s="4" t="n"/>
      <c r="E1980">
        <f>IF(D1980="","",IFERROR(INDEX(الأصناف!$B$2:$B$2000,MATCH(D1980,الأصناف!$A$2:$A$2000,0)),"كود غير موجود"))</f>
        <v/>
      </c>
      <c r="F1980" s="4" t="n"/>
      <c r="G1980">
        <f>IF(D1980="","",IFERROR(INDEX(الأصناف!$C$2:$C$2000,MATCH(D1980,الأصناف!$A$2:$A$2000,0)),0))</f>
        <v/>
      </c>
      <c r="H1980">
        <f>IF(D1980="","",F1980*G1980)</f>
        <v/>
      </c>
      <c r="I1980">
        <f>IF(D1980="","",H1980-F1980*IFERROR(INDEX(الأصناف!$D$2:$D$2000,MATCH(D1980,الأصناف!$A$2:$A$2000,0)),0))</f>
        <v/>
      </c>
      <c r="J1980" s="4" t="n"/>
      <c r="K1980" s="7">
        <f>IF(OR(B1980="",B1980&lt;&gt;الإيصال!$C$3),"",COUNTIF(B$2:B1980,الإيصال!$C$3))</f>
        <v/>
      </c>
    </row>
    <row r="1981">
      <c r="A1981" s="6" t="n"/>
      <c r="B1981" s="4" t="n"/>
      <c r="C1981" s="4" t="n"/>
      <c r="D1981" s="4" t="n"/>
      <c r="E1981">
        <f>IF(D1981="","",IFERROR(INDEX(الأصناف!$B$2:$B$2000,MATCH(D1981,الأصناف!$A$2:$A$2000,0)),"كود غير موجود"))</f>
        <v/>
      </c>
      <c r="F1981" s="4" t="n"/>
      <c r="G1981">
        <f>IF(D1981="","",IFERROR(INDEX(الأصناف!$C$2:$C$2000,MATCH(D1981,الأصناف!$A$2:$A$2000,0)),0))</f>
        <v/>
      </c>
      <c r="H1981">
        <f>IF(D1981="","",F1981*G1981)</f>
        <v/>
      </c>
      <c r="I1981">
        <f>IF(D1981="","",H1981-F1981*IFERROR(INDEX(الأصناف!$D$2:$D$2000,MATCH(D1981,الأصناف!$A$2:$A$2000,0)),0))</f>
        <v/>
      </c>
      <c r="J1981" s="4" t="n"/>
      <c r="K1981" s="7">
        <f>IF(OR(B1981="",B1981&lt;&gt;الإيصال!$C$3),"",COUNTIF(B$2:B1981,الإيصال!$C$3))</f>
        <v/>
      </c>
    </row>
    <row r="1982">
      <c r="A1982" s="6" t="n"/>
      <c r="B1982" s="4" t="n"/>
      <c r="C1982" s="4" t="n"/>
      <c r="D1982" s="4" t="n"/>
      <c r="E1982">
        <f>IF(D1982="","",IFERROR(INDEX(الأصناف!$B$2:$B$2000,MATCH(D1982,الأصناف!$A$2:$A$2000,0)),"كود غير موجود"))</f>
        <v/>
      </c>
      <c r="F1982" s="4" t="n"/>
      <c r="G1982">
        <f>IF(D1982="","",IFERROR(INDEX(الأصناف!$C$2:$C$2000,MATCH(D1982,الأصناف!$A$2:$A$2000,0)),0))</f>
        <v/>
      </c>
      <c r="H1982">
        <f>IF(D1982="","",F1982*G1982)</f>
        <v/>
      </c>
      <c r="I1982">
        <f>IF(D1982="","",H1982-F1982*IFERROR(INDEX(الأصناف!$D$2:$D$2000,MATCH(D1982,الأصناف!$A$2:$A$2000,0)),0))</f>
        <v/>
      </c>
      <c r="J1982" s="4" t="n"/>
      <c r="K1982" s="7">
        <f>IF(OR(B1982="",B1982&lt;&gt;الإيصال!$C$3),"",COUNTIF(B$2:B1982,الإيصال!$C$3))</f>
        <v/>
      </c>
    </row>
    <row r="1983">
      <c r="A1983" s="6" t="n"/>
      <c r="B1983" s="4" t="n"/>
      <c r="C1983" s="4" t="n"/>
      <c r="D1983" s="4" t="n"/>
      <c r="E1983">
        <f>IF(D1983="","",IFERROR(INDEX(الأصناف!$B$2:$B$2000,MATCH(D1983,الأصناف!$A$2:$A$2000,0)),"كود غير موجود"))</f>
        <v/>
      </c>
      <c r="F1983" s="4" t="n"/>
      <c r="G1983">
        <f>IF(D1983="","",IFERROR(INDEX(الأصناف!$C$2:$C$2000,MATCH(D1983,الأصناف!$A$2:$A$2000,0)),0))</f>
        <v/>
      </c>
      <c r="H1983">
        <f>IF(D1983="","",F1983*G1983)</f>
        <v/>
      </c>
      <c r="I1983">
        <f>IF(D1983="","",H1983-F1983*IFERROR(INDEX(الأصناف!$D$2:$D$2000,MATCH(D1983,الأصناف!$A$2:$A$2000,0)),0))</f>
        <v/>
      </c>
      <c r="J1983" s="4" t="n"/>
      <c r="K1983" s="7">
        <f>IF(OR(B1983="",B1983&lt;&gt;الإيصال!$C$3),"",COUNTIF(B$2:B1983,الإيصال!$C$3))</f>
        <v/>
      </c>
    </row>
    <row r="1984">
      <c r="A1984" s="6" t="n"/>
      <c r="B1984" s="4" t="n"/>
      <c r="C1984" s="4" t="n"/>
      <c r="D1984" s="4" t="n"/>
      <c r="E1984">
        <f>IF(D1984="","",IFERROR(INDEX(الأصناف!$B$2:$B$2000,MATCH(D1984,الأصناف!$A$2:$A$2000,0)),"كود غير موجود"))</f>
        <v/>
      </c>
      <c r="F1984" s="4" t="n"/>
      <c r="G1984">
        <f>IF(D1984="","",IFERROR(INDEX(الأصناف!$C$2:$C$2000,MATCH(D1984,الأصناف!$A$2:$A$2000,0)),0))</f>
        <v/>
      </c>
      <c r="H1984">
        <f>IF(D1984="","",F1984*G1984)</f>
        <v/>
      </c>
      <c r="I1984">
        <f>IF(D1984="","",H1984-F1984*IFERROR(INDEX(الأصناف!$D$2:$D$2000,MATCH(D1984,الأصناف!$A$2:$A$2000,0)),0))</f>
        <v/>
      </c>
      <c r="J1984" s="4" t="n"/>
      <c r="K1984" s="7">
        <f>IF(OR(B1984="",B1984&lt;&gt;الإيصال!$C$3),"",COUNTIF(B$2:B1984,الإيصال!$C$3))</f>
        <v/>
      </c>
    </row>
    <row r="1985">
      <c r="A1985" s="6" t="n"/>
      <c r="B1985" s="4" t="n"/>
      <c r="C1985" s="4" t="n"/>
      <c r="D1985" s="4" t="n"/>
      <c r="E1985">
        <f>IF(D1985="","",IFERROR(INDEX(الأصناف!$B$2:$B$2000,MATCH(D1985,الأصناف!$A$2:$A$2000,0)),"كود غير موجود"))</f>
        <v/>
      </c>
      <c r="F1985" s="4" t="n"/>
      <c r="G1985">
        <f>IF(D1985="","",IFERROR(INDEX(الأصناف!$C$2:$C$2000,MATCH(D1985,الأصناف!$A$2:$A$2000,0)),0))</f>
        <v/>
      </c>
      <c r="H1985">
        <f>IF(D1985="","",F1985*G1985)</f>
        <v/>
      </c>
      <c r="I1985">
        <f>IF(D1985="","",H1985-F1985*IFERROR(INDEX(الأصناف!$D$2:$D$2000,MATCH(D1985,الأصناف!$A$2:$A$2000,0)),0))</f>
        <v/>
      </c>
      <c r="J1985" s="4" t="n"/>
      <c r="K1985" s="7">
        <f>IF(OR(B1985="",B1985&lt;&gt;الإيصال!$C$3),"",COUNTIF(B$2:B1985,الإيصال!$C$3))</f>
        <v/>
      </c>
    </row>
    <row r="1986">
      <c r="A1986" s="6" t="n"/>
      <c r="B1986" s="4" t="n"/>
      <c r="C1986" s="4" t="n"/>
      <c r="D1986" s="4" t="n"/>
      <c r="E1986">
        <f>IF(D1986="","",IFERROR(INDEX(الأصناف!$B$2:$B$2000,MATCH(D1986,الأصناف!$A$2:$A$2000,0)),"كود غير موجود"))</f>
        <v/>
      </c>
      <c r="F1986" s="4" t="n"/>
      <c r="G1986">
        <f>IF(D1986="","",IFERROR(INDEX(الأصناف!$C$2:$C$2000,MATCH(D1986,الأصناف!$A$2:$A$2000,0)),0))</f>
        <v/>
      </c>
      <c r="H1986">
        <f>IF(D1986="","",F1986*G1986)</f>
        <v/>
      </c>
      <c r="I1986">
        <f>IF(D1986="","",H1986-F1986*IFERROR(INDEX(الأصناف!$D$2:$D$2000,MATCH(D1986,الأصناف!$A$2:$A$2000,0)),0))</f>
        <v/>
      </c>
      <c r="J1986" s="4" t="n"/>
      <c r="K1986" s="7">
        <f>IF(OR(B1986="",B1986&lt;&gt;الإيصال!$C$3),"",COUNTIF(B$2:B1986,الإيصال!$C$3))</f>
        <v/>
      </c>
    </row>
    <row r="1987">
      <c r="A1987" s="6" t="n"/>
      <c r="B1987" s="4" t="n"/>
      <c r="C1987" s="4" t="n"/>
      <c r="D1987" s="4" t="n"/>
      <c r="E1987">
        <f>IF(D1987="","",IFERROR(INDEX(الأصناف!$B$2:$B$2000,MATCH(D1987,الأصناف!$A$2:$A$2000,0)),"كود غير موجود"))</f>
        <v/>
      </c>
      <c r="F1987" s="4" t="n"/>
      <c r="G1987">
        <f>IF(D1987="","",IFERROR(INDEX(الأصناف!$C$2:$C$2000,MATCH(D1987,الأصناف!$A$2:$A$2000,0)),0))</f>
        <v/>
      </c>
      <c r="H1987">
        <f>IF(D1987="","",F1987*G1987)</f>
        <v/>
      </c>
      <c r="I1987">
        <f>IF(D1987="","",H1987-F1987*IFERROR(INDEX(الأصناف!$D$2:$D$2000,MATCH(D1987,الأصناف!$A$2:$A$2000,0)),0))</f>
        <v/>
      </c>
      <c r="J1987" s="4" t="n"/>
      <c r="K1987" s="7">
        <f>IF(OR(B1987="",B1987&lt;&gt;الإيصال!$C$3),"",COUNTIF(B$2:B1987,الإيصال!$C$3))</f>
        <v/>
      </c>
    </row>
    <row r="1988">
      <c r="A1988" s="6" t="n"/>
      <c r="B1988" s="4" t="n"/>
      <c r="C1988" s="4" t="n"/>
      <c r="D1988" s="4" t="n"/>
      <c r="E1988">
        <f>IF(D1988="","",IFERROR(INDEX(الأصناف!$B$2:$B$2000,MATCH(D1988,الأصناف!$A$2:$A$2000,0)),"كود غير موجود"))</f>
        <v/>
      </c>
      <c r="F1988" s="4" t="n"/>
      <c r="G1988">
        <f>IF(D1988="","",IFERROR(INDEX(الأصناف!$C$2:$C$2000,MATCH(D1988,الأصناف!$A$2:$A$2000,0)),0))</f>
        <v/>
      </c>
      <c r="H1988">
        <f>IF(D1988="","",F1988*G1988)</f>
        <v/>
      </c>
      <c r="I1988">
        <f>IF(D1988="","",H1988-F1988*IFERROR(INDEX(الأصناف!$D$2:$D$2000,MATCH(D1988,الأصناف!$A$2:$A$2000,0)),0))</f>
        <v/>
      </c>
      <c r="J1988" s="4" t="n"/>
      <c r="K1988" s="7">
        <f>IF(OR(B1988="",B1988&lt;&gt;الإيصال!$C$3),"",COUNTIF(B$2:B1988,الإيصال!$C$3))</f>
        <v/>
      </c>
    </row>
    <row r="1989">
      <c r="A1989" s="6" t="n"/>
      <c r="B1989" s="4" t="n"/>
      <c r="C1989" s="4" t="n"/>
      <c r="D1989" s="4" t="n"/>
      <c r="E1989">
        <f>IF(D1989="","",IFERROR(INDEX(الأصناف!$B$2:$B$2000,MATCH(D1989,الأصناف!$A$2:$A$2000,0)),"كود غير موجود"))</f>
        <v/>
      </c>
      <c r="F1989" s="4" t="n"/>
      <c r="G1989">
        <f>IF(D1989="","",IFERROR(INDEX(الأصناف!$C$2:$C$2000,MATCH(D1989,الأصناف!$A$2:$A$2000,0)),0))</f>
        <v/>
      </c>
      <c r="H1989">
        <f>IF(D1989="","",F1989*G1989)</f>
        <v/>
      </c>
      <c r="I1989">
        <f>IF(D1989="","",H1989-F1989*IFERROR(INDEX(الأصناف!$D$2:$D$2000,MATCH(D1989,الأصناف!$A$2:$A$2000,0)),0))</f>
        <v/>
      </c>
      <c r="J1989" s="4" t="n"/>
      <c r="K1989" s="7">
        <f>IF(OR(B1989="",B1989&lt;&gt;الإيصال!$C$3),"",COUNTIF(B$2:B1989,الإيصال!$C$3))</f>
        <v/>
      </c>
    </row>
    <row r="1990">
      <c r="A1990" s="6" t="n"/>
      <c r="B1990" s="4" t="n"/>
      <c r="C1990" s="4" t="n"/>
      <c r="D1990" s="4" t="n"/>
      <c r="E1990">
        <f>IF(D1990="","",IFERROR(INDEX(الأصناف!$B$2:$B$2000,MATCH(D1990,الأصناف!$A$2:$A$2000,0)),"كود غير موجود"))</f>
        <v/>
      </c>
      <c r="F1990" s="4" t="n"/>
      <c r="G1990">
        <f>IF(D1990="","",IFERROR(INDEX(الأصناف!$C$2:$C$2000,MATCH(D1990,الأصناف!$A$2:$A$2000,0)),0))</f>
        <v/>
      </c>
      <c r="H1990">
        <f>IF(D1990="","",F1990*G1990)</f>
        <v/>
      </c>
      <c r="I1990">
        <f>IF(D1990="","",H1990-F1990*IFERROR(INDEX(الأصناف!$D$2:$D$2000,MATCH(D1990,الأصناف!$A$2:$A$2000,0)),0))</f>
        <v/>
      </c>
      <c r="J1990" s="4" t="n"/>
      <c r="K1990" s="7">
        <f>IF(OR(B1990="",B1990&lt;&gt;الإيصال!$C$3),"",COUNTIF(B$2:B1990,الإيصال!$C$3))</f>
        <v/>
      </c>
    </row>
    <row r="1991">
      <c r="A1991" s="6" t="n"/>
      <c r="B1991" s="4" t="n"/>
      <c r="C1991" s="4" t="n"/>
      <c r="D1991" s="4" t="n"/>
      <c r="E1991">
        <f>IF(D1991="","",IFERROR(INDEX(الأصناف!$B$2:$B$2000,MATCH(D1991,الأصناف!$A$2:$A$2000,0)),"كود غير موجود"))</f>
        <v/>
      </c>
      <c r="F1991" s="4" t="n"/>
      <c r="G1991">
        <f>IF(D1991="","",IFERROR(INDEX(الأصناف!$C$2:$C$2000,MATCH(D1991,الأصناف!$A$2:$A$2000,0)),0))</f>
        <v/>
      </c>
      <c r="H1991">
        <f>IF(D1991="","",F1991*G1991)</f>
        <v/>
      </c>
      <c r="I1991">
        <f>IF(D1991="","",H1991-F1991*IFERROR(INDEX(الأصناف!$D$2:$D$2000,MATCH(D1991,الأصناف!$A$2:$A$2000,0)),0))</f>
        <v/>
      </c>
      <c r="J1991" s="4" t="n"/>
      <c r="K1991" s="7">
        <f>IF(OR(B1991="",B1991&lt;&gt;الإيصال!$C$3),"",COUNTIF(B$2:B1991,الإيصال!$C$3))</f>
        <v/>
      </c>
    </row>
    <row r="1992">
      <c r="A1992" s="6" t="n"/>
      <c r="B1992" s="4" t="n"/>
      <c r="C1992" s="4" t="n"/>
      <c r="D1992" s="4" t="n"/>
      <c r="E1992">
        <f>IF(D1992="","",IFERROR(INDEX(الأصناف!$B$2:$B$2000,MATCH(D1992,الأصناف!$A$2:$A$2000,0)),"كود غير موجود"))</f>
        <v/>
      </c>
      <c r="F1992" s="4" t="n"/>
      <c r="G1992">
        <f>IF(D1992="","",IFERROR(INDEX(الأصناف!$C$2:$C$2000,MATCH(D1992,الأصناف!$A$2:$A$2000,0)),0))</f>
        <v/>
      </c>
      <c r="H1992">
        <f>IF(D1992="","",F1992*G1992)</f>
        <v/>
      </c>
      <c r="I1992">
        <f>IF(D1992="","",H1992-F1992*IFERROR(INDEX(الأصناف!$D$2:$D$2000,MATCH(D1992,الأصناف!$A$2:$A$2000,0)),0))</f>
        <v/>
      </c>
      <c r="J1992" s="4" t="n"/>
      <c r="K1992" s="7">
        <f>IF(OR(B1992="",B1992&lt;&gt;الإيصال!$C$3),"",COUNTIF(B$2:B1992,الإيصال!$C$3))</f>
        <v/>
      </c>
    </row>
    <row r="1993">
      <c r="A1993" s="6" t="n"/>
      <c r="B1993" s="4" t="n"/>
      <c r="C1993" s="4" t="n"/>
      <c r="D1993" s="4" t="n"/>
      <c r="E1993">
        <f>IF(D1993="","",IFERROR(INDEX(الأصناف!$B$2:$B$2000,MATCH(D1993,الأصناف!$A$2:$A$2000,0)),"كود غير موجود"))</f>
        <v/>
      </c>
      <c r="F1993" s="4" t="n"/>
      <c r="G1993">
        <f>IF(D1993="","",IFERROR(INDEX(الأصناف!$C$2:$C$2000,MATCH(D1993,الأصناف!$A$2:$A$2000,0)),0))</f>
        <v/>
      </c>
      <c r="H1993">
        <f>IF(D1993="","",F1993*G1993)</f>
        <v/>
      </c>
      <c r="I1993">
        <f>IF(D1993="","",H1993-F1993*IFERROR(INDEX(الأصناف!$D$2:$D$2000,MATCH(D1993,الأصناف!$A$2:$A$2000,0)),0))</f>
        <v/>
      </c>
      <c r="J1993" s="4" t="n"/>
      <c r="K1993" s="7">
        <f>IF(OR(B1993="",B1993&lt;&gt;الإيصال!$C$3),"",COUNTIF(B$2:B1993,الإيصال!$C$3))</f>
        <v/>
      </c>
    </row>
    <row r="1994">
      <c r="A1994" s="6" t="n"/>
      <c r="B1994" s="4" t="n"/>
      <c r="C1994" s="4" t="n"/>
      <c r="D1994" s="4" t="n"/>
      <c r="E1994">
        <f>IF(D1994="","",IFERROR(INDEX(الأصناف!$B$2:$B$2000,MATCH(D1994,الأصناف!$A$2:$A$2000,0)),"كود غير موجود"))</f>
        <v/>
      </c>
      <c r="F1994" s="4" t="n"/>
      <c r="G1994">
        <f>IF(D1994="","",IFERROR(INDEX(الأصناف!$C$2:$C$2000,MATCH(D1994,الأصناف!$A$2:$A$2000,0)),0))</f>
        <v/>
      </c>
      <c r="H1994">
        <f>IF(D1994="","",F1994*G1994)</f>
        <v/>
      </c>
      <c r="I1994">
        <f>IF(D1994="","",H1994-F1994*IFERROR(INDEX(الأصناف!$D$2:$D$2000,MATCH(D1994,الأصناف!$A$2:$A$2000,0)),0))</f>
        <v/>
      </c>
      <c r="J1994" s="4" t="n"/>
      <c r="K1994" s="7">
        <f>IF(OR(B1994="",B1994&lt;&gt;الإيصال!$C$3),"",COUNTIF(B$2:B1994,الإيصال!$C$3))</f>
        <v/>
      </c>
    </row>
    <row r="1995">
      <c r="A1995" s="6" t="n"/>
      <c r="B1995" s="4" t="n"/>
      <c r="C1995" s="4" t="n"/>
      <c r="D1995" s="4" t="n"/>
      <c r="E1995">
        <f>IF(D1995="","",IFERROR(INDEX(الأصناف!$B$2:$B$2000,MATCH(D1995,الأصناف!$A$2:$A$2000,0)),"كود غير موجود"))</f>
        <v/>
      </c>
      <c r="F1995" s="4" t="n"/>
      <c r="G1995">
        <f>IF(D1995="","",IFERROR(INDEX(الأصناف!$C$2:$C$2000,MATCH(D1995,الأصناف!$A$2:$A$2000,0)),0))</f>
        <v/>
      </c>
      <c r="H1995">
        <f>IF(D1995="","",F1995*G1995)</f>
        <v/>
      </c>
      <c r="I1995">
        <f>IF(D1995="","",H1995-F1995*IFERROR(INDEX(الأصناف!$D$2:$D$2000,MATCH(D1995,الأصناف!$A$2:$A$2000,0)),0))</f>
        <v/>
      </c>
      <c r="J1995" s="4" t="n"/>
      <c r="K1995" s="7">
        <f>IF(OR(B1995="",B1995&lt;&gt;الإيصال!$C$3),"",COUNTIF(B$2:B1995,الإيصال!$C$3))</f>
        <v/>
      </c>
    </row>
    <row r="1996">
      <c r="A1996" s="6" t="n"/>
      <c r="B1996" s="4" t="n"/>
      <c r="C1996" s="4" t="n"/>
      <c r="D1996" s="4" t="n"/>
      <c r="E1996">
        <f>IF(D1996="","",IFERROR(INDEX(الأصناف!$B$2:$B$2000,MATCH(D1996,الأصناف!$A$2:$A$2000,0)),"كود غير موجود"))</f>
        <v/>
      </c>
      <c r="F1996" s="4" t="n"/>
      <c r="G1996">
        <f>IF(D1996="","",IFERROR(INDEX(الأصناف!$C$2:$C$2000,MATCH(D1996,الأصناف!$A$2:$A$2000,0)),0))</f>
        <v/>
      </c>
      <c r="H1996">
        <f>IF(D1996="","",F1996*G1996)</f>
        <v/>
      </c>
      <c r="I1996">
        <f>IF(D1996="","",H1996-F1996*IFERROR(INDEX(الأصناف!$D$2:$D$2000,MATCH(D1996,الأصناف!$A$2:$A$2000,0)),0))</f>
        <v/>
      </c>
      <c r="J1996" s="4" t="n"/>
      <c r="K1996" s="7">
        <f>IF(OR(B1996="",B1996&lt;&gt;الإيصال!$C$3),"",COUNTIF(B$2:B1996,الإيصال!$C$3))</f>
        <v/>
      </c>
    </row>
    <row r="1997">
      <c r="A1997" s="6" t="n"/>
      <c r="B1997" s="4" t="n"/>
      <c r="C1997" s="4" t="n"/>
      <c r="D1997" s="4" t="n"/>
      <c r="E1997">
        <f>IF(D1997="","",IFERROR(INDEX(الأصناف!$B$2:$B$2000,MATCH(D1997,الأصناف!$A$2:$A$2000,0)),"كود غير موجود"))</f>
        <v/>
      </c>
      <c r="F1997" s="4" t="n"/>
      <c r="G1997">
        <f>IF(D1997="","",IFERROR(INDEX(الأصناف!$C$2:$C$2000,MATCH(D1997,الأصناف!$A$2:$A$2000,0)),0))</f>
        <v/>
      </c>
      <c r="H1997">
        <f>IF(D1997="","",F1997*G1997)</f>
        <v/>
      </c>
      <c r="I1997">
        <f>IF(D1997="","",H1997-F1997*IFERROR(INDEX(الأصناف!$D$2:$D$2000,MATCH(D1997,الأصناف!$A$2:$A$2000,0)),0))</f>
        <v/>
      </c>
      <c r="J1997" s="4" t="n"/>
      <c r="K1997" s="7">
        <f>IF(OR(B1997="",B1997&lt;&gt;الإيصال!$C$3),"",COUNTIF(B$2:B1997,الإيصال!$C$3))</f>
        <v/>
      </c>
    </row>
    <row r="1998">
      <c r="A1998" s="6" t="n"/>
      <c r="B1998" s="4" t="n"/>
      <c r="C1998" s="4" t="n"/>
      <c r="D1998" s="4" t="n"/>
      <c r="E1998">
        <f>IF(D1998="","",IFERROR(INDEX(الأصناف!$B$2:$B$2000,MATCH(D1998,الأصناف!$A$2:$A$2000,0)),"كود غير موجود"))</f>
        <v/>
      </c>
      <c r="F1998" s="4" t="n"/>
      <c r="G1998">
        <f>IF(D1998="","",IFERROR(INDEX(الأصناف!$C$2:$C$2000,MATCH(D1998,الأصناف!$A$2:$A$2000,0)),0))</f>
        <v/>
      </c>
      <c r="H1998">
        <f>IF(D1998="","",F1998*G1998)</f>
        <v/>
      </c>
      <c r="I1998">
        <f>IF(D1998="","",H1998-F1998*IFERROR(INDEX(الأصناف!$D$2:$D$2000,MATCH(D1998,الأصناف!$A$2:$A$2000,0)),0))</f>
        <v/>
      </c>
      <c r="J1998" s="4" t="n"/>
      <c r="K1998" s="7">
        <f>IF(OR(B1998="",B1998&lt;&gt;الإيصال!$C$3),"",COUNTIF(B$2:B1998,الإيصال!$C$3))</f>
        <v/>
      </c>
    </row>
    <row r="1999">
      <c r="A1999" s="6" t="n"/>
      <c r="B1999" s="4" t="n"/>
      <c r="C1999" s="4" t="n"/>
      <c r="D1999" s="4" t="n"/>
      <c r="E1999">
        <f>IF(D1999="","",IFERROR(INDEX(الأصناف!$B$2:$B$2000,MATCH(D1999,الأصناف!$A$2:$A$2000,0)),"كود غير موجود"))</f>
        <v/>
      </c>
      <c r="F1999" s="4" t="n"/>
      <c r="G1999">
        <f>IF(D1999="","",IFERROR(INDEX(الأصناف!$C$2:$C$2000,MATCH(D1999,الأصناف!$A$2:$A$2000,0)),0))</f>
        <v/>
      </c>
      <c r="H1999">
        <f>IF(D1999="","",F1999*G1999)</f>
        <v/>
      </c>
      <c r="I1999">
        <f>IF(D1999="","",H1999-F1999*IFERROR(INDEX(الأصناف!$D$2:$D$2000,MATCH(D1999,الأصناف!$A$2:$A$2000,0)),0))</f>
        <v/>
      </c>
      <c r="J1999" s="4" t="n"/>
      <c r="K1999" s="7">
        <f>IF(OR(B1999="",B1999&lt;&gt;الإيصال!$C$3),"",COUNTIF(B$2:B1999,الإيصال!$C$3))</f>
        <v/>
      </c>
    </row>
    <row r="2000">
      <c r="A2000" s="6" t="n"/>
      <c r="B2000" s="4" t="n"/>
      <c r="C2000" s="4" t="n"/>
      <c r="D2000" s="4" t="n"/>
      <c r="E2000">
        <f>IF(D2000="","",IFERROR(INDEX(الأصناف!$B$2:$B$2000,MATCH(D2000,الأصناف!$A$2:$A$2000,0)),"كود غير موجود"))</f>
        <v/>
      </c>
      <c r="F2000" s="4" t="n"/>
      <c r="G2000">
        <f>IF(D2000="","",IFERROR(INDEX(الأصناف!$C$2:$C$2000,MATCH(D2000,الأصناف!$A$2:$A$2000,0)),0))</f>
        <v/>
      </c>
      <c r="H2000">
        <f>IF(D2000="","",F2000*G2000)</f>
        <v/>
      </c>
      <c r="I2000">
        <f>IF(D2000="","",H2000-F2000*IFERROR(INDEX(الأصناف!$D$2:$D$2000,MATCH(D2000,الأصناف!$A$2:$A$2000,0)),0))</f>
        <v/>
      </c>
      <c r="J2000" s="4" t="n"/>
      <c r="K2000" s="7">
        <f>IF(OR(B2000="",B2000&lt;&gt;الإيصال!$C$3),"",COUNTIF(B$2:B2000,الإيصال!$C$3))</f>
        <v/>
      </c>
    </row>
  </sheetData>
  <dataValidations count="3">
    <dataValidation sqref="J2:J2000" showDropDown="0" showInputMessage="0" showErrorMessage="0" allowBlank="1" type="list">
      <formula1>"نقدًا,مدى,تحويل,آجل"</formula1>
    </dataValidation>
    <dataValidation sqref="D2:D2000" showDropDown="0" showInputMessage="0" showErrorMessage="0" allowBlank="1" type="list">
      <formula1>=الأصناف!$A$2:$A$2000</formula1>
    </dataValidation>
    <dataValidation sqref="C2:C2000" showDropDown="0" showInputMessage="0" showErrorMessage="0" allowBlank="1" type="list">
      <formula1>=العملاء!$A$2:$A$2000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30" customWidth="1" min="4" max="4"/>
  </cols>
  <sheetData>
    <row r="1" ht="26" customHeight="1">
      <c r="A1" s="3" t="inlineStr">
        <is>
          <t>التاريخ</t>
        </is>
      </c>
      <c r="B1" s="3" t="inlineStr">
        <is>
          <t>البند</t>
        </is>
      </c>
      <c r="C1" s="3" t="inlineStr">
        <is>
          <t>المبلغ</t>
        </is>
      </c>
      <c r="D1" s="3" t="inlineStr">
        <is>
          <t>ملاحظة</t>
        </is>
      </c>
    </row>
    <row r="2">
      <c r="A2" s="6" t="n">
        <v>46275</v>
      </c>
      <c r="B2" s="4" t="inlineStr">
        <is>
          <t>شحن</t>
        </is>
      </c>
      <c r="C2" s="4" t="n">
        <v>60</v>
      </c>
      <c r="D2" s="4" t="inlineStr"/>
    </row>
    <row r="3">
      <c r="A3" s="6" t="n">
        <v>46299</v>
      </c>
      <c r="B3" s="4" t="inlineStr">
        <is>
          <t>تسويق</t>
        </is>
      </c>
      <c r="C3" s="4" t="n">
        <v>100</v>
      </c>
      <c r="D3" s="4" t="inlineStr">
        <is>
          <t>إعلان</t>
        </is>
      </c>
    </row>
    <row r="4">
      <c r="A4" s="6" t="n"/>
      <c r="B4" s="4" t="n"/>
      <c r="C4" s="4" t="n"/>
      <c r="D4" s="4" t="n"/>
    </row>
    <row r="5">
      <c r="A5" s="6" t="n"/>
      <c r="B5" s="4" t="n"/>
      <c r="C5" s="4" t="n"/>
      <c r="D5" s="4" t="n"/>
    </row>
    <row r="6">
      <c r="A6" s="6" t="n"/>
      <c r="B6" s="4" t="n"/>
      <c r="C6" s="4" t="n"/>
      <c r="D6" s="4" t="n"/>
    </row>
    <row r="7">
      <c r="A7" s="6" t="n"/>
      <c r="B7" s="4" t="n"/>
      <c r="C7" s="4" t="n"/>
      <c r="D7" s="4" t="n"/>
    </row>
    <row r="8">
      <c r="A8" s="6" t="n"/>
      <c r="B8" s="4" t="n"/>
      <c r="C8" s="4" t="n"/>
      <c r="D8" s="4" t="n"/>
    </row>
    <row r="9">
      <c r="A9" s="6" t="n"/>
      <c r="B9" s="4" t="n"/>
      <c r="C9" s="4" t="n"/>
      <c r="D9" s="4" t="n"/>
    </row>
    <row r="10">
      <c r="A10" s="6" t="n"/>
      <c r="B10" s="4" t="n"/>
      <c r="C10" s="4" t="n"/>
      <c r="D10" s="4" t="n"/>
    </row>
    <row r="11">
      <c r="A11" s="6" t="n"/>
      <c r="B11" s="4" t="n"/>
      <c r="C11" s="4" t="n"/>
      <c r="D11" s="4" t="n"/>
    </row>
    <row r="12">
      <c r="A12" s="6" t="n"/>
      <c r="B12" s="4" t="n"/>
      <c r="C12" s="4" t="n"/>
      <c r="D12" s="4" t="n"/>
    </row>
    <row r="13">
      <c r="A13" s="6" t="n"/>
      <c r="B13" s="4" t="n"/>
      <c r="C13" s="4" t="n"/>
      <c r="D13" s="4" t="n"/>
    </row>
    <row r="14">
      <c r="A14" s="6" t="n"/>
      <c r="B14" s="4" t="n"/>
      <c r="C14" s="4" t="n"/>
      <c r="D14" s="4" t="n"/>
    </row>
    <row r="15">
      <c r="A15" s="6" t="n"/>
      <c r="B15" s="4" t="n"/>
      <c r="C15" s="4" t="n"/>
      <c r="D15" s="4" t="n"/>
    </row>
    <row r="16">
      <c r="A16" s="6" t="n"/>
      <c r="B16" s="4" t="n"/>
      <c r="C16" s="4" t="n"/>
      <c r="D16" s="4" t="n"/>
    </row>
    <row r="17">
      <c r="A17" s="6" t="n"/>
      <c r="B17" s="4" t="n"/>
      <c r="C17" s="4" t="n"/>
      <c r="D17" s="4" t="n"/>
    </row>
    <row r="18">
      <c r="A18" s="6" t="n"/>
      <c r="B18" s="4" t="n"/>
      <c r="C18" s="4" t="n"/>
      <c r="D18" s="4" t="n"/>
    </row>
    <row r="19">
      <c r="A19" s="6" t="n"/>
      <c r="B19" s="4" t="n"/>
      <c r="C19" s="4" t="n"/>
      <c r="D19" s="4" t="n"/>
    </row>
    <row r="20">
      <c r="A20" s="6" t="n"/>
      <c r="B20" s="4" t="n"/>
      <c r="C20" s="4" t="n"/>
      <c r="D20" s="4" t="n"/>
    </row>
    <row r="21">
      <c r="A21" s="6" t="n"/>
      <c r="B21" s="4" t="n"/>
      <c r="C21" s="4" t="n"/>
      <c r="D21" s="4" t="n"/>
    </row>
    <row r="22">
      <c r="A22" s="6" t="n"/>
      <c r="B22" s="4" t="n"/>
      <c r="C22" s="4" t="n"/>
      <c r="D22" s="4" t="n"/>
    </row>
    <row r="23">
      <c r="A23" s="6" t="n"/>
      <c r="B23" s="4" t="n"/>
      <c r="C23" s="4" t="n"/>
      <c r="D23" s="4" t="n"/>
    </row>
    <row r="24">
      <c r="A24" s="6" t="n"/>
      <c r="B24" s="4" t="n"/>
      <c r="C24" s="4" t="n"/>
      <c r="D24" s="4" t="n"/>
    </row>
    <row r="25">
      <c r="A25" s="6" t="n"/>
      <c r="B25" s="4" t="n"/>
      <c r="C25" s="4" t="n"/>
      <c r="D25" s="4" t="n"/>
    </row>
    <row r="26">
      <c r="A26" s="6" t="n"/>
      <c r="B26" s="4" t="n"/>
      <c r="C26" s="4" t="n"/>
      <c r="D26" s="4" t="n"/>
    </row>
    <row r="27">
      <c r="A27" s="6" t="n"/>
      <c r="B27" s="4" t="n"/>
      <c r="C27" s="4" t="n"/>
      <c r="D27" s="4" t="n"/>
    </row>
    <row r="28">
      <c r="A28" s="6" t="n"/>
      <c r="B28" s="4" t="n"/>
      <c r="C28" s="4" t="n"/>
      <c r="D28" s="4" t="n"/>
    </row>
    <row r="29">
      <c r="A29" s="6" t="n"/>
      <c r="B29" s="4" t="n"/>
      <c r="C29" s="4" t="n"/>
      <c r="D29" s="4" t="n"/>
    </row>
    <row r="30">
      <c r="A30" s="6" t="n"/>
      <c r="B30" s="4" t="n"/>
      <c r="C30" s="4" t="n"/>
      <c r="D30" s="4" t="n"/>
    </row>
    <row r="31">
      <c r="A31" s="6" t="n"/>
      <c r="B31" s="4" t="n"/>
      <c r="C31" s="4" t="n"/>
      <c r="D31" s="4" t="n"/>
    </row>
    <row r="32">
      <c r="A32" s="6" t="n"/>
      <c r="B32" s="4" t="n"/>
      <c r="C32" s="4" t="n"/>
      <c r="D32" s="4" t="n"/>
    </row>
    <row r="33">
      <c r="A33" s="6" t="n"/>
      <c r="B33" s="4" t="n"/>
      <c r="C33" s="4" t="n"/>
      <c r="D33" s="4" t="n"/>
    </row>
    <row r="34">
      <c r="A34" s="6" t="n"/>
      <c r="B34" s="4" t="n"/>
      <c r="C34" s="4" t="n"/>
      <c r="D34" s="4" t="n"/>
    </row>
    <row r="35">
      <c r="A35" s="6" t="n"/>
      <c r="B35" s="4" t="n"/>
      <c r="C35" s="4" t="n"/>
      <c r="D35" s="4" t="n"/>
    </row>
    <row r="36">
      <c r="A36" s="6" t="n"/>
      <c r="B36" s="4" t="n"/>
      <c r="C36" s="4" t="n"/>
      <c r="D36" s="4" t="n"/>
    </row>
    <row r="37">
      <c r="A37" s="6" t="n"/>
      <c r="B37" s="4" t="n"/>
      <c r="C37" s="4" t="n"/>
      <c r="D37" s="4" t="n"/>
    </row>
    <row r="38">
      <c r="A38" s="6" t="n"/>
      <c r="B38" s="4" t="n"/>
      <c r="C38" s="4" t="n"/>
      <c r="D38" s="4" t="n"/>
    </row>
    <row r="39">
      <c r="A39" s="6" t="n"/>
      <c r="B39" s="4" t="n"/>
      <c r="C39" s="4" t="n"/>
      <c r="D39" s="4" t="n"/>
    </row>
    <row r="40">
      <c r="A40" s="6" t="n"/>
      <c r="B40" s="4" t="n"/>
      <c r="C40" s="4" t="n"/>
      <c r="D40" s="4" t="n"/>
    </row>
    <row r="41">
      <c r="A41" s="6" t="n"/>
      <c r="B41" s="4" t="n"/>
      <c r="C41" s="4" t="n"/>
      <c r="D41" s="4" t="n"/>
    </row>
    <row r="42">
      <c r="A42" s="6" t="n"/>
      <c r="B42" s="4" t="n"/>
      <c r="C42" s="4" t="n"/>
      <c r="D42" s="4" t="n"/>
    </row>
    <row r="43">
      <c r="A43" s="6" t="n"/>
      <c r="B43" s="4" t="n"/>
      <c r="C43" s="4" t="n"/>
      <c r="D43" s="4" t="n"/>
    </row>
    <row r="44">
      <c r="A44" s="6" t="n"/>
      <c r="B44" s="4" t="n"/>
      <c r="C44" s="4" t="n"/>
      <c r="D44" s="4" t="n"/>
    </row>
    <row r="45">
      <c r="A45" s="6" t="n"/>
      <c r="B45" s="4" t="n"/>
      <c r="C45" s="4" t="n"/>
      <c r="D45" s="4" t="n"/>
    </row>
    <row r="46">
      <c r="A46" s="6" t="n"/>
      <c r="B46" s="4" t="n"/>
      <c r="C46" s="4" t="n"/>
      <c r="D46" s="4" t="n"/>
    </row>
    <row r="47">
      <c r="A47" s="6" t="n"/>
      <c r="B47" s="4" t="n"/>
      <c r="C47" s="4" t="n"/>
      <c r="D47" s="4" t="n"/>
    </row>
    <row r="48">
      <c r="A48" s="6" t="n"/>
      <c r="B48" s="4" t="n"/>
      <c r="C48" s="4" t="n"/>
      <c r="D48" s="4" t="n"/>
    </row>
    <row r="49">
      <c r="A49" s="6" t="n"/>
      <c r="B49" s="4" t="n"/>
      <c r="C49" s="4" t="n"/>
      <c r="D49" s="4" t="n"/>
    </row>
    <row r="50">
      <c r="A50" s="6" t="n"/>
      <c r="B50" s="4" t="n"/>
      <c r="C50" s="4" t="n"/>
      <c r="D50" s="4" t="n"/>
    </row>
    <row r="51">
      <c r="A51" s="6" t="n"/>
      <c r="B51" s="4" t="n"/>
      <c r="C51" s="4" t="n"/>
      <c r="D51" s="4" t="n"/>
    </row>
    <row r="52">
      <c r="A52" s="6" t="n"/>
      <c r="B52" s="4" t="n"/>
      <c r="C52" s="4" t="n"/>
      <c r="D52" s="4" t="n"/>
    </row>
    <row r="53">
      <c r="A53" s="6" t="n"/>
      <c r="B53" s="4" t="n"/>
      <c r="C53" s="4" t="n"/>
      <c r="D53" s="4" t="n"/>
    </row>
    <row r="54">
      <c r="A54" s="6" t="n"/>
      <c r="B54" s="4" t="n"/>
      <c r="C54" s="4" t="n"/>
      <c r="D54" s="4" t="n"/>
    </row>
    <row r="55">
      <c r="A55" s="6" t="n"/>
      <c r="B55" s="4" t="n"/>
      <c r="C55" s="4" t="n"/>
      <c r="D55" s="4" t="n"/>
    </row>
    <row r="56">
      <c r="A56" s="6" t="n"/>
      <c r="B56" s="4" t="n"/>
      <c r="C56" s="4" t="n"/>
      <c r="D56" s="4" t="n"/>
    </row>
    <row r="57">
      <c r="A57" s="6" t="n"/>
      <c r="B57" s="4" t="n"/>
      <c r="C57" s="4" t="n"/>
      <c r="D57" s="4" t="n"/>
    </row>
    <row r="58">
      <c r="A58" s="6" t="n"/>
      <c r="B58" s="4" t="n"/>
      <c r="C58" s="4" t="n"/>
      <c r="D58" s="4" t="n"/>
    </row>
    <row r="59">
      <c r="A59" s="6" t="n"/>
      <c r="B59" s="4" t="n"/>
      <c r="C59" s="4" t="n"/>
      <c r="D59" s="4" t="n"/>
    </row>
    <row r="60">
      <c r="A60" s="6" t="n"/>
      <c r="B60" s="4" t="n"/>
      <c r="C60" s="4" t="n"/>
      <c r="D60" s="4" t="n"/>
    </row>
    <row r="61">
      <c r="A61" s="6" t="n"/>
      <c r="B61" s="4" t="n"/>
      <c r="C61" s="4" t="n"/>
      <c r="D61" s="4" t="n"/>
    </row>
    <row r="62">
      <c r="A62" s="6" t="n"/>
      <c r="B62" s="4" t="n"/>
      <c r="C62" s="4" t="n"/>
      <c r="D62" s="4" t="n"/>
    </row>
    <row r="63">
      <c r="A63" s="6" t="n"/>
      <c r="B63" s="4" t="n"/>
      <c r="C63" s="4" t="n"/>
      <c r="D63" s="4" t="n"/>
    </row>
    <row r="64">
      <c r="A64" s="6" t="n"/>
      <c r="B64" s="4" t="n"/>
      <c r="C64" s="4" t="n"/>
      <c r="D64" s="4" t="n"/>
    </row>
    <row r="65">
      <c r="A65" s="6" t="n"/>
      <c r="B65" s="4" t="n"/>
      <c r="C65" s="4" t="n"/>
      <c r="D65" s="4" t="n"/>
    </row>
    <row r="66">
      <c r="A66" s="6" t="n"/>
      <c r="B66" s="4" t="n"/>
      <c r="C66" s="4" t="n"/>
      <c r="D66" s="4" t="n"/>
    </row>
    <row r="67">
      <c r="A67" s="6" t="n"/>
      <c r="B67" s="4" t="n"/>
      <c r="C67" s="4" t="n"/>
      <c r="D67" s="4" t="n"/>
    </row>
    <row r="68">
      <c r="A68" s="6" t="n"/>
      <c r="B68" s="4" t="n"/>
      <c r="C68" s="4" t="n"/>
      <c r="D68" s="4" t="n"/>
    </row>
    <row r="69">
      <c r="A69" s="6" t="n"/>
      <c r="B69" s="4" t="n"/>
      <c r="C69" s="4" t="n"/>
      <c r="D69" s="4" t="n"/>
    </row>
    <row r="70">
      <c r="A70" s="6" t="n"/>
      <c r="B70" s="4" t="n"/>
      <c r="C70" s="4" t="n"/>
      <c r="D70" s="4" t="n"/>
    </row>
    <row r="71">
      <c r="A71" s="6" t="n"/>
      <c r="B71" s="4" t="n"/>
      <c r="C71" s="4" t="n"/>
      <c r="D71" s="4" t="n"/>
    </row>
    <row r="72">
      <c r="A72" s="6" t="n"/>
      <c r="B72" s="4" t="n"/>
      <c r="C72" s="4" t="n"/>
      <c r="D72" s="4" t="n"/>
    </row>
    <row r="73">
      <c r="A73" s="6" t="n"/>
      <c r="B73" s="4" t="n"/>
      <c r="C73" s="4" t="n"/>
      <c r="D73" s="4" t="n"/>
    </row>
    <row r="74">
      <c r="A74" s="6" t="n"/>
      <c r="B74" s="4" t="n"/>
      <c r="C74" s="4" t="n"/>
      <c r="D74" s="4" t="n"/>
    </row>
    <row r="75">
      <c r="A75" s="6" t="n"/>
      <c r="B75" s="4" t="n"/>
      <c r="C75" s="4" t="n"/>
      <c r="D75" s="4" t="n"/>
    </row>
    <row r="76">
      <c r="A76" s="6" t="n"/>
      <c r="B76" s="4" t="n"/>
      <c r="C76" s="4" t="n"/>
      <c r="D76" s="4" t="n"/>
    </row>
    <row r="77">
      <c r="A77" s="6" t="n"/>
      <c r="B77" s="4" t="n"/>
      <c r="C77" s="4" t="n"/>
      <c r="D77" s="4" t="n"/>
    </row>
    <row r="78">
      <c r="A78" s="6" t="n"/>
      <c r="B78" s="4" t="n"/>
      <c r="C78" s="4" t="n"/>
      <c r="D78" s="4" t="n"/>
    </row>
    <row r="79">
      <c r="A79" s="6" t="n"/>
      <c r="B79" s="4" t="n"/>
      <c r="C79" s="4" t="n"/>
      <c r="D79" s="4" t="n"/>
    </row>
    <row r="80">
      <c r="A80" s="6" t="n"/>
      <c r="B80" s="4" t="n"/>
      <c r="C80" s="4" t="n"/>
      <c r="D80" s="4" t="n"/>
    </row>
    <row r="81">
      <c r="A81" s="6" t="n"/>
      <c r="B81" s="4" t="n"/>
      <c r="C81" s="4" t="n"/>
      <c r="D81" s="4" t="n"/>
    </row>
    <row r="82">
      <c r="A82" s="6" t="n"/>
      <c r="B82" s="4" t="n"/>
      <c r="C82" s="4" t="n"/>
      <c r="D82" s="4" t="n"/>
    </row>
    <row r="83">
      <c r="A83" s="6" t="n"/>
      <c r="B83" s="4" t="n"/>
      <c r="C83" s="4" t="n"/>
      <c r="D83" s="4" t="n"/>
    </row>
    <row r="84">
      <c r="A84" s="6" t="n"/>
      <c r="B84" s="4" t="n"/>
      <c r="C84" s="4" t="n"/>
      <c r="D84" s="4" t="n"/>
    </row>
    <row r="85">
      <c r="A85" s="6" t="n"/>
      <c r="B85" s="4" t="n"/>
      <c r="C85" s="4" t="n"/>
      <c r="D85" s="4" t="n"/>
    </row>
    <row r="86">
      <c r="A86" s="6" t="n"/>
      <c r="B86" s="4" t="n"/>
      <c r="C86" s="4" t="n"/>
      <c r="D86" s="4" t="n"/>
    </row>
    <row r="87">
      <c r="A87" s="6" t="n"/>
      <c r="B87" s="4" t="n"/>
      <c r="C87" s="4" t="n"/>
      <c r="D87" s="4" t="n"/>
    </row>
    <row r="88">
      <c r="A88" s="6" t="n"/>
      <c r="B88" s="4" t="n"/>
      <c r="C88" s="4" t="n"/>
      <c r="D88" s="4" t="n"/>
    </row>
    <row r="89">
      <c r="A89" s="6" t="n"/>
      <c r="B89" s="4" t="n"/>
      <c r="C89" s="4" t="n"/>
      <c r="D89" s="4" t="n"/>
    </row>
    <row r="90">
      <c r="A90" s="6" t="n"/>
      <c r="B90" s="4" t="n"/>
      <c r="C90" s="4" t="n"/>
      <c r="D90" s="4" t="n"/>
    </row>
    <row r="91">
      <c r="A91" s="6" t="n"/>
      <c r="B91" s="4" t="n"/>
      <c r="C91" s="4" t="n"/>
      <c r="D91" s="4" t="n"/>
    </row>
    <row r="92">
      <c r="A92" s="6" t="n"/>
      <c r="B92" s="4" t="n"/>
      <c r="C92" s="4" t="n"/>
      <c r="D92" s="4" t="n"/>
    </row>
    <row r="93">
      <c r="A93" s="6" t="n"/>
      <c r="B93" s="4" t="n"/>
      <c r="C93" s="4" t="n"/>
      <c r="D93" s="4" t="n"/>
    </row>
    <row r="94">
      <c r="A94" s="6" t="n"/>
      <c r="B94" s="4" t="n"/>
      <c r="C94" s="4" t="n"/>
      <c r="D94" s="4" t="n"/>
    </row>
    <row r="95">
      <c r="A95" s="6" t="n"/>
      <c r="B95" s="4" t="n"/>
      <c r="C95" s="4" t="n"/>
      <c r="D95" s="4" t="n"/>
    </row>
    <row r="96">
      <c r="A96" s="6" t="n"/>
      <c r="B96" s="4" t="n"/>
      <c r="C96" s="4" t="n"/>
      <c r="D96" s="4" t="n"/>
    </row>
    <row r="97">
      <c r="A97" s="6" t="n"/>
      <c r="B97" s="4" t="n"/>
      <c r="C97" s="4" t="n"/>
      <c r="D97" s="4" t="n"/>
    </row>
    <row r="98">
      <c r="A98" s="6" t="n"/>
      <c r="B98" s="4" t="n"/>
      <c r="C98" s="4" t="n"/>
      <c r="D98" s="4" t="n"/>
    </row>
    <row r="99">
      <c r="A99" s="6" t="n"/>
      <c r="B99" s="4" t="n"/>
      <c r="C99" s="4" t="n"/>
      <c r="D99" s="4" t="n"/>
    </row>
    <row r="100">
      <c r="A100" s="6" t="n"/>
      <c r="B100" s="4" t="n"/>
      <c r="C100" s="4" t="n"/>
      <c r="D100" s="4" t="n"/>
    </row>
    <row r="101">
      <c r="A101" s="6" t="n"/>
      <c r="B101" s="4" t="n"/>
      <c r="C101" s="4" t="n"/>
      <c r="D101" s="4" t="n"/>
    </row>
    <row r="102">
      <c r="A102" s="6" t="n"/>
      <c r="B102" s="4" t="n"/>
      <c r="C102" s="4" t="n"/>
      <c r="D102" s="4" t="n"/>
    </row>
    <row r="103">
      <c r="A103" s="6" t="n"/>
      <c r="B103" s="4" t="n"/>
      <c r="C103" s="4" t="n"/>
      <c r="D103" s="4" t="n"/>
    </row>
    <row r="104">
      <c r="A104" s="6" t="n"/>
      <c r="B104" s="4" t="n"/>
      <c r="C104" s="4" t="n"/>
      <c r="D104" s="4" t="n"/>
    </row>
    <row r="105">
      <c r="A105" s="6" t="n"/>
      <c r="B105" s="4" t="n"/>
      <c r="C105" s="4" t="n"/>
      <c r="D105" s="4" t="n"/>
    </row>
    <row r="106">
      <c r="A106" s="6" t="n"/>
      <c r="B106" s="4" t="n"/>
      <c r="C106" s="4" t="n"/>
      <c r="D106" s="4" t="n"/>
    </row>
    <row r="107">
      <c r="A107" s="6" t="n"/>
      <c r="B107" s="4" t="n"/>
      <c r="C107" s="4" t="n"/>
      <c r="D107" s="4" t="n"/>
    </row>
    <row r="108">
      <c r="A108" s="6" t="n"/>
      <c r="B108" s="4" t="n"/>
      <c r="C108" s="4" t="n"/>
      <c r="D108" s="4" t="n"/>
    </row>
    <row r="109">
      <c r="A109" s="6" t="n"/>
      <c r="B109" s="4" t="n"/>
      <c r="C109" s="4" t="n"/>
      <c r="D109" s="4" t="n"/>
    </row>
    <row r="110">
      <c r="A110" s="6" t="n"/>
      <c r="B110" s="4" t="n"/>
      <c r="C110" s="4" t="n"/>
      <c r="D110" s="4" t="n"/>
    </row>
    <row r="111">
      <c r="A111" s="6" t="n"/>
      <c r="B111" s="4" t="n"/>
      <c r="C111" s="4" t="n"/>
      <c r="D111" s="4" t="n"/>
    </row>
    <row r="112">
      <c r="A112" s="6" t="n"/>
      <c r="B112" s="4" t="n"/>
      <c r="C112" s="4" t="n"/>
      <c r="D112" s="4" t="n"/>
    </row>
    <row r="113">
      <c r="A113" s="6" t="n"/>
      <c r="B113" s="4" t="n"/>
      <c r="C113" s="4" t="n"/>
      <c r="D113" s="4" t="n"/>
    </row>
    <row r="114">
      <c r="A114" s="6" t="n"/>
      <c r="B114" s="4" t="n"/>
      <c r="C114" s="4" t="n"/>
      <c r="D114" s="4" t="n"/>
    </row>
    <row r="115">
      <c r="A115" s="6" t="n"/>
      <c r="B115" s="4" t="n"/>
      <c r="C115" s="4" t="n"/>
      <c r="D115" s="4" t="n"/>
    </row>
    <row r="116">
      <c r="A116" s="6" t="n"/>
      <c r="B116" s="4" t="n"/>
      <c r="C116" s="4" t="n"/>
      <c r="D116" s="4" t="n"/>
    </row>
    <row r="117">
      <c r="A117" s="6" t="n"/>
      <c r="B117" s="4" t="n"/>
      <c r="C117" s="4" t="n"/>
      <c r="D117" s="4" t="n"/>
    </row>
    <row r="118">
      <c r="A118" s="6" t="n"/>
      <c r="B118" s="4" t="n"/>
      <c r="C118" s="4" t="n"/>
      <c r="D118" s="4" t="n"/>
    </row>
    <row r="119">
      <c r="A119" s="6" t="n"/>
      <c r="B119" s="4" t="n"/>
      <c r="C119" s="4" t="n"/>
      <c r="D119" s="4" t="n"/>
    </row>
    <row r="120">
      <c r="A120" s="6" t="n"/>
      <c r="B120" s="4" t="n"/>
      <c r="C120" s="4" t="n"/>
      <c r="D120" s="4" t="n"/>
    </row>
    <row r="121">
      <c r="A121" s="6" t="n"/>
      <c r="B121" s="4" t="n"/>
      <c r="C121" s="4" t="n"/>
      <c r="D121" s="4" t="n"/>
    </row>
    <row r="122">
      <c r="A122" s="6" t="n"/>
      <c r="B122" s="4" t="n"/>
      <c r="C122" s="4" t="n"/>
      <c r="D122" s="4" t="n"/>
    </row>
    <row r="123">
      <c r="A123" s="6" t="n"/>
      <c r="B123" s="4" t="n"/>
      <c r="C123" s="4" t="n"/>
      <c r="D123" s="4" t="n"/>
    </row>
    <row r="124">
      <c r="A124" s="6" t="n"/>
      <c r="B124" s="4" t="n"/>
      <c r="C124" s="4" t="n"/>
      <c r="D124" s="4" t="n"/>
    </row>
    <row r="125">
      <c r="A125" s="6" t="n"/>
      <c r="B125" s="4" t="n"/>
      <c r="C125" s="4" t="n"/>
      <c r="D125" s="4" t="n"/>
    </row>
    <row r="126">
      <c r="A126" s="6" t="n"/>
      <c r="B126" s="4" t="n"/>
      <c r="C126" s="4" t="n"/>
      <c r="D126" s="4" t="n"/>
    </row>
    <row r="127">
      <c r="A127" s="6" t="n"/>
      <c r="B127" s="4" t="n"/>
      <c r="C127" s="4" t="n"/>
      <c r="D127" s="4" t="n"/>
    </row>
    <row r="128">
      <c r="A128" s="6" t="n"/>
      <c r="B128" s="4" t="n"/>
      <c r="C128" s="4" t="n"/>
      <c r="D128" s="4" t="n"/>
    </row>
    <row r="129">
      <c r="A129" s="6" t="n"/>
      <c r="B129" s="4" t="n"/>
      <c r="C129" s="4" t="n"/>
      <c r="D129" s="4" t="n"/>
    </row>
    <row r="130">
      <c r="A130" s="6" t="n"/>
      <c r="B130" s="4" t="n"/>
      <c r="C130" s="4" t="n"/>
      <c r="D130" s="4" t="n"/>
    </row>
    <row r="131">
      <c r="A131" s="6" t="n"/>
      <c r="B131" s="4" t="n"/>
      <c r="C131" s="4" t="n"/>
      <c r="D131" s="4" t="n"/>
    </row>
    <row r="132">
      <c r="A132" s="6" t="n"/>
      <c r="B132" s="4" t="n"/>
      <c r="C132" s="4" t="n"/>
      <c r="D132" s="4" t="n"/>
    </row>
    <row r="133">
      <c r="A133" s="6" t="n"/>
      <c r="B133" s="4" t="n"/>
      <c r="C133" s="4" t="n"/>
      <c r="D133" s="4" t="n"/>
    </row>
    <row r="134">
      <c r="A134" s="6" t="n"/>
      <c r="B134" s="4" t="n"/>
      <c r="C134" s="4" t="n"/>
      <c r="D134" s="4" t="n"/>
    </row>
    <row r="135">
      <c r="A135" s="6" t="n"/>
      <c r="B135" s="4" t="n"/>
      <c r="C135" s="4" t="n"/>
      <c r="D135" s="4" t="n"/>
    </row>
    <row r="136">
      <c r="A136" s="6" t="n"/>
      <c r="B136" s="4" t="n"/>
      <c r="C136" s="4" t="n"/>
      <c r="D136" s="4" t="n"/>
    </row>
    <row r="137">
      <c r="A137" s="6" t="n"/>
      <c r="B137" s="4" t="n"/>
      <c r="C137" s="4" t="n"/>
      <c r="D137" s="4" t="n"/>
    </row>
    <row r="138">
      <c r="A138" s="6" t="n"/>
      <c r="B138" s="4" t="n"/>
      <c r="C138" s="4" t="n"/>
      <c r="D138" s="4" t="n"/>
    </row>
    <row r="139">
      <c r="A139" s="6" t="n"/>
      <c r="B139" s="4" t="n"/>
      <c r="C139" s="4" t="n"/>
      <c r="D139" s="4" t="n"/>
    </row>
    <row r="140">
      <c r="A140" s="6" t="n"/>
      <c r="B140" s="4" t="n"/>
      <c r="C140" s="4" t="n"/>
      <c r="D140" s="4" t="n"/>
    </row>
    <row r="141">
      <c r="A141" s="6" t="n"/>
      <c r="B141" s="4" t="n"/>
      <c r="C141" s="4" t="n"/>
      <c r="D141" s="4" t="n"/>
    </row>
    <row r="142">
      <c r="A142" s="6" t="n"/>
      <c r="B142" s="4" t="n"/>
      <c r="C142" s="4" t="n"/>
      <c r="D142" s="4" t="n"/>
    </row>
    <row r="143">
      <c r="A143" s="6" t="n"/>
      <c r="B143" s="4" t="n"/>
      <c r="C143" s="4" t="n"/>
      <c r="D143" s="4" t="n"/>
    </row>
    <row r="144">
      <c r="A144" s="6" t="n"/>
      <c r="B144" s="4" t="n"/>
      <c r="C144" s="4" t="n"/>
      <c r="D144" s="4" t="n"/>
    </row>
    <row r="145">
      <c r="A145" s="6" t="n"/>
      <c r="B145" s="4" t="n"/>
      <c r="C145" s="4" t="n"/>
      <c r="D145" s="4" t="n"/>
    </row>
    <row r="146">
      <c r="A146" s="6" t="n"/>
      <c r="B146" s="4" t="n"/>
      <c r="C146" s="4" t="n"/>
      <c r="D146" s="4" t="n"/>
    </row>
    <row r="147">
      <c r="A147" s="6" t="n"/>
      <c r="B147" s="4" t="n"/>
      <c r="C147" s="4" t="n"/>
      <c r="D147" s="4" t="n"/>
    </row>
    <row r="148">
      <c r="A148" s="6" t="n"/>
      <c r="B148" s="4" t="n"/>
      <c r="C148" s="4" t="n"/>
      <c r="D148" s="4" t="n"/>
    </row>
    <row r="149">
      <c r="A149" s="6" t="n"/>
      <c r="B149" s="4" t="n"/>
      <c r="C149" s="4" t="n"/>
      <c r="D149" s="4" t="n"/>
    </row>
    <row r="150">
      <c r="A150" s="6" t="n"/>
      <c r="B150" s="4" t="n"/>
      <c r="C150" s="4" t="n"/>
      <c r="D150" s="4" t="n"/>
    </row>
    <row r="151">
      <c r="A151" s="6" t="n"/>
      <c r="B151" s="4" t="n"/>
      <c r="C151" s="4" t="n"/>
      <c r="D151" s="4" t="n"/>
    </row>
    <row r="152">
      <c r="A152" s="6" t="n"/>
      <c r="B152" s="4" t="n"/>
      <c r="C152" s="4" t="n"/>
      <c r="D152" s="4" t="n"/>
    </row>
    <row r="153">
      <c r="A153" s="6" t="n"/>
      <c r="B153" s="4" t="n"/>
      <c r="C153" s="4" t="n"/>
      <c r="D153" s="4" t="n"/>
    </row>
    <row r="154">
      <c r="A154" s="6" t="n"/>
      <c r="B154" s="4" t="n"/>
      <c r="C154" s="4" t="n"/>
      <c r="D154" s="4" t="n"/>
    </row>
    <row r="155">
      <c r="A155" s="6" t="n"/>
      <c r="B155" s="4" t="n"/>
      <c r="C155" s="4" t="n"/>
      <c r="D155" s="4" t="n"/>
    </row>
    <row r="156">
      <c r="A156" s="6" t="n"/>
      <c r="B156" s="4" t="n"/>
      <c r="C156" s="4" t="n"/>
      <c r="D156" s="4" t="n"/>
    </row>
    <row r="157">
      <c r="A157" s="6" t="n"/>
      <c r="B157" s="4" t="n"/>
      <c r="C157" s="4" t="n"/>
      <c r="D157" s="4" t="n"/>
    </row>
    <row r="158">
      <c r="A158" s="6" t="n"/>
      <c r="B158" s="4" t="n"/>
      <c r="C158" s="4" t="n"/>
      <c r="D158" s="4" t="n"/>
    </row>
    <row r="159">
      <c r="A159" s="6" t="n"/>
      <c r="B159" s="4" t="n"/>
      <c r="C159" s="4" t="n"/>
      <c r="D159" s="4" t="n"/>
    </row>
    <row r="160">
      <c r="A160" s="6" t="n"/>
      <c r="B160" s="4" t="n"/>
      <c r="C160" s="4" t="n"/>
      <c r="D160" s="4" t="n"/>
    </row>
    <row r="161">
      <c r="A161" s="6" t="n"/>
      <c r="B161" s="4" t="n"/>
      <c r="C161" s="4" t="n"/>
      <c r="D161" s="4" t="n"/>
    </row>
    <row r="162">
      <c r="A162" s="6" t="n"/>
      <c r="B162" s="4" t="n"/>
      <c r="C162" s="4" t="n"/>
      <c r="D162" s="4" t="n"/>
    </row>
    <row r="163">
      <c r="A163" s="6" t="n"/>
      <c r="B163" s="4" t="n"/>
      <c r="C163" s="4" t="n"/>
      <c r="D163" s="4" t="n"/>
    </row>
    <row r="164">
      <c r="A164" s="6" t="n"/>
      <c r="B164" s="4" t="n"/>
      <c r="C164" s="4" t="n"/>
      <c r="D164" s="4" t="n"/>
    </row>
    <row r="165">
      <c r="A165" s="6" t="n"/>
      <c r="B165" s="4" t="n"/>
      <c r="C165" s="4" t="n"/>
      <c r="D165" s="4" t="n"/>
    </row>
    <row r="166">
      <c r="A166" s="6" t="n"/>
      <c r="B166" s="4" t="n"/>
      <c r="C166" s="4" t="n"/>
      <c r="D166" s="4" t="n"/>
    </row>
    <row r="167">
      <c r="A167" s="6" t="n"/>
      <c r="B167" s="4" t="n"/>
      <c r="C167" s="4" t="n"/>
      <c r="D167" s="4" t="n"/>
    </row>
    <row r="168">
      <c r="A168" s="6" t="n"/>
      <c r="B168" s="4" t="n"/>
      <c r="C168" s="4" t="n"/>
      <c r="D168" s="4" t="n"/>
    </row>
    <row r="169">
      <c r="A169" s="6" t="n"/>
      <c r="B169" s="4" t="n"/>
      <c r="C169" s="4" t="n"/>
      <c r="D169" s="4" t="n"/>
    </row>
    <row r="170">
      <c r="A170" s="6" t="n"/>
      <c r="B170" s="4" t="n"/>
      <c r="C170" s="4" t="n"/>
      <c r="D170" s="4" t="n"/>
    </row>
    <row r="171">
      <c r="A171" s="6" t="n"/>
      <c r="B171" s="4" t="n"/>
      <c r="C171" s="4" t="n"/>
      <c r="D171" s="4" t="n"/>
    </row>
    <row r="172">
      <c r="A172" s="6" t="n"/>
      <c r="B172" s="4" t="n"/>
      <c r="C172" s="4" t="n"/>
      <c r="D172" s="4" t="n"/>
    </row>
    <row r="173">
      <c r="A173" s="6" t="n"/>
      <c r="B173" s="4" t="n"/>
      <c r="C173" s="4" t="n"/>
      <c r="D173" s="4" t="n"/>
    </row>
    <row r="174">
      <c r="A174" s="6" t="n"/>
      <c r="B174" s="4" t="n"/>
      <c r="C174" s="4" t="n"/>
      <c r="D174" s="4" t="n"/>
    </row>
    <row r="175">
      <c r="A175" s="6" t="n"/>
      <c r="B175" s="4" t="n"/>
      <c r="C175" s="4" t="n"/>
      <c r="D175" s="4" t="n"/>
    </row>
    <row r="176">
      <c r="A176" s="6" t="n"/>
      <c r="B176" s="4" t="n"/>
      <c r="C176" s="4" t="n"/>
      <c r="D176" s="4" t="n"/>
    </row>
    <row r="177">
      <c r="A177" s="6" t="n"/>
      <c r="B177" s="4" t="n"/>
      <c r="C177" s="4" t="n"/>
      <c r="D177" s="4" t="n"/>
    </row>
    <row r="178">
      <c r="A178" s="6" t="n"/>
      <c r="B178" s="4" t="n"/>
      <c r="C178" s="4" t="n"/>
      <c r="D178" s="4" t="n"/>
    </row>
    <row r="179">
      <c r="A179" s="6" t="n"/>
      <c r="B179" s="4" t="n"/>
      <c r="C179" s="4" t="n"/>
      <c r="D179" s="4" t="n"/>
    </row>
    <row r="180">
      <c r="A180" s="6" t="n"/>
      <c r="B180" s="4" t="n"/>
      <c r="C180" s="4" t="n"/>
      <c r="D180" s="4" t="n"/>
    </row>
    <row r="181">
      <c r="A181" s="6" t="n"/>
      <c r="B181" s="4" t="n"/>
      <c r="C181" s="4" t="n"/>
      <c r="D181" s="4" t="n"/>
    </row>
    <row r="182">
      <c r="A182" s="6" t="n"/>
      <c r="B182" s="4" t="n"/>
      <c r="C182" s="4" t="n"/>
      <c r="D182" s="4" t="n"/>
    </row>
    <row r="183">
      <c r="A183" s="6" t="n"/>
      <c r="B183" s="4" t="n"/>
      <c r="C183" s="4" t="n"/>
      <c r="D183" s="4" t="n"/>
    </row>
    <row r="184">
      <c r="A184" s="6" t="n"/>
      <c r="B184" s="4" t="n"/>
      <c r="C184" s="4" t="n"/>
      <c r="D184" s="4" t="n"/>
    </row>
    <row r="185">
      <c r="A185" s="6" t="n"/>
      <c r="B185" s="4" t="n"/>
      <c r="C185" s="4" t="n"/>
      <c r="D185" s="4" t="n"/>
    </row>
    <row r="186">
      <c r="A186" s="6" t="n"/>
      <c r="B186" s="4" t="n"/>
      <c r="C186" s="4" t="n"/>
      <c r="D186" s="4" t="n"/>
    </row>
    <row r="187">
      <c r="A187" s="6" t="n"/>
      <c r="B187" s="4" t="n"/>
      <c r="C187" s="4" t="n"/>
      <c r="D187" s="4" t="n"/>
    </row>
    <row r="188">
      <c r="A188" s="6" t="n"/>
      <c r="B188" s="4" t="n"/>
      <c r="C188" s="4" t="n"/>
      <c r="D188" s="4" t="n"/>
    </row>
    <row r="189">
      <c r="A189" s="6" t="n"/>
      <c r="B189" s="4" t="n"/>
      <c r="C189" s="4" t="n"/>
      <c r="D189" s="4" t="n"/>
    </row>
    <row r="190">
      <c r="A190" s="6" t="n"/>
      <c r="B190" s="4" t="n"/>
      <c r="C190" s="4" t="n"/>
      <c r="D190" s="4" t="n"/>
    </row>
    <row r="191">
      <c r="A191" s="6" t="n"/>
      <c r="B191" s="4" t="n"/>
      <c r="C191" s="4" t="n"/>
      <c r="D191" s="4" t="n"/>
    </row>
    <row r="192">
      <c r="A192" s="6" t="n"/>
      <c r="B192" s="4" t="n"/>
      <c r="C192" s="4" t="n"/>
      <c r="D192" s="4" t="n"/>
    </row>
    <row r="193">
      <c r="A193" s="6" t="n"/>
      <c r="B193" s="4" t="n"/>
      <c r="C193" s="4" t="n"/>
      <c r="D193" s="4" t="n"/>
    </row>
    <row r="194">
      <c r="A194" s="6" t="n"/>
      <c r="B194" s="4" t="n"/>
      <c r="C194" s="4" t="n"/>
      <c r="D194" s="4" t="n"/>
    </row>
    <row r="195">
      <c r="A195" s="6" t="n"/>
      <c r="B195" s="4" t="n"/>
      <c r="C195" s="4" t="n"/>
      <c r="D195" s="4" t="n"/>
    </row>
    <row r="196">
      <c r="A196" s="6" t="n"/>
      <c r="B196" s="4" t="n"/>
      <c r="C196" s="4" t="n"/>
      <c r="D196" s="4" t="n"/>
    </row>
    <row r="197">
      <c r="A197" s="6" t="n"/>
      <c r="B197" s="4" t="n"/>
      <c r="C197" s="4" t="n"/>
      <c r="D197" s="4" t="n"/>
    </row>
    <row r="198">
      <c r="A198" s="6" t="n"/>
      <c r="B198" s="4" t="n"/>
      <c r="C198" s="4" t="n"/>
      <c r="D198" s="4" t="n"/>
    </row>
    <row r="199">
      <c r="A199" s="6" t="n"/>
      <c r="B199" s="4" t="n"/>
      <c r="C199" s="4" t="n"/>
      <c r="D199" s="4" t="n"/>
    </row>
    <row r="200">
      <c r="A200" s="6" t="n"/>
      <c r="B200" s="4" t="n"/>
      <c r="C200" s="4" t="n"/>
      <c r="D200" s="4" t="n"/>
    </row>
    <row r="201">
      <c r="A201" s="6" t="n"/>
      <c r="B201" s="4" t="n"/>
      <c r="C201" s="4" t="n"/>
      <c r="D201" s="4" t="n"/>
    </row>
    <row r="202">
      <c r="A202" s="6" t="n"/>
      <c r="B202" s="4" t="n"/>
      <c r="C202" s="4" t="n"/>
      <c r="D202" s="4" t="n"/>
    </row>
    <row r="203">
      <c r="A203" s="6" t="n"/>
      <c r="B203" s="4" t="n"/>
      <c r="C203" s="4" t="n"/>
      <c r="D203" s="4" t="n"/>
    </row>
    <row r="204">
      <c r="A204" s="6" t="n"/>
      <c r="B204" s="4" t="n"/>
      <c r="C204" s="4" t="n"/>
      <c r="D204" s="4" t="n"/>
    </row>
    <row r="205">
      <c r="A205" s="6" t="n"/>
      <c r="B205" s="4" t="n"/>
      <c r="C205" s="4" t="n"/>
      <c r="D205" s="4" t="n"/>
    </row>
    <row r="206">
      <c r="A206" s="6" t="n"/>
      <c r="B206" s="4" t="n"/>
      <c r="C206" s="4" t="n"/>
      <c r="D206" s="4" t="n"/>
    </row>
    <row r="207">
      <c r="A207" s="6" t="n"/>
      <c r="B207" s="4" t="n"/>
      <c r="C207" s="4" t="n"/>
      <c r="D207" s="4" t="n"/>
    </row>
    <row r="208">
      <c r="A208" s="6" t="n"/>
      <c r="B208" s="4" t="n"/>
      <c r="C208" s="4" t="n"/>
      <c r="D208" s="4" t="n"/>
    </row>
    <row r="209">
      <c r="A209" s="6" t="n"/>
      <c r="B209" s="4" t="n"/>
      <c r="C209" s="4" t="n"/>
      <c r="D209" s="4" t="n"/>
    </row>
    <row r="210">
      <c r="A210" s="6" t="n"/>
      <c r="B210" s="4" t="n"/>
      <c r="C210" s="4" t="n"/>
      <c r="D210" s="4" t="n"/>
    </row>
    <row r="211">
      <c r="A211" s="6" t="n"/>
      <c r="B211" s="4" t="n"/>
      <c r="C211" s="4" t="n"/>
      <c r="D211" s="4" t="n"/>
    </row>
    <row r="212">
      <c r="A212" s="6" t="n"/>
      <c r="B212" s="4" t="n"/>
      <c r="C212" s="4" t="n"/>
      <c r="D212" s="4" t="n"/>
    </row>
    <row r="213">
      <c r="A213" s="6" t="n"/>
      <c r="B213" s="4" t="n"/>
      <c r="C213" s="4" t="n"/>
      <c r="D213" s="4" t="n"/>
    </row>
    <row r="214">
      <c r="A214" s="6" t="n"/>
      <c r="B214" s="4" t="n"/>
      <c r="C214" s="4" t="n"/>
      <c r="D214" s="4" t="n"/>
    </row>
    <row r="215">
      <c r="A215" s="6" t="n"/>
      <c r="B215" s="4" t="n"/>
      <c r="C215" s="4" t="n"/>
      <c r="D215" s="4" t="n"/>
    </row>
    <row r="216">
      <c r="A216" s="6" t="n"/>
      <c r="B216" s="4" t="n"/>
      <c r="C216" s="4" t="n"/>
      <c r="D216" s="4" t="n"/>
    </row>
    <row r="217">
      <c r="A217" s="6" t="n"/>
      <c r="B217" s="4" t="n"/>
      <c r="C217" s="4" t="n"/>
      <c r="D217" s="4" t="n"/>
    </row>
    <row r="218">
      <c r="A218" s="6" t="n"/>
      <c r="B218" s="4" t="n"/>
      <c r="C218" s="4" t="n"/>
      <c r="D218" s="4" t="n"/>
    </row>
    <row r="219">
      <c r="A219" s="6" t="n"/>
      <c r="B219" s="4" t="n"/>
      <c r="C219" s="4" t="n"/>
      <c r="D219" s="4" t="n"/>
    </row>
    <row r="220">
      <c r="A220" s="6" t="n"/>
      <c r="B220" s="4" t="n"/>
      <c r="C220" s="4" t="n"/>
      <c r="D220" s="4" t="n"/>
    </row>
    <row r="221">
      <c r="A221" s="6" t="n"/>
      <c r="B221" s="4" t="n"/>
      <c r="C221" s="4" t="n"/>
      <c r="D221" s="4" t="n"/>
    </row>
    <row r="222">
      <c r="A222" s="6" t="n"/>
      <c r="B222" s="4" t="n"/>
      <c r="C222" s="4" t="n"/>
      <c r="D222" s="4" t="n"/>
    </row>
    <row r="223">
      <c r="A223" s="6" t="n"/>
      <c r="B223" s="4" t="n"/>
      <c r="C223" s="4" t="n"/>
      <c r="D223" s="4" t="n"/>
    </row>
    <row r="224">
      <c r="A224" s="6" t="n"/>
      <c r="B224" s="4" t="n"/>
      <c r="C224" s="4" t="n"/>
      <c r="D224" s="4" t="n"/>
    </row>
    <row r="225">
      <c r="A225" s="6" t="n"/>
      <c r="B225" s="4" t="n"/>
      <c r="C225" s="4" t="n"/>
      <c r="D225" s="4" t="n"/>
    </row>
    <row r="226">
      <c r="A226" s="6" t="n"/>
      <c r="B226" s="4" t="n"/>
      <c r="C226" s="4" t="n"/>
      <c r="D226" s="4" t="n"/>
    </row>
    <row r="227">
      <c r="A227" s="6" t="n"/>
      <c r="B227" s="4" t="n"/>
      <c r="C227" s="4" t="n"/>
      <c r="D227" s="4" t="n"/>
    </row>
    <row r="228">
      <c r="A228" s="6" t="n"/>
      <c r="B228" s="4" t="n"/>
      <c r="C228" s="4" t="n"/>
      <c r="D228" s="4" t="n"/>
    </row>
    <row r="229">
      <c r="A229" s="6" t="n"/>
      <c r="B229" s="4" t="n"/>
      <c r="C229" s="4" t="n"/>
      <c r="D229" s="4" t="n"/>
    </row>
    <row r="230">
      <c r="A230" s="6" t="n"/>
      <c r="B230" s="4" t="n"/>
      <c r="C230" s="4" t="n"/>
      <c r="D230" s="4" t="n"/>
    </row>
    <row r="231">
      <c r="A231" s="6" t="n"/>
      <c r="B231" s="4" t="n"/>
      <c r="C231" s="4" t="n"/>
      <c r="D231" s="4" t="n"/>
    </row>
    <row r="232">
      <c r="A232" s="6" t="n"/>
      <c r="B232" s="4" t="n"/>
      <c r="C232" s="4" t="n"/>
      <c r="D232" s="4" t="n"/>
    </row>
    <row r="233">
      <c r="A233" s="6" t="n"/>
      <c r="B233" s="4" t="n"/>
      <c r="C233" s="4" t="n"/>
      <c r="D233" s="4" t="n"/>
    </row>
    <row r="234">
      <c r="A234" s="6" t="n"/>
      <c r="B234" s="4" t="n"/>
      <c r="C234" s="4" t="n"/>
      <c r="D234" s="4" t="n"/>
    </row>
    <row r="235">
      <c r="A235" s="6" t="n"/>
      <c r="B235" s="4" t="n"/>
      <c r="C235" s="4" t="n"/>
      <c r="D235" s="4" t="n"/>
    </row>
    <row r="236">
      <c r="A236" s="6" t="n"/>
      <c r="B236" s="4" t="n"/>
      <c r="C236" s="4" t="n"/>
      <c r="D236" s="4" t="n"/>
    </row>
    <row r="237">
      <c r="A237" s="6" t="n"/>
      <c r="B237" s="4" t="n"/>
      <c r="C237" s="4" t="n"/>
      <c r="D237" s="4" t="n"/>
    </row>
    <row r="238">
      <c r="A238" s="6" t="n"/>
      <c r="B238" s="4" t="n"/>
      <c r="C238" s="4" t="n"/>
      <c r="D238" s="4" t="n"/>
    </row>
    <row r="239">
      <c r="A239" s="6" t="n"/>
      <c r="B239" s="4" t="n"/>
      <c r="C239" s="4" t="n"/>
      <c r="D239" s="4" t="n"/>
    </row>
    <row r="240">
      <c r="A240" s="6" t="n"/>
      <c r="B240" s="4" t="n"/>
      <c r="C240" s="4" t="n"/>
      <c r="D240" s="4" t="n"/>
    </row>
    <row r="241">
      <c r="A241" s="6" t="n"/>
      <c r="B241" s="4" t="n"/>
      <c r="C241" s="4" t="n"/>
      <c r="D241" s="4" t="n"/>
    </row>
    <row r="242">
      <c r="A242" s="6" t="n"/>
      <c r="B242" s="4" t="n"/>
      <c r="C242" s="4" t="n"/>
      <c r="D242" s="4" t="n"/>
    </row>
    <row r="243">
      <c r="A243" s="6" t="n"/>
      <c r="B243" s="4" t="n"/>
      <c r="C243" s="4" t="n"/>
      <c r="D243" s="4" t="n"/>
    </row>
    <row r="244">
      <c r="A244" s="6" t="n"/>
      <c r="B244" s="4" t="n"/>
      <c r="C244" s="4" t="n"/>
      <c r="D244" s="4" t="n"/>
    </row>
    <row r="245">
      <c r="A245" s="6" t="n"/>
      <c r="B245" s="4" t="n"/>
      <c r="C245" s="4" t="n"/>
      <c r="D245" s="4" t="n"/>
    </row>
    <row r="246">
      <c r="A246" s="6" t="n"/>
      <c r="B246" s="4" t="n"/>
      <c r="C246" s="4" t="n"/>
      <c r="D246" s="4" t="n"/>
    </row>
    <row r="247">
      <c r="A247" s="6" t="n"/>
      <c r="B247" s="4" t="n"/>
      <c r="C247" s="4" t="n"/>
      <c r="D247" s="4" t="n"/>
    </row>
    <row r="248">
      <c r="A248" s="6" t="n"/>
      <c r="B248" s="4" t="n"/>
      <c r="C248" s="4" t="n"/>
      <c r="D248" s="4" t="n"/>
    </row>
    <row r="249">
      <c r="A249" s="6" t="n"/>
      <c r="B249" s="4" t="n"/>
      <c r="C249" s="4" t="n"/>
      <c r="D249" s="4" t="n"/>
    </row>
    <row r="250">
      <c r="A250" s="6" t="n"/>
      <c r="B250" s="4" t="n"/>
      <c r="C250" s="4" t="n"/>
      <c r="D250" s="4" t="n"/>
    </row>
    <row r="251">
      <c r="A251" s="6" t="n"/>
      <c r="B251" s="4" t="n"/>
      <c r="C251" s="4" t="n"/>
      <c r="D251" s="4" t="n"/>
    </row>
    <row r="252">
      <c r="A252" s="6" t="n"/>
      <c r="B252" s="4" t="n"/>
      <c r="C252" s="4" t="n"/>
      <c r="D252" s="4" t="n"/>
    </row>
    <row r="253">
      <c r="A253" s="6" t="n"/>
      <c r="B253" s="4" t="n"/>
      <c r="C253" s="4" t="n"/>
      <c r="D253" s="4" t="n"/>
    </row>
    <row r="254">
      <c r="A254" s="6" t="n"/>
      <c r="B254" s="4" t="n"/>
      <c r="C254" s="4" t="n"/>
      <c r="D254" s="4" t="n"/>
    </row>
    <row r="255">
      <c r="A255" s="6" t="n"/>
      <c r="B255" s="4" t="n"/>
      <c r="C255" s="4" t="n"/>
      <c r="D255" s="4" t="n"/>
    </row>
    <row r="256">
      <c r="A256" s="6" t="n"/>
      <c r="B256" s="4" t="n"/>
      <c r="C256" s="4" t="n"/>
      <c r="D256" s="4" t="n"/>
    </row>
    <row r="257">
      <c r="A257" s="6" t="n"/>
      <c r="B257" s="4" t="n"/>
      <c r="C257" s="4" t="n"/>
      <c r="D257" s="4" t="n"/>
    </row>
    <row r="258">
      <c r="A258" s="6" t="n"/>
      <c r="B258" s="4" t="n"/>
      <c r="C258" s="4" t="n"/>
      <c r="D258" s="4" t="n"/>
    </row>
    <row r="259">
      <c r="A259" s="6" t="n"/>
      <c r="B259" s="4" t="n"/>
      <c r="C259" s="4" t="n"/>
      <c r="D259" s="4" t="n"/>
    </row>
    <row r="260">
      <c r="A260" s="6" t="n"/>
      <c r="B260" s="4" t="n"/>
      <c r="C260" s="4" t="n"/>
      <c r="D260" s="4" t="n"/>
    </row>
    <row r="261">
      <c r="A261" s="6" t="n"/>
      <c r="B261" s="4" t="n"/>
      <c r="C261" s="4" t="n"/>
      <c r="D261" s="4" t="n"/>
    </row>
    <row r="262">
      <c r="A262" s="6" t="n"/>
      <c r="B262" s="4" t="n"/>
      <c r="C262" s="4" t="n"/>
      <c r="D262" s="4" t="n"/>
    </row>
    <row r="263">
      <c r="A263" s="6" t="n"/>
      <c r="B263" s="4" t="n"/>
      <c r="C263" s="4" t="n"/>
      <c r="D263" s="4" t="n"/>
    </row>
    <row r="264">
      <c r="A264" s="6" t="n"/>
      <c r="B264" s="4" t="n"/>
      <c r="C264" s="4" t="n"/>
      <c r="D264" s="4" t="n"/>
    </row>
    <row r="265">
      <c r="A265" s="6" t="n"/>
      <c r="B265" s="4" t="n"/>
      <c r="C265" s="4" t="n"/>
      <c r="D265" s="4" t="n"/>
    </row>
    <row r="266">
      <c r="A266" s="6" t="n"/>
      <c r="B266" s="4" t="n"/>
      <c r="C266" s="4" t="n"/>
      <c r="D266" s="4" t="n"/>
    </row>
    <row r="267">
      <c r="A267" s="6" t="n"/>
      <c r="B267" s="4" t="n"/>
      <c r="C267" s="4" t="n"/>
      <c r="D267" s="4" t="n"/>
    </row>
    <row r="268">
      <c r="A268" s="6" t="n"/>
      <c r="B268" s="4" t="n"/>
      <c r="C268" s="4" t="n"/>
      <c r="D268" s="4" t="n"/>
    </row>
    <row r="269">
      <c r="A269" s="6" t="n"/>
      <c r="B269" s="4" t="n"/>
      <c r="C269" s="4" t="n"/>
      <c r="D269" s="4" t="n"/>
    </row>
    <row r="270">
      <c r="A270" s="6" t="n"/>
      <c r="B270" s="4" t="n"/>
      <c r="C270" s="4" t="n"/>
      <c r="D270" s="4" t="n"/>
    </row>
    <row r="271">
      <c r="A271" s="6" t="n"/>
      <c r="B271" s="4" t="n"/>
      <c r="C271" s="4" t="n"/>
      <c r="D271" s="4" t="n"/>
    </row>
    <row r="272">
      <c r="A272" s="6" t="n"/>
      <c r="B272" s="4" t="n"/>
      <c r="C272" s="4" t="n"/>
      <c r="D272" s="4" t="n"/>
    </row>
    <row r="273">
      <c r="A273" s="6" t="n"/>
      <c r="B273" s="4" t="n"/>
      <c r="C273" s="4" t="n"/>
      <c r="D273" s="4" t="n"/>
    </row>
    <row r="274">
      <c r="A274" s="6" t="n"/>
      <c r="B274" s="4" t="n"/>
      <c r="C274" s="4" t="n"/>
      <c r="D274" s="4" t="n"/>
    </row>
    <row r="275">
      <c r="A275" s="6" t="n"/>
      <c r="B275" s="4" t="n"/>
      <c r="C275" s="4" t="n"/>
      <c r="D275" s="4" t="n"/>
    </row>
    <row r="276">
      <c r="A276" s="6" t="n"/>
      <c r="B276" s="4" t="n"/>
      <c r="C276" s="4" t="n"/>
      <c r="D276" s="4" t="n"/>
    </row>
    <row r="277">
      <c r="A277" s="6" t="n"/>
      <c r="B277" s="4" t="n"/>
      <c r="C277" s="4" t="n"/>
      <c r="D277" s="4" t="n"/>
    </row>
    <row r="278">
      <c r="A278" s="6" t="n"/>
      <c r="B278" s="4" t="n"/>
      <c r="C278" s="4" t="n"/>
      <c r="D278" s="4" t="n"/>
    </row>
    <row r="279">
      <c r="A279" s="6" t="n"/>
      <c r="B279" s="4" t="n"/>
      <c r="C279" s="4" t="n"/>
      <c r="D279" s="4" t="n"/>
    </row>
    <row r="280">
      <c r="A280" s="6" t="n"/>
      <c r="B280" s="4" t="n"/>
      <c r="C280" s="4" t="n"/>
      <c r="D280" s="4" t="n"/>
    </row>
    <row r="281">
      <c r="A281" s="6" t="n"/>
      <c r="B281" s="4" t="n"/>
      <c r="C281" s="4" t="n"/>
      <c r="D281" s="4" t="n"/>
    </row>
    <row r="282">
      <c r="A282" s="6" t="n"/>
      <c r="B282" s="4" t="n"/>
      <c r="C282" s="4" t="n"/>
      <c r="D282" s="4" t="n"/>
    </row>
    <row r="283">
      <c r="A283" s="6" t="n"/>
      <c r="B283" s="4" t="n"/>
      <c r="C283" s="4" t="n"/>
      <c r="D283" s="4" t="n"/>
    </row>
    <row r="284">
      <c r="A284" s="6" t="n"/>
      <c r="B284" s="4" t="n"/>
      <c r="C284" s="4" t="n"/>
      <c r="D284" s="4" t="n"/>
    </row>
    <row r="285">
      <c r="A285" s="6" t="n"/>
      <c r="B285" s="4" t="n"/>
      <c r="C285" s="4" t="n"/>
      <c r="D285" s="4" t="n"/>
    </row>
    <row r="286">
      <c r="A286" s="6" t="n"/>
      <c r="B286" s="4" t="n"/>
      <c r="C286" s="4" t="n"/>
      <c r="D286" s="4" t="n"/>
    </row>
    <row r="287">
      <c r="A287" s="6" t="n"/>
      <c r="B287" s="4" t="n"/>
      <c r="C287" s="4" t="n"/>
      <c r="D287" s="4" t="n"/>
    </row>
    <row r="288">
      <c r="A288" s="6" t="n"/>
      <c r="B288" s="4" t="n"/>
      <c r="C288" s="4" t="n"/>
      <c r="D288" s="4" t="n"/>
    </row>
    <row r="289">
      <c r="A289" s="6" t="n"/>
      <c r="B289" s="4" t="n"/>
      <c r="C289" s="4" t="n"/>
      <c r="D289" s="4" t="n"/>
    </row>
    <row r="290">
      <c r="A290" s="6" t="n"/>
      <c r="B290" s="4" t="n"/>
      <c r="C290" s="4" t="n"/>
      <c r="D290" s="4" t="n"/>
    </row>
    <row r="291">
      <c r="A291" s="6" t="n"/>
      <c r="B291" s="4" t="n"/>
      <c r="C291" s="4" t="n"/>
      <c r="D291" s="4" t="n"/>
    </row>
    <row r="292">
      <c r="A292" s="6" t="n"/>
      <c r="B292" s="4" t="n"/>
      <c r="C292" s="4" t="n"/>
      <c r="D292" s="4" t="n"/>
    </row>
    <row r="293">
      <c r="A293" s="6" t="n"/>
      <c r="B293" s="4" t="n"/>
      <c r="C293" s="4" t="n"/>
      <c r="D293" s="4" t="n"/>
    </row>
    <row r="294">
      <c r="A294" s="6" t="n"/>
      <c r="B294" s="4" t="n"/>
      <c r="C294" s="4" t="n"/>
      <c r="D294" s="4" t="n"/>
    </row>
    <row r="295">
      <c r="A295" s="6" t="n"/>
      <c r="B295" s="4" t="n"/>
      <c r="C295" s="4" t="n"/>
      <c r="D295" s="4" t="n"/>
    </row>
    <row r="296">
      <c r="A296" s="6" t="n"/>
      <c r="B296" s="4" t="n"/>
      <c r="C296" s="4" t="n"/>
      <c r="D296" s="4" t="n"/>
    </row>
    <row r="297">
      <c r="A297" s="6" t="n"/>
      <c r="B297" s="4" t="n"/>
      <c r="C297" s="4" t="n"/>
      <c r="D297" s="4" t="n"/>
    </row>
    <row r="298">
      <c r="A298" s="6" t="n"/>
      <c r="B298" s="4" t="n"/>
      <c r="C298" s="4" t="n"/>
      <c r="D298" s="4" t="n"/>
    </row>
    <row r="299">
      <c r="A299" s="6" t="n"/>
      <c r="B299" s="4" t="n"/>
      <c r="C299" s="4" t="n"/>
      <c r="D299" s="4" t="n"/>
    </row>
    <row r="300">
      <c r="A300" s="6" t="n"/>
      <c r="B300" s="4" t="n"/>
      <c r="C300" s="4" t="n"/>
      <c r="D300" s="4" t="n"/>
    </row>
    <row r="301">
      <c r="A301" s="6" t="n"/>
      <c r="B301" s="4" t="n"/>
      <c r="C301" s="4" t="n"/>
      <c r="D301" s="4" t="n"/>
    </row>
    <row r="302">
      <c r="A302" s="6" t="n"/>
      <c r="B302" s="4" t="n"/>
      <c r="C302" s="4" t="n"/>
      <c r="D302" s="4" t="n"/>
    </row>
    <row r="303">
      <c r="A303" s="6" t="n"/>
      <c r="B303" s="4" t="n"/>
      <c r="C303" s="4" t="n"/>
      <c r="D303" s="4" t="n"/>
    </row>
    <row r="304">
      <c r="A304" s="6" t="n"/>
      <c r="B304" s="4" t="n"/>
      <c r="C304" s="4" t="n"/>
      <c r="D304" s="4" t="n"/>
    </row>
    <row r="305">
      <c r="A305" s="6" t="n"/>
      <c r="B305" s="4" t="n"/>
      <c r="C305" s="4" t="n"/>
      <c r="D305" s="4" t="n"/>
    </row>
    <row r="306">
      <c r="A306" s="6" t="n"/>
      <c r="B306" s="4" t="n"/>
      <c r="C306" s="4" t="n"/>
      <c r="D306" s="4" t="n"/>
    </row>
    <row r="307">
      <c r="A307" s="6" t="n"/>
      <c r="B307" s="4" t="n"/>
      <c r="C307" s="4" t="n"/>
      <c r="D307" s="4" t="n"/>
    </row>
    <row r="308">
      <c r="A308" s="6" t="n"/>
      <c r="B308" s="4" t="n"/>
      <c r="C308" s="4" t="n"/>
      <c r="D308" s="4" t="n"/>
    </row>
    <row r="309">
      <c r="A309" s="6" t="n"/>
      <c r="B309" s="4" t="n"/>
      <c r="C309" s="4" t="n"/>
      <c r="D309" s="4" t="n"/>
    </row>
    <row r="310">
      <c r="A310" s="6" t="n"/>
      <c r="B310" s="4" t="n"/>
      <c r="C310" s="4" t="n"/>
      <c r="D310" s="4" t="n"/>
    </row>
    <row r="311">
      <c r="A311" s="6" t="n"/>
      <c r="B311" s="4" t="n"/>
      <c r="C311" s="4" t="n"/>
      <c r="D311" s="4" t="n"/>
    </row>
    <row r="312">
      <c r="A312" s="6" t="n"/>
      <c r="B312" s="4" t="n"/>
      <c r="C312" s="4" t="n"/>
      <c r="D312" s="4" t="n"/>
    </row>
    <row r="313">
      <c r="A313" s="6" t="n"/>
      <c r="B313" s="4" t="n"/>
      <c r="C313" s="4" t="n"/>
      <c r="D313" s="4" t="n"/>
    </row>
    <row r="314">
      <c r="A314" s="6" t="n"/>
      <c r="B314" s="4" t="n"/>
      <c r="C314" s="4" t="n"/>
      <c r="D314" s="4" t="n"/>
    </row>
    <row r="315">
      <c r="A315" s="6" t="n"/>
      <c r="B315" s="4" t="n"/>
      <c r="C315" s="4" t="n"/>
      <c r="D315" s="4" t="n"/>
    </row>
    <row r="316">
      <c r="A316" s="6" t="n"/>
      <c r="B316" s="4" t="n"/>
      <c r="C316" s="4" t="n"/>
      <c r="D316" s="4" t="n"/>
    </row>
    <row r="317">
      <c r="A317" s="6" t="n"/>
      <c r="B317" s="4" t="n"/>
      <c r="C317" s="4" t="n"/>
      <c r="D317" s="4" t="n"/>
    </row>
    <row r="318">
      <c r="A318" s="6" t="n"/>
      <c r="B318" s="4" t="n"/>
      <c r="C318" s="4" t="n"/>
      <c r="D318" s="4" t="n"/>
    </row>
    <row r="319">
      <c r="A319" s="6" t="n"/>
      <c r="B319" s="4" t="n"/>
      <c r="C319" s="4" t="n"/>
      <c r="D319" s="4" t="n"/>
    </row>
    <row r="320">
      <c r="A320" s="6" t="n"/>
      <c r="B320" s="4" t="n"/>
      <c r="C320" s="4" t="n"/>
      <c r="D320" s="4" t="n"/>
    </row>
    <row r="321">
      <c r="A321" s="6" t="n"/>
      <c r="B321" s="4" t="n"/>
      <c r="C321" s="4" t="n"/>
      <c r="D321" s="4" t="n"/>
    </row>
    <row r="322">
      <c r="A322" s="6" t="n"/>
      <c r="B322" s="4" t="n"/>
      <c r="C322" s="4" t="n"/>
      <c r="D322" s="4" t="n"/>
    </row>
    <row r="323">
      <c r="A323" s="6" t="n"/>
      <c r="B323" s="4" t="n"/>
      <c r="C323" s="4" t="n"/>
      <c r="D323" s="4" t="n"/>
    </row>
    <row r="324">
      <c r="A324" s="6" t="n"/>
      <c r="B324" s="4" t="n"/>
      <c r="C324" s="4" t="n"/>
      <c r="D324" s="4" t="n"/>
    </row>
    <row r="325">
      <c r="A325" s="6" t="n"/>
      <c r="B325" s="4" t="n"/>
      <c r="C325" s="4" t="n"/>
      <c r="D325" s="4" t="n"/>
    </row>
    <row r="326">
      <c r="A326" s="6" t="n"/>
      <c r="B326" s="4" t="n"/>
      <c r="C326" s="4" t="n"/>
      <c r="D326" s="4" t="n"/>
    </row>
    <row r="327">
      <c r="A327" s="6" t="n"/>
      <c r="B327" s="4" t="n"/>
      <c r="C327" s="4" t="n"/>
      <c r="D327" s="4" t="n"/>
    </row>
    <row r="328">
      <c r="A328" s="6" t="n"/>
      <c r="B328" s="4" t="n"/>
      <c r="C328" s="4" t="n"/>
      <c r="D328" s="4" t="n"/>
    </row>
    <row r="329">
      <c r="A329" s="6" t="n"/>
      <c r="B329" s="4" t="n"/>
      <c r="C329" s="4" t="n"/>
      <c r="D329" s="4" t="n"/>
    </row>
    <row r="330">
      <c r="A330" s="6" t="n"/>
      <c r="B330" s="4" t="n"/>
      <c r="C330" s="4" t="n"/>
      <c r="D330" s="4" t="n"/>
    </row>
    <row r="331">
      <c r="A331" s="6" t="n"/>
      <c r="B331" s="4" t="n"/>
      <c r="C331" s="4" t="n"/>
      <c r="D331" s="4" t="n"/>
    </row>
    <row r="332">
      <c r="A332" s="6" t="n"/>
      <c r="B332" s="4" t="n"/>
      <c r="C332" s="4" t="n"/>
      <c r="D332" s="4" t="n"/>
    </row>
    <row r="333">
      <c r="A333" s="6" t="n"/>
      <c r="B333" s="4" t="n"/>
      <c r="C333" s="4" t="n"/>
      <c r="D333" s="4" t="n"/>
    </row>
    <row r="334">
      <c r="A334" s="6" t="n"/>
      <c r="B334" s="4" t="n"/>
      <c r="C334" s="4" t="n"/>
      <c r="D334" s="4" t="n"/>
    </row>
    <row r="335">
      <c r="A335" s="6" t="n"/>
      <c r="B335" s="4" t="n"/>
      <c r="C335" s="4" t="n"/>
      <c r="D335" s="4" t="n"/>
    </row>
    <row r="336">
      <c r="A336" s="6" t="n"/>
      <c r="B336" s="4" t="n"/>
      <c r="C336" s="4" t="n"/>
      <c r="D336" s="4" t="n"/>
    </row>
    <row r="337">
      <c r="A337" s="6" t="n"/>
      <c r="B337" s="4" t="n"/>
      <c r="C337" s="4" t="n"/>
      <c r="D337" s="4" t="n"/>
    </row>
    <row r="338">
      <c r="A338" s="6" t="n"/>
      <c r="B338" s="4" t="n"/>
      <c r="C338" s="4" t="n"/>
      <c r="D338" s="4" t="n"/>
    </row>
    <row r="339">
      <c r="A339" s="6" t="n"/>
      <c r="B339" s="4" t="n"/>
      <c r="C339" s="4" t="n"/>
      <c r="D339" s="4" t="n"/>
    </row>
    <row r="340">
      <c r="A340" s="6" t="n"/>
      <c r="B340" s="4" t="n"/>
      <c r="C340" s="4" t="n"/>
      <c r="D340" s="4" t="n"/>
    </row>
    <row r="341">
      <c r="A341" s="6" t="n"/>
      <c r="B341" s="4" t="n"/>
      <c r="C341" s="4" t="n"/>
      <c r="D341" s="4" t="n"/>
    </row>
    <row r="342">
      <c r="A342" s="6" t="n"/>
      <c r="B342" s="4" t="n"/>
      <c r="C342" s="4" t="n"/>
      <c r="D342" s="4" t="n"/>
    </row>
    <row r="343">
      <c r="A343" s="6" t="n"/>
      <c r="B343" s="4" t="n"/>
      <c r="C343" s="4" t="n"/>
      <c r="D343" s="4" t="n"/>
    </row>
    <row r="344">
      <c r="A344" s="6" t="n"/>
      <c r="B344" s="4" t="n"/>
      <c r="C344" s="4" t="n"/>
      <c r="D344" s="4" t="n"/>
    </row>
    <row r="345">
      <c r="A345" s="6" t="n"/>
      <c r="B345" s="4" t="n"/>
      <c r="C345" s="4" t="n"/>
      <c r="D345" s="4" t="n"/>
    </row>
    <row r="346">
      <c r="A346" s="6" t="n"/>
      <c r="B346" s="4" t="n"/>
      <c r="C346" s="4" t="n"/>
      <c r="D346" s="4" t="n"/>
    </row>
    <row r="347">
      <c r="A347" s="6" t="n"/>
      <c r="B347" s="4" t="n"/>
      <c r="C347" s="4" t="n"/>
      <c r="D347" s="4" t="n"/>
    </row>
    <row r="348">
      <c r="A348" s="6" t="n"/>
      <c r="B348" s="4" t="n"/>
      <c r="C348" s="4" t="n"/>
      <c r="D348" s="4" t="n"/>
    </row>
    <row r="349">
      <c r="A349" s="6" t="n"/>
      <c r="B349" s="4" t="n"/>
      <c r="C349" s="4" t="n"/>
      <c r="D349" s="4" t="n"/>
    </row>
    <row r="350">
      <c r="A350" s="6" t="n"/>
      <c r="B350" s="4" t="n"/>
      <c r="C350" s="4" t="n"/>
      <c r="D350" s="4" t="n"/>
    </row>
    <row r="351">
      <c r="A351" s="6" t="n"/>
      <c r="B351" s="4" t="n"/>
      <c r="C351" s="4" t="n"/>
      <c r="D351" s="4" t="n"/>
    </row>
    <row r="352">
      <c r="A352" s="6" t="n"/>
      <c r="B352" s="4" t="n"/>
      <c r="C352" s="4" t="n"/>
      <c r="D352" s="4" t="n"/>
    </row>
    <row r="353">
      <c r="A353" s="6" t="n"/>
      <c r="B353" s="4" t="n"/>
      <c r="C353" s="4" t="n"/>
      <c r="D353" s="4" t="n"/>
    </row>
    <row r="354">
      <c r="A354" s="6" t="n"/>
      <c r="B354" s="4" t="n"/>
      <c r="C354" s="4" t="n"/>
      <c r="D354" s="4" t="n"/>
    </row>
    <row r="355">
      <c r="A355" s="6" t="n"/>
      <c r="B355" s="4" t="n"/>
      <c r="C355" s="4" t="n"/>
      <c r="D355" s="4" t="n"/>
    </row>
    <row r="356">
      <c r="A356" s="6" t="n"/>
      <c r="B356" s="4" t="n"/>
      <c r="C356" s="4" t="n"/>
      <c r="D356" s="4" t="n"/>
    </row>
    <row r="357">
      <c r="A357" s="6" t="n"/>
      <c r="B357" s="4" t="n"/>
      <c r="C357" s="4" t="n"/>
      <c r="D357" s="4" t="n"/>
    </row>
    <row r="358">
      <c r="A358" s="6" t="n"/>
      <c r="B358" s="4" t="n"/>
      <c r="C358" s="4" t="n"/>
      <c r="D358" s="4" t="n"/>
    </row>
    <row r="359">
      <c r="A359" s="6" t="n"/>
      <c r="B359" s="4" t="n"/>
      <c r="C359" s="4" t="n"/>
      <c r="D359" s="4" t="n"/>
    </row>
    <row r="360">
      <c r="A360" s="6" t="n"/>
      <c r="B360" s="4" t="n"/>
      <c r="C360" s="4" t="n"/>
      <c r="D360" s="4" t="n"/>
    </row>
    <row r="361">
      <c r="A361" s="6" t="n"/>
      <c r="B361" s="4" t="n"/>
      <c r="C361" s="4" t="n"/>
      <c r="D361" s="4" t="n"/>
    </row>
    <row r="362">
      <c r="A362" s="6" t="n"/>
      <c r="B362" s="4" t="n"/>
      <c r="C362" s="4" t="n"/>
      <c r="D362" s="4" t="n"/>
    </row>
    <row r="363">
      <c r="A363" s="6" t="n"/>
      <c r="B363" s="4" t="n"/>
      <c r="C363" s="4" t="n"/>
      <c r="D363" s="4" t="n"/>
    </row>
    <row r="364">
      <c r="A364" s="6" t="n"/>
      <c r="B364" s="4" t="n"/>
      <c r="C364" s="4" t="n"/>
      <c r="D364" s="4" t="n"/>
    </row>
    <row r="365">
      <c r="A365" s="6" t="n"/>
      <c r="B365" s="4" t="n"/>
      <c r="C365" s="4" t="n"/>
      <c r="D365" s="4" t="n"/>
    </row>
    <row r="366">
      <c r="A366" s="6" t="n"/>
      <c r="B366" s="4" t="n"/>
      <c r="C366" s="4" t="n"/>
      <c r="D366" s="4" t="n"/>
    </row>
    <row r="367">
      <c r="A367" s="6" t="n"/>
      <c r="B367" s="4" t="n"/>
      <c r="C367" s="4" t="n"/>
      <c r="D367" s="4" t="n"/>
    </row>
    <row r="368">
      <c r="A368" s="6" t="n"/>
      <c r="B368" s="4" t="n"/>
      <c r="C368" s="4" t="n"/>
      <c r="D368" s="4" t="n"/>
    </row>
    <row r="369">
      <c r="A369" s="6" t="n"/>
      <c r="B369" s="4" t="n"/>
      <c r="C369" s="4" t="n"/>
      <c r="D369" s="4" t="n"/>
    </row>
    <row r="370">
      <c r="A370" s="6" t="n"/>
      <c r="B370" s="4" t="n"/>
      <c r="C370" s="4" t="n"/>
      <c r="D370" s="4" t="n"/>
    </row>
    <row r="371">
      <c r="A371" s="6" t="n"/>
      <c r="B371" s="4" t="n"/>
      <c r="C371" s="4" t="n"/>
      <c r="D371" s="4" t="n"/>
    </row>
    <row r="372">
      <c r="A372" s="6" t="n"/>
      <c r="B372" s="4" t="n"/>
      <c r="C372" s="4" t="n"/>
      <c r="D372" s="4" t="n"/>
    </row>
    <row r="373">
      <c r="A373" s="6" t="n"/>
      <c r="B373" s="4" t="n"/>
      <c r="C373" s="4" t="n"/>
      <c r="D373" s="4" t="n"/>
    </row>
    <row r="374">
      <c r="A374" s="6" t="n"/>
      <c r="B374" s="4" t="n"/>
      <c r="C374" s="4" t="n"/>
      <c r="D374" s="4" t="n"/>
    </row>
    <row r="375">
      <c r="A375" s="6" t="n"/>
      <c r="B375" s="4" t="n"/>
      <c r="C375" s="4" t="n"/>
      <c r="D375" s="4" t="n"/>
    </row>
    <row r="376">
      <c r="A376" s="6" t="n"/>
      <c r="B376" s="4" t="n"/>
      <c r="C376" s="4" t="n"/>
      <c r="D376" s="4" t="n"/>
    </row>
    <row r="377">
      <c r="A377" s="6" t="n"/>
      <c r="B377" s="4" t="n"/>
      <c r="C377" s="4" t="n"/>
      <c r="D377" s="4" t="n"/>
    </row>
    <row r="378">
      <c r="A378" s="6" t="n"/>
      <c r="B378" s="4" t="n"/>
      <c r="C378" s="4" t="n"/>
      <c r="D378" s="4" t="n"/>
    </row>
    <row r="379">
      <c r="A379" s="6" t="n"/>
      <c r="B379" s="4" t="n"/>
      <c r="C379" s="4" t="n"/>
      <c r="D379" s="4" t="n"/>
    </row>
    <row r="380">
      <c r="A380" s="6" t="n"/>
      <c r="B380" s="4" t="n"/>
      <c r="C380" s="4" t="n"/>
      <c r="D380" s="4" t="n"/>
    </row>
    <row r="381">
      <c r="A381" s="6" t="n"/>
      <c r="B381" s="4" t="n"/>
      <c r="C381" s="4" t="n"/>
      <c r="D381" s="4" t="n"/>
    </row>
    <row r="382">
      <c r="A382" s="6" t="n"/>
      <c r="B382" s="4" t="n"/>
      <c r="C382" s="4" t="n"/>
      <c r="D382" s="4" t="n"/>
    </row>
    <row r="383">
      <c r="A383" s="6" t="n"/>
      <c r="B383" s="4" t="n"/>
      <c r="C383" s="4" t="n"/>
      <c r="D383" s="4" t="n"/>
    </row>
    <row r="384">
      <c r="A384" s="6" t="n"/>
      <c r="B384" s="4" t="n"/>
      <c r="C384" s="4" t="n"/>
      <c r="D384" s="4" t="n"/>
    </row>
    <row r="385">
      <c r="A385" s="6" t="n"/>
      <c r="B385" s="4" t="n"/>
      <c r="C385" s="4" t="n"/>
      <c r="D385" s="4" t="n"/>
    </row>
    <row r="386">
      <c r="A386" s="6" t="n"/>
      <c r="B386" s="4" t="n"/>
      <c r="C386" s="4" t="n"/>
      <c r="D386" s="4" t="n"/>
    </row>
    <row r="387">
      <c r="A387" s="6" t="n"/>
      <c r="B387" s="4" t="n"/>
      <c r="C387" s="4" t="n"/>
      <c r="D387" s="4" t="n"/>
    </row>
    <row r="388">
      <c r="A388" s="6" t="n"/>
      <c r="B388" s="4" t="n"/>
      <c r="C388" s="4" t="n"/>
      <c r="D388" s="4" t="n"/>
    </row>
    <row r="389">
      <c r="A389" s="6" t="n"/>
      <c r="B389" s="4" t="n"/>
      <c r="C389" s="4" t="n"/>
      <c r="D389" s="4" t="n"/>
    </row>
    <row r="390">
      <c r="A390" s="6" t="n"/>
      <c r="B390" s="4" t="n"/>
      <c r="C390" s="4" t="n"/>
      <c r="D390" s="4" t="n"/>
    </row>
    <row r="391">
      <c r="A391" s="6" t="n"/>
      <c r="B391" s="4" t="n"/>
      <c r="C391" s="4" t="n"/>
      <c r="D391" s="4" t="n"/>
    </row>
    <row r="392">
      <c r="A392" s="6" t="n"/>
      <c r="B392" s="4" t="n"/>
      <c r="C392" s="4" t="n"/>
      <c r="D392" s="4" t="n"/>
    </row>
    <row r="393">
      <c r="A393" s="6" t="n"/>
      <c r="B393" s="4" t="n"/>
      <c r="C393" s="4" t="n"/>
      <c r="D393" s="4" t="n"/>
    </row>
    <row r="394">
      <c r="A394" s="6" t="n"/>
      <c r="B394" s="4" t="n"/>
      <c r="C394" s="4" t="n"/>
      <c r="D394" s="4" t="n"/>
    </row>
    <row r="395">
      <c r="A395" s="6" t="n"/>
      <c r="B395" s="4" t="n"/>
      <c r="C395" s="4" t="n"/>
      <c r="D395" s="4" t="n"/>
    </row>
    <row r="396">
      <c r="A396" s="6" t="n"/>
      <c r="B396" s="4" t="n"/>
      <c r="C396" s="4" t="n"/>
      <c r="D396" s="4" t="n"/>
    </row>
    <row r="397">
      <c r="A397" s="6" t="n"/>
      <c r="B397" s="4" t="n"/>
      <c r="C397" s="4" t="n"/>
      <c r="D397" s="4" t="n"/>
    </row>
    <row r="398">
      <c r="A398" s="6" t="n"/>
      <c r="B398" s="4" t="n"/>
      <c r="C398" s="4" t="n"/>
      <c r="D398" s="4" t="n"/>
    </row>
    <row r="399">
      <c r="A399" s="6" t="n"/>
      <c r="B399" s="4" t="n"/>
      <c r="C399" s="4" t="n"/>
      <c r="D399" s="4" t="n"/>
    </row>
    <row r="400">
      <c r="A400" s="6" t="n"/>
      <c r="B400" s="4" t="n"/>
      <c r="C400" s="4" t="n"/>
      <c r="D400" s="4" t="n"/>
    </row>
    <row r="401">
      <c r="A401" s="6" t="n"/>
      <c r="B401" s="4" t="n"/>
      <c r="C401" s="4" t="n"/>
      <c r="D401" s="4" t="n"/>
    </row>
    <row r="402">
      <c r="A402" s="6" t="n"/>
      <c r="B402" s="4" t="n"/>
      <c r="C402" s="4" t="n"/>
      <c r="D402" s="4" t="n"/>
    </row>
    <row r="403">
      <c r="A403" s="6" t="n"/>
      <c r="B403" s="4" t="n"/>
      <c r="C403" s="4" t="n"/>
      <c r="D403" s="4" t="n"/>
    </row>
    <row r="404">
      <c r="A404" s="6" t="n"/>
      <c r="B404" s="4" t="n"/>
      <c r="C404" s="4" t="n"/>
      <c r="D404" s="4" t="n"/>
    </row>
    <row r="405">
      <c r="A405" s="6" t="n"/>
      <c r="B405" s="4" t="n"/>
      <c r="C405" s="4" t="n"/>
      <c r="D405" s="4" t="n"/>
    </row>
    <row r="406">
      <c r="A406" s="6" t="n"/>
      <c r="B406" s="4" t="n"/>
      <c r="C406" s="4" t="n"/>
      <c r="D406" s="4" t="n"/>
    </row>
    <row r="407">
      <c r="A407" s="6" t="n"/>
      <c r="B407" s="4" t="n"/>
      <c r="C407" s="4" t="n"/>
      <c r="D407" s="4" t="n"/>
    </row>
    <row r="408">
      <c r="A408" s="6" t="n"/>
      <c r="B408" s="4" t="n"/>
      <c r="C408" s="4" t="n"/>
      <c r="D408" s="4" t="n"/>
    </row>
    <row r="409">
      <c r="A409" s="6" t="n"/>
      <c r="B409" s="4" t="n"/>
      <c r="C409" s="4" t="n"/>
      <c r="D409" s="4" t="n"/>
    </row>
    <row r="410">
      <c r="A410" s="6" t="n"/>
      <c r="B410" s="4" t="n"/>
      <c r="C410" s="4" t="n"/>
      <c r="D410" s="4" t="n"/>
    </row>
    <row r="411">
      <c r="A411" s="6" t="n"/>
      <c r="B411" s="4" t="n"/>
      <c r="C411" s="4" t="n"/>
      <c r="D411" s="4" t="n"/>
    </row>
    <row r="412">
      <c r="A412" s="6" t="n"/>
      <c r="B412" s="4" t="n"/>
      <c r="C412" s="4" t="n"/>
      <c r="D412" s="4" t="n"/>
    </row>
    <row r="413">
      <c r="A413" s="6" t="n"/>
      <c r="B413" s="4" t="n"/>
      <c r="C413" s="4" t="n"/>
      <c r="D413" s="4" t="n"/>
    </row>
    <row r="414">
      <c r="A414" s="6" t="n"/>
      <c r="B414" s="4" t="n"/>
      <c r="C414" s="4" t="n"/>
      <c r="D414" s="4" t="n"/>
    </row>
    <row r="415">
      <c r="A415" s="6" t="n"/>
      <c r="B415" s="4" t="n"/>
      <c r="C415" s="4" t="n"/>
      <c r="D415" s="4" t="n"/>
    </row>
    <row r="416">
      <c r="A416" s="6" t="n"/>
      <c r="B416" s="4" t="n"/>
      <c r="C416" s="4" t="n"/>
      <c r="D416" s="4" t="n"/>
    </row>
    <row r="417">
      <c r="A417" s="6" t="n"/>
      <c r="B417" s="4" t="n"/>
      <c r="C417" s="4" t="n"/>
      <c r="D417" s="4" t="n"/>
    </row>
    <row r="418">
      <c r="A418" s="6" t="n"/>
      <c r="B418" s="4" t="n"/>
      <c r="C418" s="4" t="n"/>
      <c r="D418" s="4" t="n"/>
    </row>
    <row r="419">
      <c r="A419" s="6" t="n"/>
      <c r="B419" s="4" t="n"/>
      <c r="C419" s="4" t="n"/>
      <c r="D419" s="4" t="n"/>
    </row>
    <row r="420">
      <c r="A420" s="6" t="n"/>
      <c r="B420" s="4" t="n"/>
      <c r="C420" s="4" t="n"/>
      <c r="D420" s="4" t="n"/>
    </row>
    <row r="421">
      <c r="A421" s="6" t="n"/>
      <c r="B421" s="4" t="n"/>
      <c r="C421" s="4" t="n"/>
      <c r="D421" s="4" t="n"/>
    </row>
    <row r="422">
      <c r="A422" s="6" t="n"/>
      <c r="B422" s="4" t="n"/>
      <c r="C422" s="4" t="n"/>
      <c r="D422" s="4" t="n"/>
    </row>
    <row r="423">
      <c r="A423" s="6" t="n"/>
      <c r="B423" s="4" t="n"/>
      <c r="C423" s="4" t="n"/>
      <c r="D423" s="4" t="n"/>
    </row>
    <row r="424">
      <c r="A424" s="6" t="n"/>
      <c r="B424" s="4" t="n"/>
      <c r="C424" s="4" t="n"/>
      <c r="D424" s="4" t="n"/>
    </row>
    <row r="425">
      <c r="A425" s="6" t="n"/>
      <c r="B425" s="4" t="n"/>
      <c r="C425" s="4" t="n"/>
      <c r="D425" s="4" t="n"/>
    </row>
    <row r="426">
      <c r="A426" s="6" t="n"/>
      <c r="B426" s="4" t="n"/>
      <c r="C426" s="4" t="n"/>
      <c r="D426" s="4" t="n"/>
    </row>
    <row r="427">
      <c r="A427" s="6" t="n"/>
      <c r="B427" s="4" t="n"/>
      <c r="C427" s="4" t="n"/>
      <c r="D427" s="4" t="n"/>
    </row>
    <row r="428">
      <c r="A428" s="6" t="n"/>
      <c r="B428" s="4" t="n"/>
      <c r="C428" s="4" t="n"/>
      <c r="D428" s="4" t="n"/>
    </row>
    <row r="429">
      <c r="A429" s="6" t="n"/>
      <c r="B429" s="4" t="n"/>
      <c r="C429" s="4" t="n"/>
      <c r="D429" s="4" t="n"/>
    </row>
    <row r="430">
      <c r="A430" s="6" t="n"/>
      <c r="B430" s="4" t="n"/>
      <c r="C430" s="4" t="n"/>
      <c r="D430" s="4" t="n"/>
    </row>
    <row r="431">
      <c r="A431" s="6" t="n"/>
      <c r="B431" s="4" t="n"/>
      <c r="C431" s="4" t="n"/>
      <c r="D431" s="4" t="n"/>
    </row>
    <row r="432">
      <c r="A432" s="6" t="n"/>
      <c r="B432" s="4" t="n"/>
      <c r="C432" s="4" t="n"/>
      <c r="D432" s="4" t="n"/>
    </row>
    <row r="433">
      <c r="A433" s="6" t="n"/>
      <c r="B433" s="4" t="n"/>
      <c r="C433" s="4" t="n"/>
      <c r="D433" s="4" t="n"/>
    </row>
    <row r="434">
      <c r="A434" s="6" t="n"/>
      <c r="B434" s="4" t="n"/>
      <c r="C434" s="4" t="n"/>
      <c r="D434" s="4" t="n"/>
    </row>
    <row r="435">
      <c r="A435" s="6" t="n"/>
      <c r="B435" s="4" t="n"/>
      <c r="C435" s="4" t="n"/>
      <c r="D435" s="4" t="n"/>
    </row>
    <row r="436">
      <c r="A436" s="6" t="n"/>
      <c r="B436" s="4" t="n"/>
      <c r="C436" s="4" t="n"/>
      <c r="D436" s="4" t="n"/>
    </row>
    <row r="437">
      <c r="A437" s="6" t="n"/>
      <c r="B437" s="4" t="n"/>
      <c r="C437" s="4" t="n"/>
      <c r="D437" s="4" t="n"/>
    </row>
    <row r="438">
      <c r="A438" s="6" t="n"/>
      <c r="B438" s="4" t="n"/>
      <c r="C438" s="4" t="n"/>
      <c r="D438" s="4" t="n"/>
    </row>
    <row r="439">
      <c r="A439" s="6" t="n"/>
      <c r="B439" s="4" t="n"/>
      <c r="C439" s="4" t="n"/>
      <c r="D439" s="4" t="n"/>
    </row>
    <row r="440">
      <c r="A440" s="6" t="n"/>
      <c r="B440" s="4" t="n"/>
      <c r="C440" s="4" t="n"/>
      <c r="D440" s="4" t="n"/>
    </row>
    <row r="441">
      <c r="A441" s="6" t="n"/>
      <c r="B441" s="4" t="n"/>
      <c r="C441" s="4" t="n"/>
      <c r="D441" s="4" t="n"/>
    </row>
    <row r="442">
      <c r="A442" s="6" t="n"/>
      <c r="B442" s="4" t="n"/>
      <c r="C442" s="4" t="n"/>
      <c r="D442" s="4" t="n"/>
    </row>
    <row r="443">
      <c r="A443" s="6" t="n"/>
      <c r="B443" s="4" t="n"/>
      <c r="C443" s="4" t="n"/>
      <c r="D443" s="4" t="n"/>
    </row>
    <row r="444">
      <c r="A444" s="6" t="n"/>
      <c r="B444" s="4" t="n"/>
      <c r="C444" s="4" t="n"/>
      <c r="D444" s="4" t="n"/>
    </row>
    <row r="445">
      <c r="A445" s="6" t="n"/>
      <c r="B445" s="4" t="n"/>
      <c r="C445" s="4" t="n"/>
      <c r="D445" s="4" t="n"/>
    </row>
    <row r="446">
      <c r="A446" s="6" t="n"/>
      <c r="B446" s="4" t="n"/>
      <c r="C446" s="4" t="n"/>
      <c r="D446" s="4" t="n"/>
    </row>
    <row r="447">
      <c r="A447" s="6" t="n"/>
      <c r="B447" s="4" t="n"/>
      <c r="C447" s="4" t="n"/>
      <c r="D447" s="4" t="n"/>
    </row>
    <row r="448">
      <c r="A448" s="6" t="n"/>
      <c r="B448" s="4" t="n"/>
      <c r="C448" s="4" t="n"/>
      <c r="D448" s="4" t="n"/>
    </row>
    <row r="449">
      <c r="A449" s="6" t="n"/>
      <c r="B449" s="4" t="n"/>
      <c r="C449" s="4" t="n"/>
      <c r="D449" s="4" t="n"/>
    </row>
    <row r="450">
      <c r="A450" s="6" t="n"/>
      <c r="B450" s="4" t="n"/>
      <c r="C450" s="4" t="n"/>
      <c r="D450" s="4" t="n"/>
    </row>
    <row r="451">
      <c r="A451" s="6" t="n"/>
      <c r="B451" s="4" t="n"/>
      <c r="C451" s="4" t="n"/>
      <c r="D451" s="4" t="n"/>
    </row>
    <row r="452">
      <c r="A452" s="6" t="n"/>
      <c r="B452" s="4" t="n"/>
      <c r="C452" s="4" t="n"/>
      <c r="D452" s="4" t="n"/>
    </row>
    <row r="453">
      <c r="A453" s="6" t="n"/>
      <c r="B453" s="4" t="n"/>
      <c r="C453" s="4" t="n"/>
      <c r="D453" s="4" t="n"/>
    </row>
    <row r="454">
      <c r="A454" s="6" t="n"/>
      <c r="B454" s="4" t="n"/>
      <c r="C454" s="4" t="n"/>
      <c r="D454" s="4" t="n"/>
    </row>
    <row r="455">
      <c r="A455" s="6" t="n"/>
      <c r="B455" s="4" t="n"/>
      <c r="C455" s="4" t="n"/>
      <c r="D455" s="4" t="n"/>
    </row>
    <row r="456">
      <c r="A456" s="6" t="n"/>
      <c r="B456" s="4" t="n"/>
      <c r="C456" s="4" t="n"/>
      <c r="D456" s="4" t="n"/>
    </row>
    <row r="457">
      <c r="A457" s="6" t="n"/>
      <c r="B457" s="4" t="n"/>
      <c r="C457" s="4" t="n"/>
      <c r="D457" s="4" t="n"/>
    </row>
    <row r="458">
      <c r="A458" s="6" t="n"/>
      <c r="B458" s="4" t="n"/>
      <c r="C458" s="4" t="n"/>
      <c r="D458" s="4" t="n"/>
    </row>
    <row r="459">
      <c r="A459" s="6" t="n"/>
      <c r="B459" s="4" t="n"/>
      <c r="C459" s="4" t="n"/>
      <c r="D459" s="4" t="n"/>
    </row>
    <row r="460">
      <c r="A460" s="6" t="n"/>
      <c r="B460" s="4" t="n"/>
      <c r="C460" s="4" t="n"/>
      <c r="D460" s="4" t="n"/>
    </row>
    <row r="461">
      <c r="A461" s="6" t="n"/>
      <c r="B461" s="4" t="n"/>
      <c r="C461" s="4" t="n"/>
      <c r="D461" s="4" t="n"/>
    </row>
    <row r="462">
      <c r="A462" s="6" t="n"/>
      <c r="B462" s="4" t="n"/>
      <c r="C462" s="4" t="n"/>
      <c r="D462" s="4" t="n"/>
    </row>
    <row r="463">
      <c r="A463" s="6" t="n"/>
      <c r="B463" s="4" t="n"/>
      <c r="C463" s="4" t="n"/>
      <c r="D463" s="4" t="n"/>
    </row>
    <row r="464">
      <c r="A464" s="6" t="n"/>
      <c r="B464" s="4" t="n"/>
      <c r="C464" s="4" t="n"/>
      <c r="D464" s="4" t="n"/>
    </row>
    <row r="465">
      <c r="A465" s="6" t="n"/>
      <c r="B465" s="4" t="n"/>
      <c r="C465" s="4" t="n"/>
      <c r="D465" s="4" t="n"/>
    </row>
    <row r="466">
      <c r="A466" s="6" t="n"/>
      <c r="B466" s="4" t="n"/>
      <c r="C466" s="4" t="n"/>
      <c r="D466" s="4" t="n"/>
    </row>
    <row r="467">
      <c r="A467" s="6" t="n"/>
      <c r="B467" s="4" t="n"/>
      <c r="C467" s="4" t="n"/>
      <c r="D467" s="4" t="n"/>
    </row>
    <row r="468">
      <c r="A468" s="6" t="n"/>
      <c r="B468" s="4" t="n"/>
      <c r="C468" s="4" t="n"/>
      <c r="D468" s="4" t="n"/>
    </row>
    <row r="469">
      <c r="A469" s="6" t="n"/>
      <c r="B469" s="4" t="n"/>
      <c r="C469" s="4" t="n"/>
      <c r="D469" s="4" t="n"/>
    </row>
    <row r="470">
      <c r="A470" s="6" t="n"/>
      <c r="B470" s="4" t="n"/>
      <c r="C470" s="4" t="n"/>
      <c r="D470" s="4" t="n"/>
    </row>
    <row r="471">
      <c r="A471" s="6" t="n"/>
      <c r="B471" s="4" t="n"/>
      <c r="C471" s="4" t="n"/>
      <c r="D471" s="4" t="n"/>
    </row>
    <row r="472">
      <c r="A472" s="6" t="n"/>
      <c r="B472" s="4" t="n"/>
      <c r="C472" s="4" t="n"/>
      <c r="D472" s="4" t="n"/>
    </row>
    <row r="473">
      <c r="A473" s="6" t="n"/>
      <c r="B473" s="4" t="n"/>
      <c r="C473" s="4" t="n"/>
      <c r="D473" s="4" t="n"/>
    </row>
    <row r="474">
      <c r="A474" s="6" t="n"/>
      <c r="B474" s="4" t="n"/>
      <c r="C474" s="4" t="n"/>
      <c r="D474" s="4" t="n"/>
    </row>
    <row r="475">
      <c r="A475" s="6" t="n"/>
      <c r="B475" s="4" t="n"/>
      <c r="C475" s="4" t="n"/>
      <c r="D475" s="4" t="n"/>
    </row>
    <row r="476">
      <c r="A476" s="6" t="n"/>
      <c r="B476" s="4" t="n"/>
      <c r="C476" s="4" t="n"/>
      <c r="D476" s="4" t="n"/>
    </row>
    <row r="477">
      <c r="A477" s="6" t="n"/>
      <c r="B477" s="4" t="n"/>
      <c r="C477" s="4" t="n"/>
      <c r="D477" s="4" t="n"/>
    </row>
    <row r="478">
      <c r="A478" s="6" t="n"/>
      <c r="B478" s="4" t="n"/>
      <c r="C478" s="4" t="n"/>
      <c r="D478" s="4" t="n"/>
    </row>
    <row r="479">
      <c r="A479" s="6" t="n"/>
      <c r="B479" s="4" t="n"/>
      <c r="C479" s="4" t="n"/>
      <c r="D479" s="4" t="n"/>
    </row>
    <row r="480">
      <c r="A480" s="6" t="n"/>
      <c r="B480" s="4" t="n"/>
      <c r="C480" s="4" t="n"/>
      <c r="D480" s="4" t="n"/>
    </row>
    <row r="481">
      <c r="A481" s="6" t="n"/>
      <c r="B481" s="4" t="n"/>
      <c r="C481" s="4" t="n"/>
      <c r="D481" s="4" t="n"/>
    </row>
    <row r="482">
      <c r="A482" s="6" t="n"/>
      <c r="B482" s="4" t="n"/>
      <c r="C482" s="4" t="n"/>
      <c r="D482" s="4" t="n"/>
    </row>
    <row r="483">
      <c r="A483" s="6" t="n"/>
      <c r="B483" s="4" t="n"/>
      <c r="C483" s="4" t="n"/>
      <c r="D483" s="4" t="n"/>
    </row>
    <row r="484">
      <c r="A484" s="6" t="n"/>
      <c r="B484" s="4" t="n"/>
      <c r="C484" s="4" t="n"/>
      <c r="D484" s="4" t="n"/>
    </row>
    <row r="485">
      <c r="A485" s="6" t="n"/>
      <c r="B485" s="4" t="n"/>
      <c r="C485" s="4" t="n"/>
      <c r="D485" s="4" t="n"/>
    </row>
    <row r="486">
      <c r="A486" s="6" t="n"/>
      <c r="B486" s="4" t="n"/>
      <c r="C486" s="4" t="n"/>
      <c r="D486" s="4" t="n"/>
    </row>
    <row r="487">
      <c r="A487" s="6" t="n"/>
      <c r="B487" s="4" t="n"/>
      <c r="C487" s="4" t="n"/>
      <c r="D487" s="4" t="n"/>
    </row>
    <row r="488">
      <c r="A488" s="6" t="n"/>
      <c r="B488" s="4" t="n"/>
      <c r="C488" s="4" t="n"/>
      <c r="D488" s="4" t="n"/>
    </row>
    <row r="489">
      <c r="A489" s="6" t="n"/>
      <c r="B489" s="4" t="n"/>
      <c r="C489" s="4" t="n"/>
      <c r="D489" s="4" t="n"/>
    </row>
    <row r="490">
      <c r="A490" s="6" t="n"/>
      <c r="B490" s="4" t="n"/>
      <c r="C490" s="4" t="n"/>
      <c r="D490" s="4" t="n"/>
    </row>
    <row r="491">
      <c r="A491" s="6" t="n"/>
      <c r="B491" s="4" t="n"/>
      <c r="C491" s="4" t="n"/>
      <c r="D491" s="4" t="n"/>
    </row>
    <row r="492">
      <c r="A492" s="6" t="n"/>
      <c r="B492" s="4" t="n"/>
      <c r="C492" s="4" t="n"/>
      <c r="D492" s="4" t="n"/>
    </row>
    <row r="493">
      <c r="A493" s="6" t="n"/>
      <c r="B493" s="4" t="n"/>
      <c r="C493" s="4" t="n"/>
      <c r="D493" s="4" t="n"/>
    </row>
    <row r="494">
      <c r="A494" s="6" t="n"/>
      <c r="B494" s="4" t="n"/>
      <c r="C494" s="4" t="n"/>
      <c r="D494" s="4" t="n"/>
    </row>
    <row r="495">
      <c r="A495" s="6" t="n"/>
      <c r="B495" s="4" t="n"/>
      <c r="C495" s="4" t="n"/>
      <c r="D495" s="4" t="n"/>
    </row>
    <row r="496">
      <c r="A496" s="6" t="n"/>
      <c r="B496" s="4" t="n"/>
      <c r="C496" s="4" t="n"/>
      <c r="D496" s="4" t="n"/>
    </row>
    <row r="497">
      <c r="A497" s="6" t="n"/>
      <c r="B497" s="4" t="n"/>
      <c r="C497" s="4" t="n"/>
      <c r="D497" s="4" t="n"/>
    </row>
    <row r="498">
      <c r="A498" s="6" t="n"/>
      <c r="B498" s="4" t="n"/>
      <c r="C498" s="4" t="n"/>
      <c r="D498" s="4" t="n"/>
    </row>
    <row r="499">
      <c r="A499" s="6" t="n"/>
      <c r="B499" s="4" t="n"/>
      <c r="C499" s="4" t="n"/>
      <c r="D499" s="4" t="n"/>
    </row>
    <row r="500">
      <c r="A500" s="6" t="n"/>
      <c r="B500" s="4" t="n"/>
      <c r="C500" s="4" t="n"/>
      <c r="D500" s="4" t="n"/>
    </row>
    <row r="501">
      <c r="A501" s="6" t="n"/>
      <c r="B501" s="4" t="n"/>
      <c r="C501" s="4" t="n"/>
      <c r="D501" s="4" t="n"/>
    </row>
    <row r="502">
      <c r="A502" s="6" t="n"/>
      <c r="B502" s="4" t="n"/>
      <c r="C502" s="4" t="n"/>
      <c r="D502" s="4" t="n"/>
    </row>
    <row r="503">
      <c r="A503" s="6" t="n"/>
      <c r="B503" s="4" t="n"/>
      <c r="C503" s="4" t="n"/>
      <c r="D503" s="4" t="n"/>
    </row>
    <row r="504">
      <c r="A504" s="6" t="n"/>
      <c r="B504" s="4" t="n"/>
      <c r="C504" s="4" t="n"/>
      <c r="D504" s="4" t="n"/>
    </row>
    <row r="505">
      <c r="A505" s="6" t="n"/>
      <c r="B505" s="4" t="n"/>
      <c r="C505" s="4" t="n"/>
      <c r="D505" s="4" t="n"/>
    </row>
    <row r="506">
      <c r="A506" s="6" t="n"/>
      <c r="B506" s="4" t="n"/>
      <c r="C506" s="4" t="n"/>
      <c r="D506" s="4" t="n"/>
    </row>
    <row r="507">
      <c r="A507" s="6" t="n"/>
      <c r="B507" s="4" t="n"/>
      <c r="C507" s="4" t="n"/>
      <c r="D507" s="4" t="n"/>
    </row>
    <row r="508">
      <c r="A508" s="6" t="n"/>
      <c r="B508" s="4" t="n"/>
      <c r="C508" s="4" t="n"/>
      <c r="D508" s="4" t="n"/>
    </row>
    <row r="509">
      <c r="A509" s="6" t="n"/>
      <c r="B509" s="4" t="n"/>
      <c r="C509" s="4" t="n"/>
      <c r="D509" s="4" t="n"/>
    </row>
    <row r="510">
      <c r="A510" s="6" t="n"/>
      <c r="B510" s="4" t="n"/>
      <c r="C510" s="4" t="n"/>
      <c r="D510" s="4" t="n"/>
    </row>
    <row r="511">
      <c r="A511" s="6" t="n"/>
      <c r="B511" s="4" t="n"/>
      <c r="C511" s="4" t="n"/>
      <c r="D511" s="4" t="n"/>
    </row>
    <row r="512">
      <c r="A512" s="6" t="n"/>
      <c r="B512" s="4" t="n"/>
      <c r="C512" s="4" t="n"/>
      <c r="D512" s="4" t="n"/>
    </row>
    <row r="513">
      <c r="A513" s="6" t="n"/>
      <c r="B513" s="4" t="n"/>
      <c r="C513" s="4" t="n"/>
      <c r="D513" s="4" t="n"/>
    </row>
    <row r="514">
      <c r="A514" s="6" t="n"/>
      <c r="B514" s="4" t="n"/>
      <c r="C514" s="4" t="n"/>
      <c r="D514" s="4" t="n"/>
    </row>
    <row r="515">
      <c r="A515" s="6" t="n"/>
      <c r="B515" s="4" t="n"/>
      <c r="C515" s="4" t="n"/>
      <c r="D515" s="4" t="n"/>
    </row>
    <row r="516">
      <c r="A516" s="6" t="n"/>
      <c r="B516" s="4" t="n"/>
      <c r="C516" s="4" t="n"/>
      <c r="D516" s="4" t="n"/>
    </row>
    <row r="517">
      <c r="A517" s="6" t="n"/>
      <c r="B517" s="4" t="n"/>
      <c r="C517" s="4" t="n"/>
      <c r="D517" s="4" t="n"/>
    </row>
    <row r="518">
      <c r="A518" s="6" t="n"/>
      <c r="B518" s="4" t="n"/>
      <c r="C518" s="4" t="n"/>
      <c r="D518" s="4" t="n"/>
    </row>
    <row r="519">
      <c r="A519" s="6" t="n"/>
      <c r="B519" s="4" t="n"/>
      <c r="C519" s="4" t="n"/>
      <c r="D519" s="4" t="n"/>
    </row>
    <row r="520">
      <c r="A520" s="6" t="n"/>
      <c r="B520" s="4" t="n"/>
      <c r="C520" s="4" t="n"/>
      <c r="D520" s="4" t="n"/>
    </row>
    <row r="521">
      <c r="A521" s="6" t="n"/>
      <c r="B521" s="4" t="n"/>
      <c r="C521" s="4" t="n"/>
      <c r="D521" s="4" t="n"/>
    </row>
    <row r="522">
      <c r="A522" s="6" t="n"/>
      <c r="B522" s="4" t="n"/>
      <c r="C522" s="4" t="n"/>
      <c r="D522" s="4" t="n"/>
    </row>
    <row r="523">
      <c r="A523" s="6" t="n"/>
      <c r="B523" s="4" t="n"/>
      <c r="C523" s="4" t="n"/>
      <c r="D523" s="4" t="n"/>
    </row>
    <row r="524">
      <c r="A524" s="6" t="n"/>
      <c r="B524" s="4" t="n"/>
      <c r="C524" s="4" t="n"/>
      <c r="D524" s="4" t="n"/>
    </row>
    <row r="525">
      <c r="A525" s="6" t="n"/>
      <c r="B525" s="4" t="n"/>
      <c r="C525" s="4" t="n"/>
      <c r="D525" s="4" t="n"/>
    </row>
    <row r="526">
      <c r="A526" s="6" t="n"/>
      <c r="B526" s="4" t="n"/>
      <c r="C526" s="4" t="n"/>
      <c r="D526" s="4" t="n"/>
    </row>
    <row r="527">
      <c r="A527" s="6" t="n"/>
      <c r="B527" s="4" t="n"/>
      <c r="C527" s="4" t="n"/>
      <c r="D527" s="4" t="n"/>
    </row>
    <row r="528">
      <c r="A528" s="6" t="n"/>
      <c r="B528" s="4" t="n"/>
      <c r="C528" s="4" t="n"/>
      <c r="D528" s="4" t="n"/>
    </row>
    <row r="529">
      <c r="A529" s="6" t="n"/>
      <c r="B529" s="4" t="n"/>
      <c r="C529" s="4" t="n"/>
      <c r="D529" s="4" t="n"/>
    </row>
    <row r="530">
      <c r="A530" s="6" t="n"/>
      <c r="B530" s="4" t="n"/>
      <c r="C530" s="4" t="n"/>
      <c r="D530" s="4" t="n"/>
    </row>
    <row r="531">
      <c r="A531" s="6" t="n"/>
      <c r="B531" s="4" t="n"/>
      <c r="C531" s="4" t="n"/>
      <c r="D531" s="4" t="n"/>
    </row>
    <row r="532">
      <c r="A532" s="6" t="n"/>
      <c r="B532" s="4" t="n"/>
      <c r="C532" s="4" t="n"/>
      <c r="D532" s="4" t="n"/>
    </row>
    <row r="533">
      <c r="A533" s="6" t="n"/>
      <c r="B533" s="4" t="n"/>
      <c r="C533" s="4" t="n"/>
      <c r="D533" s="4" t="n"/>
    </row>
    <row r="534">
      <c r="A534" s="6" t="n"/>
      <c r="B534" s="4" t="n"/>
      <c r="C534" s="4" t="n"/>
      <c r="D534" s="4" t="n"/>
    </row>
    <row r="535">
      <c r="A535" s="6" t="n"/>
      <c r="B535" s="4" t="n"/>
      <c r="C535" s="4" t="n"/>
      <c r="D535" s="4" t="n"/>
    </row>
    <row r="536">
      <c r="A536" s="6" t="n"/>
      <c r="B536" s="4" t="n"/>
      <c r="C536" s="4" t="n"/>
      <c r="D536" s="4" t="n"/>
    </row>
    <row r="537">
      <c r="A537" s="6" t="n"/>
      <c r="B537" s="4" t="n"/>
      <c r="C537" s="4" t="n"/>
      <c r="D537" s="4" t="n"/>
    </row>
    <row r="538">
      <c r="A538" s="6" t="n"/>
      <c r="B538" s="4" t="n"/>
      <c r="C538" s="4" t="n"/>
      <c r="D538" s="4" t="n"/>
    </row>
    <row r="539">
      <c r="A539" s="6" t="n"/>
      <c r="B539" s="4" t="n"/>
      <c r="C539" s="4" t="n"/>
      <c r="D539" s="4" t="n"/>
    </row>
    <row r="540">
      <c r="A540" s="6" t="n"/>
      <c r="B540" s="4" t="n"/>
      <c r="C540" s="4" t="n"/>
      <c r="D540" s="4" t="n"/>
    </row>
    <row r="541">
      <c r="A541" s="6" t="n"/>
      <c r="B541" s="4" t="n"/>
      <c r="C541" s="4" t="n"/>
      <c r="D541" s="4" t="n"/>
    </row>
    <row r="542">
      <c r="A542" s="6" t="n"/>
      <c r="B542" s="4" t="n"/>
      <c r="C542" s="4" t="n"/>
      <c r="D542" s="4" t="n"/>
    </row>
    <row r="543">
      <c r="A543" s="6" t="n"/>
      <c r="B543" s="4" t="n"/>
      <c r="C543" s="4" t="n"/>
      <c r="D543" s="4" t="n"/>
    </row>
    <row r="544">
      <c r="A544" s="6" t="n"/>
      <c r="B544" s="4" t="n"/>
      <c r="C544" s="4" t="n"/>
      <c r="D544" s="4" t="n"/>
    </row>
    <row r="545">
      <c r="A545" s="6" t="n"/>
      <c r="B545" s="4" t="n"/>
      <c r="C545" s="4" t="n"/>
      <c r="D545" s="4" t="n"/>
    </row>
    <row r="546">
      <c r="A546" s="6" t="n"/>
      <c r="B546" s="4" t="n"/>
      <c r="C546" s="4" t="n"/>
      <c r="D546" s="4" t="n"/>
    </row>
    <row r="547">
      <c r="A547" s="6" t="n"/>
      <c r="B547" s="4" t="n"/>
      <c r="C547" s="4" t="n"/>
      <c r="D547" s="4" t="n"/>
    </row>
    <row r="548">
      <c r="A548" s="6" t="n"/>
      <c r="B548" s="4" t="n"/>
      <c r="C548" s="4" t="n"/>
      <c r="D548" s="4" t="n"/>
    </row>
    <row r="549">
      <c r="A549" s="6" t="n"/>
      <c r="B549" s="4" t="n"/>
      <c r="C549" s="4" t="n"/>
      <c r="D549" s="4" t="n"/>
    </row>
    <row r="550">
      <c r="A550" s="6" t="n"/>
      <c r="B550" s="4" t="n"/>
      <c r="C550" s="4" t="n"/>
      <c r="D550" s="4" t="n"/>
    </row>
    <row r="551">
      <c r="A551" s="6" t="n"/>
      <c r="B551" s="4" t="n"/>
      <c r="C551" s="4" t="n"/>
      <c r="D551" s="4" t="n"/>
    </row>
    <row r="552">
      <c r="A552" s="6" t="n"/>
      <c r="B552" s="4" t="n"/>
      <c r="C552" s="4" t="n"/>
      <c r="D552" s="4" t="n"/>
    </row>
    <row r="553">
      <c r="A553" s="6" t="n"/>
      <c r="B553" s="4" t="n"/>
      <c r="C553" s="4" t="n"/>
      <c r="D553" s="4" t="n"/>
    </row>
    <row r="554">
      <c r="A554" s="6" t="n"/>
      <c r="B554" s="4" t="n"/>
      <c r="C554" s="4" t="n"/>
      <c r="D554" s="4" t="n"/>
    </row>
    <row r="555">
      <c r="A555" s="6" t="n"/>
      <c r="B555" s="4" t="n"/>
      <c r="C555" s="4" t="n"/>
      <c r="D555" s="4" t="n"/>
    </row>
    <row r="556">
      <c r="A556" s="6" t="n"/>
      <c r="B556" s="4" t="n"/>
      <c r="C556" s="4" t="n"/>
      <c r="D556" s="4" t="n"/>
    </row>
    <row r="557">
      <c r="A557" s="6" t="n"/>
      <c r="B557" s="4" t="n"/>
      <c r="C557" s="4" t="n"/>
      <c r="D557" s="4" t="n"/>
    </row>
    <row r="558">
      <c r="A558" s="6" t="n"/>
      <c r="B558" s="4" t="n"/>
      <c r="C558" s="4" t="n"/>
      <c r="D558" s="4" t="n"/>
    </row>
    <row r="559">
      <c r="A559" s="6" t="n"/>
      <c r="B559" s="4" t="n"/>
      <c r="C559" s="4" t="n"/>
      <c r="D559" s="4" t="n"/>
    </row>
    <row r="560">
      <c r="A560" s="6" t="n"/>
      <c r="B560" s="4" t="n"/>
      <c r="C560" s="4" t="n"/>
      <c r="D560" s="4" t="n"/>
    </row>
    <row r="561">
      <c r="A561" s="6" t="n"/>
      <c r="B561" s="4" t="n"/>
      <c r="C561" s="4" t="n"/>
      <c r="D561" s="4" t="n"/>
    </row>
    <row r="562">
      <c r="A562" s="6" t="n"/>
      <c r="B562" s="4" t="n"/>
      <c r="C562" s="4" t="n"/>
      <c r="D562" s="4" t="n"/>
    </row>
    <row r="563">
      <c r="A563" s="6" t="n"/>
      <c r="B563" s="4" t="n"/>
      <c r="C563" s="4" t="n"/>
      <c r="D563" s="4" t="n"/>
    </row>
    <row r="564">
      <c r="A564" s="6" t="n"/>
      <c r="B564" s="4" t="n"/>
      <c r="C564" s="4" t="n"/>
      <c r="D564" s="4" t="n"/>
    </row>
    <row r="565">
      <c r="A565" s="6" t="n"/>
      <c r="B565" s="4" t="n"/>
      <c r="C565" s="4" t="n"/>
      <c r="D565" s="4" t="n"/>
    </row>
    <row r="566">
      <c r="A566" s="6" t="n"/>
      <c r="B566" s="4" t="n"/>
      <c r="C566" s="4" t="n"/>
      <c r="D566" s="4" t="n"/>
    </row>
    <row r="567">
      <c r="A567" s="6" t="n"/>
      <c r="B567" s="4" t="n"/>
      <c r="C567" s="4" t="n"/>
      <c r="D567" s="4" t="n"/>
    </row>
    <row r="568">
      <c r="A568" s="6" t="n"/>
      <c r="B568" s="4" t="n"/>
      <c r="C568" s="4" t="n"/>
      <c r="D568" s="4" t="n"/>
    </row>
    <row r="569">
      <c r="A569" s="6" t="n"/>
      <c r="B569" s="4" t="n"/>
      <c r="C569" s="4" t="n"/>
      <c r="D569" s="4" t="n"/>
    </row>
    <row r="570">
      <c r="A570" s="6" t="n"/>
      <c r="B570" s="4" t="n"/>
      <c r="C570" s="4" t="n"/>
      <c r="D570" s="4" t="n"/>
    </row>
    <row r="571">
      <c r="A571" s="6" t="n"/>
      <c r="B571" s="4" t="n"/>
      <c r="C571" s="4" t="n"/>
      <c r="D571" s="4" t="n"/>
    </row>
    <row r="572">
      <c r="A572" s="6" t="n"/>
      <c r="B572" s="4" t="n"/>
      <c r="C572" s="4" t="n"/>
      <c r="D572" s="4" t="n"/>
    </row>
    <row r="573">
      <c r="A573" s="6" t="n"/>
      <c r="B573" s="4" t="n"/>
      <c r="C573" s="4" t="n"/>
      <c r="D573" s="4" t="n"/>
    </row>
    <row r="574">
      <c r="A574" s="6" t="n"/>
      <c r="B574" s="4" t="n"/>
      <c r="C574" s="4" t="n"/>
      <c r="D574" s="4" t="n"/>
    </row>
    <row r="575">
      <c r="A575" s="6" t="n"/>
      <c r="B575" s="4" t="n"/>
      <c r="C575" s="4" t="n"/>
      <c r="D575" s="4" t="n"/>
    </row>
    <row r="576">
      <c r="A576" s="6" t="n"/>
      <c r="B576" s="4" t="n"/>
      <c r="C576" s="4" t="n"/>
      <c r="D576" s="4" t="n"/>
    </row>
    <row r="577">
      <c r="A577" s="6" t="n"/>
      <c r="B577" s="4" t="n"/>
      <c r="C577" s="4" t="n"/>
      <c r="D577" s="4" t="n"/>
    </row>
    <row r="578">
      <c r="A578" s="6" t="n"/>
      <c r="B578" s="4" t="n"/>
      <c r="C578" s="4" t="n"/>
      <c r="D578" s="4" t="n"/>
    </row>
    <row r="579">
      <c r="A579" s="6" t="n"/>
      <c r="B579" s="4" t="n"/>
      <c r="C579" s="4" t="n"/>
      <c r="D579" s="4" t="n"/>
    </row>
    <row r="580">
      <c r="A580" s="6" t="n"/>
      <c r="B580" s="4" t="n"/>
      <c r="C580" s="4" t="n"/>
      <c r="D580" s="4" t="n"/>
    </row>
    <row r="581">
      <c r="A581" s="6" t="n"/>
      <c r="B581" s="4" t="n"/>
      <c r="C581" s="4" t="n"/>
      <c r="D581" s="4" t="n"/>
    </row>
    <row r="582">
      <c r="A582" s="6" t="n"/>
      <c r="B582" s="4" t="n"/>
      <c r="C582" s="4" t="n"/>
      <c r="D582" s="4" t="n"/>
    </row>
    <row r="583">
      <c r="A583" s="6" t="n"/>
      <c r="B583" s="4" t="n"/>
      <c r="C583" s="4" t="n"/>
      <c r="D583" s="4" t="n"/>
    </row>
    <row r="584">
      <c r="A584" s="6" t="n"/>
      <c r="B584" s="4" t="n"/>
      <c r="C584" s="4" t="n"/>
      <c r="D584" s="4" t="n"/>
    </row>
    <row r="585">
      <c r="A585" s="6" t="n"/>
      <c r="B585" s="4" t="n"/>
      <c r="C585" s="4" t="n"/>
      <c r="D585" s="4" t="n"/>
    </row>
    <row r="586">
      <c r="A586" s="6" t="n"/>
      <c r="B586" s="4" t="n"/>
      <c r="C586" s="4" t="n"/>
      <c r="D586" s="4" t="n"/>
    </row>
    <row r="587">
      <c r="A587" s="6" t="n"/>
      <c r="B587" s="4" t="n"/>
      <c r="C587" s="4" t="n"/>
      <c r="D587" s="4" t="n"/>
    </row>
    <row r="588">
      <c r="A588" s="6" t="n"/>
      <c r="B588" s="4" t="n"/>
      <c r="C588" s="4" t="n"/>
      <c r="D588" s="4" t="n"/>
    </row>
    <row r="589">
      <c r="A589" s="6" t="n"/>
      <c r="B589" s="4" t="n"/>
      <c r="C589" s="4" t="n"/>
      <c r="D589" s="4" t="n"/>
    </row>
    <row r="590">
      <c r="A590" s="6" t="n"/>
      <c r="B590" s="4" t="n"/>
      <c r="C590" s="4" t="n"/>
      <c r="D590" s="4" t="n"/>
    </row>
    <row r="591">
      <c r="A591" s="6" t="n"/>
      <c r="B591" s="4" t="n"/>
      <c r="C591" s="4" t="n"/>
      <c r="D591" s="4" t="n"/>
    </row>
    <row r="592">
      <c r="A592" s="6" t="n"/>
      <c r="B592" s="4" t="n"/>
      <c r="C592" s="4" t="n"/>
      <c r="D592" s="4" t="n"/>
    </row>
    <row r="593">
      <c r="A593" s="6" t="n"/>
      <c r="B593" s="4" t="n"/>
      <c r="C593" s="4" t="n"/>
      <c r="D593" s="4" t="n"/>
    </row>
    <row r="594">
      <c r="A594" s="6" t="n"/>
      <c r="B594" s="4" t="n"/>
      <c r="C594" s="4" t="n"/>
      <c r="D594" s="4" t="n"/>
    </row>
    <row r="595">
      <c r="A595" s="6" t="n"/>
      <c r="B595" s="4" t="n"/>
      <c r="C595" s="4" t="n"/>
      <c r="D595" s="4" t="n"/>
    </row>
    <row r="596">
      <c r="A596" s="6" t="n"/>
      <c r="B596" s="4" t="n"/>
      <c r="C596" s="4" t="n"/>
      <c r="D596" s="4" t="n"/>
    </row>
    <row r="597">
      <c r="A597" s="6" t="n"/>
      <c r="B597" s="4" t="n"/>
      <c r="C597" s="4" t="n"/>
      <c r="D597" s="4" t="n"/>
    </row>
    <row r="598">
      <c r="A598" s="6" t="n"/>
      <c r="B598" s="4" t="n"/>
      <c r="C598" s="4" t="n"/>
      <c r="D598" s="4" t="n"/>
    </row>
    <row r="599">
      <c r="A599" s="6" t="n"/>
      <c r="B599" s="4" t="n"/>
      <c r="C599" s="4" t="n"/>
      <c r="D599" s="4" t="n"/>
    </row>
    <row r="600">
      <c r="A600" s="6" t="n"/>
      <c r="B600" s="4" t="n"/>
      <c r="C600" s="4" t="n"/>
      <c r="D600" s="4" t="n"/>
    </row>
    <row r="601">
      <c r="A601" s="6" t="n"/>
      <c r="B601" s="4" t="n"/>
      <c r="C601" s="4" t="n"/>
      <c r="D601" s="4" t="n"/>
    </row>
    <row r="602">
      <c r="A602" s="6" t="n"/>
      <c r="B602" s="4" t="n"/>
      <c r="C602" s="4" t="n"/>
      <c r="D602" s="4" t="n"/>
    </row>
    <row r="603">
      <c r="A603" s="6" t="n"/>
      <c r="B603" s="4" t="n"/>
      <c r="C603" s="4" t="n"/>
      <c r="D603" s="4" t="n"/>
    </row>
    <row r="604">
      <c r="A604" s="6" t="n"/>
      <c r="B604" s="4" t="n"/>
      <c r="C604" s="4" t="n"/>
      <c r="D604" s="4" t="n"/>
    </row>
    <row r="605">
      <c r="A605" s="6" t="n"/>
      <c r="B605" s="4" t="n"/>
      <c r="C605" s="4" t="n"/>
      <c r="D605" s="4" t="n"/>
    </row>
    <row r="606">
      <c r="A606" s="6" t="n"/>
      <c r="B606" s="4" t="n"/>
      <c r="C606" s="4" t="n"/>
      <c r="D606" s="4" t="n"/>
    </row>
    <row r="607">
      <c r="A607" s="6" t="n"/>
      <c r="B607" s="4" t="n"/>
      <c r="C607" s="4" t="n"/>
      <c r="D607" s="4" t="n"/>
    </row>
    <row r="608">
      <c r="A608" s="6" t="n"/>
      <c r="B608" s="4" t="n"/>
      <c r="C608" s="4" t="n"/>
      <c r="D608" s="4" t="n"/>
    </row>
    <row r="609">
      <c r="A609" s="6" t="n"/>
      <c r="B609" s="4" t="n"/>
      <c r="C609" s="4" t="n"/>
      <c r="D609" s="4" t="n"/>
    </row>
    <row r="610">
      <c r="A610" s="6" t="n"/>
      <c r="B610" s="4" t="n"/>
      <c r="C610" s="4" t="n"/>
      <c r="D610" s="4" t="n"/>
    </row>
    <row r="611">
      <c r="A611" s="6" t="n"/>
      <c r="B611" s="4" t="n"/>
      <c r="C611" s="4" t="n"/>
      <c r="D611" s="4" t="n"/>
    </row>
    <row r="612">
      <c r="A612" s="6" t="n"/>
      <c r="B612" s="4" t="n"/>
      <c r="C612" s="4" t="n"/>
      <c r="D612" s="4" t="n"/>
    </row>
    <row r="613">
      <c r="A613" s="6" t="n"/>
      <c r="B613" s="4" t="n"/>
      <c r="C613" s="4" t="n"/>
      <c r="D613" s="4" t="n"/>
    </row>
    <row r="614">
      <c r="A614" s="6" t="n"/>
      <c r="B614" s="4" t="n"/>
      <c r="C614" s="4" t="n"/>
      <c r="D614" s="4" t="n"/>
    </row>
    <row r="615">
      <c r="A615" s="6" t="n"/>
      <c r="B615" s="4" t="n"/>
      <c r="C615" s="4" t="n"/>
      <c r="D615" s="4" t="n"/>
    </row>
    <row r="616">
      <c r="A616" s="6" t="n"/>
      <c r="B616" s="4" t="n"/>
      <c r="C616" s="4" t="n"/>
      <c r="D616" s="4" t="n"/>
    </row>
    <row r="617">
      <c r="A617" s="6" t="n"/>
      <c r="B617" s="4" t="n"/>
      <c r="C617" s="4" t="n"/>
      <c r="D617" s="4" t="n"/>
    </row>
    <row r="618">
      <c r="A618" s="6" t="n"/>
      <c r="B618" s="4" t="n"/>
      <c r="C618" s="4" t="n"/>
      <c r="D618" s="4" t="n"/>
    </row>
    <row r="619">
      <c r="A619" s="6" t="n"/>
      <c r="B619" s="4" t="n"/>
      <c r="C619" s="4" t="n"/>
      <c r="D619" s="4" t="n"/>
    </row>
    <row r="620">
      <c r="A620" s="6" t="n"/>
      <c r="B620" s="4" t="n"/>
      <c r="C620" s="4" t="n"/>
      <c r="D620" s="4" t="n"/>
    </row>
    <row r="621">
      <c r="A621" s="6" t="n"/>
      <c r="B621" s="4" t="n"/>
      <c r="C621" s="4" t="n"/>
      <c r="D621" s="4" t="n"/>
    </row>
    <row r="622">
      <c r="A622" s="6" t="n"/>
      <c r="B622" s="4" t="n"/>
      <c r="C622" s="4" t="n"/>
      <c r="D622" s="4" t="n"/>
    </row>
    <row r="623">
      <c r="A623" s="6" t="n"/>
      <c r="B623" s="4" t="n"/>
      <c r="C623" s="4" t="n"/>
      <c r="D623" s="4" t="n"/>
    </row>
    <row r="624">
      <c r="A624" s="6" t="n"/>
      <c r="B624" s="4" t="n"/>
      <c r="C624" s="4" t="n"/>
      <c r="D624" s="4" t="n"/>
    </row>
    <row r="625">
      <c r="A625" s="6" t="n"/>
      <c r="B625" s="4" t="n"/>
      <c r="C625" s="4" t="n"/>
      <c r="D625" s="4" t="n"/>
    </row>
    <row r="626">
      <c r="A626" s="6" t="n"/>
      <c r="B626" s="4" t="n"/>
      <c r="C626" s="4" t="n"/>
      <c r="D626" s="4" t="n"/>
    </row>
    <row r="627">
      <c r="A627" s="6" t="n"/>
      <c r="B627" s="4" t="n"/>
      <c r="C627" s="4" t="n"/>
      <c r="D627" s="4" t="n"/>
    </row>
    <row r="628">
      <c r="A628" s="6" t="n"/>
      <c r="B628" s="4" t="n"/>
      <c r="C628" s="4" t="n"/>
      <c r="D628" s="4" t="n"/>
    </row>
    <row r="629">
      <c r="A629" s="6" t="n"/>
      <c r="B629" s="4" t="n"/>
      <c r="C629" s="4" t="n"/>
      <c r="D629" s="4" t="n"/>
    </row>
    <row r="630">
      <c r="A630" s="6" t="n"/>
      <c r="B630" s="4" t="n"/>
      <c r="C630" s="4" t="n"/>
      <c r="D630" s="4" t="n"/>
    </row>
    <row r="631">
      <c r="A631" s="6" t="n"/>
      <c r="B631" s="4" t="n"/>
      <c r="C631" s="4" t="n"/>
      <c r="D631" s="4" t="n"/>
    </row>
    <row r="632">
      <c r="A632" s="6" t="n"/>
      <c r="B632" s="4" t="n"/>
      <c r="C632" s="4" t="n"/>
      <c r="D632" s="4" t="n"/>
    </row>
    <row r="633">
      <c r="A633" s="6" t="n"/>
      <c r="B633" s="4" t="n"/>
      <c r="C633" s="4" t="n"/>
      <c r="D633" s="4" t="n"/>
    </row>
    <row r="634">
      <c r="A634" s="6" t="n"/>
      <c r="B634" s="4" t="n"/>
      <c r="C634" s="4" t="n"/>
      <c r="D634" s="4" t="n"/>
    </row>
    <row r="635">
      <c r="A635" s="6" t="n"/>
      <c r="B635" s="4" t="n"/>
      <c r="C635" s="4" t="n"/>
      <c r="D635" s="4" t="n"/>
    </row>
    <row r="636">
      <c r="A636" s="6" t="n"/>
      <c r="B636" s="4" t="n"/>
      <c r="C636" s="4" t="n"/>
      <c r="D636" s="4" t="n"/>
    </row>
    <row r="637">
      <c r="A637" s="6" t="n"/>
      <c r="B637" s="4" t="n"/>
      <c r="C637" s="4" t="n"/>
      <c r="D637" s="4" t="n"/>
    </row>
    <row r="638">
      <c r="A638" s="6" t="n"/>
      <c r="B638" s="4" t="n"/>
      <c r="C638" s="4" t="n"/>
      <c r="D638" s="4" t="n"/>
    </row>
    <row r="639">
      <c r="A639" s="6" t="n"/>
      <c r="B639" s="4" t="n"/>
      <c r="C639" s="4" t="n"/>
      <c r="D639" s="4" t="n"/>
    </row>
    <row r="640">
      <c r="A640" s="6" t="n"/>
      <c r="B640" s="4" t="n"/>
      <c r="C640" s="4" t="n"/>
      <c r="D640" s="4" t="n"/>
    </row>
    <row r="641">
      <c r="A641" s="6" t="n"/>
      <c r="B641" s="4" t="n"/>
      <c r="C641" s="4" t="n"/>
      <c r="D641" s="4" t="n"/>
    </row>
    <row r="642">
      <c r="A642" s="6" t="n"/>
      <c r="B642" s="4" t="n"/>
      <c r="C642" s="4" t="n"/>
      <c r="D642" s="4" t="n"/>
    </row>
    <row r="643">
      <c r="A643" s="6" t="n"/>
      <c r="B643" s="4" t="n"/>
      <c r="C643" s="4" t="n"/>
      <c r="D643" s="4" t="n"/>
    </row>
    <row r="644">
      <c r="A644" s="6" t="n"/>
      <c r="B644" s="4" t="n"/>
      <c r="C644" s="4" t="n"/>
      <c r="D644" s="4" t="n"/>
    </row>
    <row r="645">
      <c r="A645" s="6" t="n"/>
      <c r="B645" s="4" t="n"/>
      <c r="C645" s="4" t="n"/>
      <c r="D645" s="4" t="n"/>
    </row>
    <row r="646">
      <c r="A646" s="6" t="n"/>
      <c r="B646" s="4" t="n"/>
      <c r="C646" s="4" t="n"/>
      <c r="D646" s="4" t="n"/>
    </row>
    <row r="647">
      <c r="A647" s="6" t="n"/>
      <c r="B647" s="4" t="n"/>
      <c r="C647" s="4" t="n"/>
      <c r="D647" s="4" t="n"/>
    </row>
    <row r="648">
      <c r="A648" s="6" t="n"/>
      <c r="B648" s="4" t="n"/>
      <c r="C648" s="4" t="n"/>
      <c r="D648" s="4" t="n"/>
    </row>
    <row r="649">
      <c r="A649" s="6" t="n"/>
      <c r="B649" s="4" t="n"/>
      <c r="C649" s="4" t="n"/>
      <c r="D649" s="4" t="n"/>
    </row>
    <row r="650">
      <c r="A650" s="6" t="n"/>
      <c r="B650" s="4" t="n"/>
      <c r="C650" s="4" t="n"/>
      <c r="D650" s="4" t="n"/>
    </row>
    <row r="651">
      <c r="A651" s="6" t="n"/>
      <c r="B651" s="4" t="n"/>
      <c r="C651" s="4" t="n"/>
      <c r="D651" s="4" t="n"/>
    </row>
    <row r="652">
      <c r="A652" s="6" t="n"/>
      <c r="B652" s="4" t="n"/>
      <c r="C652" s="4" t="n"/>
      <c r="D652" s="4" t="n"/>
    </row>
    <row r="653">
      <c r="A653" s="6" t="n"/>
      <c r="B653" s="4" t="n"/>
      <c r="C653" s="4" t="n"/>
      <c r="D653" s="4" t="n"/>
    </row>
    <row r="654">
      <c r="A654" s="6" t="n"/>
      <c r="B654" s="4" t="n"/>
      <c r="C654" s="4" t="n"/>
      <c r="D654" s="4" t="n"/>
    </row>
    <row r="655">
      <c r="A655" s="6" t="n"/>
      <c r="B655" s="4" t="n"/>
      <c r="C655" s="4" t="n"/>
      <c r="D655" s="4" t="n"/>
    </row>
    <row r="656">
      <c r="A656" s="6" t="n"/>
      <c r="B656" s="4" t="n"/>
      <c r="C656" s="4" t="n"/>
      <c r="D656" s="4" t="n"/>
    </row>
    <row r="657">
      <c r="A657" s="6" t="n"/>
      <c r="B657" s="4" t="n"/>
      <c r="C657" s="4" t="n"/>
      <c r="D657" s="4" t="n"/>
    </row>
    <row r="658">
      <c r="A658" s="6" t="n"/>
      <c r="B658" s="4" t="n"/>
      <c r="C658" s="4" t="n"/>
      <c r="D658" s="4" t="n"/>
    </row>
    <row r="659">
      <c r="A659" s="6" t="n"/>
      <c r="B659" s="4" t="n"/>
      <c r="C659" s="4" t="n"/>
      <c r="D659" s="4" t="n"/>
    </row>
    <row r="660">
      <c r="A660" s="6" t="n"/>
      <c r="B660" s="4" t="n"/>
      <c r="C660" s="4" t="n"/>
      <c r="D660" s="4" t="n"/>
    </row>
    <row r="661">
      <c r="A661" s="6" t="n"/>
      <c r="B661" s="4" t="n"/>
      <c r="C661" s="4" t="n"/>
      <c r="D661" s="4" t="n"/>
    </row>
    <row r="662">
      <c r="A662" s="6" t="n"/>
      <c r="B662" s="4" t="n"/>
      <c r="C662" s="4" t="n"/>
      <c r="D662" s="4" t="n"/>
    </row>
    <row r="663">
      <c r="A663" s="6" t="n"/>
      <c r="B663" s="4" t="n"/>
      <c r="C663" s="4" t="n"/>
      <c r="D663" s="4" t="n"/>
    </row>
    <row r="664">
      <c r="A664" s="6" t="n"/>
      <c r="B664" s="4" t="n"/>
      <c r="C664" s="4" t="n"/>
      <c r="D664" s="4" t="n"/>
    </row>
    <row r="665">
      <c r="A665" s="6" t="n"/>
      <c r="B665" s="4" t="n"/>
      <c r="C665" s="4" t="n"/>
      <c r="D665" s="4" t="n"/>
    </row>
    <row r="666">
      <c r="A666" s="6" t="n"/>
      <c r="B666" s="4" t="n"/>
      <c r="C666" s="4" t="n"/>
      <c r="D666" s="4" t="n"/>
    </row>
    <row r="667">
      <c r="A667" s="6" t="n"/>
      <c r="B667" s="4" t="n"/>
      <c r="C667" s="4" t="n"/>
      <c r="D667" s="4" t="n"/>
    </row>
    <row r="668">
      <c r="A668" s="6" t="n"/>
      <c r="B668" s="4" t="n"/>
      <c r="C668" s="4" t="n"/>
      <c r="D668" s="4" t="n"/>
    </row>
    <row r="669">
      <c r="A669" s="6" t="n"/>
      <c r="B669" s="4" t="n"/>
      <c r="C669" s="4" t="n"/>
      <c r="D669" s="4" t="n"/>
    </row>
    <row r="670">
      <c r="A670" s="6" t="n"/>
      <c r="B670" s="4" t="n"/>
      <c r="C670" s="4" t="n"/>
      <c r="D670" s="4" t="n"/>
    </row>
    <row r="671">
      <c r="A671" s="6" t="n"/>
      <c r="B671" s="4" t="n"/>
      <c r="C671" s="4" t="n"/>
      <c r="D671" s="4" t="n"/>
    </row>
    <row r="672">
      <c r="A672" s="6" t="n"/>
      <c r="B672" s="4" t="n"/>
      <c r="C672" s="4" t="n"/>
      <c r="D672" s="4" t="n"/>
    </row>
    <row r="673">
      <c r="A673" s="6" t="n"/>
      <c r="B673" s="4" t="n"/>
      <c r="C673" s="4" t="n"/>
      <c r="D673" s="4" t="n"/>
    </row>
    <row r="674">
      <c r="A674" s="6" t="n"/>
      <c r="B674" s="4" t="n"/>
      <c r="C674" s="4" t="n"/>
      <c r="D674" s="4" t="n"/>
    </row>
    <row r="675">
      <c r="A675" s="6" t="n"/>
      <c r="B675" s="4" t="n"/>
      <c r="C675" s="4" t="n"/>
      <c r="D675" s="4" t="n"/>
    </row>
    <row r="676">
      <c r="A676" s="6" t="n"/>
      <c r="B676" s="4" t="n"/>
      <c r="C676" s="4" t="n"/>
      <c r="D676" s="4" t="n"/>
    </row>
    <row r="677">
      <c r="A677" s="6" t="n"/>
      <c r="B677" s="4" t="n"/>
      <c r="C677" s="4" t="n"/>
      <c r="D677" s="4" t="n"/>
    </row>
    <row r="678">
      <c r="A678" s="6" t="n"/>
      <c r="B678" s="4" t="n"/>
      <c r="C678" s="4" t="n"/>
      <c r="D678" s="4" t="n"/>
    </row>
    <row r="679">
      <c r="A679" s="6" t="n"/>
      <c r="B679" s="4" t="n"/>
      <c r="C679" s="4" t="n"/>
      <c r="D679" s="4" t="n"/>
    </row>
    <row r="680">
      <c r="A680" s="6" t="n"/>
      <c r="B680" s="4" t="n"/>
      <c r="C680" s="4" t="n"/>
      <c r="D680" s="4" t="n"/>
    </row>
    <row r="681">
      <c r="A681" s="6" t="n"/>
      <c r="B681" s="4" t="n"/>
      <c r="C681" s="4" t="n"/>
      <c r="D681" s="4" t="n"/>
    </row>
    <row r="682">
      <c r="A682" s="6" t="n"/>
      <c r="B682" s="4" t="n"/>
      <c r="C682" s="4" t="n"/>
      <c r="D682" s="4" t="n"/>
    </row>
    <row r="683">
      <c r="A683" s="6" t="n"/>
      <c r="B683" s="4" t="n"/>
      <c r="C683" s="4" t="n"/>
      <c r="D683" s="4" t="n"/>
    </row>
    <row r="684">
      <c r="A684" s="6" t="n"/>
      <c r="B684" s="4" t="n"/>
      <c r="C684" s="4" t="n"/>
      <c r="D684" s="4" t="n"/>
    </row>
    <row r="685">
      <c r="A685" s="6" t="n"/>
      <c r="B685" s="4" t="n"/>
      <c r="C685" s="4" t="n"/>
      <c r="D685" s="4" t="n"/>
    </row>
    <row r="686">
      <c r="A686" s="6" t="n"/>
      <c r="B686" s="4" t="n"/>
      <c r="C686" s="4" t="n"/>
      <c r="D686" s="4" t="n"/>
    </row>
    <row r="687">
      <c r="A687" s="6" t="n"/>
      <c r="B687" s="4" t="n"/>
      <c r="C687" s="4" t="n"/>
      <c r="D687" s="4" t="n"/>
    </row>
    <row r="688">
      <c r="A688" s="6" t="n"/>
      <c r="B688" s="4" t="n"/>
      <c r="C688" s="4" t="n"/>
      <c r="D688" s="4" t="n"/>
    </row>
    <row r="689">
      <c r="A689" s="6" t="n"/>
      <c r="B689" s="4" t="n"/>
      <c r="C689" s="4" t="n"/>
      <c r="D689" s="4" t="n"/>
    </row>
    <row r="690">
      <c r="A690" s="6" t="n"/>
      <c r="B690" s="4" t="n"/>
      <c r="C690" s="4" t="n"/>
      <c r="D690" s="4" t="n"/>
    </row>
    <row r="691">
      <c r="A691" s="6" t="n"/>
      <c r="B691" s="4" t="n"/>
      <c r="C691" s="4" t="n"/>
      <c r="D691" s="4" t="n"/>
    </row>
    <row r="692">
      <c r="A692" s="6" t="n"/>
      <c r="B692" s="4" t="n"/>
      <c r="C692" s="4" t="n"/>
      <c r="D692" s="4" t="n"/>
    </row>
    <row r="693">
      <c r="A693" s="6" t="n"/>
      <c r="B693" s="4" t="n"/>
      <c r="C693" s="4" t="n"/>
      <c r="D693" s="4" t="n"/>
    </row>
    <row r="694">
      <c r="A694" s="6" t="n"/>
      <c r="B694" s="4" t="n"/>
      <c r="C694" s="4" t="n"/>
      <c r="D694" s="4" t="n"/>
    </row>
    <row r="695">
      <c r="A695" s="6" t="n"/>
      <c r="B695" s="4" t="n"/>
      <c r="C695" s="4" t="n"/>
      <c r="D695" s="4" t="n"/>
    </row>
    <row r="696">
      <c r="A696" s="6" t="n"/>
      <c r="B696" s="4" t="n"/>
      <c r="C696" s="4" t="n"/>
      <c r="D696" s="4" t="n"/>
    </row>
    <row r="697">
      <c r="A697" s="6" t="n"/>
      <c r="B697" s="4" t="n"/>
      <c r="C697" s="4" t="n"/>
      <c r="D697" s="4" t="n"/>
    </row>
    <row r="698">
      <c r="A698" s="6" t="n"/>
      <c r="B698" s="4" t="n"/>
      <c r="C698" s="4" t="n"/>
      <c r="D698" s="4" t="n"/>
    </row>
    <row r="699">
      <c r="A699" s="6" t="n"/>
      <c r="B699" s="4" t="n"/>
      <c r="C699" s="4" t="n"/>
      <c r="D699" s="4" t="n"/>
    </row>
    <row r="700">
      <c r="A700" s="6" t="n"/>
      <c r="B700" s="4" t="n"/>
      <c r="C700" s="4" t="n"/>
      <c r="D700" s="4" t="n"/>
    </row>
    <row r="701">
      <c r="A701" s="6" t="n"/>
      <c r="B701" s="4" t="n"/>
      <c r="C701" s="4" t="n"/>
      <c r="D701" s="4" t="n"/>
    </row>
    <row r="702">
      <c r="A702" s="6" t="n"/>
      <c r="B702" s="4" t="n"/>
      <c r="C702" s="4" t="n"/>
      <c r="D702" s="4" t="n"/>
    </row>
    <row r="703">
      <c r="A703" s="6" t="n"/>
      <c r="B703" s="4" t="n"/>
      <c r="C703" s="4" t="n"/>
      <c r="D703" s="4" t="n"/>
    </row>
    <row r="704">
      <c r="A704" s="6" t="n"/>
      <c r="B704" s="4" t="n"/>
      <c r="C704" s="4" t="n"/>
      <c r="D704" s="4" t="n"/>
    </row>
    <row r="705">
      <c r="A705" s="6" t="n"/>
      <c r="B705" s="4" t="n"/>
      <c r="C705" s="4" t="n"/>
      <c r="D705" s="4" t="n"/>
    </row>
    <row r="706">
      <c r="A706" s="6" t="n"/>
      <c r="B706" s="4" t="n"/>
      <c r="C706" s="4" t="n"/>
      <c r="D706" s="4" t="n"/>
    </row>
    <row r="707">
      <c r="A707" s="6" t="n"/>
      <c r="B707" s="4" t="n"/>
      <c r="C707" s="4" t="n"/>
      <c r="D707" s="4" t="n"/>
    </row>
    <row r="708">
      <c r="A708" s="6" t="n"/>
      <c r="B708" s="4" t="n"/>
      <c r="C708" s="4" t="n"/>
      <c r="D708" s="4" t="n"/>
    </row>
    <row r="709">
      <c r="A709" s="6" t="n"/>
      <c r="B709" s="4" t="n"/>
      <c r="C709" s="4" t="n"/>
      <c r="D709" s="4" t="n"/>
    </row>
    <row r="710">
      <c r="A710" s="6" t="n"/>
      <c r="B710" s="4" t="n"/>
      <c r="C710" s="4" t="n"/>
      <c r="D710" s="4" t="n"/>
    </row>
    <row r="711">
      <c r="A711" s="6" t="n"/>
      <c r="B711" s="4" t="n"/>
      <c r="C711" s="4" t="n"/>
      <c r="D711" s="4" t="n"/>
    </row>
    <row r="712">
      <c r="A712" s="6" t="n"/>
      <c r="B712" s="4" t="n"/>
      <c r="C712" s="4" t="n"/>
      <c r="D712" s="4" t="n"/>
    </row>
    <row r="713">
      <c r="A713" s="6" t="n"/>
      <c r="B713" s="4" t="n"/>
      <c r="C713" s="4" t="n"/>
      <c r="D713" s="4" t="n"/>
    </row>
    <row r="714">
      <c r="A714" s="6" t="n"/>
      <c r="B714" s="4" t="n"/>
      <c r="C714" s="4" t="n"/>
      <c r="D714" s="4" t="n"/>
    </row>
    <row r="715">
      <c r="A715" s="6" t="n"/>
      <c r="B715" s="4" t="n"/>
      <c r="C715" s="4" t="n"/>
      <c r="D715" s="4" t="n"/>
    </row>
    <row r="716">
      <c r="A716" s="6" t="n"/>
      <c r="B716" s="4" t="n"/>
      <c r="C716" s="4" t="n"/>
      <c r="D716" s="4" t="n"/>
    </row>
    <row r="717">
      <c r="A717" s="6" t="n"/>
      <c r="B717" s="4" t="n"/>
      <c r="C717" s="4" t="n"/>
      <c r="D717" s="4" t="n"/>
    </row>
    <row r="718">
      <c r="A718" s="6" t="n"/>
      <c r="B718" s="4" t="n"/>
      <c r="C718" s="4" t="n"/>
      <c r="D718" s="4" t="n"/>
    </row>
    <row r="719">
      <c r="A719" s="6" t="n"/>
      <c r="B719" s="4" t="n"/>
      <c r="C719" s="4" t="n"/>
      <c r="D719" s="4" t="n"/>
    </row>
    <row r="720">
      <c r="A720" s="6" t="n"/>
      <c r="B720" s="4" t="n"/>
      <c r="C720" s="4" t="n"/>
      <c r="D720" s="4" t="n"/>
    </row>
    <row r="721">
      <c r="A721" s="6" t="n"/>
      <c r="B721" s="4" t="n"/>
      <c r="C721" s="4" t="n"/>
      <c r="D721" s="4" t="n"/>
    </row>
    <row r="722">
      <c r="A722" s="6" t="n"/>
      <c r="B722" s="4" t="n"/>
      <c r="C722" s="4" t="n"/>
      <c r="D722" s="4" t="n"/>
    </row>
    <row r="723">
      <c r="A723" s="6" t="n"/>
      <c r="B723" s="4" t="n"/>
      <c r="C723" s="4" t="n"/>
      <c r="D723" s="4" t="n"/>
    </row>
    <row r="724">
      <c r="A724" s="6" t="n"/>
      <c r="B724" s="4" t="n"/>
      <c r="C724" s="4" t="n"/>
      <c r="D724" s="4" t="n"/>
    </row>
    <row r="725">
      <c r="A725" s="6" t="n"/>
      <c r="B725" s="4" t="n"/>
      <c r="C725" s="4" t="n"/>
      <c r="D725" s="4" t="n"/>
    </row>
    <row r="726">
      <c r="A726" s="6" t="n"/>
      <c r="B726" s="4" t="n"/>
      <c r="C726" s="4" t="n"/>
      <c r="D726" s="4" t="n"/>
    </row>
    <row r="727">
      <c r="A727" s="6" t="n"/>
      <c r="B727" s="4" t="n"/>
      <c r="C727" s="4" t="n"/>
      <c r="D727" s="4" t="n"/>
    </row>
    <row r="728">
      <c r="A728" s="6" t="n"/>
      <c r="B728" s="4" t="n"/>
      <c r="C728" s="4" t="n"/>
      <c r="D728" s="4" t="n"/>
    </row>
    <row r="729">
      <c r="A729" s="6" t="n"/>
      <c r="B729" s="4" t="n"/>
      <c r="C729" s="4" t="n"/>
      <c r="D729" s="4" t="n"/>
    </row>
    <row r="730">
      <c r="A730" s="6" t="n"/>
      <c r="B730" s="4" t="n"/>
      <c r="C730" s="4" t="n"/>
      <c r="D730" s="4" t="n"/>
    </row>
    <row r="731">
      <c r="A731" s="6" t="n"/>
      <c r="B731" s="4" t="n"/>
      <c r="C731" s="4" t="n"/>
      <c r="D731" s="4" t="n"/>
    </row>
    <row r="732">
      <c r="A732" s="6" t="n"/>
      <c r="B732" s="4" t="n"/>
      <c r="C732" s="4" t="n"/>
      <c r="D732" s="4" t="n"/>
    </row>
    <row r="733">
      <c r="A733" s="6" t="n"/>
      <c r="B733" s="4" t="n"/>
      <c r="C733" s="4" t="n"/>
      <c r="D733" s="4" t="n"/>
    </row>
    <row r="734">
      <c r="A734" s="6" t="n"/>
      <c r="B734" s="4" t="n"/>
      <c r="C734" s="4" t="n"/>
      <c r="D734" s="4" t="n"/>
    </row>
    <row r="735">
      <c r="A735" s="6" t="n"/>
      <c r="B735" s="4" t="n"/>
      <c r="C735" s="4" t="n"/>
      <c r="D735" s="4" t="n"/>
    </row>
    <row r="736">
      <c r="A736" s="6" t="n"/>
      <c r="B736" s="4" t="n"/>
      <c r="C736" s="4" t="n"/>
      <c r="D736" s="4" t="n"/>
    </row>
    <row r="737">
      <c r="A737" s="6" t="n"/>
      <c r="B737" s="4" t="n"/>
      <c r="C737" s="4" t="n"/>
      <c r="D737" s="4" t="n"/>
    </row>
    <row r="738">
      <c r="A738" s="6" t="n"/>
      <c r="B738" s="4" t="n"/>
      <c r="C738" s="4" t="n"/>
      <c r="D738" s="4" t="n"/>
    </row>
    <row r="739">
      <c r="A739" s="6" t="n"/>
      <c r="B739" s="4" t="n"/>
      <c r="C739" s="4" t="n"/>
      <c r="D739" s="4" t="n"/>
    </row>
    <row r="740">
      <c r="A740" s="6" t="n"/>
      <c r="B740" s="4" t="n"/>
      <c r="C740" s="4" t="n"/>
      <c r="D740" s="4" t="n"/>
    </row>
    <row r="741">
      <c r="A741" s="6" t="n"/>
      <c r="B741" s="4" t="n"/>
      <c r="C741" s="4" t="n"/>
      <c r="D741" s="4" t="n"/>
    </row>
    <row r="742">
      <c r="A742" s="6" t="n"/>
      <c r="B742" s="4" t="n"/>
      <c r="C742" s="4" t="n"/>
      <c r="D742" s="4" t="n"/>
    </row>
    <row r="743">
      <c r="A743" s="6" t="n"/>
      <c r="B743" s="4" t="n"/>
      <c r="C743" s="4" t="n"/>
      <c r="D743" s="4" t="n"/>
    </row>
    <row r="744">
      <c r="A744" s="6" t="n"/>
      <c r="B744" s="4" t="n"/>
      <c r="C744" s="4" t="n"/>
      <c r="D744" s="4" t="n"/>
    </row>
    <row r="745">
      <c r="A745" s="6" t="n"/>
      <c r="B745" s="4" t="n"/>
      <c r="C745" s="4" t="n"/>
      <c r="D745" s="4" t="n"/>
    </row>
    <row r="746">
      <c r="A746" s="6" t="n"/>
      <c r="B746" s="4" t="n"/>
      <c r="C746" s="4" t="n"/>
      <c r="D746" s="4" t="n"/>
    </row>
    <row r="747">
      <c r="A747" s="6" t="n"/>
      <c r="B747" s="4" t="n"/>
      <c r="C747" s="4" t="n"/>
      <c r="D747" s="4" t="n"/>
    </row>
    <row r="748">
      <c r="A748" s="6" t="n"/>
      <c r="B748" s="4" t="n"/>
      <c r="C748" s="4" t="n"/>
      <c r="D748" s="4" t="n"/>
    </row>
    <row r="749">
      <c r="A749" s="6" t="n"/>
      <c r="B749" s="4" t="n"/>
      <c r="C749" s="4" t="n"/>
      <c r="D749" s="4" t="n"/>
    </row>
    <row r="750">
      <c r="A750" s="6" t="n"/>
      <c r="B750" s="4" t="n"/>
      <c r="C750" s="4" t="n"/>
      <c r="D750" s="4" t="n"/>
    </row>
    <row r="751">
      <c r="A751" s="6" t="n"/>
      <c r="B751" s="4" t="n"/>
      <c r="C751" s="4" t="n"/>
      <c r="D751" s="4" t="n"/>
    </row>
    <row r="752">
      <c r="A752" s="6" t="n"/>
      <c r="B752" s="4" t="n"/>
      <c r="C752" s="4" t="n"/>
      <c r="D752" s="4" t="n"/>
    </row>
    <row r="753">
      <c r="A753" s="6" t="n"/>
      <c r="B753" s="4" t="n"/>
      <c r="C753" s="4" t="n"/>
      <c r="D753" s="4" t="n"/>
    </row>
    <row r="754">
      <c r="A754" s="6" t="n"/>
      <c r="B754" s="4" t="n"/>
      <c r="C754" s="4" t="n"/>
      <c r="D754" s="4" t="n"/>
    </row>
    <row r="755">
      <c r="A755" s="6" t="n"/>
      <c r="B755" s="4" t="n"/>
      <c r="C755" s="4" t="n"/>
      <c r="D755" s="4" t="n"/>
    </row>
    <row r="756">
      <c r="A756" s="6" t="n"/>
      <c r="B756" s="4" t="n"/>
      <c r="C756" s="4" t="n"/>
      <c r="D756" s="4" t="n"/>
    </row>
    <row r="757">
      <c r="A757" s="6" t="n"/>
      <c r="B757" s="4" t="n"/>
      <c r="C757" s="4" t="n"/>
      <c r="D757" s="4" t="n"/>
    </row>
    <row r="758">
      <c r="A758" s="6" t="n"/>
      <c r="B758" s="4" t="n"/>
      <c r="C758" s="4" t="n"/>
      <c r="D758" s="4" t="n"/>
    </row>
    <row r="759">
      <c r="A759" s="6" t="n"/>
      <c r="B759" s="4" t="n"/>
      <c r="C759" s="4" t="n"/>
      <c r="D759" s="4" t="n"/>
    </row>
    <row r="760">
      <c r="A760" s="6" t="n"/>
      <c r="B760" s="4" t="n"/>
      <c r="C760" s="4" t="n"/>
      <c r="D760" s="4" t="n"/>
    </row>
    <row r="761">
      <c r="A761" s="6" t="n"/>
      <c r="B761" s="4" t="n"/>
      <c r="C761" s="4" t="n"/>
      <c r="D761" s="4" t="n"/>
    </row>
    <row r="762">
      <c r="A762" s="6" t="n"/>
      <c r="B762" s="4" t="n"/>
      <c r="C762" s="4" t="n"/>
      <c r="D762" s="4" t="n"/>
    </row>
    <row r="763">
      <c r="A763" s="6" t="n"/>
      <c r="B763" s="4" t="n"/>
      <c r="C763" s="4" t="n"/>
      <c r="D763" s="4" t="n"/>
    </row>
    <row r="764">
      <c r="A764" s="6" t="n"/>
      <c r="B764" s="4" t="n"/>
      <c r="C764" s="4" t="n"/>
      <c r="D764" s="4" t="n"/>
    </row>
    <row r="765">
      <c r="A765" s="6" t="n"/>
      <c r="B765" s="4" t="n"/>
      <c r="C765" s="4" t="n"/>
      <c r="D765" s="4" t="n"/>
    </row>
    <row r="766">
      <c r="A766" s="6" t="n"/>
      <c r="B766" s="4" t="n"/>
      <c r="C766" s="4" t="n"/>
      <c r="D766" s="4" t="n"/>
    </row>
    <row r="767">
      <c r="A767" s="6" t="n"/>
      <c r="B767" s="4" t="n"/>
      <c r="C767" s="4" t="n"/>
      <c r="D767" s="4" t="n"/>
    </row>
    <row r="768">
      <c r="A768" s="6" t="n"/>
      <c r="B768" s="4" t="n"/>
      <c r="C768" s="4" t="n"/>
      <c r="D768" s="4" t="n"/>
    </row>
    <row r="769">
      <c r="A769" s="6" t="n"/>
      <c r="B769" s="4" t="n"/>
      <c r="C769" s="4" t="n"/>
      <c r="D769" s="4" t="n"/>
    </row>
    <row r="770">
      <c r="A770" s="6" t="n"/>
      <c r="B770" s="4" t="n"/>
      <c r="C770" s="4" t="n"/>
      <c r="D770" s="4" t="n"/>
    </row>
    <row r="771">
      <c r="A771" s="6" t="n"/>
      <c r="B771" s="4" t="n"/>
      <c r="C771" s="4" t="n"/>
      <c r="D771" s="4" t="n"/>
    </row>
    <row r="772">
      <c r="A772" s="6" t="n"/>
      <c r="B772" s="4" t="n"/>
      <c r="C772" s="4" t="n"/>
      <c r="D772" s="4" t="n"/>
    </row>
    <row r="773">
      <c r="A773" s="6" t="n"/>
      <c r="B773" s="4" t="n"/>
      <c r="C773" s="4" t="n"/>
      <c r="D773" s="4" t="n"/>
    </row>
    <row r="774">
      <c r="A774" s="6" t="n"/>
      <c r="B774" s="4" t="n"/>
      <c r="C774" s="4" t="n"/>
      <c r="D774" s="4" t="n"/>
    </row>
    <row r="775">
      <c r="A775" s="6" t="n"/>
      <c r="B775" s="4" t="n"/>
      <c r="C775" s="4" t="n"/>
      <c r="D775" s="4" t="n"/>
    </row>
    <row r="776">
      <c r="A776" s="6" t="n"/>
      <c r="B776" s="4" t="n"/>
      <c r="C776" s="4" t="n"/>
      <c r="D776" s="4" t="n"/>
    </row>
    <row r="777">
      <c r="A777" s="6" t="n"/>
      <c r="B777" s="4" t="n"/>
      <c r="C777" s="4" t="n"/>
      <c r="D777" s="4" t="n"/>
    </row>
    <row r="778">
      <c r="A778" s="6" t="n"/>
      <c r="B778" s="4" t="n"/>
      <c r="C778" s="4" t="n"/>
      <c r="D778" s="4" t="n"/>
    </row>
    <row r="779">
      <c r="A779" s="6" t="n"/>
      <c r="B779" s="4" t="n"/>
      <c r="C779" s="4" t="n"/>
      <c r="D779" s="4" t="n"/>
    </row>
    <row r="780">
      <c r="A780" s="6" t="n"/>
      <c r="B780" s="4" t="n"/>
      <c r="C780" s="4" t="n"/>
      <c r="D780" s="4" t="n"/>
    </row>
    <row r="781">
      <c r="A781" s="6" t="n"/>
      <c r="B781" s="4" t="n"/>
      <c r="C781" s="4" t="n"/>
      <c r="D781" s="4" t="n"/>
    </row>
    <row r="782">
      <c r="A782" s="6" t="n"/>
      <c r="B782" s="4" t="n"/>
      <c r="C782" s="4" t="n"/>
      <c r="D782" s="4" t="n"/>
    </row>
    <row r="783">
      <c r="A783" s="6" t="n"/>
      <c r="B783" s="4" t="n"/>
      <c r="C783" s="4" t="n"/>
      <c r="D783" s="4" t="n"/>
    </row>
    <row r="784">
      <c r="A784" s="6" t="n"/>
      <c r="B784" s="4" t="n"/>
      <c r="C784" s="4" t="n"/>
      <c r="D784" s="4" t="n"/>
    </row>
    <row r="785">
      <c r="A785" s="6" t="n"/>
      <c r="B785" s="4" t="n"/>
      <c r="C785" s="4" t="n"/>
      <c r="D785" s="4" t="n"/>
    </row>
    <row r="786">
      <c r="A786" s="6" t="n"/>
      <c r="B786" s="4" t="n"/>
      <c r="C786" s="4" t="n"/>
      <c r="D786" s="4" t="n"/>
    </row>
    <row r="787">
      <c r="A787" s="6" t="n"/>
      <c r="B787" s="4" t="n"/>
      <c r="C787" s="4" t="n"/>
      <c r="D787" s="4" t="n"/>
    </row>
    <row r="788">
      <c r="A788" s="6" t="n"/>
      <c r="B788" s="4" t="n"/>
      <c r="C788" s="4" t="n"/>
      <c r="D788" s="4" t="n"/>
    </row>
    <row r="789">
      <c r="A789" s="6" t="n"/>
      <c r="B789" s="4" t="n"/>
      <c r="C789" s="4" t="n"/>
      <c r="D789" s="4" t="n"/>
    </row>
    <row r="790">
      <c r="A790" s="6" t="n"/>
      <c r="B790" s="4" t="n"/>
      <c r="C790" s="4" t="n"/>
      <c r="D790" s="4" t="n"/>
    </row>
    <row r="791">
      <c r="A791" s="6" t="n"/>
      <c r="B791" s="4" t="n"/>
      <c r="C791" s="4" t="n"/>
      <c r="D791" s="4" t="n"/>
    </row>
    <row r="792">
      <c r="A792" s="6" t="n"/>
      <c r="B792" s="4" t="n"/>
      <c r="C792" s="4" t="n"/>
      <c r="D792" s="4" t="n"/>
    </row>
    <row r="793">
      <c r="A793" s="6" t="n"/>
      <c r="B793" s="4" t="n"/>
      <c r="C793" s="4" t="n"/>
      <c r="D793" s="4" t="n"/>
    </row>
    <row r="794">
      <c r="A794" s="6" t="n"/>
      <c r="B794" s="4" t="n"/>
      <c r="C794" s="4" t="n"/>
      <c r="D794" s="4" t="n"/>
    </row>
    <row r="795">
      <c r="A795" s="6" t="n"/>
      <c r="B795" s="4" t="n"/>
      <c r="C795" s="4" t="n"/>
      <c r="D795" s="4" t="n"/>
    </row>
    <row r="796">
      <c r="A796" s="6" t="n"/>
      <c r="B796" s="4" t="n"/>
      <c r="C796" s="4" t="n"/>
      <c r="D796" s="4" t="n"/>
    </row>
    <row r="797">
      <c r="A797" s="6" t="n"/>
      <c r="B797" s="4" t="n"/>
      <c r="C797" s="4" t="n"/>
      <c r="D797" s="4" t="n"/>
    </row>
    <row r="798">
      <c r="A798" s="6" t="n"/>
      <c r="B798" s="4" t="n"/>
      <c r="C798" s="4" t="n"/>
      <c r="D798" s="4" t="n"/>
    </row>
    <row r="799">
      <c r="A799" s="6" t="n"/>
      <c r="B799" s="4" t="n"/>
      <c r="C799" s="4" t="n"/>
      <c r="D799" s="4" t="n"/>
    </row>
    <row r="800">
      <c r="A800" s="6" t="n"/>
      <c r="B800" s="4" t="n"/>
      <c r="C800" s="4" t="n"/>
      <c r="D800" s="4" t="n"/>
    </row>
    <row r="801">
      <c r="A801" s="6" t="n"/>
      <c r="B801" s="4" t="n"/>
      <c r="C801" s="4" t="n"/>
      <c r="D801" s="4" t="n"/>
    </row>
    <row r="802">
      <c r="A802" s="6" t="n"/>
      <c r="B802" s="4" t="n"/>
      <c r="C802" s="4" t="n"/>
      <c r="D802" s="4" t="n"/>
    </row>
    <row r="803">
      <c r="A803" s="6" t="n"/>
      <c r="B803" s="4" t="n"/>
      <c r="C803" s="4" t="n"/>
      <c r="D803" s="4" t="n"/>
    </row>
    <row r="804">
      <c r="A804" s="6" t="n"/>
      <c r="B804" s="4" t="n"/>
      <c r="C804" s="4" t="n"/>
      <c r="D804" s="4" t="n"/>
    </row>
    <row r="805">
      <c r="A805" s="6" t="n"/>
      <c r="B805" s="4" t="n"/>
      <c r="C805" s="4" t="n"/>
      <c r="D805" s="4" t="n"/>
    </row>
    <row r="806">
      <c r="A806" s="6" t="n"/>
      <c r="B806" s="4" t="n"/>
      <c r="C806" s="4" t="n"/>
      <c r="D806" s="4" t="n"/>
    </row>
    <row r="807">
      <c r="A807" s="6" t="n"/>
      <c r="B807" s="4" t="n"/>
      <c r="C807" s="4" t="n"/>
      <c r="D807" s="4" t="n"/>
    </row>
    <row r="808">
      <c r="A808" s="6" t="n"/>
      <c r="B808" s="4" t="n"/>
      <c r="C808" s="4" t="n"/>
      <c r="D808" s="4" t="n"/>
    </row>
    <row r="809">
      <c r="A809" s="6" t="n"/>
      <c r="B809" s="4" t="n"/>
      <c r="C809" s="4" t="n"/>
      <c r="D809" s="4" t="n"/>
    </row>
    <row r="810">
      <c r="A810" s="6" t="n"/>
      <c r="B810" s="4" t="n"/>
      <c r="C810" s="4" t="n"/>
      <c r="D810" s="4" t="n"/>
    </row>
    <row r="811">
      <c r="A811" s="6" t="n"/>
      <c r="B811" s="4" t="n"/>
      <c r="C811" s="4" t="n"/>
      <c r="D811" s="4" t="n"/>
    </row>
    <row r="812">
      <c r="A812" s="6" t="n"/>
      <c r="B812" s="4" t="n"/>
      <c r="C812" s="4" t="n"/>
      <c r="D812" s="4" t="n"/>
    </row>
    <row r="813">
      <c r="A813" s="6" t="n"/>
      <c r="B813" s="4" t="n"/>
      <c r="C813" s="4" t="n"/>
      <c r="D813" s="4" t="n"/>
    </row>
    <row r="814">
      <c r="A814" s="6" t="n"/>
      <c r="B814" s="4" t="n"/>
      <c r="C814" s="4" t="n"/>
      <c r="D814" s="4" t="n"/>
    </row>
    <row r="815">
      <c r="A815" s="6" t="n"/>
      <c r="B815" s="4" t="n"/>
      <c r="C815" s="4" t="n"/>
      <c r="D815" s="4" t="n"/>
    </row>
    <row r="816">
      <c r="A816" s="6" t="n"/>
      <c r="B816" s="4" t="n"/>
      <c r="C816" s="4" t="n"/>
      <c r="D816" s="4" t="n"/>
    </row>
    <row r="817">
      <c r="A817" s="6" t="n"/>
      <c r="B817" s="4" t="n"/>
      <c r="C817" s="4" t="n"/>
      <c r="D817" s="4" t="n"/>
    </row>
    <row r="818">
      <c r="A818" s="6" t="n"/>
      <c r="B818" s="4" t="n"/>
      <c r="C818" s="4" t="n"/>
      <c r="D818" s="4" t="n"/>
    </row>
    <row r="819">
      <c r="A819" s="6" t="n"/>
      <c r="B819" s="4" t="n"/>
      <c r="C819" s="4" t="n"/>
      <c r="D819" s="4" t="n"/>
    </row>
    <row r="820">
      <c r="A820" s="6" t="n"/>
      <c r="B820" s="4" t="n"/>
      <c r="C820" s="4" t="n"/>
      <c r="D820" s="4" t="n"/>
    </row>
    <row r="821">
      <c r="A821" s="6" t="n"/>
      <c r="B821" s="4" t="n"/>
      <c r="C821" s="4" t="n"/>
      <c r="D821" s="4" t="n"/>
    </row>
    <row r="822">
      <c r="A822" s="6" t="n"/>
      <c r="B822" s="4" t="n"/>
      <c r="C822" s="4" t="n"/>
      <c r="D822" s="4" t="n"/>
    </row>
    <row r="823">
      <c r="A823" s="6" t="n"/>
      <c r="B823" s="4" t="n"/>
      <c r="C823" s="4" t="n"/>
      <c r="D823" s="4" t="n"/>
    </row>
    <row r="824">
      <c r="A824" s="6" t="n"/>
      <c r="B824" s="4" t="n"/>
      <c r="C824" s="4" t="n"/>
      <c r="D824" s="4" t="n"/>
    </row>
    <row r="825">
      <c r="A825" s="6" t="n"/>
      <c r="B825" s="4" t="n"/>
      <c r="C825" s="4" t="n"/>
      <c r="D825" s="4" t="n"/>
    </row>
    <row r="826">
      <c r="A826" s="6" t="n"/>
      <c r="B826" s="4" t="n"/>
      <c r="C826" s="4" t="n"/>
      <c r="D826" s="4" t="n"/>
    </row>
    <row r="827">
      <c r="A827" s="6" t="n"/>
      <c r="B827" s="4" t="n"/>
      <c r="C827" s="4" t="n"/>
      <c r="D827" s="4" t="n"/>
    </row>
    <row r="828">
      <c r="A828" s="6" t="n"/>
      <c r="B828" s="4" t="n"/>
      <c r="C828" s="4" t="n"/>
      <c r="D828" s="4" t="n"/>
    </row>
    <row r="829">
      <c r="A829" s="6" t="n"/>
      <c r="B829" s="4" t="n"/>
      <c r="C829" s="4" t="n"/>
      <c r="D829" s="4" t="n"/>
    </row>
    <row r="830">
      <c r="A830" s="6" t="n"/>
      <c r="B830" s="4" t="n"/>
      <c r="C830" s="4" t="n"/>
      <c r="D830" s="4" t="n"/>
    </row>
    <row r="831">
      <c r="A831" s="6" t="n"/>
      <c r="B831" s="4" t="n"/>
      <c r="C831" s="4" t="n"/>
      <c r="D831" s="4" t="n"/>
    </row>
    <row r="832">
      <c r="A832" s="6" t="n"/>
      <c r="B832" s="4" t="n"/>
      <c r="C832" s="4" t="n"/>
      <c r="D832" s="4" t="n"/>
    </row>
    <row r="833">
      <c r="A833" s="6" t="n"/>
      <c r="B833" s="4" t="n"/>
      <c r="C833" s="4" t="n"/>
      <c r="D833" s="4" t="n"/>
    </row>
    <row r="834">
      <c r="A834" s="6" t="n"/>
      <c r="B834" s="4" t="n"/>
      <c r="C834" s="4" t="n"/>
      <c r="D834" s="4" t="n"/>
    </row>
    <row r="835">
      <c r="A835" s="6" t="n"/>
      <c r="B835" s="4" t="n"/>
      <c r="C835" s="4" t="n"/>
      <c r="D835" s="4" t="n"/>
    </row>
    <row r="836">
      <c r="A836" s="6" t="n"/>
      <c r="B836" s="4" t="n"/>
      <c r="C836" s="4" t="n"/>
      <c r="D836" s="4" t="n"/>
    </row>
    <row r="837">
      <c r="A837" s="6" t="n"/>
      <c r="B837" s="4" t="n"/>
      <c r="C837" s="4" t="n"/>
      <c r="D837" s="4" t="n"/>
    </row>
    <row r="838">
      <c r="A838" s="6" t="n"/>
      <c r="B838" s="4" t="n"/>
      <c r="C838" s="4" t="n"/>
      <c r="D838" s="4" t="n"/>
    </row>
    <row r="839">
      <c r="A839" s="6" t="n"/>
      <c r="B839" s="4" t="n"/>
      <c r="C839" s="4" t="n"/>
      <c r="D839" s="4" t="n"/>
    </row>
    <row r="840">
      <c r="A840" s="6" t="n"/>
      <c r="B840" s="4" t="n"/>
      <c r="C840" s="4" t="n"/>
      <c r="D840" s="4" t="n"/>
    </row>
    <row r="841">
      <c r="A841" s="6" t="n"/>
      <c r="B841" s="4" t="n"/>
      <c r="C841" s="4" t="n"/>
      <c r="D841" s="4" t="n"/>
    </row>
    <row r="842">
      <c r="A842" s="6" t="n"/>
      <c r="B842" s="4" t="n"/>
      <c r="C842" s="4" t="n"/>
      <c r="D842" s="4" t="n"/>
    </row>
    <row r="843">
      <c r="A843" s="6" t="n"/>
      <c r="B843" s="4" t="n"/>
      <c r="C843" s="4" t="n"/>
      <c r="D843" s="4" t="n"/>
    </row>
    <row r="844">
      <c r="A844" s="6" t="n"/>
      <c r="B844" s="4" t="n"/>
      <c r="C844" s="4" t="n"/>
      <c r="D844" s="4" t="n"/>
    </row>
    <row r="845">
      <c r="A845" s="6" t="n"/>
      <c r="B845" s="4" t="n"/>
      <c r="C845" s="4" t="n"/>
      <c r="D845" s="4" t="n"/>
    </row>
    <row r="846">
      <c r="A846" s="6" t="n"/>
      <c r="B846" s="4" t="n"/>
      <c r="C846" s="4" t="n"/>
      <c r="D846" s="4" t="n"/>
    </row>
    <row r="847">
      <c r="A847" s="6" t="n"/>
      <c r="B847" s="4" t="n"/>
      <c r="C847" s="4" t="n"/>
      <c r="D847" s="4" t="n"/>
    </row>
    <row r="848">
      <c r="A848" s="6" t="n"/>
      <c r="B848" s="4" t="n"/>
      <c r="C848" s="4" t="n"/>
      <c r="D848" s="4" t="n"/>
    </row>
    <row r="849">
      <c r="A849" s="6" t="n"/>
      <c r="B849" s="4" t="n"/>
      <c r="C849" s="4" t="n"/>
      <c r="D849" s="4" t="n"/>
    </row>
    <row r="850">
      <c r="A850" s="6" t="n"/>
      <c r="B850" s="4" t="n"/>
      <c r="C850" s="4" t="n"/>
      <c r="D850" s="4" t="n"/>
    </row>
    <row r="851">
      <c r="A851" s="6" t="n"/>
      <c r="B851" s="4" t="n"/>
      <c r="C851" s="4" t="n"/>
      <c r="D851" s="4" t="n"/>
    </row>
    <row r="852">
      <c r="A852" s="6" t="n"/>
      <c r="B852" s="4" t="n"/>
      <c r="C852" s="4" t="n"/>
      <c r="D852" s="4" t="n"/>
    </row>
    <row r="853">
      <c r="A853" s="6" t="n"/>
      <c r="B853" s="4" t="n"/>
      <c r="C853" s="4" t="n"/>
      <c r="D853" s="4" t="n"/>
    </row>
    <row r="854">
      <c r="A854" s="6" t="n"/>
      <c r="B854" s="4" t="n"/>
      <c r="C854" s="4" t="n"/>
      <c r="D854" s="4" t="n"/>
    </row>
    <row r="855">
      <c r="A855" s="6" t="n"/>
      <c r="B855" s="4" t="n"/>
      <c r="C855" s="4" t="n"/>
      <c r="D855" s="4" t="n"/>
    </row>
    <row r="856">
      <c r="A856" s="6" t="n"/>
      <c r="B856" s="4" t="n"/>
      <c r="C856" s="4" t="n"/>
      <c r="D856" s="4" t="n"/>
    </row>
    <row r="857">
      <c r="A857" s="6" t="n"/>
      <c r="B857" s="4" t="n"/>
      <c r="C857" s="4" t="n"/>
      <c r="D857" s="4" t="n"/>
    </row>
    <row r="858">
      <c r="A858" s="6" t="n"/>
      <c r="B858" s="4" t="n"/>
      <c r="C858" s="4" t="n"/>
      <c r="D858" s="4" t="n"/>
    </row>
    <row r="859">
      <c r="A859" s="6" t="n"/>
      <c r="B859" s="4" t="n"/>
      <c r="C859" s="4" t="n"/>
      <c r="D859" s="4" t="n"/>
    </row>
    <row r="860">
      <c r="A860" s="6" t="n"/>
      <c r="B860" s="4" t="n"/>
      <c r="C860" s="4" t="n"/>
      <c r="D860" s="4" t="n"/>
    </row>
    <row r="861">
      <c r="A861" s="6" t="n"/>
      <c r="B861" s="4" t="n"/>
      <c r="C861" s="4" t="n"/>
      <c r="D861" s="4" t="n"/>
    </row>
    <row r="862">
      <c r="A862" s="6" t="n"/>
      <c r="B862" s="4" t="n"/>
      <c r="C862" s="4" t="n"/>
      <c r="D862" s="4" t="n"/>
    </row>
    <row r="863">
      <c r="A863" s="6" t="n"/>
      <c r="B863" s="4" t="n"/>
      <c r="C863" s="4" t="n"/>
      <c r="D863" s="4" t="n"/>
    </row>
    <row r="864">
      <c r="A864" s="6" t="n"/>
      <c r="B864" s="4" t="n"/>
      <c r="C864" s="4" t="n"/>
      <c r="D864" s="4" t="n"/>
    </row>
    <row r="865">
      <c r="A865" s="6" t="n"/>
      <c r="B865" s="4" t="n"/>
      <c r="C865" s="4" t="n"/>
      <c r="D865" s="4" t="n"/>
    </row>
    <row r="866">
      <c r="A866" s="6" t="n"/>
      <c r="B866" s="4" t="n"/>
      <c r="C866" s="4" t="n"/>
      <c r="D866" s="4" t="n"/>
    </row>
    <row r="867">
      <c r="A867" s="6" t="n"/>
      <c r="B867" s="4" t="n"/>
      <c r="C867" s="4" t="n"/>
      <c r="D867" s="4" t="n"/>
    </row>
    <row r="868">
      <c r="A868" s="6" t="n"/>
      <c r="B868" s="4" t="n"/>
      <c r="C868" s="4" t="n"/>
      <c r="D868" s="4" t="n"/>
    </row>
    <row r="869">
      <c r="A869" s="6" t="n"/>
      <c r="B869" s="4" t="n"/>
      <c r="C869" s="4" t="n"/>
      <c r="D869" s="4" t="n"/>
    </row>
    <row r="870">
      <c r="A870" s="6" t="n"/>
      <c r="B870" s="4" t="n"/>
      <c r="C870" s="4" t="n"/>
      <c r="D870" s="4" t="n"/>
    </row>
    <row r="871">
      <c r="A871" s="6" t="n"/>
      <c r="B871" s="4" t="n"/>
      <c r="C871" s="4" t="n"/>
      <c r="D871" s="4" t="n"/>
    </row>
    <row r="872">
      <c r="A872" s="6" t="n"/>
      <c r="B872" s="4" t="n"/>
      <c r="C872" s="4" t="n"/>
      <c r="D872" s="4" t="n"/>
    </row>
    <row r="873">
      <c r="A873" s="6" t="n"/>
      <c r="B873" s="4" t="n"/>
      <c r="C873" s="4" t="n"/>
      <c r="D873" s="4" t="n"/>
    </row>
    <row r="874">
      <c r="A874" s="6" t="n"/>
      <c r="B874" s="4" t="n"/>
      <c r="C874" s="4" t="n"/>
      <c r="D874" s="4" t="n"/>
    </row>
    <row r="875">
      <c r="A875" s="6" t="n"/>
      <c r="B875" s="4" t="n"/>
      <c r="C875" s="4" t="n"/>
      <c r="D875" s="4" t="n"/>
    </row>
    <row r="876">
      <c r="A876" s="6" t="n"/>
      <c r="B876" s="4" t="n"/>
      <c r="C876" s="4" t="n"/>
      <c r="D876" s="4" t="n"/>
    </row>
    <row r="877">
      <c r="A877" s="6" t="n"/>
      <c r="B877" s="4" t="n"/>
      <c r="C877" s="4" t="n"/>
      <c r="D877" s="4" t="n"/>
    </row>
    <row r="878">
      <c r="A878" s="6" t="n"/>
      <c r="B878" s="4" t="n"/>
      <c r="C878" s="4" t="n"/>
      <c r="D878" s="4" t="n"/>
    </row>
    <row r="879">
      <c r="A879" s="6" t="n"/>
      <c r="B879" s="4" t="n"/>
      <c r="C879" s="4" t="n"/>
      <c r="D879" s="4" t="n"/>
    </row>
    <row r="880">
      <c r="A880" s="6" t="n"/>
      <c r="B880" s="4" t="n"/>
      <c r="C880" s="4" t="n"/>
      <c r="D880" s="4" t="n"/>
    </row>
    <row r="881">
      <c r="A881" s="6" t="n"/>
      <c r="B881" s="4" t="n"/>
      <c r="C881" s="4" t="n"/>
      <c r="D881" s="4" t="n"/>
    </row>
    <row r="882">
      <c r="A882" s="6" t="n"/>
      <c r="B882" s="4" t="n"/>
      <c r="C882" s="4" t="n"/>
      <c r="D882" s="4" t="n"/>
    </row>
    <row r="883">
      <c r="A883" s="6" t="n"/>
      <c r="B883" s="4" t="n"/>
      <c r="C883" s="4" t="n"/>
      <c r="D883" s="4" t="n"/>
    </row>
    <row r="884">
      <c r="A884" s="6" t="n"/>
      <c r="B884" s="4" t="n"/>
      <c r="C884" s="4" t="n"/>
      <c r="D884" s="4" t="n"/>
    </row>
    <row r="885">
      <c r="A885" s="6" t="n"/>
      <c r="B885" s="4" t="n"/>
      <c r="C885" s="4" t="n"/>
      <c r="D885" s="4" t="n"/>
    </row>
    <row r="886">
      <c r="A886" s="6" t="n"/>
      <c r="B886" s="4" t="n"/>
      <c r="C886" s="4" t="n"/>
      <c r="D886" s="4" t="n"/>
    </row>
    <row r="887">
      <c r="A887" s="6" t="n"/>
      <c r="B887" s="4" t="n"/>
      <c r="C887" s="4" t="n"/>
      <c r="D887" s="4" t="n"/>
    </row>
    <row r="888">
      <c r="A888" s="6" t="n"/>
      <c r="B888" s="4" t="n"/>
      <c r="C888" s="4" t="n"/>
      <c r="D888" s="4" t="n"/>
    </row>
    <row r="889">
      <c r="A889" s="6" t="n"/>
      <c r="B889" s="4" t="n"/>
      <c r="C889" s="4" t="n"/>
      <c r="D889" s="4" t="n"/>
    </row>
    <row r="890">
      <c r="A890" s="6" t="n"/>
      <c r="B890" s="4" t="n"/>
      <c r="C890" s="4" t="n"/>
      <c r="D890" s="4" t="n"/>
    </row>
    <row r="891">
      <c r="A891" s="6" t="n"/>
      <c r="B891" s="4" t="n"/>
      <c r="C891" s="4" t="n"/>
      <c r="D891" s="4" t="n"/>
    </row>
    <row r="892">
      <c r="A892" s="6" t="n"/>
      <c r="B892" s="4" t="n"/>
      <c r="C892" s="4" t="n"/>
      <c r="D892" s="4" t="n"/>
    </row>
    <row r="893">
      <c r="A893" s="6" t="n"/>
      <c r="B893" s="4" t="n"/>
      <c r="C893" s="4" t="n"/>
      <c r="D893" s="4" t="n"/>
    </row>
    <row r="894">
      <c r="A894" s="6" t="n"/>
      <c r="B894" s="4" t="n"/>
      <c r="C894" s="4" t="n"/>
      <c r="D894" s="4" t="n"/>
    </row>
    <row r="895">
      <c r="A895" s="6" t="n"/>
      <c r="B895" s="4" t="n"/>
      <c r="C895" s="4" t="n"/>
      <c r="D895" s="4" t="n"/>
    </row>
    <row r="896">
      <c r="A896" s="6" t="n"/>
      <c r="B896" s="4" t="n"/>
      <c r="C896" s="4" t="n"/>
      <c r="D896" s="4" t="n"/>
    </row>
    <row r="897">
      <c r="A897" s="6" t="n"/>
      <c r="B897" s="4" t="n"/>
      <c r="C897" s="4" t="n"/>
      <c r="D897" s="4" t="n"/>
    </row>
    <row r="898">
      <c r="A898" s="6" t="n"/>
      <c r="B898" s="4" t="n"/>
      <c r="C898" s="4" t="n"/>
      <c r="D898" s="4" t="n"/>
    </row>
    <row r="899">
      <c r="A899" s="6" t="n"/>
      <c r="B899" s="4" t="n"/>
      <c r="C899" s="4" t="n"/>
      <c r="D899" s="4" t="n"/>
    </row>
    <row r="900">
      <c r="A900" s="6" t="n"/>
      <c r="B900" s="4" t="n"/>
      <c r="C900" s="4" t="n"/>
      <c r="D900" s="4" t="n"/>
    </row>
    <row r="901">
      <c r="A901" s="6" t="n"/>
      <c r="B901" s="4" t="n"/>
      <c r="C901" s="4" t="n"/>
      <c r="D901" s="4" t="n"/>
    </row>
    <row r="902">
      <c r="A902" s="6" t="n"/>
      <c r="B902" s="4" t="n"/>
      <c r="C902" s="4" t="n"/>
      <c r="D902" s="4" t="n"/>
    </row>
    <row r="903">
      <c r="A903" s="6" t="n"/>
      <c r="B903" s="4" t="n"/>
      <c r="C903" s="4" t="n"/>
      <c r="D903" s="4" t="n"/>
    </row>
    <row r="904">
      <c r="A904" s="6" t="n"/>
      <c r="B904" s="4" t="n"/>
      <c r="C904" s="4" t="n"/>
      <c r="D904" s="4" t="n"/>
    </row>
    <row r="905">
      <c r="A905" s="6" t="n"/>
      <c r="B905" s="4" t="n"/>
      <c r="C905" s="4" t="n"/>
      <c r="D905" s="4" t="n"/>
    </row>
    <row r="906">
      <c r="A906" s="6" t="n"/>
      <c r="B906" s="4" t="n"/>
      <c r="C906" s="4" t="n"/>
      <c r="D906" s="4" t="n"/>
    </row>
    <row r="907">
      <c r="A907" s="6" t="n"/>
      <c r="B907" s="4" t="n"/>
      <c r="C907" s="4" t="n"/>
      <c r="D907" s="4" t="n"/>
    </row>
    <row r="908">
      <c r="A908" s="6" t="n"/>
      <c r="B908" s="4" t="n"/>
      <c r="C908" s="4" t="n"/>
      <c r="D908" s="4" t="n"/>
    </row>
    <row r="909">
      <c r="A909" s="6" t="n"/>
      <c r="B909" s="4" t="n"/>
      <c r="C909" s="4" t="n"/>
      <c r="D909" s="4" t="n"/>
    </row>
    <row r="910">
      <c r="A910" s="6" t="n"/>
      <c r="B910" s="4" t="n"/>
      <c r="C910" s="4" t="n"/>
      <c r="D910" s="4" t="n"/>
    </row>
    <row r="911">
      <c r="A911" s="6" t="n"/>
      <c r="B911" s="4" t="n"/>
      <c r="C911" s="4" t="n"/>
      <c r="D911" s="4" t="n"/>
    </row>
    <row r="912">
      <c r="A912" s="6" t="n"/>
      <c r="B912" s="4" t="n"/>
      <c r="C912" s="4" t="n"/>
      <c r="D912" s="4" t="n"/>
    </row>
    <row r="913">
      <c r="A913" s="6" t="n"/>
      <c r="B913" s="4" t="n"/>
      <c r="C913" s="4" t="n"/>
      <c r="D913" s="4" t="n"/>
    </row>
    <row r="914">
      <c r="A914" s="6" t="n"/>
      <c r="B914" s="4" t="n"/>
      <c r="C914" s="4" t="n"/>
      <c r="D914" s="4" t="n"/>
    </row>
    <row r="915">
      <c r="A915" s="6" t="n"/>
      <c r="B915" s="4" t="n"/>
      <c r="C915" s="4" t="n"/>
      <c r="D915" s="4" t="n"/>
    </row>
    <row r="916">
      <c r="A916" s="6" t="n"/>
      <c r="B916" s="4" t="n"/>
      <c r="C916" s="4" t="n"/>
      <c r="D916" s="4" t="n"/>
    </row>
    <row r="917">
      <c r="A917" s="6" t="n"/>
      <c r="B917" s="4" t="n"/>
      <c r="C917" s="4" t="n"/>
      <c r="D917" s="4" t="n"/>
    </row>
    <row r="918">
      <c r="A918" s="6" t="n"/>
      <c r="B918" s="4" t="n"/>
      <c r="C918" s="4" t="n"/>
      <c r="D918" s="4" t="n"/>
    </row>
    <row r="919">
      <c r="A919" s="6" t="n"/>
      <c r="B919" s="4" t="n"/>
      <c r="C919" s="4" t="n"/>
      <c r="D919" s="4" t="n"/>
    </row>
    <row r="920">
      <c r="A920" s="6" t="n"/>
      <c r="B920" s="4" t="n"/>
      <c r="C920" s="4" t="n"/>
      <c r="D920" s="4" t="n"/>
    </row>
    <row r="921">
      <c r="A921" s="6" t="n"/>
      <c r="B921" s="4" t="n"/>
      <c r="C921" s="4" t="n"/>
      <c r="D921" s="4" t="n"/>
    </row>
    <row r="922">
      <c r="A922" s="6" t="n"/>
      <c r="B922" s="4" t="n"/>
      <c r="C922" s="4" t="n"/>
      <c r="D922" s="4" t="n"/>
    </row>
    <row r="923">
      <c r="A923" s="6" t="n"/>
      <c r="B923" s="4" t="n"/>
      <c r="C923" s="4" t="n"/>
      <c r="D923" s="4" t="n"/>
    </row>
    <row r="924">
      <c r="A924" s="6" t="n"/>
      <c r="B924" s="4" t="n"/>
      <c r="C924" s="4" t="n"/>
      <c r="D924" s="4" t="n"/>
    </row>
    <row r="925">
      <c r="A925" s="6" t="n"/>
      <c r="B925" s="4" t="n"/>
      <c r="C925" s="4" t="n"/>
      <c r="D925" s="4" t="n"/>
    </row>
    <row r="926">
      <c r="A926" s="6" t="n"/>
      <c r="B926" s="4" t="n"/>
      <c r="C926" s="4" t="n"/>
      <c r="D926" s="4" t="n"/>
    </row>
    <row r="927">
      <c r="A927" s="6" t="n"/>
      <c r="B927" s="4" t="n"/>
      <c r="C927" s="4" t="n"/>
      <c r="D927" s="4" t="n"/>
    </row>
    <row r="928">
      <c r="A928" s="6" t="n"/>
      <c r="B928" s="4" t="n"/>
      <c r="C928" s="4" t="n"/>
      <c r="D928" s="4" t="n"/>
    </row>
    <row r="929">
      <c r="A929" s="6" t="n"/>
      <c r="B929" s="4" t="n"/>
      <c r="C929" s="4" t="n"/>
      <c r="D929" s="4" t="n"/>
    </row>
    <row r="930">
      <c r="A930" s="6" t="n"/>
      <c r="B930" s="4" t="n"/>
      <c r="C930" s="4" t="n"/>
      <c r="D930" s="4" t="n"/>
    </row>
    <row r="931">
      <c r="A931" s="6" t="n"/>
      <c r="B931" s="4" t="n"/>
      <c r="C931" s="4" t="n"/>
      <c r="D931" s="4" t="n"/>
    </row>
    <row r="932">
      <c r="A932" s="6" t="n"/>
      <c r="B932" s="4" t="n"/>
      <c r="C932" s="4" t="n"/>
      <c r="D932" s="4" t="n"/>
    </row>
    <row r="933">
      <c r="A933" s="6" t="n"/>
      <c r="B933" s="4" t="n"/>
      <c r="C933" s="4" t="n"/>
      <c r="D933" s="4" t="n"/>
    </row>
    <row r="934">
      <c r="A934" s="6" t="n"/>
      <c r="B934" s="4" t="n"/>
      <c r="C934" s="4" t="n"/>
      <c r="D934" s="4" t="n"/>
    </row>
    <row r="935">
      <c r="A935" s="6" t="n"/>
      <c r="B935" s="4" t="n"/>
      <c r="C935" s="4" t="n"/>
      <c r="D935" s="4" t="n"/>
    </row>
    <row r="936">
      <c r="A936" s="6" t="n"/>
      <c r="B936" s="4" t="n"/>
      <c r="C936" s="4" t="n"/>
      <c r="D936" s="4" t="n"/>
    </row>
    <row r="937">
      <c r="A937" s="6" t="n"/>
      <c r="B937" s="4" t="n"/>
      <c r="C937" s="4" t="n"/>
      <c r="D937" s="4" t="n"/>
    </row>
    <row r="938">
      <c r="A938" s="6" t="n"/>
      <c r="B938" s="4" t="n"/>
      <c r="C938" s="4" t="n"/>
      <c r="D938" s="4" t="n"/>
    </row>
    <row r="939">
      <c r="A939" s="6" t="n"/>
      <c r="B939" s="4" t="n"/>
      <c r="C939" s="4" t="n"/>
      <c r="D939" s="4" t="n"/>
    </row>
    <row r="940">
      <c r="A940" s="6" t="n"/>
      <c r="B940" s="4" t="n"/>
      <c r="C940" s="4" t="n"/>
      <c r="D940" s="4" t="n"/>
    </row>
    <row r="941">
      <c r="A941" s="6" t="n"/>
      <c r="B941" s="4" t="n"/>
      <c r="C941" s="4" t="n"/>
      <c r="D941" s="4" t="n"/>
    </row>
    <row r="942">
      <c r="A942" s="6" t="n"/>
      <c r="B942" s="4" t="n"/>
      <c r="C942" s="4" t="n"/>
      <c r="D942" s="4" t="n"/>
    </row>
    <row r="943">
      <c r="A943" s="6" t="n"/>
      <c r="B943" s="4" t="n"/>
      <c r="C943" s="4" t="n"/>
      <c r="D943" s="4" t="n"/>
    </row>
    <row r="944">
      <c r="A944" s="6" t="n"/>
      <c r="B944" s="4" t="n"/>
      <c r="C944" s="4" t="n"/>
      <c r="D944" s="4" t="n"/>
    </row>
    <row r="945">
      <c r="A945" s="6" t="n"/>
      <c r="B945" s="4" t="n"/>
      <c r="C945" s="4" t="n"/>
      <c r="D945" s="4" t="n"/>
    </row>
    <row r="946">
      <c r="A946" s="6" t="n"/>
      <c r="B946" s="4" t="n"/>
      <c r="C946" s="4" t="n"/>
      <c r="D946" s="4" t="n"/>
    </row>
    <row r="947">
      <c r="A947" s="6" t="n"/>
      <c r="B947" s="4" t="n"/>
      <c r="C947" s="4" t="n"/>
      <c r="D947" s="4" t="n"/>
    </row>
    <row r="948">
      <c r="A948" s="6" t="n"/>
      <c r="B948" s="4" t="n"/>
      <c r="C948" s="4" t="n"/>
      <c r="D948" s="4" t="n"/>
    </row>
    <row r="949">
      <c r="A949" s="6" t="n"/>
      <c r="B949" s="4" t="n"/>
      <c r="C949" s="4" t="n"/>
      <c r="D949" s="4" t="n"/>
    </row>
    <row r="950">
      <c r="A950" s="6" t="n"/>
      <c r="B950" s="4" t="n"/>
      <c r="C950" s="4" t="n"/>
      <c r="D950" s="4" t="n"/>
    </row>
    <row r="951">
      <c r="A951" s="6" t="n"/>
      <c r="B951" s="4" t="n"/>
      <c r="C951" s="4" t="n"/>
      <c r="D951" s="4" t="n"/>
    </row>
    <row r="952">
      <c r="A952" s="6" t="n"/>
      <c r="B952" s="4" t="n"/>
      <c r="C952" s="4" t="n"/>
      <c r="D952" s="4" t="n"/>
    </row>
    <row r="953">
      <c r="A953" s="6" t="n"/>
      <c r="B953" s="4" t="n"/>
      <c r="C953" s="4" t="n"/>
      <c r="D953" s="4" t="n"/>
    </row>
    <row r="954">
      <c r="A954" s="6" t="n"/>
      <c r="B954" s="4" t="n"/>
      <c r="C954" s="4" t="n"/>
      <c r="D954" s="4" t="n"/>
    </row>
    <row r="955">
      <c r="A955" s="6" t="n"/>
      <c r="B955" s="4" t="n"/>
      <c r="C955" s="4" t="n"/>
      <c r="D955" s="4" t="n"/>
    </row>
    <row r="956">
      <c r="A956" s="6" t="n"/>
      <c r="B956" s="4" t="n"/>
      <c r="C956" s="4" t="n"/>
      <c r="D956" s="4" t="n"/>
    </row>
    <row r="957">
      <c r="A957" s="6" t="n"/>
      <c r="B957" s="4" t="n"/>
      <c r="C957" s="4" t="n"/>
      <c r="D957" s="4" t="n"/>
    </row>
    <row r="958">
      <c r="A958" s="6" t="n"/>
      <c r="B958" s="4" t="n"/>
      <c r="C958" s="4" t="n"/>
      <c r="D958" s="4" t="n"/>
    </row>
    <row r="959">
      <c r="A959" s="6" t="n"/>
      <c r="B959" s="4" t="n"/>
      <c r="C959" s="4" t="n"/>
      <c r="D959" s="4" t="n"/>
    </row>
    <row r="960">
      <c r="A960" s="6" t="n"/>
      <c r="B960" s="4" t="n"/>
      <c r="C960" s="4" t="n"/>
      <c r="D960" s="4" t="n"/>
    </row>
    <row r="961">
      <c r="A961" s="6" t="n"/>
      <c r="B961" s="4" t="n"/>
      <c r="C961" s="4" t="n"/>
      <c r="D961" s="4" t="n"/>
    </row>
    <row r="962">
      <c r="A962" s="6" t="n"/>
      <c r="B962" s="4" t="n"/>
      <c r="C962" s="4" t="n"/>
      <c r="D962" s="4" t="n"/>
    </row>
    <row r="963">
      <c r="A963" s="6" t="n"/>
      <c r="B963" s="4" t="n"/>
      <c r="C963" s="4" t="n"/>
      <c r="D963" s="4" t="n"/>
    </row>
    <row r="964">
      <c r="A964" s="6" t="n"/>
      <c r="B964" s="4" t="n"/>
      <c r="C964" s="4" t="n"/>
      <c r="D964" s="4" t="n"/>
    </row>
    <row r="965">
      <c r="A965" s="6" t="n"/>
      <c r="B965" s="4" t="n"/>
      <c r="C965" s="4" t="n"/>
      <c r="D965" s="4" t="n"/>
    </row>
    <row r="966">
      <c r="A966" s="6" t="n"/>
      <c r="B966" s="4" t="n"/>
      <c r="C966" s="4" t="n"/>
      <c r="D966" s="4" t="n"/>
    </row>
    <row r="967">
      <c r="A967" s="6" t="n"/>
      <c r="B967" s="4" t="n"/>
      <c r="C967" s="4" t="n"/>
      <c r="D967" s="4" t="n"/>
    </row>
    <row r="968">
      <c r="A968" s="6" t="n"/>
      <c r="B968" s="4" t="n"/>
      <c r="C968" s="4" t="n"/>
      <c r="D968" s="4" t="n"/>
    </row>
    <row r="969">
      <c r="A969" s="6" t="n"/>
      <c r="B969" s="4" t="n"/>
      <c r="C969" s="4" t="n"/>
      <c r="D969" s="4" t="n"/>
    </row>
    <row r="970">
      <c r="A970" s="6" t="n"/>
      <c r="B970" s="4" t="n"/>
      <c r="C970" s="4" t="n"/>
      <c r="D970" s="4" t="n"/>
    </row>
    <row r="971">
      <c r="A971" s="6" t="n"/>
      <c r="B971" s="4" t="n"/>
      <c r="C971" s="4" t="n"/>
      <c r="D971" s="4" t="n"/>
    </row>
    <row r="972">
      <c r="A972" s="6" t="n"/>
      <c r="B972" s="4" t="n"/>
      <c r="C972" s="4" t="n"/>
      <c r="D972" s="4" t="n"/>
    </row>
    <row r="973">
      <c r="A973" s="6" t="n"/>
      <c r="B973" s="4" t="n"/>
      <c r="C973" s="4" t="n"/>
      <c r="D973" s="4" t="n"/>
    </row>
    <row r="974">
      <c r="A974" s="6" t="n"/>
      <c r="B974" s="4" t="n"/>
      <c r="C974" s="4" t="n"/>
      <c r="D974" s="4" t="n"/>
    </row>
    <row r="975">
      <c r="A975" s="6" t="n"/>
      <c r="B975" s="4" t="n"/>
      <c r="C975" s="4" t="n"/>
      <c r="D975" s="4" t="n"/>
    </row>
    <row r="976">
      <c r="A976" s="6" t="n"/>
      <c r="B976" s="4" t="n"/>
      <c r="C976" s="4" t="n"/>
      <c r="D976" s="4" t="n"/>
    </row>
    <row r="977">
      <c r="A977" s="6" t="n"/>
      <c r="B977" s="4" t="n"/>
      <c r="C977" s="4" t="n"/>
      <c r="D977" s="4" t="n"/>
    </row>
    <row r="978">
      <c r="A978" s="6" t="n"/>
      <c r="B978" s="4" t="n"/>
      <c r="C978" s="4" t="n"/>
      <c r="D978" s="4" t="n"/>
    </row>
    <row r="979">
      <c r="A979" s="6" t="n"/>
      <c r="B979" s="4" t="n"/>
      <c r="C979" s="4" t="n"/>
      <c r="D979" s="4" t="n"/>
    </row>
    <row r="980">
      <c r="A980" s="6" t="n"/>
      <c r="B980" s="4" t="n"/>
      <c r="C980" s="4" t="n"/>
      <c r="D980" s="4" t="n"/>
    </row>
    <row r="981">
      <c r="A981" s="6" t="n"/>
      <c r="B981" s="4" t="n"/>
      <c r="C981" s="4" t="n"/>
      <c r="D981" s="4" t="n"/>
    </row>
    <row r="982">
      <c r="A982" s="6" t="n"/>
      <c r="B982" s="4" t="n"/>
      <c r="C982" s="4" t="n"/>
      <c r="D982" s="4" t="n"/>
    </row>
    <row r="983">
      <c r="A983" s="6" t="n"/>
      <c r="B983" s="4" t="n"/>
      <c r="C983" s="4" t="n"/>
      <c r="D983" s="4" t="n"/>
    </row>
    <row r="984">
      <c r="A984" s="6" t="n"/>
      <c r="B984" s="4" t="n"/>
      <c r="C984" s="4" t="n"/>
      <c r="D984" s="4" t="n"/>
    </row>
    <row r="985">
      <c r="A985" s="6" t="n"/>
      <c r="B985" s="4" t="n"/>
      <c r="C985" s="4" t="n"/>
      <c r="D985" s="4" t="n"/>
    </row>
    <row r="986">
      <c r="A986" s="6" t="n"/>
      <c r="B986" s="4" t="n"/>
      <c r="C986" s="4" t="n"/>
      <c r="D986" s="4" t="n"/>
    </row>
    <row r="987">
      <c r="A987" s="6" t="n"/>
      <c r="B987" s="4" t="n"/>
      <c r="C987" s="4" t="n"/>
      <c r="D987" s="4" t="n"/>
    </row>
    <row r="988">
      <c r="A988" s="6" t="n"/>
      <c r="B988" s="4" t="n"/>
      <c r="C988" s="4" t="n"/>
      <c r="D988" s="4" t="n"/>
    </row>
    <row r="989">
      <c r="A989" s="6" t="n"/>
      <c r="B989" s="4" t="n"/>
      <c r="C989" s="4" t="n"/>
      <c r="D989" s="4" t="n"/>
    </row>
    <row r="990">
      <c r="A990" s="6" t="n"/>
      <c r="B990" s="4" t="n"/>
      <c r="C990" s="4" t="n"/>
      <c r="D990" s="4" t="n"/>
    </row>
    <row r="991">
      <c r="A991" s="6" t="n"/>
      <c r="B991" s="4" t="n"/>
      <c r="C991" s="4" t="n"/>
      <c r="D991" s="4" t="n"/>
    </row>
    <row r="992">
      <c r="A992" s="6" t="n"/>
      <c r="B992" s="4" t="n"/>
      <c r="C992" s="4" t="n"/>
      <c r="D992" s="4" t="n"/>
    </row>
    <row r="993">
      <c r="A993" s="6" t="n"/>
      <c r="B993" s="4" t="n"/>
      <c r="C993" s="4" t="n"/>
      <c r="D993" s="4" t="n"/>
    </row>
    <row r="994">
      <c r="A994" s="6" t="n"/>
      <c r="B994" s="4" t="n"/>
      <c r="C994" s="4" t="n"/>
      <c r="D994" s="4" t="n"/>
    </row>
    <row r="995">
      <c r="A995" s="6" t="n"/>
      <c r="B995" s="4" t="n"/>
      <c r="C995" s="4" t="n"/>
      <c r="D995" s="4" t="n"/>
    </row>
    <row r="996">
      <c r="A996" s="6" t="n"/>
      <c r="B996" s="4" t="n"/>
      <c r="C996" s="4" t="n"/>
      <c r="D996" s="4" t="n"/>
    </row>
    <row r="997">
      <c r="A997" s="6" t="n"/>
      <c r="B997" s="4" t="n"/>
      <c r="C997" s="4" t="n"/>
      <c r="D997" s="4" t="n"/>
    </row>
    <row r="998">
      <c r="A998" s="6" t="n"/>
      <c r="B998" s="4" t="n"/>
      <c r="C998" s="4" t="n"/>
      <c r="D998" s="4" t="n"/>
    </row>
    <row r="999">
      <c r="A999" s="6" t="n"/>
      <c r="B999" s="4" t="n"/>
      <c r="C999" s="4" t="n"/>
      <c r="D999" s="4" t="n"/>
    </row>
    <row r="1000">
      <c r="A1000" s="6" t="n"/>
      <c r="B1000" s="4" t="n"/>
      <c r="C1000" s="4" t="n"/>
      <c r="D1000" s="4" t="n"/>
    </row>
    <row r="1001">
      <c r="A1001" s="6" t="n"/>
      <c r="B1001" s="4" t="n"/>
      <c r="C1001" s="4" t="n"/>
      <c r="D1001" s="4" t="n"/>
    </row>
    <row r="1002">
      <c r="A1002" s="6" t="n"/>
      <c r="B1002" s="4" t="n"/>
      <c r="C1002" s="4" t="n"/>
      <c r="D1002" s="4" t="n"/>
    </row>
    <row r="1003">
      <c r="A1003" s="6" t="n"/>
      <c r="B1003" s="4" t="n"/>
      <c r="C1003" s="4" t="n"/>
      <c r="D1003" s="4" t="n"/>
    </row>
    <row r="1004">
      <c r="A1004" s="6" t="n"/>
      <c r="B1004" s="4" t="n"/>
      <c r="C1004" s="4" t="n"/>
      <c r="D1004" s="4" t="n"/>
    </row>
    <row r="1005">
      <c r="A1005" s="6" t="n"/>
      <c r="B1005" s="4" t="n"/>
      <c r="C1005" s="4" t="n"/>
      <c r="D1005" s="4" t="n"/>
    </row>
    <row r="1006">
      <c r="A1006" s="6" t="n"/>
      <c r="B1006" s="4" t="n"/>
      <c r="C1006" s="4" t="n"/>
      <c r="D1006" s="4" t="n"/>
    </row>
    <row r="1007">
      <c r="A1007" s="6" t="n"/>
      <c r="B1007" s="4" t="n"/>
      <c r="C1007" s="4" t="n"/>
      <c r="D1007" s="4" t="n"/>
    </row>
    <row r="1008">
      <c r="A1008" s="6" t="n"/>
      <c r="B1008" s="4" t="n"/>
      <c r="C1008" s="4" t="n"/>
      <c r="D1008" s="4" t="n"/>
    </row>
    <row r="1009">
      <c r="A1009" s="6" t="n"/>
      <c r="B1009" s="4" t="n"/>
      <c r="C1009" s="4" t="n"/>
      <c r="D1009" s="4" t="n"/>
    </row>
    <row r="1010">
      <c r="A1010" s="6" t="n"/>
      <c r="B1010" s="4" t="n"/>
      <c r="C1010" s="4" t="n"/>
      <c r="D1010" s="4" t="n"/>
    </row>
    <row r="1011">
      <c r="A1011" s="6" t="n"/>
      <c r="B1011" s="4" t="n"/>
      <c r="C1011" s="4" t="n"/>
      <c r="D1011" s="4" t="n"/>
    </row>
    <row r="1012">
      <c r="A1012" s="6" t="n"/>
      <c r="B1012" s="4" t="n"/>
      <c r="C1012" s="4" t="n"/>
      <c r="D1012" s="4" t="n"/>
    </row>
    <row r="1013">
      <c r="A1013" s="6" t="n"/>
      <c r="B1013" s="4" t="n"/>
      <c r="C1013" s="4" t="n"/>
      <c r="D1013" s="4" t="n"/>
    </row>
    <row r="1014">
      <c r="A1014" s="6" t="n"/>
      <c r="B1014" s="4" t="n"/>
      <c r="C1014" s="4" t="n"/>
      <c r="D1014" s="4" t="n"/>
    </row>
    <row r="1015">
      <c r="A1015" s="6" t="n"/>
      <c r="B1015" s="4" t="n"/>
      <c r="C1015" s="4" t="n"/>
      <c r="D1015" s="4" t="n"/>
    </row>
    <row r="1016">
      <c r="A1016" s="6" t="n"/>
      <c r="B1016" s="4" t="n"/>
      <c r="C1016" s="4" t="n"/>
      <c r="D1016" s="4" t="n"/>
    </row>
    <row r="1017">
      <c r="A1017" s="6" t="n"/>
      <c r="B1017" s="4" t="n"/>
      <c r="C1017" s="4" t="n"/>
      <c r="D1017" s="4" t="n"/>
    </row>
    <row r="1018">
      <c r="A1018" s="6" t="n"/>
      <c r="B1018" s="4" t="n"/>
      <c r="C1018" s="4" t="n"/>
      <c r="D1018" s="4" t="n"/>
    </row>
    <row r="1019">
      <c r="A1019" s="6" t="n"/>
      <c r="B1019" s="4" t="n"/>
      <c r="C1019" s="4" t="n"/>
      <c r="D1019" s="4" t="n"/>
    </row>
    <row r="1020">
      <c r="A1020" s="6" t="n"/>
      <c r="B1020" s="4" t="n"/>
      <c r="C1020" s="4" t="n"/>
      <c r="D1020" s="4" t="n"/>
    </row>
    <row r="1021">
      <c r="A1021" s="6" t="n"/>
      <c r="B1021" s="4" t="n"/>
      <c r="C1021" s="4" t="n"/>
      <c r="D1021" s="4" t="n"/>
    </row>
    <row r="1022">
      <c r="A1022" s="6" t="n"/>
      <c r="B1022" s="4" t="n"/>
      <c r="C1022" s="4" t="n"/>
      <c r="D1022" s="4" t="n"/>
    </row>
    <row r="1023">
      <c r="A1023" s="6" t="n"/>
      <c r="B1023" s="4" t="n"/>
      <c r="C1023" s="4" t="n"/>
      <c r="D1023" s="4" t="n"/>
    </row>
    <row r="1024">
      <c r="A1024" s="6" t="n"/>
      <c r="B1024" s="4" t="n"/>
      <c r="C1024" s="4" t="n"/>
      <c r="D1024" s="4" t="n"/>
    </row>
    <row r="1025">
      <c r="A1025" s="6" t="n"/>
      <c r="B1025" s="4" t="n"/>
      <c r="C1025" s="4" t="n"/>
      <c r="D1025" s="4" t="n"/>
    </row>
    <row r="1026">
      <c r="A1026" s="6" t="n"/>
      <c r="B1026" s="4" t="n"/>
      <c r="C1026" s="4" t="n"/>
      <c r="D1026" s="4" t="n"/>
    </row>
    <row r="1027">
      <c r="A1027" s="6" t="n"/>
      <c r="B1027" s="4" t="n"/>
      <c r="C1027" s="4" t="n"/>
      <c r="D1027" s="4" t="n"/>
    </row>
    <row r="1028">
      <c r="A1028" s="6" t="n"/>
      <c r="B1028" s="4" t="n"/>
      <c r="C1028" s="4" t="n"/>
      <c r="D1028" s="4" t="n"/>
    </row>
    <row r="1029">
      <c r="A1029" s="6" t="n"/>
      <c r="B1029" s="4" t="n"/>
      <c r="C1029" s="4" t="n"/>
      <c r="D1029" s="4" t="n"/>
    </row>
    <row r="1030">
      <c r="A1030" s="6" t="n"/>
      <c r="B1030" s="4" t="n"/>
      <c r="C1030" s="4" t="n"/>
      <c r="D1030" s="4" t="n"/>
    </row>
    <row r="1031">
      <c r="A1031" s="6" t="n"/>
      <c r="B1031" s="4" t="n"/>
      <c r="C1031" s="4" t="n"/>
      <c r="D1031" s="4" t="n"/>
    </row>
    <row r="1032">
      <c r="A1032" s="6" t="n"/>
      <c r="B1032" s="4" t="n"/>
      <c r="C1032" s="4" t="n"/>
      <c r="D1032" s="4" t="n"/>
    </row>
    <row r="1033">
      <c r="A1033" s="6" t="n"/>
      <c r="B1033" s="4" t="n"/>
      <c r="C1033" s="4" t="n"/>
      <c r="D1033" s="4" t="n"/>
    </row>
    <row r="1034">
      <c r="A1034" s="6" t="n"/>
      <c r="B1034" s="4" t="n"/>
      <c r="C1034" s="4" t="n"/>
      <c r="D1034" s="4" t="n"/>
    </row>
    <row r="1035">
      <c r="A1035" s="6" t="n"/>
      <c r="B1035" s="4" t="n"/>
      <c r="C1035" s="4" t="n"/>
      <c r="D1035" s="4" t="n"/>
    </row>
    <row r="1036">
      <c r="A1036" s="6" t="n"/>
      <c r="B1036" s="4" t="n"/>
      <c r="C1036" s="4" t="n"/>
      <c r="D1036" s="4" t="n"/>
    </row>
    <row r="1037">
      <c r="A1037" s="6" t="n"/>
      <c r="B1037" s="4" t="n"/>
      <c r="C1037" s="4" t="n"/>
      <c r="D1037" s="4" t="n"/>
    </row>
    <row r="1038">
      <c r="A1038" s="6" t="n"/>
      <c r="B1038" s="4" t="n"/>
      <c r="C1038" s="4" t="n"/>
      <c r="D1038" s="4" t="n"/>
    </row>
    <row r="1039">
      <c r="A1039" s="6" t="n"/>
      <c r="B1039" s="4" t="n"/>
      <c r="C1039" s="4" t="n"/>
      <c r="D1039" s="4" t="n"/>
    </row>
    <row r="1040">
      <c r="A1040" s="6" t="n"/>
      <c r="B1040" s="4" t="n"/>
      <c r="C1040" s="4" t="n"/>
      <c r="D1040" s="4" t="n"/>
    </row>
    <row r="1041">
      <c r="A1041" s="6" t="n"/>
      <c r="B1041" s="4" t="n"/>
      <c r="C1041" s="4" t="n"/>
      <c r="D1041" s="4" t="n"/>
    </row>
    <row r="1042">
      <c r="A1042" s="6" t="n"/>
      <c r="B1042" s="4" t="n"/>
      <c r="C1042" s="4" t="n"/>
      <c r="D1042" s="4" t="n"/>
    </row>
    <row r="1043">
      <c r="A1043" s="6" t="n"/>
      <c r="B1043" s="4" t="n"/>
      <c r="C1043" s="4" t="n"/>
      <c r="D1043" s="4" t="n"/>
    </row>
    <row r="1044">
      <c r="A1044" s="6" t="n"/>
      <c r="B1044" s="4" t="n"/>
      <c r="C1044" s="4" t="n"/>
      <c r="D1044" s="4" t="n"/>
    </row>
    <row r="1045">
      <c r="A1045" s="6" t="n"/>
      <c r="B1045" s="4" t="n"/>
      <c r="C1045" s="4" t="n"/>
      <c r="D1045" s="4" t="n"/>
    </row>
    <row r="1046">
      <c r="A1046" s="6" t="n"/>
      <c r="B1046" s="4" t="n"/>
      <c r="C1046" s="4" t="n"/>
      <c r="D1046" s="4" t="n"/>
    </row>
    <row r="1047">
      <c r="A1047" s="6" t="n"/>
      <c r="B1047" s="4" t="n"/>
      <c r="C1047" s="4" t="n"/>
      <c r="D1047" s="4" t="n"/>
    </row>
    <row r="1048">
      <c r="A1048" s="6" t="n"/>
      <c r="B1048" s="4" t="n"/>
      <c r="C1048" s="4" t="n"/>
      <c r="D1048" s="4" t="n"/>
    </row>
    <row r="1049">
      <c r="A1049" s="6" t="n"/>
      <c r="B1049" s="4" t="n"/>
      <c r="C1049" s="4" t="n"/>
      <c r="D1049" s="4" t="n"/>
    </row>
    <row r="1050">
      <c r="A1050" s="6" t="n"/>
      <c r="B1050" s="4" t="n"/>
      <c r="C1050" s="4" t="n"/>
      <c r="D1050" s="4" t="n"/>
    </row>
    <row r="1051">
      <c r="A1051" s="6" t="n"/>
      <c r="B1051" s="4" t="n"/>
      <c r="C1051" s="4" t="n"/>
      <c r="D1051" s="4" t="n"/>
    </row>
    <row r="1052">
      <c r="A1052" s="6" t="n"/>
      <c r="B1052" s="4" t="n"/>
      <c r="C1052" s="4" t="n"/>
      <c r="D1052" s="4" t="n"/>
    </row>
    <row r="1053">
      <c r="A1053" s="6" t="n"/>
      <c r="B1053" s="4" t="n"/>
      <c r="C1053" s="4" t="n"/>
      <c r="D1053" s="4" t="n"/>
    </row>
    <row r="1054">
      <c r="A1054" s="6" t="n"/>
      <c r="B1054" s="4" t="n"/>
      <c r="C1054" s="4" t="n"/>
      <c r="D1054" s="4" t="n"/>
    </row>
    <row r="1055">
      <c r="A1055" s="6" t="n"/>
      <c r="B1055" s="4" t="n"/>
      <c r="C1055" s="4" t="n"/>
      <c r="D1055" s="4" t="n"/>
    </row>
    <row r="1056">
      <c r="A1056" s="6" t="n"/>
      <c r="B1056" s="4" t="n"/>
      <c r="C1056" s="4" t="n"/>
      <c r="D1056" s="4" t="n"/>
    </row>
    <row r="1057">
      <c r="A1057" s="6" t="n"/>
      <c r="B1057" s="4" t="n"/>
      <c r="C1057" s="4" t="n"/>
      <c r="D1057" s="4" t="n"/>
    </row>
    <row r="1058">
      <c r="A1058" s="6" t="n"/>
      <c r="B1058" s="4" t="n"/>
      <c r="C1058" s="4" t="n"/>
      <c r="D1058" s="4" t="n"/>
    </row>
    <row r="1059">
      <c r="A1059" s="6" t="n"/>
      <c r="B1059" s="4" t="n"/>
      <c r="C1059" s="4" t="n"/>
      <c r="D1059" s="4" t="n"/>
    </row>
    <row r="1060">
      <c r="A1060" s="6" t="n"/>
      <c r="B1060" s="4" t="n"/>
      <c r="C1060" s="4" t="n"/>
      <c r="D1060" s="4" t="n"/>
    </row>
    <row r="1061">
      <c r="A1061" s="6" t="n"/>
      <c r="B1061" s="4" t="n"/>
      <c r="C1061" s="4" t="n"/>
      <c r="D1061" s="4" t="n"/>
    </row>
    <row r="1062">
      <c r="A1062" s="6" t="n"/>
      <c r="B1062" s="4" t="n"/>
      <c r="C1062" s="4" t="n"/>
      <c r="D1062" s="4" t="n"/>
    </row>
    <row r="1063">
      <c r="A1063" s="6" t="n"/>
      <c r="B1063" s="4" t="n"/>
      <c r="C1063" s="4" t="n"/>
      <c r="D1063" s="4" t="n"/>
    </row>
    <row r="1064">
      <c r="A1064" s="6" t="n"/>
      <c r="B1064" s="4" t="n"/>
      <c r="C1064" s="4" t="n"/>
      <c r="D1064" s="4" t="n"/>
    </row>
    <row r="1065">
      <c r="A1065" s="6" t="n"/>
      <c r="B1065" s="4" t="n"/>
      <c r="C1065" s="4" t="n"/>
      <c r="D1065" s="4" t="n"/>
    </row>
    <row r="1066">
      <c r="A1066" s="6" t="n"/>
      <c r="B1066" s="4" t="n"/>
      <c r="C1066" s="4" t="n"/>
      <c r="D1066" s="4" t="n"/>
    </row>
    <row r="1067">
      <c r="A1067" s="6" t="n"/>
      <c r="B1067" s="4" t="n"/>
      <c r="C1067" s="4" t="n"/>
      <c r="D1067" s="4" t="n"/>
    </row>
    <row r="1068">
      <c r="A1068" s="6" t="n"/>
      <c r="B1068" s="4" t="n"/>
      <c r="C1068" s="4" t="n"/>
      <c r="D1068" s="4" t="n"/>
    </row>
    <row r="1069">
      <c r="A1069" s="6" t="n"/>
      <c r="B1069" s="4" t="n"/>
      <c r="C1069" s="4" t="n"/>
      <c r="D1069" s="4" t="n"/>
    </row>
    <row r="1070">
      <c r="A1070" s="6" t="n"/>
      <c r="B1070" s="4" t="n"/>
      <c r="C1070" s="4" t="n"/>
      <c r="D1070" s="4" t="n"/>
    </row>
    <row r="1071">
      <c r="A1071" s="6" t="n"/>
      <c r="B1071" s="4" t="n"/>
      <c r="C1071" s="4" t="n"/>
      <c r="D1071" s="4" t="n"/>
    </row>
    <row r="1072">
      <c r="A1072" s="6" t="n"/>
      <c r="B1072" s="4" t="n"/>
      <c r="C1072" s="4" t="n"/>
      <c r="D1072" s="4" t="n"/>
    </row>
    <row r="1073">
      <c r="A1073" s="6" t="n"/>
      <c r="B1073" s="4" t="n"/>
      <c r="C1073" s="4" t="n"/>
      <c r="D1073" s="4" t="n"/>
    </row>
    <row r="1074">
      <c r="A1074" s="6" t="n"/>
      <c r="B1074" s="4" t="n"/>
      <c r="C1074" s="4" t="n"/>
      <c r="D1074" s="4" t="n"/>
    </row>
    <row r="1075">
      <c r="A1075" s="6" t="n"/>
      <c r="B1075" s="4" t="n"/>
      <c r="C1075" s="4" t="n"/>
      <c r="D1075" s="4" t="n"/>
    </row>
    <row r="1076">
      <c r="A1076" s="6" t="n"/>
      <c r="B1076" s="4" t="n"/>
      <c r="C1076" s="4" t="n"/>
      <c r="D1076" s="4" t="n"/>
    </row>
    <row r="1077">
      <c r="A1077" s="6" t="n"/>
      <c r="B1077" s="4" t="n"/>
      <c r="C1077" s="4" t="n"/>
      <c r="D1077" s="4" t="n"/>
    </row>
    <row r="1078">
      <c r="A1078" s="6" t="n"/>
      <c r="B1078" s="4" t="n"/>
      <c r="C1078" s="4" t="n"/>
      <c r="D1078" s="4" t="n"/>
    </row>
    <row r="1079">
      <c r="A1079" s="6" t="n"/>
      <c r="B1079" s="4" t="n"/>
      <c r="C1079" s="4" t="n"/>
      <c r="D1079" s="4" t="n"/>
    </row>
    <row r="1080">
      <c r="A1080" s="6" t="n"/>
      <c r="B1080" s="4" t="n"/>
      <c r="C1080" s="4" t="n"/>
      <c r="D1080" s="4" t="n"/>
    </row>
    <row r="1081">
      <c r="A1081" s="6" t="n"/>
      <c r="B1081" s="4" t="n"/>
      <c r="C1081" s="4" t="n"/>
      <c r="D1081" s="4" t="n"/>
    </row>
    <row r="1082">
      <c r="A1082" s="6" t="n"/>
      <c r="B1082" s="4" t="n"/>
      <c r="C1082" s="4" t="n"/>
      <c r="D1082" s="4" t="n"/>
    </row>
    <row r="1083">
      <c r="A1083" s="6" t="n"/>
      <c r="B1083" s="4" t="n"/>
      <c r="C1083" s="4" t="n"/>
      <c r="D1083" s="4" t="n"/>
    </row>
    <row r="1084">
      <c r="A1084" s="6" t="n"/>
      <c r="B1084" s="4" t="n"/>
      <c r="C1084" s="4" t="n"/>
      <c r="D1084" s="4" t="n"/>
    </row>
    <row r="1085">
      <c r="A1085" s="6" t="n"/>
      <c r="B1085" s="4" t="n"/>
      <c r="C1085" s="4" t="n"/>
      <c r="D1085" s="4" t="n"/>
    </row>
    <row r="1086">
      <c r="A1086" s="6" t="n"/>
      <c r="B1086" s="4" t="n"/>
      <c r="C1086" s="4" t="n"/>
      <c r="D1086" s="4" t="n"/>
    </row>
    <row r="1087">
      <c r="A1087" s="6" t="n"/>
      <c r="B1087" s="4" t="n"/>
      <c r="C1087" s="4" t="n"/>
      <c r="D1087" s="4" t="n"/>
    </row>
    <row r="1088">
      <c r="A1088" s="6" t="n"/>
      <c r="B1088" s="4" t="n"/>
      <c r="C1088" s="4" t="n"/>
      <c r="D1088" s="4" t="n"/>
    </row>
    <row r="1089">
      <c r="A1089" s="6" t="n"/>
      <c r="B1089" s="4" t="n"/>
      <c r="C1089" s="4" t="n"/>
      <c r="D1089" s="4" t="n"/>
    </row>
    <row r="1090">
      <c r="A1090" s="6" t="n"/>
      <c r="B1090" s="4" t="n"/>
      <c r="C1090" s="4" t="n"/>
      <c r="D1090" s="4" t="n"/>
    </row>
    <row r="1091">
      <c r="A1091" s="6" t="n"/>
      <c r="B1091" s="4" t="n"/>
      <c r="C1091" s="4" t="n"/>
      <c r="D1091" s="4" t="n"/>
    </row>
    <row r="1092">
      <c r="A1092" s="6" t="n"/>
      <c r="B1092" s="4" t="n"/>
      <c r="C1092" s="4" t="n"/>
      <c r="D1092" s="4" t="n"/>
    </row>
    <row r="1093">
      <c r="A1093" s="6" t="n"/>
      <c r="B1093" s="4" t="n"/>
      <c r="C1093" s="4" t="n"/>
      <c r="D1093" s="4" t="n"/>
    </row>
    <row r="1094">
      <c r="A1094" s="6" t="n"/>
      <c r="B1094" s="4" t="n"/>
      <c r="C1094" s="4" t="n"/>
      <c r="D1094" s="4" t="n"/>
    </row>
    <row r="1095">
      <c r="A1095" s="6" t="n"/>
      <c r="B1095" s="4" t="n"/>
      <c r="C1095" s="4" t="n"/>
      <c r="D1095" s="4" t="n"/>
    </row>
    <row r="1096">
      <c r="A1096" s="6" t="n"/>
      <c r="B1096" s="4" t="n"/>
      <c r="C1096" s="4" t="n"/>
      <c r="D1096" s="4" t="n"/>
    </row>
    <row r="1097">
      <c r="A1097" s="6" t="n"/>
      <c r="B1097" s="4" t="n"/>
      <c r="C1097" s="4" t="n"/>
      <c r="D1097" s="4" t="n"/>
    </row>
    <row r="1098">
      <c r="A1098" s="6" t="n"/>
      <c r="B1098" s="4" t="n"/>
      <c r="C1098" s="4" t="n"/>
      <c r="D1098" s="4" t="n"/>
    </row>
    <row r="1099">
      <c r="A1099" s="6" t="n"/>
      <c r="B1099" s="4" t="n"/>
      <c r="C1099" s="4" t="n"/>
      <c r="D1099" s="4" t="n"/>
    </row>
    <row r="1100">
      <c r="A1100" s="6" t="n"/>
      <c r="B1100" s="4" t="n"/>
      <c r="C1100" s="4" t="n"/>
      <c r="D1100" s="4" t="n"/>
    </row>
    <row r="1101">
      <c r="A1101" s="6" t="n"/>
      <c r="B1101" s="4" t="n"/>
      <c r="C1101" s="4" t="n"/>
      <c r="D1101" s="4" t="n"/>
    </row>
    <row r="1102">
      <c r="A1102" s="6" t="n"/>
      <c r="B1102" s="4" t="n"/>
      <c r="C1102" s="4" t="n"/>
      <c r="D1102" s="4" t="n"/>
    </row>
    <row r="1103">
      <c r="A1103" s="6" t="n"/>
      <c r="B1103" s="4" t="n"/>
      <c r="C1103" s="4" t="n"/>
      <c r="D1103" s="4" t="n"/>
    </row>
    <row r="1104">
      <c r="A1104" s="6" t="n"/>
      <c r="B1104" s="4" t="n"/>
      <c r="C1104" s="4" t="n"/>
      <c r="D1104" s="4" t="n"/>
    </row>
    <row r="1105">
      <c r="A1105" s="6" t="n"/>
      <c r="B1105" s="4" t="n"/>
      <c r="C1105" s="4" t="n"/>
      <c r="D1105" s="4" t="n"/>
    </row>
    <row r="1106">
      <c r="A1106" s="6" t="n"/>
      <c r="B1106" s="4" t="n"/>
      <c r="C1106" s="4" t="n"/>
      <c r="D1106" s="4" t="n"/>
    </row>
    <row r="1107">
      <c r="A1107" s="6" t="n"/>
      <c r="B1107" s="4" t="n"/>
      <c r="C1107" s="4" t="n"/>
      <c r="D1107" s="4" t="n"/>
    </row>
    <row r="1108">
      <c r="A1108" s="6" t="n"/>
      <c r="B1108" s="4" t="n"/>
      <c r="C1108" s="4" t="n"/>
      <c r="D1108" s="4" t="n"/>
    </row>
    <row r="1109">
      <c r="A1109" s="6" t="n"/>
      <c r="B1109" s="4" t="n"/>
      <c r="C1109" s="4" t="n"/>
      <c r="D1109" s="4" t="n"/>
    </row>
    <row r="1110">
      <c r="A1110" s="6" t="n"/>
      <c r="B1110" s="4" t="n"/>
      <c r="C1110" s="4" t="n"/>
      <c r="D1110" s="4" t="n"/>
    </row>
    <row r="1111">
      <c r="A1111" s="6" t="n"/>
      <c r="B1111" s="4" t="n"/>
      <c r="C1111" s="4" t="n"/>
      <c r="D1111" s="4" t="n"/>
    </row>
    <row r="1112">
      <c r="A1112" s="6" t="n"/>
      <c r="B1112" s="4" t="n"/>
      <c r="C1112" s="4" t="n"/>
      <c r="D1112" s="4" t="n"/>
    </row>
    <row r="1113">
      <c r="A1113" s="6" t="n"/>
      <c r="B1113" s="4" t="n"/>
      <c r="C1113" s="4" t="n"/>
      <c r="D1113" s="4" t="n"/>
    </row>
    <row r="1114">
      <c r="A1114" s="6" t="n"/>
      <c r="B1114" s="4" t="n"/>
      <c r="C1114" s="4" t="n"/>
      <c r="D1114" s="4" t="n"/>
    </row>
    <row r="1115">
      <c r="A1115" s="6" t="n"/>
      <c r="B1115" s="4" t="n"/>
      <c r="C1115" s="4" t="n"/>
      <c r="D1115" s="4" t="n"/>
    </row>
    <row r="1116">
      <c r="A1116" s="6" t="n"/>
      <c r="B1116" s="4" t="n"/>
      <c r="C1116" s="4" t="n"/>
      <c r="D1116" s="4" t="n"/>
    </row>
    <row r="1117">
      <c r="A1117" s="6" t="n"/>
      <c r="B1117" s="4" t="n"/>
      <c r="C1117" s="4" t="n"/>
      <c r="D1117" s="4" t="n"/>
    </row>
    <row r="1118">
      <c r="A1118" s="6" t="n"/>
      <c r="B1118" s="4" t="n"/>
      <c r="C1118" s="4" t="n"/>
      <c r="D1118" s="4" t="n"/>
    </row>
    <row r="1119">
      <c r="A1119" s="6" t="n"/>
      <c r="B1119" s="4" t="n"/>
      <c r="C1119" s="4" t="n"/>
      <c r="D1119" s="4" t="n"/>
    </row>
    <row r="1120">
      <c r="A1120" s="6" t="n"/>
      <c r="B1120" s="4" t="n"/>
      <c r="C1120" s="4" t="n"/>
      <c r="D1120" s="4" t="n"/>
    </row>
    <row r="1121">
      <c r="A1121" s="6" t="n"/>
      <c r="B1121" s="4" t="n"/>
      <c r="C1121" s="4" t="n"/>
      <c r="D1121" s="4" t="n"/>
    </row>
    <row r="1122">
      <c r="A1122" s="6" t="n"/>
      <c r="B1122" s="4" t="n"/>
      <c r="C1122" s="4" t="n"/>
      <c r="D1122" s="4" t="n"/>
    </row>
    <row r="1123">
      <c r="A1123" s="6" t="n"/>
      <c r="B1123" s="4" t="n"/>
      <c r="C1123" s="4" t="n"/>
      <c r="D1123" s="4" t="n"/>
    </row>
    <row r="1124">
      <c r="A1124" s="6" t="n"/>
      <c r="B1124" s="4" t="n"/>
      <c r="C1124" s="4" t="n"/>
      <c r="D1124" s="4" t="n"/>
    </row>
    <row r="1125">
      <c r="A1125" s="6" t="n"/>
      <c r="B1125" s="4" t="n"/>
      <c r="C1125" s="4" t="n"/>
      <c r="D1125" s="4" t="n"/>
    </row>
    <row r="1126">
      <c r="A1126" s="6" t="n"/>
      <c r="B1126" s="4" t="n"/>
      <c r="C1126" s="4" t="n"/>
      <c r="D1126" s="4" t="n"/>
    </row>
    <row r="1127">
      <c r="A1127" s="6" t="n"/>
      <c r="B1127" s="4" t="n"/>
      <c r="C1127" s="4" t="n"/>
      <c r="D1127" s="4" t="n"/>
    </row>
    <row r="1128">
      <c r="A1128" s="6" t="n"/>
      <c r="B1128" s="4" t="n"/>
      <c r="C1128" s="4" t="n"/>
      <c r="D1128" s="4" t="n"/>
    </row>
    <row r="1129">
      <c r="A1129" s="6" t="n"/>
      <c r="B1129" s="4" t="n"/>
      <c r="C1129" s="4" t="n"/>
      <c r="D1129" s="4" t="n"/>
    </row>
    <row r="1130">
      <c r="A1130" s="6" t="n"/>
      <c r="B1130" s="4" t="n"/>
      <c r="C1130" s="4" t="n"/>
      <c r="D1130" s="4" t="n"/>
    </row>
    <row r="1131">
      <c r="A1131" s="6" t="n"/>
      <c r="B1131" s="4" t="n"/>
      <c r="C1131" s="4" t="n"/>
      <c r="D1131" s="4" t="n"/>
    </row>
    <row r="1132">
      <c r="A1132" s="6" t="n"/>
      <c r="B1132" s="4" t="n"/>
      <c r="C1132" s="4" t="n"/>
      <c r="D1132" s="4" t="n"/>
    </row>
    <row r="1133">
      <c r="A1133" s="6" t="n"/>
      <c r="B1133" s="4" t="n"/>
      <c r="C1133" s="4" t="n"/>
      <c r="D1133" s="4" t="n"/>
    </row>
    <row r="1134">
      <c r="A1134" s="6" t="n"/>
      <c r="B1134" s="4" t="n"/>
      <c r="C1134" s="4" t="n"/>
      <c r="D1134" s="4" t="n"/>
    </row>
    <row r="1135">
      <c r="A1135" s="6" t="n"/>
      <c r="B1135" s="4" t="n"/>
      <c r="C1135" s="4" t="n"/>
      <c r="D1135" s="4" t="n"/>
    </row>
    <row r="1136">
      <c r="A1136" s="6" t="n"/>
      <c r="B1136" s="4" t="n"/>
      <c r="C1136" s="4" t="n"/>
      <c r="D1136" s="4" t="n"/>
    </row>
    <row r="1137">
      <c r="A1137" s="6" t="n"/>
      <c r="B1137" s="4" t="n"/>
      <c r="C1137" s="4" t="n"/>
      <c r="D1137" s="4" t="n"/>
    </row>
    <row r="1138">
      <c r="A1138" s="6" t="n"/>
      <c r="B1138" s="4" t="n"/>
      <c r="C1138" s="4" t="n"/>
      <c r="D1138" s="4" t="n"/>
    </row>
    <row r="1139">
      <c r="A1139" s="6" t="n"/>
      <c r="B1139" s="4" t="n"/>
      <c r="C1139" s="4" t="n"/>
      <c r="D1139" s="4" t="n"/>
    </row>
    <row r="1140">
      <c r="A1140" s="6" t="n"/>
      <c r="B1140" s="4" t="n"/>
      <c r="C1140" s="4" t="n"/>
      <c r="D1140" s="4" t="n"/>
    </row>
    <row r="1141">
      <c r="A1141" s="6" t="n"/>
      <c r="B1141" s="4" t="n"/>
      <c r="C1141" s="4" t="n"/>
      <c r="D1141" s="4" t="n"/>
    </row>
    <row r="1142">
      <c r="A1142" s="6" t="n"/>
      <c r="B1142" s="4" t="n"/>
      <c r="C1142" s="4" t="n"/>
      <c r="D1142" s="4" t="n"/>
    </row>
    <row r="1143">
      <c r="A1143" s="6" t="n"/>
      <c r="B1143" s="4" t="n"/>
      <c r="C1143" s="4" t="n"/>
      <c r="D1143" s="4" t="n"/>
    </row>
    <row r="1144">
      <c r="A1144" s="6" t="n"/>
      <c r="B1144" s="4" t="n"/>
      <c r="C1144" s="4" t="n"/>
      <c r="D1144" s="4" t="n"/>
    </row>
    <row r="1145">
      <c r="A1145" s="6" t="n"/>
      <c r="B1145" s="4" t="n"/>
      <c r="C1145" s="4" t="n"/>
      <c r="D1145" s="4" t="n"/>
    </row>
    <row r="1146">
      <c r="A1146" s="6" t="n"/>
      <c r="B1146" s="4" t="n"/>
      <c r="C1146" s="4" t="n"/>
      <c r="D1146" s="4" t="n"/>
    </row>
    <row r="1147">
      <c r="A1147" s="6" t="n"/>
      <c r="B1147" s="4" t="n"/>
      <c r="C1147" s="4" t="n"/>
      <c r="D1147" s="4" t="n"/>
    </row>
    <row r="1148">
      <c r="A1148" s="6" t="n"/>
      <c r="B1148" s="4" t="n"/>
      <c r="C1148" s="4" t="n"/>
      <c r="D1148" s="4" t="n"/>
    </row>
    <row r="1149">
      <c r="A1149" s="6" t="n"/>
      <c r="B1149" s="4" t="n"/>
      <c r="C1149" s="4" t="n"/>
      <c r="D1149" s="4" t="n"/>
    </row>
    <row r="1150">
      <c r="A1150" s="6" t="n"/>
      <c r="B1150" s="4" t="n"/>
      <c r="C1150" s="4" t="n"/>
      <c r="D1150" s="4" t="n"/>
    </row>
    <row r="1151">
      <c r="A1151" s="6" t="n"/>
      <c r="B1151" s="4" t="n"/>
      <c r="C1151" s="4" t="n"/>
      <c r="D1151" s="4" t="n"/>
    </row>
    <row r="1152">
      <c r="A1152" s="6" t="n"/>
      <c r="B1152" s="4" t="n"/>
      <c r="C1152" s="4" t="n"/>
      <c r="D1152" s="4" t="n"/>
    </row>
    <row r="1153">
      <c r="A1153" s="6" t="n"/>
      <c r="B1153" s="4" t="n"/>
      <c r="C1153" s="4" t="n"/>
      <c r="D1153" s="4" t="n"/>
    </row>
    <row r="1154">
      <c r="A1154" s="6" t="n"/>
      <c r="B1154" s="4" t="n"/>
      <c r="C1154" s="4" t="n"/>
      <c r="D1154" s="4" t="n"/>
    </row>
    <row r="1155">
      <c r="A1155" s="6" t="n"/>
      <c r="B1155" s="4" t="n"/>
      <c r="C1155" s="4" t="n"/>
      <c r="D1155" s="4" t="n"/>
    </row>
    <row r="1156">
      <c r="A1156" s="6" t="n"/>
      <c r="B1156" s="4" t="n"/>
      <c r="C1156" s="4" t="n"/>
      <c r="D1156" s="4" t="n"/>
    </row>
    <row r="1157">
      <c r="A1157" s="6" t="n"/>
      <c r="B1157" s="4" t="n"/>
      <c r="C1157" s="4" t="n"/>
      <c r="D1157" s="4" t="n"/>
    </row>
    <row r="1158">
      <c r="A1158" s="6" t="n"/>
      <c r="B1158" s="4" t="n"/>
      <c r="C1158" s="4" t="n"/>
      <c r="D1158" s="4" t="n"/>
    </row>
    <row r="1159">
      <c r="A1159" s="6" t="n"/>
      <c r="B1159" s="4" t="n"/>
      <c r="C1159" s="4" t="n"/>
      <c r="D1159" s="4" t="n"/>
    </row>
    <row r="1160">
      <c r="A1160" s="6" t="n"/>
      <c r="B1160" s="4" t="n"/>
      <c r="C1160" s="4" t="n"/>
      <c r="D1160" s="4" t="n"/>
    </row>
    <row r="1161">
      <c r="A1161" s="6" t="n"/>
      <c r="B1161" s="4" t="n"/>
      <c r="C1161" s="4" t="n"/>
      <c r="D1161" s="4" t="n"/>
    </row>
    <row r="1162">
      <c r="A1162" s="6" t="n"/>
      <c r="B1162" s="4" t="n"/>
      <c r="C1162" s="4" t="n"/>
      <c r="D1162" s="4" t="n"/>
    </row>
    <row r="1163">
      <c r="A1163" s="6" t="n"/>
      <c r="B1163" s="4" t="n"/>
      <c r="C1163" s="4" t="n"/>
      <c r="D1163" s="4" t="n"/>
    </row>
    <row r="1164">
      <c r="A1164" s="6" t="n"/>
      <c r="B1164" s="4" t="n"/>
      <c r="C1164" s="4" t="n"/>
      <c r="D1164" s="4" t="n"/>
    </row>
    <row r="1165">
      <c r="A1165" s="6" t="n"/>
      <c r="B1165" s="4" t="n"/>
      <c r="C1165" s="4" t="n"/>
      <c r="D1165" s="4" t="n"/>
    </row>
    <row r="1166">
      <c r="A1166" s="6" t="n"/>
      <c r="B1166" s="4" t="n"/>
      <c r="C1166" s="4" t="n"/>
      <c r="D1166" s="4" t="n"/>
    </row>
    <row r="1167">
      <c r="A1167" s="6" t="n"/>
      <c r="B1167" s="4" t="n"/>
      <c r="C1167" s="4" t="n"/>
      <c r="D1167" s="4" t="n"/>
    </row>
    <row r="1168">
      <c r="A1168" s="6" t="n"/>
      <c r="B1168" s="4" t="n"/>
      <c r="C1168" s="4" t="n"/>
      <c r="D1168" s="4" t="n"/>
    </row>
    <row r="1169">
      <c r="A1169" s="6" t="n"/>
      <c r="B1169" s="4" t="n"/>
      <c r="C1169" s="4" t="n"/>
      <c r="D1169" s="4" t="n"/>
    </row>
    <row r="1170">
      <c r="A1170" s="6" t="n"/>
      <c r="B1170" s="4" t="n"/>
      <c r="C1170" s="4" t="n"/>
      <c r="D1170" s="4" t="n"/>
    </row>
    <row r="1171">
      <c r="A1171" s="6" t="n"/>
      <c r="B1171" s="4" t="n"/>
      <c r="C1171" s="4" t="n"/>
      <c r="D1171" s="4" t="n"/>
    </row>
    <row r="1172">
      <c r="A1172" s="6" t="n"/>
      <c r="B1172" s="4" t="n"/>
      <c r="C1172" s="4" t="n"/>
      <c r="D1172" s="4" t="n"/>
    </row>
    <row r="1173">
      <c r="A1173" s="6" t="n"/>
      <c r="B1173" s="4" t="n"/>
      <c r="C1173" s="4" t="n"/>
      <c r="D1173" s="4" t="n"/>
    </row>
    <row r="1174">
      <c r="A1174" s="6" t="n"/>
      <c r="B1174" s="4" t="n"/>
      <c r="C1174" s="4" t="n"/>
      <c r="D1174" s="4" t="n"/>
    </row>
    <row r="1175">
      <c r="A1175" s="6" t="n"/>
      <c r="B1175" s="4" t="n"/>
      <c r="C1175" s="4" t="n"/>
      <c r="D1175" s="4" t="n"/>
    </row>
    <row r="1176">
      <c r="A1176" s="6" t="n"/>
      <c r="B1176" s="4" t="n"/>
      <c r="C1176" s="4" t="n"/>
      <c r="D1176" s="4" t="n"/>
    </row>
    <row r="1177">
      <c r="A1177" s="6" t="n"/>
      <c r="B1177" s="4" t="n"/>
      <c r="C1177" s="4" t="n"/>
      <c r="D1177" s="4" t="n"/>
    </row>
    <row r="1178">
      <c r="A1178" s="6" t="n"/>
      <c r="B1178" s="4" t="n"/>
      <c r="C1178" s="4" t="n"/>
      <c r="D1178" s="4" t="n"/>
    </row>
    <row r="1179">
      <c r="A1179" s="6" t="n"/>
      <c r="B1179" s="4" t="n"/>
      <c r="C1179" s="4" t="n"/>
      <c r="D1179" s="4" t="n"/>
    </row>
    <row r="1180">
      <c r="A1180" s="6" t="n"/>
      <c r="B1180" s="4" t="n"/>
      <c r="C1180" s="4" t="n"/>
      <c r="D1180" s="4" t="n"/>
    </row>
    <row r="1181">
      <c r="A1181" s="6" t="n"/>
      <c r="B1181" s="4" t="n"/>
      <c r="C1181" s="4" t="n"/>
      <c r="D1181" s="4" t="n"/>
    </row>
    <row r="1182">
      <c r="A1182" s="6" t="n"/>
      <c r="B1182" s="4" t="n"/>
      <c r="C1182" s="4" t="n"/>
      <c r="D1182" s="4" t="n"/>
    </row>
    <row r="1183">
      <c r="A1183" s="6" t="n"/>
      <c r="B1183" s="4" t="n"/>
      <c r="C1183" s="4" t="n"/>
      <c r="D1183" s="4" t="n"/>
    </row>
    <row r="1184">
      <c r="A1184" s="6" t="n"/>
      <c r="B1184" s="4" t="n"/>
      <c r="C1184" s="4" t="n"/>
      <c r="D1184" s="4" t="n"/>
    </row>
    <row r="1185">
      <c r="A1185" s="6" t="n"/>
      <c r="B1185" s="4" t="n"/>
      <c r="C1185" s="4" t="n"/>
      <c r="D1185" s="4" t="n"/>
    </row>
    <row r="1186">
      <c r="A1186" s="6" t="n"/>
      <c r="B1186" s="4" t="n"/>
      <c r="C1186" s="4" t="n"/>
      <c r="D1186" s="4" t="n"/>
    </row>
    <row r="1187">
      <c r="A1187" s="6" t="n"/>
      <c r="B1187" s="4" t="n"/>
      <c r="C1187" s="4" t="n"/>
      <c r="D1187" s="4" t="n"/>
    </row>
    <row r="1188">
      <c r="A1188" s="6" t="n"/>
      <c r="B1188" s="4" t="n"/>
      <c r="C1188" s="4" t="n"/>
      <c r="D1188" s="4" t="n"/>
    </row>
    <row r="1189">
      <c r="A1189" s="6" t="n"/>
      <c r="B1189" s="4" t="n"/>
      <c r="C1189" s="4" t="n"/>
      <c r="D1189" s="4" t="n"/>
    </row>
    <row r="1190">
      <c r="A1190" s="6" t="n"/>
      <c r="B1190" s="4" t="n"/>
      <c r="C1190" s="4" t="n"/>
      <c r="D1190" s="4" t="n"/>
    </row>
    <row r="1191">
      <c r="A1191" s="6" t="n"/>
      <c r="B1191" s="4" t="n"/>
      <c r="C1191" s="4" t="n"/>
      <c r="D1191" s="4" t="n"/>
    </row>
    <row r="1192">
      <c r="A1192" s="6" t="n"/>
      <c r="B1192" s="4" t="n"/>
      <c r="C1192" s="4" t="n"/>
      <c r="D1192" s="4" t="n"/>
    </row>
    <row r="1193">
      <c r="A1193" s="6" t="n"/>
      <c r="B1193" s="4" t="n"/>
      <c r="C1193" s="4" t="n"/>
      <c r="D1193" s="4" t="n"/>
    </row>
    <row r="1194">
      <c r="A1194" s="6" t="n"/>
      <c r="B1194" s="4" t="n"/>
      <c r="C1194" s="4" t="n"/>
      <c r="D1194" s="4" t="n"/>
    </row>
    <row r="1195">
      <c r="A1195" s="6" t="n"/>
      <c r="B1195" s="4" t="n"/>
      <c r="C1195" s="4" t="n"/>
      <c r="D1195" s="4" t="n"/>
    </row>
    <row r="1196">
      <c r="A1196" s="6" t="n"/>
      <c r="B1196" s="4" t="n"/>
      <c r="C1196" s="4" t="n"/>
      <c r="D1196" s="4" t="n"/>
    </row>
    <row r="1197">
      <c r="A1197" s="6" t="n"/>
      <c r="B1197" s="4" t="n"/>
      <c r="C1197" s="4" t="n"/>
      <c r="D1197" s="4" t="n"/>
    </row>
    <row r="1198">
      <c r="A1198" s="6" t="n"/>
      <c r="B1198" s="4" t="n"/>
      <c r="C1198" s="4" t="n"/>
      <c r="D1198" s="4" t="n"/>
    </row>
    <row r="1199">
      <c r="A1199" s="6" t="n"/>
      <c r="B1199" s="4" t="n"/>
      <c r="C1199" s="4" t="n"/>
      <c r="D1199" s="4" t="n"/>
    </row>
    <row r="1200">
      <c r="A1200" s="6" t="n"/>
      <c r="B1200" s="4" t="n"/>
      <c r="C1200" s="4" t="n"/>
      <c r="D1200" s="4" t="n"/>
    </row>
    <row r="1201">
      <c r="A1201" s="6" t="n"/>
      <c r="B1201" s="4" t="n"/>
      <c r="C1201" s="4" t="n"/>
      <c r="D1201" s="4" t="n"/>
    </row>
    <row r="1202">
      <c r="A1202" s="6" t="n"/>
      <c r="B1202" s="4" t="n"/>
      <c r="C1202" s="4" t="n"/>
      <c r="D1202" s="4" t="n"/>
    </row>
    <row r="1203">
      <c r="A1203" s="6" t="n"/>
      <c r="B1203" s="4" t="n"/>
      <c r="C1203" s="4" t="n"/>
      <c r="D1203" s="4" t="n"/>
    </row>
    <row r="1204">
      <c r="A1204" s="6" t="n"/>
      <c r="B1204" s="4" t="n"/>
      <c r="C1204" s="4" t="n"/>
      <c r="D1204" s="4" t="n"/>
    </row>
    <row r="1205">
      <c r="A1205" s="6" t="n"/>
      <c r="B1205" s="4" t="n"/>
      <c r="C1205" s="4" t="n"/>
      <c r="D1205" s="4" t="n"/>
    </row>
    <row r="1206">
      <c r="A1206" s="6" t="n"/>
      <c r="B1206" s="4" t="n"/>
      <c r="C1206" s="4" t="n"/>
      <c r="D1206" s="4" t="n"/>
    </row>
    <row r="1207">
      <c r="A1207" s="6" t="n"/>
      <c r="B1207" s="4" t="n"/>
      <c r="C1207" s="4" t="n"/>
      <c r="D1207" s="4" t="n"/>
    </row>
    <row r="1208">
      <c r="A1208" s="6" t="n"/>
      <c r="B1208" s="4" t="n"/>
      <c r="C1208" s="4" t="n"/>
      <c r="D1208" s="4" t="n"/>
    </row>
    <row r="1209">
      <c r="A1209" s="6" t="n"/>
      <c r="B1209" s="4" t="n"/>
      <c r="C1209" s="4" t="n"/>
      <c r="D1209" s="4" t="n"/>
    </row>
    <row r="1210">
      <c r="A1210" s="6" t="n"/>
      <c r="B1210" s="4" t="n"/>
      <c r="C1210" s="4" t="n"/>
      <c r="D1210" s="4" t="n"/>
    </row>
    <row r="1211">
      <c r="A1211" s="6" t="n"/>
      <c r="B1211" s="4" t="n"/>
      <c r="C1211" s="4" t="n"/>
      <c r="D1211" s="4" t="n"/>
    </row>
    <row r="1212">
      <c r="A1212" s="6" t="n"/>
      <c r="B1212" s="4" t="n"/>
      <c r="C1212" s="4" t="n"/>
      <c r="D1212" s="4" t="n"/>
    </row>
    <row r="1213">
      <c r="A1213" s="6" t="n"/>
      <c r="B1213" s="4" t="n"/>
      <c r="C1213" s="4" t="n"/>
      <c r="D1213" s="4" t="n"/>
    </row>
    <row r="1214">
      <c r="A1214" s="6" t="n"/>
      <c r="B1214" s="4" t="n"/>
      <c r="C1214" s="4" t="n"/>
      <c r="D1214" s="4" t="n"/>
    </row>
    <row r="1215">
      <c r="A1215" s="6" t="n"/>
      <c r="B1215" s="4" t="n"/>
      <c r="C1215" s="4" t="n"/>
      <c r="D1215" s="4" t="n"/>
    </row>
    <row r="1216">
      <c r="A1216" s="6" t="n"/>
      <c r="B1216" s="4" t="n"/>
      <c r="C1216" s="4" t="n"/>
      <c r="D1216" s="4" t="n"/>
    </row>
    <row r="1217">
      <c r="A1217" s="6" t="n"/>
      <c r="B1217" s="4" t="n"/>
      <c r="C1217" s="4" t="n"/>
      <c r="D1217" s="4" t="n"/>
    </row>
    <row r="1218">
      <c r="A1218" s="6" t="n"/>
      <c r="B1218" s="4" t="n"/>
      <c r="C1218" s="4" t="n"/>
      <c r="D1218" s="4" t="n"/>
    </row>
    <row r="1219">
      <c r="A1219" s="6" t="n"/>
      <c r="B1219" s="4" t="n"/>
      <c r="C1219" s="4" t="n"/>
      <c r="D1219" s="4" t="n"/>
    </row>
    <row r="1220">
      <c r="A1220" s="6" t="n"/>
      <c r="B1220" s="4" t="n"/>
      <c r="C1220" s="4" t="n"/>
      <c r="D1220" s="4" t="n"/>
    </row>
    <row r="1221">
      <c r="A1221" s="6" t="n"/>
      <c r="B1221" s="4" t="n"/>
      <c r="C1221" s="4" t="n"/>
      <c r="D1221" s="4" t="n"/>
    </row>
    <row r="1222">
      <c r="A1222" s="6" t="n"/>
      <c r="B1222" s="4" t="n"/>
      <c r="C1222" s="4" t="n"/>
      <c r="D1222" s="4" t="n"/>
    </row>
    <row r="1223">
      <c r="A1223" s="6" t="n"/>
      <c r="B1223" s="4" t="n"/>
      <c r="C1223" s="4" t="n"/>
      <c r="D1223" s="4" t="n"/>
    </row>
    <row r="1224">
      <c r="A1224" s="6" t="n"/>
      <c r="B1224" s="4" t="n"/>
      <c r="C1224" s="4" t="n"/>
      <c r="D1224" s="4" t="n"/>
    </row>
    <row r="1225">
      <c r="A1225" s="6" t="n"/>
      <c r="B1225" s="4" t="n"/>
      <c r="C1225" s="4" t="n"/>
      <c r="D1225" s="4" t="n"/>
    </row>
    <row r="1226">
      <c r="A1226" s="6" t="n"/>
      <c r="B1226" s="4" t="n"/>
      <c r="C1226" s="4" t="n"/>
      <c r="D1226" s="4" t="n"/>
    </row>
    <row r="1227">
      <c r="A1227" s="6" t="n"/>
      <c r="B1227" s="4" t="n"/>
      <c r="C1227" s="4" t="n"/>
      <c r="D1227" s="4" t="n"/>
    </row>
    <row r="1228">
      <c r="A1228" s="6" t="n"/>
      <c r="B1228" s="4" t="n"/>
      <c r="C1228" s="4" t="n"/>
      <c r="D1228" s="4" t="n"/>
    </row>
    <row r="1229">
      <c r="A1229" s="6" t="n"/>
      <c r="B1229" s="4" t="n"/>
      <c r="C1229" s="4" t="n"/>
      <c r="D1229" s="4" t="n"/>
    </row>
    <row r="1230">
      <c r="A1230" s="6" t="n"/>
      <c r="B1230" s="4" t="n"/>
      <c r="C1230" s="4" t="n"/>
      <c r="D1230" s="4" t="n"/>
    </row>
    <row r="1231">
      <c r="A1231" s="6" t="n"/>
      <c r="B1231" s="4" t="n"/>
      <c r="C1231" s="4" t="n"/>
      <c r="D1231" s="4" t="n"/>
    </row>
    <row r="1232">
      <c r="A1232" s="6" t="n"/>
      <c r="B1232" s="4" t="n"/>
      <c r="C1232" s="4" t="n"/>
      <c r="D1232" s="4" t="n"/>
    </row>
    <row r="1233">
      <c r="A1233" s="6" t="n"/>
      <c r="B1233" s="4" t="n"/>
      <c r="C1233" s="4" t="n"/>
      <c r="D1233" s="4" t="n"/>
    </row>
    <row r="1234">
      <c r="A1234" s="6" t="n"/>
      <c r="B1234" s="4" t="n"/>
      <c r="C1234" s="4" t="n"/>
      <c r="D1234" s="4" t="n"/>
    </row>
    <row r="1235">
      <c r="A1235" s="6" t="n"/>
      <c r="B1235" s="4" t="n"/>
      <c r="C1235" s="4" t="n"/>
      <c r="D1235" s="4" t="n"/>
    </row>
    <row r="1236">
      <c r="A1236" s="6" t="n"/>
      <c r="B1236" s="4" t="n"/>
      <c r="C1236" s="4" t="n"/>
      <c r="D1236" s="4" t="n"/>
    </row>
    <row r="1237">
      <c r="A1237" s="6" t="n"/>
      <c r="B1237" s="4" t="n"/>
      <c r="C1237" s="4" t="n"/>
      <c r="D1237" s="4" t="n"/>
    </row>
    <row r="1238">
      <c r="A1238" s="6" t="n"/>
      <c r="B1238" s="4" t="n"/>
      <c r="C1238" s="4" t="n"/>
      <c r="D1238" s="4" t="n"/>
    </row>
    <row r="1239">
      <c r="A1239" s="6" t="n"/>
      <c r="B1239" s="4" t="n"/>
      <c r="C1239" s="4" t="n"/>
      <c r="D1239" s="4" t="n"/>
    </row>
    <row r="1240">
      <c r="A1240" s="6" t="n"/>
      <c r="B1240" s="4" t="n"/>
      <c r="C1240" s="4" t="n"/>
      <c r="D1240" s="4" t="n"/>
    </row>
    <row r="1241">
      <c r="A1241" s="6" t="n"/>
      <c r="B1241" s="4" t="n"/>
      <c r="C1241" s="4" t="n"/>
      <c r="D1241" s="4" t="n"/>
    </row>
    <row r="1242">
      <c r="A1242" s="6" t="n"/>
      <c r="B1242" s="4" t="n"/>
      <c r="C1242" s="4" t="n"/>
      <c r="D1242" s="4" t="n"/>
    </row>
    <row r="1243">
      <c r="A1243" s="6" t="n"/>
      <c r="B1243" s="4" t="n"/>
      <c r="C1243" s="4" t="n"/>
      <c r="D1243" s="4" t="n"/>
    </row>
    <row r="1244">
      <c r="A1244" s="6" t="n"/>
      <c r="B1244" s="4" t="n"/>
      <c r="C1244" s="4" t="n"/>
      <c r="D1244" s="4" t="n"/>
    </row>
    <row r="1245">
      <c r="A1245" s="6" t="n"/>
      <c r="B1245" s="4" t="n"/>
      <c r="C1245" s="4" t="n"/>
      <c r="D1245" s="4" t="n"/>
    </row>
    <row r="1246">
      <c r="A1246" s="6" t="n"/>
      <c r="B1246" s="4" t="n"/>
      <c r="C1246" s="4" t="n"/>
      <c r="D1246" s="4" t="n"/>
    </row>
    <row r="1247">
      <c r="A1247" s="6" t="n"/>
      <c r="B1247" s="4" t="n"/>
      <c r="C1247" s="4" t="n"/>
      <c r="D1247" s="4" t="n"/>
    </row>
    <row r="1248">
      <c r="A1248" s="6" t="n"/>
      <c r="B1248" s="4" t="n"/>
      <c r="C1248" s="4" t="n"/>
      <c r="D1248" s="4" t="n"/>
    </row>
    <row r="1249">
      <c r="A1249" s="6" t="n"/>
      <c r="B1249" s="4" t="n"/>
      <c r="C1249" s="4" t="n"/>
      <c r="D1249" s="4" t="n"/>
    </row>
    <row r="1250">
      <c r="A1250" s="6" t="n"/>
      <c r="B1250" s="4" t="n"/>
      <c r="C1250" s="4" t="n"/>
      <c r="D1250" s="4" t="n"/>
    </row>
    <row r="1251">
      <c r="A1251" s="6" t="n"/>
      <c r="B1251" s="4" t="n"/>
      <c r="C1251" s="4" t="n"/>
      <c r="D1251" s="4" t="n"/>
    </row>
    <row r="1252">
      <c r="A1252" s="6" t="n"/>
      <c r="B1252" s="4" t="n"/>
      <c r="C1252" s="4" t="n"/>
      <c r="D1252" s="4" t="n"/>
    </row>
    <row r="1253">
      <c r="A1253" s="6" t="n"/>
      <c r="B1253" s="4" t="n"/>
      <c r="C1253" s="4" t="n"/>
      <c r="D1253" s="4" t="n"/>
    </row>
    <row r="1254">
      <c r="A1254" s="6" t="n"/>
      <c r="B1254" s="4" t="n"/>
      <c r="C1254" s="4" t="n"/>
      <c r="D1254" s="4" t="n"/>
    </row>
    <row r="1255">
      <c r="A1255" s="6" t="n"/>
      <c r="B1255" s="4" t="n"/>
      <c r="C1255" s="4" t="n"/>
      <c r="D1255" s="4" t="n"/>
    </row>
    <row r="1256">
      <c r="A1256" s="6" t="n"/>
      <c r="B1256" s="4" t="n"/>
      <c r="C1256" s="4" t="n"/>
      <c r="D1256" s="4" t="n"/>
    </row>
    <row r="1257">
      <c r="A1257" s="6" t="n"/>
      <c r="B1257" s="4" t="n"/>
      <c r="C1257" s="4" t="n"/>
      <c r="D1257" s="4" t="n"/>
    </row>
    <row r="1258">
      <c r="A1258" s="6" t="n"/>
      <c r="B1258" s="4" t="n"/>
      <c r="C1258" s="4" t="n"/>
      <c r="D1258" s="4" t="n"/>
    </row>
    <row r="1259">
      <c r="A1259" s="6" t="n"/>
      <c r="B1259" s="4" t="n"/>
      <c r="C1259" s="4" t="n"/>
      <c r="D1259" s="4" t="n"/>
    </row>
    <row r="1260">
      <c r="A1260" s="6" t="n"/>
      <c r="B1260" s="4" t="n"/>
      <c r="C1260" s="4" t="n"/>
      <c r="D1260" s="4" t="n"/>
    </row>
    <row r="1261">
      <c r="A1261" s="6" t="n"/>
      <c r="B1261" s="4" t="n"/>
      <c r="C1261" s="4" t="n"/>
      <c r="D1261" s="4" t="n"/>
    </row>
    <row r="1262">
      <c r="A1262" s="6" t="n"/>
      <c r="B1262" s="4" t="n"/>
      <c r="C1262" s="4" t="n"/>
      <c r="D1262" s="4" t="n"/>
    </row>
    <row r="1263">
      <c r="A1263" s="6" t="n"/>
      <c r="B1263" s="4" t="n"/>
      <c r="C1263" s="4" t="n"/>
      <c r="D1263" s="4" t="n"/>
    </row>
    <row r="1264">
      <c r="A1264" s="6" t="n"/>
      <c r="B1264" s="4" t="n"/>
      <c r="C1264" s="4" t="n"/>
      <c r="D1264" s="4" t="n"/>
    </row>
    <row r="1265">
      <c r="A1265" s="6" t="n"/>
      <c r="B1265" s="4" t="n"/>
      <c r="C1265" s="4" t="n"/>
      <c r="D1265" s="4" t="n"/>
    </row>
    <row r="1266">
      <c r="A1266" s="6" t="n"/>
      <c r="B1266" s="4" t="n"/>
      <c r="C1266" s="4" t="n"/>
      <c r="D1266" s="4" t="n"/>
    </row>
    <row r="1267">
      <c r="A1267" s="6" t="n"/>
      <c r="B1267" s="4" t="n"/>
      <c r="C1267" s="4" t="n"/>
      <c r="D1267" s="4" t="n"/>
    </row>
    <row r="1268">
      <c r="A1268" s="6" t="n"/>
      <c r="B1268" s="4" t="n"/>
      <c r="C1268" s="4" t="n"/>
      <c r="D1268" s="4" t="n"/>
    </row>
    <row r="1269">
      <c r="A1269" s="6" t="n"/>
      <c r="B1269" s="4" t="n"/>
      <c r="C1269" s="4" t="n"/>
      <c r="D1269" s="4" t="n"/>
    </row>
    <row r="1270">
      <c r="A1270" s="6" t="n"/>
      <c r="B1270" s="4" t="n"/>
      <c r="C1270" s="4" t="n"/>
      <c r="D1270" s="4" t="n"/>
    </row>
    <row r="1271">
      <c r="A1271" s="6" t="n"/>
      <c r="B1271" s="4" t="n"/>
      <c r="C1271" s="4" t="n"/>
      <c r="D1271" s="4" t="n"/>
    </row>
    <row r="1272">
      <c r="A1272" s="6" t="n"/>
      <c r="B1272" s="4" t="n"/>
      <c r="C1272" s="4" t="n"/>
      <c r="D1272" s="4" t="n"/>
    </row>
    <row r="1273">
      <c r="A1273" s="6" t="n"/>
      <c r="B1273" s="4" t="n"/>
      <c r="C1273" s="4" t="n"/>
      <c r="D1273" s="4" t="n"/>
    </row>
    <row r="1274">
      <c r="A1274" s="6" t="n"/>
      <c r="B1274" s="4" t="n"/>
      <c r="C1274" s="4" t="n"/>
      <c r="D1274" s="4" t="n"/>
    </row>
    <row r="1275">
      <c r="A1275" s="6" t="n"/>
      <c r="B1275" s="4" t="n"/>
      <c r="C1275" s="4" t="n"/>
      <c r="D1275" s="4" t="n"/>
    </row>
    <row r="1276">
      <c r="A1276" s="6" t="n"/>
      <c r="B1276" s="4" t="n"/>
      <c r="C1276" s="4" t="n"/>
      <c r="D1276" s="4" t="n"/>
    </row>
    <row r="1277">
      <c r="A1277" s="6" t="n"/>
      <c r="B1277" s="4" t="n"/>
      <c r="C1277" s="4" t="n"/>
      <c r="D1277" s="4" t="n"/>
    </row>
    <row r="1278">
      <c r="A1278" s="6" t="n"/>
      <c r="B1278" s="4" t="n"/>
      <c r="C1278" s="4" t="n"/>
      <c r="D1278" s="4" t="n"/>
    </row>
    <row r="1279">
      <c r="A1279" s="6" t="n"/>
      <c r="B1279" s="4" t="n"/>
      <c r="C1279" s="4" t="n"/>
      <c r="D1279" s="4" t="n"/>
    </row>
    <row r="1280">
      <c r="A1280" s="6" t="n"/>
      <c r="B1280" s="4" t="n"/>
      <c r="C1280" s="4" t="n"/>
      <c r="D1280" s="4" t="n"/>
    </row>
    <row r="1281">
      <c r="A1281" s="6" t="n"/>
      <c r="B1281" s="4" t="n"/>
      <c r="C1281" s="4" t="n"/>
      <c r="D1281" s="4" t="n"/>
    </row>
    <row r="1282">
      <c r="A1282" s="6" t="n"/>
      <c r="B1282" s="4" t="n"/>
      <c r="C1282" s="4" t="n"/>
      <c r="D1282" s="4" t="n"/>
    </row>
    <row r="1283">
      <c r="A1283" s="6" t="n"/>
      <c r="B1283" s="4" t="n"/>
      <c r="C1283" s="4" t="n"/>
      <c r="D1283" s="4" t="n"/>
    </row>
    <row r="1284">
      <c r="A1284" s="6" t="n"/>
      <c r="B1284" s="4" t="n"/>
      <c r="C1284" s="4" t="n"/>
      <c r="D1284" s="4" t="n"/>
    </row>
    <row r="1285">
      <c r="A1285" s="6" t="n"/>
      <c r="B1285" s="4" t="n"/>
      <c r="C1285" s="4" t="n"/>
      <c r="D1285" s="4" t="n"/>
    </row>
    <row r="1286">
      <c r="A1286" s="6" t="n"/>
      <c r="B1286" s="4" t="n"/>
      <c r="C1286" s="4" t="n"/>
      <c r="D1286" s="4" t="n"/>
    </row>
    <row r="1287">
      <c r="A1287" s="6" t="n"/>
      <c r="B1287" s="4" t="n"/>
      <c r="C1287" s="4" t="n"/>
      <c r="D1287" s="4" t="n"/>
    </row>
    <row r="1288">
      <c r="A1288" s="6" t="n"/>
      <c r="B1288" s="4" t="n"/>
      <c r="C1288" s="4" t="n"/>
      <c r="D1288" s="4" t="n"/>
    </row>
    <row r="1289">
      <c r="A1289" s="6" t="n"/>
      <c r="B1289" s="4" t="n"/>
      <c r="C1289" s="4" t="n"/>
      <c r="D1289" s="4" t="n"/>
    </row>
    <row r="1290">
      <c r="A1290" s="6" t="n"/>
      <c r="B1290" s="4" t="n"/>
      <c r="C1290" s="4" t="n"/>
      <c r="D1290" s="4" t="n"/>
    </row>
    <row r="1291">
      <c r="A1291" s="6" t="n"/>
      <c r="B1291" s="4" t="n"/>
      <c r="C1291" s="4" t="n"/>
      <c r="D1291" s="4" t="n"/>
    </row>
    <row r="1292">
      <c r="A1292" s="6" t="n"/>
      <c r="B1292" s="4" t="n"/>
      <c r="C1292" s="4" t="n"/>
      <c r="D1292" s="4" t="n"/>
    </row>
    <row r="1293">
      <c r="A1293" s="6" t="n"/>
      <c r="B1293" s="4" t="n"/>
      <c r="C1293" s="4" t="n"/>
      <c r="D1293" s="4" t="n"/>
    </row>
    <row r="1294">
      <c r="A1294" s="6" t="n"/>
      <c r="B1294" s="4" t="n"/>
      <c r="C1294" s="4" t="n"/>
      <c r="D1294" s="4" t="n"/>
    </row>
    <row r="1295">
      <c r="A1295" s="6" t="n"/>
      <c r="B1295" s="4" t="n"/>
      <c r="C1295" s="4" t="n"/>
      <c r="D1295" s="4" t="n"/>
    </row>
    <row r="1296">
      <c r="A1296" s="6" t="n"/>
      <c r="B1296" s="4" t="n"/>
      <c r="C1296" s="4" t="n"/>
      <c r="D1296" s="4" t="n"/>
    </row>
    <row r="1297">
      <c r="A1297" s="6" t="n"/>
      <c r="B1297" s="4" t="n"/>
      <c r="C1297" s="4" t="n"/>
      <c r="D1297" s="4" t="n"/>
    </row>
    <row r="1298">
      <c r="A1298" s="6" t="n"/>
      <c r="B1298" s="4" t="n"/>
      <c r="C1298" s="4" t="n"/>
      <c r="D1298" s="4" t="n"/>
    </row>
    <row r="1299">
      <c r="A1299" s="6" t="n"/>
      <c r="B1299" s="4" t="n"/>
      <c r="C1299" s="4" t="n"/>
      <c r="D1299" s="4" t="n"/>
    </row>
    <row r="1300">
      <c r="A1300" s="6" t="n"/>
      <c r="B1300" s="4" t="n"/>
      <c r="C1300" s="4" t="n"/>
      <c r="D1300" s="4" t="n"/>
    </row>
    <row r="1301">
      <c r="A1301" s="6" t="n"/>
      <c r="B1301" s="4" t="n"/>
      <c r="C1301" s="4" t="n"/>
      <c r="D1301" s="4" t="n"/>
    </row>
    <row r="1302">
      <c r="A1302" s="6" t="n"/>
      <c r="B1302" s="4" t="n"/>
      <c r="C1302" s="4" t="n"/>
      <c r="D1302" s="4" t="n"/>
    </row>
    <row r="1303">
      <c r="A1303" s="6" t="n"/>
      <c r="B1303" s="4" t="n"/>
      <c r="C1303" s="4" t="n"/>
      <c r="D1303" s="4" t="n"/>
    </row>
    <row r="1304">
      <c r="A1304" s="6" t="n"/>
      <c r="B1304" s="4" t="n"/>
      <c r="C1304" s="4" t="n"/>
      <c r="D1304" s="4" t="n"/>
    </row>
    <row r="1305">
      <c r="A1305" s="6" t="n"/>
      <c r="B1305" s="4" t="n"/>
      <c r="C1305" s="4" t="n"/>
      <c r="D1305" s="4" t="n"/>
    </row>
    <row r="1306">
      <c r="A1306" s="6" t="n"/>
      <c r="B1306" s="4" t="n"/>
      <c r="C1306" s="4" t="n"/>
      <c r="D1306" s="4" t="n"/>
    </row>
    <row r="1307">
      <c r="A1307" s="6" t="n"/>
      <c r="B1307" s="4" t="n"/>
      <c r="C1307" s="4" t="n"/>
      <c r="D1307" s="4" t="n"/>
    </row>
    <row r="1308">
      <c r="A1308" s="6" t="n"/>
      <c r="B1308" s="4" t="n"/>
      <c r="C1308" s="4" t="n"/>
      <c r="D1308" s="4" t="n"/>
    </row>
    <row r="1309">
      <c r="A1309" s="6" t="n"/>
      <c r="B1309" s="4" t="n"/>
      <c r="C1309" s="4" t="n"/>
      <c r="D1309" s="4" t="n"/>
    </row>
    <row r="1310">
      <c r="A1310" s="6" t="n"/>
      <c r="B1310" s="4" t="n"/>
      <c r="C1310" s="4" t="n"/>
      <c r="D1310" s="4" t="n"/>
    </row>
    <row r="1311">
      <c r="A1311" s="6" t="n"/>
      <c r="B1311" s="4" t="n"/>
      <c r="C1311" s="4" t="n"/>
      <c r="D1311" s="4" t="n"/>
    </row>
    <row r="1312">
      <c r="A1312" s="6" t="n"/>
      <c r="B1312" s="4" t="n"/>
      <c r="C1312" s="4" t="n"/>
      <c r="D1312" s="4" t="n"/>
    </row>
    <row r="1313">
      <c r="A1313" s="6" t="n"/>
      <c r="B1313" s="4" t="n"/>
      <c r="C1313" s="4" t="n"/>
      <c r="D1313" s="4" t="n"/>
    </row>
    <row r="1314">
      <c r="A1314" s="6" t="n"/>
      <c r="B1314" s="4" t="n"/>
      <c r="C1314" s="4" t="n"/>
      <c r="D1314" s="4" t="n"/>
    </row>
    <row r="1315">
      <c r="A1315" s="6" t="n"/>
      <c r="B1315" s="4" t="n"/>
      <c r="C1315" s="4" t="n"/>
      <c r="D1315" s="4" t="n"/>
    </row>
    <row r="1316">
      <c r="A1316" s="6" t="n"/>
      <c r="B1316" s="4" t="n"/>
      <c r="C1316" s="4" t="n"/>
      <c r="D1316" s="4" t="n"/>
    </row>
    <row r="1317">
      <c r="A1317" s="6" t="n"/>
      <c r="B1317" s="4" t="n"/>
      <c r="C1317" s="4" t="n"/>
      <c r="D1317" s="4" t="n"/>
    </row>
    <row r="1318">
      <c r="A1318" s="6" t="n"/>
      <c r="B1318" s="4" t="n"/>
      <c r="C1318" s="4" t="n"/>
      <c r="D1318" s="4" t="n"/>
    </row>
    <row r="1319">
      <c r="A1319" s="6" t="n"/>
      <c r="B1319" s="4" t="n"/>
      <c r="C1319" s="4" t="n"/>
      <c r="D1319" s="4" t="n"/>
    </row>
    <row r="1320">
      <c r="A1320" s="6" t="n"/>
      <c r="B1320" s="4" t="n"/>
      <c r="C1320" s="4" t="n"/>
      <c r="D1320" s="4" t="n"/>
    </row>
    <row r="1321">
      <c r="A1321" s="6" t="n"/>
      <c r="B1321" s="4" t="n"/>
      <c r="C1321" s="4" t="n"/>
      <c r="D1321" s="4" t="n"/>
    </row>
    <row r="1322">
      <c r="A1322" s="6" t="n"/>
      <c r="B1322" s="4" t="n"/>
      <c r="C1322" s="4" t="n"/>
      <c r="D1322" s="4" t="n"/>
    </row>
    <row r="1323">
      <c r="A1323" s="6" t="n"/>
      <c r="B1323" s="4" t="n"/>
      <c r="C1323" s="4" t="n"/>
      <c r="D1323" s="4" t="n"/>
    </row>
    <row r="1324">
      <c r="A1324" s="6" t="n"/>
      <c r="B1324" s="4" t="n"/>
      <c r="C1324" s="4" t="n"/>
      <c r="D1324" s="4" t="n"/>
    </row>
    <row r="1325">
      <c r="A1325" s="6" t="n"/>
      <c r="B1325" s="4" t="n"/>
      <c r="C1325" s="4" t="n"/>
      <c r="D1325" s="4" t="n"/>
    </row>
    <row r="1326">
      <c r="A1326" s="6" t="n"/>
      <c r="B1326" s="4" t="n"/>
      <c r="C1326" s="4" t="n"/>
      <c r="D1326" s="4" t="n"/>
    </row>
    <row r="1327">
      <c r="A1327" s="6" t="n"/>
      <c r="B1327" s="4" t="n"/>
      <c r="C1327" s="4" t="n"/>
      <c r="D1327" s="4" t="n"/>
    </row>
    <row r="1328">
      <c r="A1328" s="6" t="n"/>
      <c r="B1328" s="4" t="n"/>
      <c r="C1328" s="4" t="n"/>
      <c r="D1328" s="4" t="n"/>
    </row>
    <row r="1329">
      <c r="A1329" s="6" t="n"/>
      <c r="B1329" s="4" t="n"/>
      <c r="C1329" s="4" t="n"/>
      <c r="D1329" s="4" t="n"/>
    </row>
    <row r="1330">
      <c r="A1330" s="6" t="n"/>
      <c r="B1330" s="4" t="n"/>
      <c r="C1330" s="4" t="n"/>
      <c r="D1330" s="4" t="n"/>
    </row>
    <row r="1331">
      <c r="A1331" s="6" t="n"/>
      <c r="B1331" s="4" t="n"/>
      <c r="C1331" s="4" t="n"/>
      <c r="D1331" s="4" t="n"/>
    </row>
    <row r="1332">
      <c r="A1332" s="6" t="n"/>
      <c r="B1332" s="4" t="n"/>
      <c r="C1332" s="4" t="n"/>
      <c r="D1332" s="4" t="n"/>
    </row>
    <row r="1333">
      <c r="A1333" s="6" t="n"/>
      <c r="B1333" s="4" t="n"/>
      <c r="C1333" s="4" t="n"/>
      <c r="D1333" s="4" t="n"/>
    </row>
    <row r="1334">
      <c r="A1334" s="6" t="n"/>
      <c r="B1334" s="4" t="n"/>
      <c r="C1334" s="4" t="n"/>
      <c r="D1334" s="4" t="n"/>
    </row>
    <row r="1335">
      <c r="A1335" s="6" t="n"/>
      <c r="B1335" s="4" t="n"/>
      <c r="C1335" s="4" t="n"/>
      <c r="D1335" s="4" t="n"/>
    </row>
    <row r="1336">
      <c r="A1336" s="6" t="n"/>
      <c r="B1336" s="4" t="n"/>
      <c r="C1336" s="4" t="n"/>
      <c r="D1336" s="4" t="n"/>
    </row>
    <row r="1337">
      <c r="A1337" s="6" t="n"/>
      <c r="B1337" s="4" t="n"/>
      <c r="C1337" s="4" t="n"/>
      <c r="D1337" s="4" t="n"/>
    </row>
    <row r="1338">
      <c r="A1338" s="6" t="n"/>
      <c r="B1338" s="4" t="n"/>
      <c r="C1338" s="4" t="n"/>
      <c r="D1338" s="4" t="n"/>
    </row>
    <row r="1339">
      <c r="A1339" s="6" t="n"/>
      <c r="B1339" s="4" t="n"/>
      <c r="C1339" s="4" t="n"/>
      <c r="D1339" s="4" t="n"/>
    </row>
    <row r="1340">
      <c r="A1340" s="6" t="n"/>
      <c r="B1340" s="4" t="n"/>
      <c r="C1340" s="4" t="n"/>
      <c r="D1340" s="4" t="n"/>
    </row>
    <row r="1341">
      <c r="A1341" s="6" t="n"/>
      <c r="B1341" s="4" t="n"/>
      <c r="C1341" s="4" t="n"/>
      <c r="D1341" s="4" t="n"/>
    </row>
    <row r="1342">
      <c r="A1342" s="6" t="n"/>
      <c r="B1342" s="4" t="n"/>
      <c r="C1342" s="4" t="n"/>
      <c r="D1342" s="4" t="n"/>
    </row>
    <row r="1343">
      <c r="A1343" s="6" t="n"/>
      <c r="B1343" s="4" t="n"/>
      <c r="C1343" s="4" t="n"/>
      <c r="D1343" s="4" t="n"/>
    </row>
    <row r="1344">
      <c r="A1344" s="6" t="n"/>
      <c r="B1344" s="4" t="n"/>
      <c r="C1344" s="4" t="n"/>
      <c r="D1344" s="4" t="n"/>
    </row>
    <row r="1345">
      <c r="A1345" s="6" t="n"/>
      <c r="B1345" s="4" t="n"/>
      <c r="C1345" s="4" t="n"/>
      <c r="D1345" s="4" t="n"/>
    </row>
    <row r="1346">
      <c r="A1346" s="6" t="n"/>
      <c r="B1346" s="4" t="n"/>
      <c r="C1346" s="4" t="n"/>
      <c r="D1346" s="4" t="n"/>
    </row>
    <row r="1347">
      <c r="A1347" s="6" t="n"/>
      <c r="B1347" s="4" t="n"/>
      <c r="C1347" s="4" t="n"/>
      <c r="D1347" s="4" t="n"/>
    </row>
    <row r="1348">
      <c r="A1348" s="6" t="n"/>
      <c r="B1348" s="4" t="n"/>
      <c r="C1348" s="4" t="n"/>
      <c r="D1348" s="4" t="n"/>
    </row>
    <row r="1349">
      <c r="A1349" s="6" t="n"/>
      <c r="B1349" s="4" t="n"/>
      <c r="C1349" s="4" t="n"/>
      <c r="D1349" s="4" t="n"/>
    </row>
    <row r="1350">
      <c r="A1350" s="6" t="n"/>
      <c r="B1350" s="4" t="n"/>
      <c r="C1350" s="4" t="n"/>
      <c r="D1350" s="4" t="n"/>
    </row>
    <row r="1351">
      <c r="A1351" s="6" t="n"/>
      <c r="B1351" s="4" t="n"/>
      <c r="C1351" s="4" t="n"/>
      <c r="D1351" s="4" t="n"/>
    </row>
    <row r="1352">
      <c r="A1352" s="6" t="n"/>
      <c r="B1352" s="4" t="n"/>
      <c r="C1352" s="4" t="n"/>
      <c r="D1352" s="4" t="n"/>
    </row>
    <row r="1353">
      <c r="A1353" s="6" t="n"/>
      <c r="B1353" s="4" t="n"/>
      <c r="C1353" s="4" t="n"/>
      <c r="D1353" s="4" t="n"/>
    </row>
    <row r="1354">
      <c r="A1354" s="6" t="n"/>
      <c r="B1354" s="4" t="n"/>
      <c r="C1354" s="4" t="n"/>
      <c r="D1354" s="4" t="n"/>
    </row>
    <row r="1355">
      <c r="A1355" s="6" t="n"/>
      <c r="B1355" s="4" t="n"/>
      <c r="C1355" s="4" t="n"/>
      <c r="D1355" s="4" t="n"/>
    </row>
    <row r="1356">
      <c r="A1356" s="6" t="n"/>
      <c r="B1356" s="4" t="n"/>
      <c r="C1356" s="4" t="n"/>
      <c r="D1356" s="4" t="n"/>
    </row>
    <row r="1357">
      <c r="A1357" s="6" t="n"/>
      <c r="B1357" s="4" t="n"/>
      <c r="C1357" s="4" t="n"/>
      <c r="D1357" s="4" t="n"/>
    </row>
    <row r="1358">
      <c r="A1358" s="6" t="n"/>
      <c r="B1358" s="4" t="n"/>
      <c r="C1358" s="4" t="n"/>
      <c r="D1358" s="4" t="n"/>
    </row>
    <row r="1359">
      <c r="A1359" s="6" t="n"/>
      <c r="B1359" s="4" t="n"/>
      <c r="C1359" s="4" t="n"/>
      <c r="D1359" s="4" t="n"/>
    </row>
    <row r="1360">
      <c r="A1360" s="6" t="n"/>
      <c r="B1360" s="4" t="n"/>
      <c r="C1360" s="4" t="n"/>
      <c r="D1360" s="4" t="n"/>
    </row>
    <row r="1361">
      <c r="A1361" s="6" t="n"/>
      <c r="B1361" s="4" t="n"/>
      <c r="C1361" s="4" t="n"/>
      <c r="D1361" s="4" t="n"/>
    </row>
    <row r="1362">
      <c r="A1362" s="6" t="n"/>
      <c r="B1362" s="4" t="n"/>
      <c r="C1362" s="4" t="n"/>
      <c r="D1362" s="4" t="n"/>
    </row>
    <row r="1363">
      <c r="A1363" s="6" t="n"/>
      <c r="B1363" s="4" t="n"/>
      <c r="C1363" s="4" t="n"/>
      <c r="D1363" s="4" t="n"/>
    </row>
    <row r="1364">
      <c r="A1364" s="6" t="n"/>
      <c r="B1364" s="4" t="n"/>
      <c r="C1364" s="4" t="n"/>
      <c r="D1364" s="4" t="n"/>
    </row>
    <row r="1365">
      <c r="A1365" s="6" t="n"/>
      <c r="B1365" s="4" t="n"/>
      <c r="C1365" s="4" t="n"/>
      <c r="D1365" s="4" t="n"/>
    </row>
    <row r="1366">
      <c r="A1366" s="6" t="n"/>
      <c r="B1366" s="4" t="n"/>
      <c r="C1366" s="4" t="n"/>
      <c r="D1366" s="4" t="n"/>
    </row>
    <row r="1367">
      <c r="A1367" s="6" t="n"/>
      <c r="B1367" s="4" t="n"/>
      <c r="C1367" s="4" t="n"/>
      <c r="D1367" s="4" t="n"/>
    </row>
    <row r="1368">
      <c r="A1368" s="6" t="n"/>
      <c r="B1368" s="4" t="n"/>
      <c r="C1368" s="4" t="n"/>
      <c r="D1368" s="4" t="n"/>
    </row>
    <row r="1369">
      <c r="A1369" s="6" t="n"/>
      <c r="B1369" s="4" t="n"/>
      <c r="C1369" s="4" t="n"/>
      <c r="D1369" s="4" t="n"/>
    </row>
    <row r="1370">
      <c r="A1370" s="6" t="n"/>
      <c r="B1370" s="4" t="n"/>
      <c r="C1370" s="4" t="n"/>
      <c r="D1370" s="4" t="n"/>
    </row>
    <row r="1371">
      <c r="A1371" s="6" t="n"/>
      <c r="B1371" s="4" t="n"/>
      <c r="C1371" s="4" t="n"/>
      <c r="D1371" s="4" t="n"/>
    </row>
    <row r="1372">
      <c r="A1372" s="6" t="n"/>
      <c r="B1372" s="4" t="n"/>
      <c r="C1372" s="4" t="n"/>
      <c r="D1372" s="4" t="n"/>
    </row>
    <row r="1373">
      <c r="A1373" s="6" t="n"/>
      <c r="B1373" s="4" t="n"/>
      <c r="C1373" s="4" t="n"/>
      <c r="D1373" s="4" t="n"/>
    </row>
    <row r="1374">
      <c r="A1374" s="6" t="n"/>
      <c r="B1374" s="4" t="n"/>
      <c r="C1374" s="4" t="n"/>
      <c r="D1374" s="4" t="n"/>
    </row>
    <row r="1375">
      <c r="A1375" s="6" t="n"/>
      <c r="B1375" s="4" t="n"/>
      <c r="C1375" s="4" t="n"/>
      <c r="D1375" s="4" t="n"/>
    </row>
    <row r="1376">
      <c r="A1376" s="6" t="n"/>
      <c r="B1376" s="4" t="n"/>
      <c r="C1376" s="4" t="n"/>
      <c r="D1376" s="4" t="n"/>
    </row>
    <row r="1377">
      <c r="A1377" s="6" t="n"/>
      <c r="B1377" s="4" t="n"/>
      <c r="C1377" s="4" t="n"/>
      <c r="D1377" s="4" t="n"/>
    </row>
    <row r="1378">
      <c r="A1378" s="6" t="n"/>
      <c r="B1378" s="4" t="n"/>
      <c r="C1378" s="4" t="n"/>
      <c r="D1378" s="4" t="n"/>
    </row>
    <row r="1379">
      <c r="A1379" s="6" t="n"/>
      <c r="B1379" s="4" t="n"/>
      <c r="C1379" s="4" t="n"/>
      <c r="D1379" s="4" t="n"/>
    </row>
    <row r="1380">
      <c r="A1380" s="6" t="n"/>
      <c r="B1380" s="4" t="n"/>
      <c r="C1380" s="4" t="n"/>
      <c r="D1380" s="4" t="n"/>
    </row>
    <row r="1381">
      <c r="A1381" s="6" t="n"/>
      <c r="B1381" s="4" t="n"/>
      <c r="C1381" s="4" t="n"/>
      <c r="D1381" s="4" t="n"/>
    </row>
    <row r="1382">
      <c r="A1382" s="6" t="n"/>
      <c r="B1382" s="4" t="n"/>
      <c r="C1382" s="4" t="n"/>
      <c r="D1382" s="4" t="n"/>
    </row>
    <row r="1383">
      <c r="A1383" s="6" t="n"/>
      <c r="B1383" s="4" t="n"/>
      <c r="C1383" s="4" t="n"/>
      <c r="D1383" s="4" t="n"/>
    </row>
    <row r="1384">
      <c r="A1384" s="6" t="n"/>
      <c r="B1384" s="4" t="n"/>
      <c r="C1384" s="4" t="n"/>
      <c r="D1384" s="4" t="n"/>
    </row>
    <row r="1385">
      <c r="A1385" s="6" t="n"/>
      <c r="B1385" s="4" t="n"/>
      <c r="C1385" s="4" t="n"/>
      <c r="D1385" s="4" t="n"/>
    </row>
    <row r="1386">
      <c r="A1386" s="6" t="n"/>
      <c r="B1386" s="4" t="n"/>
      <c r="C1386" s="4" t="n"/>
      <c r="D1386" s="4" t="n"/>
    </row>
    <row r="1387">
      <c r="A1387" s="6" t="n"/>
      <c r="B1387" s="4" t="n"/>
      <c r="C1387" s="4" t="n"/>
      <c r="D1387" s="4" t="n"/>
    </row>
    <row r="1388">
      <c r="A1388" s="6" t="n"/>
      <c r="B1388" s="4" t="n"/>
      <c r="C1388" s="4" t="n"/>
      <c r="D1388" s="4" t="n"/>
    </row>
    <row r="1389">
      <c r="A1389" s="6" t="n"/>
      <c r="B1389" s="4" t="n"/>
      <c r="C1389" s="4" t="n"/>
      <c r="D1389" s="4" t="n"/>
    </row>
    <row r="1390">
      <c r="A1390" s="6" t="n"/>
      <c r="B1390" s="4" t="n"/>
      <c r="C1390" s="4" t="n"/>
      <c r="D1390" s="4" t="n"/>
    </row>
    <row r="1391">
      <c r="A1391" s="6" t="n"/>
      <c r="B1391" s="4" t="n"/>
      <c r="C1391" s="4" t="n"/>
      <c r="D1391" s="4" t="n"/>
    </row>
    <row r="1392">
      <c r="A1392" s="6" t="n"/>
      <c r="B1392" s="4" t="n"/>
      <c r="C1392" s="4" t="n"/>
      <c r="D1392" s="4" t="n"/>
    </row>
    <row r="1393">
      <c r="A1393" s="6" t="n"/>
      <c r="B1393" s="4" t="n"/>
      <c r="C1393" s="4" t="n"/>
      <c r="D1393" s="4" t="n"/>
    </row>
    <row r="1394">
      <c r="A1394" s="6" t="n"/>
      <c r="B1394" s="4" t="n"/>
      <c r="C1394" s="4" t="n"/>
      <c r="D1394" s="4" t="n"/>
    </row>
    <row r="1395">
      <c r="A1395" s="6" t="n"/>
      <c r="B1395" s="4" t="n"/>
      <c r="C1395" s="4" t="n"/>
      <c r="D1395" s="4" t="n"/>
    </row>
    <row r="1396">
      <c r="A1396" s="6" t="n"/>
      <c r="B1396" s="4" t="n"/>
      <c r="C1396" s="4" t="n"/>
      <c r="D1396" s="4" t="n"/>
    </row>
    <row r="1397">
      <c r="A1397" s="6" t="n"/>
      <c r="B1397" s="4" t="n"/>
      <c r="C1397" s="4" t="n"/>
      <c r="D1397" s="4" t="n"/>
    </row>
    <row r="1398">
      <c r="A1398" s="6" t="n"/>
      <c r="B1398" s="4" t="n"/>
      <c r="C1398" s="4" t="n"/>
      <c r="D1398" s="4" t="n"/>
    </row>
    <row r="1399">
      <c r="A1399" s="6" t="n"/>
      <c r="B1399" s="4" t="n"/>
      <c r="C1399" s="4" t="n"/>
      <c r="D1399" s="4" t="n"/>
    </row>
    <row r="1400">
      <c r="A1400" s="6" t="n"/>
      <c r="B1400" s="4" t="n"/>
      <c r="C1400" s="4" t="n"/>
      <c r="D1400" s="4" t="n"/>
    </row>
    <row r="1401">
      <c r="A1401" s="6" t="n"/>
      <c r="B1401" s="4" t="n"/>
      <c r="C1401" s="4" t="n"/>
      <c r="D1401" s="4" t="n"/>
    </row>
    <row r="1402">
      <c r="A1402" s="6" t="n"/>
      <c r="B1402" s="4" t="n"/>
      <c r="C1402" s="4" t="n"/>
      <c r="D1402" s="4" t="n"/>
    </row>
    <row r="1403">
      <c r="A1403" s="6" t="n"/>
      <c r="B1403" s="4" t="n"/>
      <c r="C1403" s="4" t="n"/>
      <c r="D1403" s="4" t="n"/>
    </row>
    <row r="1404">
      <c r="A1404" s="6" t="n"/>
      <c r="B1404" s="4" t="n"/>
      <c r="C1404" s="4" t="n"/>
      <c r="D1404" s="4" t="n"/>
    </row>
    <row r="1405">
      <c r="A1405" s="6" t="n"/>
      <c r="B1405" s="4" t="n"/>
      <c r="C1405" s="4" t="n"/>
      <c r="D1405" s="4" t="n"/>
    </row>
    <row r="1406">
      <c r="A1406" s="6" t="n"/>
      <c r="B1406" s="4" t="n"/>
      <c r="C1406" s="4" t="n"/>
      <c r="D1406" s="4" t="n"/>
    </row>
    <row r="1407">
      <c r="A1407" s="6" t="n"/>
      <c r="B1407" s="4" t="n"/>
      <c r="C1407" s="4" t="n"/>
      <c r="D1407" s="4" t="n"/>
    </row>
    <row r="1408">
      <c r="A1408" s="6" t="n"/>
      <c r="B1408" s="4" t="n"/>
      <c r="C1408" s="4" t="n"/>
      <c r="D1408" s="4" t="n"/>
    </row>
    <row r="1409">
      <c r="A1409" s="6" t="n"/>
      <c r="B1409" s="4" t="n"/>
      <c r="C1409" s="4" t="n"/>
      <c r="D1409" s="4" t="n"/>
    </row>
    <row r="1410">
      <c r="A1410" s="6" t="n"/>
      <c r="B1410" s="4" t="n"/>
      <c r="C1410" s="4" t="n"/>
      <c r="D1410" s="4" t="n"/>
    </row>
    <row r="1411">
      <c r="A1411" s="6" t="n"/>
      <c r="B1411" s="4" t="n"/>
      <c r="C1411" s="4" t="n"/>
      <c r="D1411" s="4" t="n"/>
    </row>
    <row r="1412">
      <c r="A1412" s="6" t="n"/>
      <c r="B1412" s="4" t="n"/>
      <c r="C1412" s="4" t="n"/>
      <c r="D1412" s="4" t="n"/>
    </row>
    <row r="1413">
      <c r="A1413" s="6" t="n"/>
      <c r="B1413" s="4" t="n"/>
      <c r="C1413" s="4" t="n"/>
      <c r="D1413" s="4" t="n"/>
    </row>
    <row r="1414">
      <c r="A1414" s="6" t="n"/>
      <c r="B1414" s="4" t="n"/>
      <c r="C1414" s="4" t="n"/>
      <c r="D1414" s="4" t="n"/>
    </row>
    <row r="1415">
      <c r="A1415" s="6" t="n"/>
      <c r="B1415" s="4" t="n"/>
      <c r="C1415" s="4" t="n"/>
      <c r="D1415" s="4" t="n"/>
    </row>
    <row r="1416">
      <c r="A1416" s="6" t="n"/>
      <c r="B1416" s="4" t="n"/>
      <c r="C1416" s="4" t="n"/>
      <c r="D1416" s="4" t="n"/>
    </row>
    <row r="1417">
      <c r="A1417" s="6" t="n"/>
      <c r="B1417" s="4" t="n"/>
      <c r="C1417" s="4" t="n"/>
      <c r="D1417" s="4" t="n"/>
    </row>
    <row r="1418">
      <c r="A1418" s="6" t="n"/>
      <c r="B1418" s="4" t="n"/>
      <c r="C1418" s="4" t="n"/>
      <c r="D1418" s="4" t="n"/>
    </row>
    <row r="1419">
      <c r="A1419" s="6" t="n"/>
      <c r="B1419" s="4" t="n"/>
      <c r="C1419" s="4" t="n"/>
      <c r="D1419" s="4" t="n"/>
    </row>
    <row r="1420">
      <c r="A1420" s="6" t="n"/>
      <c r="B1420" s="4" t="n"/>
      <c r="C1420" s="4" t="n"/>
      <c r="D1420" s="4" t="n"/>
    </row>
    <row r="1421">
      <c r="A1421" s="6" t="n"/>
      <c r="B1421" s="4" t="n"/>
      <c r="C1421" s="4" t="n"/>
      <c r="D1421" s="4" t="n"/>
    </row>
    <row r="1422">
      <c r="A1422" s="6" t="n"/>
      <c r="B1422" s="4" t="n"/>
      <c r="C1422" s="4" t="n"/>
      <c r="D1422" s="4" t="n"/>
    </row>
    <row r="1423">
      <c r="A1423" s="6" t="n"/>
      <c r="B1423" s="4" t="n"/>
      <c r="C1423" s="4" t="n"/>
      <c r="D1423" s="4" t="n"/>
    </row>
    <row r="1424">
      <c r="A1424" s="6" t="n"/>
      <c r="B1424" s="4" t="n"/>
      <c r="C1424" s="4" t="n"/>
      <c r="D1424" s="4" t="n"/>
    </row>
    <row r="1425">
      <c r="A1425" s="6" t="n"/>
      <c r="B1425" s="4" t="n"/>
      <c r="C1425" s="4" t="n"/>
      <c r="D1425" s="4" t="n"/>
    </row>
    <row r="1426">
      <c r="A1426" s="6" t="n"/>
      <c r="B1426" s="4" t="n"/>
      <c r="C1426" s="4" t="n"/>
      <c r="D1426" s="4" t="n"/>
    </row>
    <row r="1427">
      <c r="A1427" s="6" t="n"/>
      <c r="B1427" s="4" t="n"/>
      <c r="C1427" s="4" t="n"/>
      <c r="D1427" s="4" t="n"/>
    </row>
    <row r="1428">
      <c r="A1428" s="6" t="n"/>
      <c r="B1428" s="4" t="n"/>
      <c r="C1428" s="4" t="n"/>
      <c r="D1428" s="4" t="n"/>
    </row>
    <row r="1429">
      <c r="A1429" s="6" t="n"/>
      <c r="B1429" s="4" t="n"/>
      <c r="C1429" s="4" t="n"/>
      <c r="D1429" s="4" t="n"/>
    </row>
    <row r="1430">
      <c r="A1430" s="6" t="n"/>
      <c r="B1430" s="4" t="n"/>
      <c r="C1430" s="4" t="n"/>
      <c r="D1430" s="4" t="n"/>
    </row>
    <row r="1431">
      <c r="A1431" s="6" t="n"/>
      <c r="B1431" s="4" t="n"/>
      <c r="C1431" s="4" t="n"/>
      <c r="D1431" s="4" t="n"/>
    </row>
    <row r="1432">
      <c r="A1432" s="6" t="n"/>
      <c r="B1432" s="4" t="n"/>
      <c r="C1432" s="4" t="n"/>
      <c r="D1432" s="4" t="n"/>
    </row>
    <row r="1433">
      <c r="A1433" s="6" t="n"/>
      <c r="B1433" s="4" t="n"/>
      <c r="C1433" s="4" t="n"/>
      <c r="D1433" s="4" t="n"/>
    </row>
    <row r="1434">
      <c r="A1434" s="6" t="n"/>
      <c r="B1434" s="4" t="n"/>
      <c r="C1434" s="4" t="n"/>
      <c r="D1434" s="4" t="n"/>
    </row>
    <row r="1435">
      <c r="A1435" s="6" t="n"/>
      <c r="B1435" s="4" t="n"/>
      <c r="C1435" s="4" t="n"/>
      <c r="D1435" s="4" t="n"/>
    </row>
    <row r="1436">
      <c r="A1436" s="6" t="n"/>
      <c r="B1436" s="4" t="n"/>
      <c r="C1436" s="4" t="n"/>
      <c r="D1436" s="4" t="n"/>
    </row>
    <row r="1437">
      <c r="A1437" s="6" t="n"/>
      <c r="B1437" s="4" t="n"/>
      <c r="C1437" s="4" t="n"/>
      <c r="D1437" s="4" t="n"/>
    </row>
    <row r="1438">
      <c r="A1438" s="6" t="n"/>
      <c r="B1438" s="4" t="n"/>
      <c r="C1438" s="4" t="n"/>
      <c r="D1438" s="4" t="n"/>
    </row>
    <row r="1439">
      <c r="A1439" s="6" t="n"/>
      <c r="B1439" s="4" t="n"/>
      <c r="C1439" s="4" t="n"/>
      <c r="D1439" s="4" t="n"/>
    </row>
    <row r="1440">
      <c r="A1440" s="6" t="n"/>
      <c r="B1440" s="4" t="n"/>
      <c r="C1440" s="4" t="n"/>
      <c r="D1440" s="4" t="n"/>
    </row>
    <row r="1441">
      <c r="A1441" s="6" t="n"/>
      <c r="B1441" s="4" t="n"/>
      <c r="C1441" s="4" t="n"/>
      <c r="D1441" s="4" t="n"/>
    </row>
    <row r="1442">
      <c r="A1442" s="6" t="n"/>
      <c r="B1442" s="4" t="n"/>
      <c r="C1442" s="4" t="n"/>
      <c r="D1442" s="4" t="n"/>
    </row>
    <row r="1443">
      <c r="A1443" s="6" t="n"/>
      <c r="B1443" s="4" t="n"/>
      <c r="C1443" s="4" t="n"/>
      <c r="D1443" s="4" t="n"/>
    </row>
    <row r="1444">
      <c r="A1444" s="6" t="n"/>
      <c r="B1444" s="4" t="n"/>
      <c r="C1444" s="4" t="n"/>
      <c r="D1444" s="4" t="n"/>
    </row>
    <row r="1445">
      <c r="A1445" s="6" t="n"/>
      <c r="B1445" s="4" t="n"/>
      <c r="C1445" s="4" t="n"/>
      <c r="D1445" s="4" t="n"/>
    </row>
    <row r="1446">
      <c r="A1446" s="6" t="n"/>
      <c r="B1446" s="4" t="n"/>
      <c r="C1446" s="4" t="n"/>
      <c r="D1446" s="4" t="n"/>
    </row>
    <row r="1447">
      <c r="A1447" s="6" t="n"/>
      <c r="B1447" s="4" t="n"/>
      <c r="C1447" s="4" t="n"/>
      <c r="D1447" s="4" t="n"/>
    </row>
    <row r="1448">
      <c r="A1448" s="6" t="n"/>
      <c r="B1448" s="4" t="n"/>
      <c r="C1448" s="4" t="n"/>
      <c r="D1448" s="4" t="n"/>
    </row>
    <row r="1449">
      <c r="A1449" s="6" t="n"/>
      <c r="B1449" s="4" t="n"/>
      <c r="C1449" s="4" t="n"/>
      <c r="D1449" s="4" t="n"/>
    </row>
    <row r="1450">
      <c r="A1450" s="6" t="n"/>
      <c r="B1450" s="4" t="n"/>
      <c r="C1450" s="4" t="n"/>
      <c r="D1450" s="4" t="n"/>
    </row>
    <row r="1451">
      <c r="A1451" s="6" t="n"/>
      <c r="B1451" s="4" t="n"/>
      <c r="C1451" s="4" t="n"/>
      <c r="D1451" s="4" t="n"/>
    </row>
    <row r="1452">
      <c r="A1452" s="6" t="n"/>
      <c r="B1452" s="4" t="n"/>
      <c r="C1452" s="4" t="n"/>
      <c r="D1452" s="4" t="n"/>
    </row>
    <row r="1453">
      <c r="A1453" s="6" t="n"/>
      <c r="B1453" s="4" t="n"/>
      <c r="C1453" s="4" t="n"/>
      <c r="D1453" s="4" t="n"/>
    </row>
    <row r="1454">
      <c r="A1454" s="6" t="n"/>
      <c r="B1454" s="4" t="n"/>
      <c r="C1454" s="4" t="n"/>
      <c r="D1454" s="4" t="n"/>
    </row>
    <row r="1455">
      <c r="A1455" s="6" t="n"/>
      <c r="B1455" s="4" t="n"/>
      <c r="C1455" s="4" t="n"/>
      <c r="D1455" s="4" t="n"/>
    </row>
    <row r="1456">
      <c r="A1456" s="6" t="n"/>
      <c r="B1456" s="4" t="n"/>
      <c r="C1456" s="4" t="n"/>
      <c r="D1456" s="4" t="n"/>
    </row>
    <row r="1457">
      <c r="A1457" s="6" t="n"/>
      <c r="B1457" s="4" t="n"/>
      <c r="C1457" s="4" t="n"/>
      <c r="D1457" s="4" t="n"/>
    </row>
    <row r="1458">
      <c r="A1458" s="6" t="n"/>
      <c r="B1458" s="4" t="n"/>
      <c r="C1458" s="4" t="n"/>
      <c r="D1458" s="4" t="n"/>
    </row>
    <row r="1459">
      <c r="A1459" s="6" t="n"/>
      <c r="B1459" s="4" t="n"/>
      <c r="C1459" s="4" t="n"/>
      <c r="D1459" s="4" t="n"/>
    </row>
    <row r="1460">
      <c r="A1460" s="6" t="n"/>
      <c r="B1460" s="4" t="n"/>
      <c r="C1460" s="4" t="n"/>
      <c r="D1460" s="4" t="n"/>
    </row>
    <row r="1461">
      <c r="A1461" s="6" t="n"/>
      <c r="B1461" s="4" t="n"/>
      <c r="C1461" s="4" t="n"/>
      <c r="D1461" s="4" t="n"/>
    </row>
    <row r="1462">
      <c r="A1462" s="6" t="n"/>
      <c r="B1462" s="4" t="n"/>
      <c r="C1462" s="4" t="n"/>
      <c r="D1462" s="4" t="n"/>
    </row>
    <row r="1463">
      <c r="A1463" s="6" t="n"/>
      <c r="B1463" s="4" t="n"/>
      <c r="C1463" s="4" t="n"/>
      <c r="D1463" s="4" t="n"/>
    </row>
    <row r="1464">
      <c r="A1464" s="6" t="n"/>
      <c r="B1464" s="4" t="n"/>
      <c r="C1464" s="4" t="n"/>
      <c r="D1464" s="4" t="n"/>
    </row>
    <row r="1465">
      <c r="A1465" s="6" t="n"/>
      <c r="B1465" s="4" t="n"/>
      <c r="C1465" s="4" t="n"/>
      <c r="D1465" s="4" t="n"/>
    </row>
    <row r="1466">
      <c r="A1466" s="6" t="n"/>
      <c r="B1466" s="4" t="n"/>
      <c r="C1466" s="4" t="n"/>
      <c r="D1466" s="4" t="n"/>
    </row>
    <row r="1467">
      <c r="A1467" s="6" t="n"/>
      <c r="B1467" s="4" t="n"/>
      <c r="C1467" s="4" t="n"/>
      <c r="D1467" s="4" t="n"/>
    </row>
    <row r="1468">
      <c r="A1468" s="6" t="n"/>
      <c r="B1468" s="4" t="n"/>
      <c r="C1468" s="4" t="n"/>
      <c r="D1468" s="4" t="n"/>
    </row>
    <row r="1469">
      <c r="A1469" s="6" t="n"/>
      <c r="B1469" s="4" t="n"/>
      <c r="C1469" s="4" t="n"/>
      <c r="D1469" s="4" t="n"/>
    </row>
    <row r="1470">
      <c r="A1470" s="6" t="n"/>
      <c r="B1470" s="4" t="n"/>
      <c r="C1470" s="4" t="n"/>
      <c r="D1470" s="4" t="n"/>
    </row>
    <row r="1471">
      <c r="A1471" s="6" t="n"/>
      <c r="B1471" s="4" t="n"/>
      <c r="C1471" s="4" t="n"/>
      <c r="D1471" s="4" t="n"/>
    </row>
    <row r="1472">
      <c r="A1472" s="6" t="n"/>
      <c r="B1472" s="4" t="n"/>
      <c r="C1472" s="4" t="n"/>
      <c r="D1472" s="4" t="n"/>
    </row>
    <row r="1473">
      <c r="A1473" s="6" t="n"/>
      <c r="B1473" s="4" t="n"/>
      <c r="C1473" s="4" t="n"/>
      <c r="D1473" s="4" t="n"/>
    </row>
    <row r="1474">
      <c r="A1474" s="6" t="n"/>
      <c r="B1474" s="4" t="n"/>
      <c r="C1474" s="4" t="n"/>
      <c r="D1474" s="4" t="n"/>
    </row>
    <row r="1475">
      <c r="A1475" s="6" t="n"/>
      <c r="B1475" s="4" t="n"/>
      <c r="C1475" s="4" t="n"/>
      <c r="D1475" s="4" t="n"/>
    </row>
    <row r="1476">
      <c r="A1476" s="6" t="n"/>
      <c r="B1476" s="4" t="n"/>
      <c r="C1476" s="4" t="n"/>
      <c r="D1476" s="4" t="n"/>
    </row>
    <row r="1477">
      <c r="A1477" s="6" t="n"/>
      <c r="B1477" s="4" t="n"/>
      <c r="C1477" s="4" t="n"/>
      <c r="D1477" s="4" t="n"/>
    </row>
    <row r="1478">
      <c r="A1478" s="6" t="n"/>
      <c r="B1478" s="4" t="n"/>
      <c r="C1478" s="4" t="n"/>
      <c r="D1478" s="4" t="n"/>
    </row>
    <row r="1479">
      <c r="A1479" s="6" t="n"/>
      <c r="B1479" s="4" t="n"/>
      <c r="C1479" s="4" t="n"/>
      <c r="D1479" s="4" t="n"/>
    </row>
    <row r="1480">
      <c r="A1480" s="6" t="n"/>
      <c r="B1480" s="4" t="n"/>
      <c r="C1480" s="4" t="n"/>
      <c r="D1480" s="4" t="n"/>
    </row>
    <row r="1481">
      <c r="A1481" s="6" t="n"/>
      <c r="B1481" s="4" t="n"/>
      <c r="C1481" s="4" t="n"/>
      <c r="D1481" s="4" t="n"/>
    </row>
    <row r="1482">
      <c r="A1482" s="6" t="n"/>
      <c r="B1482" s="4" t="n"/>
      <c r="C1482" s="4" t="n"/>
      <c r="D1482" s="4" t="n"/>
    </row>
    <row r="1483">
      <c r="A1483" s="6" t="n"/>
      <c r="B1483" s="4" t="n"/>
      <c r="C1483" s="4" t="n"/>
      <c r="D1483" s="4" t="n"/>
    </row>
    <row r="1484">
      <c r="A1484" s="6" t="n"/>
      <c r="B1484" s="4" t="n"/>
      <c r="C1484" s="4" t="n"/>
      <c r="D1484" s="4" t="n"/>
    </row>
    <row r="1485">
      <c r="A1485" s="6" t="n"/>
      <c r="B1485" s="4" t="n"/>
      <c r="C1485" s="4" t="n"/>
      <c r="D1485" s="4" t="n"/>
    </row>
    <row r="1486">
      <c r="A1486" s="6" t="n"/>
      <c r="B1486" s="4" t="n"/>
      <c r="C1486" s="4" t="n"/>
      <c r="D1486" s="4" t="n"/>
    </row>
    <row r="1487">
      <c r="A1487" s="6" t="n"/>
      <c r="B1487" s="4" t="n"/>
      <c r="C1487" s="4" t="n"/>
      <c r="D1487" s="4" t="n"/>
    </row>
    <row r="1488">
      <c r="A1488" s="6" t="n"/>
      <c r="B1488" s="4" t="n"/>
      <c r="C1488" s="4" t="n"/>
      <c r="D1488" s="4" t="n"/>
    </row>
    <row r="1489">
      <c r="A1489" s="6" t="n"/>
      <c r="B1489" s="4" t="n"/>
      <c r="C1489" s="4" t="n"/>
      <c r="D1489" s="4" t="n"/>
    </row>
    <row r="1490">
      <c r="A1490" s="6" t="n"/>
      <c r="B1490" s="4" t="n"/>
      <c r="C1490" s="4" t="n"/>
      <c r="D1490" s="4" t="n"/>
    </row>
    <row r="1491">
      <c r="A1491" s="6" t="n"/>
      <c r="B1491" s="4" t="n"/>
      <c r="C1491" s="4" t="n"/>
      <c r="D1491" s="4" t="n"/>
    </row>
    <row r="1492">
      <c r="A1492" s="6" t="n"/>
      <c r="B1492" s="4" t="n"/>
      <c r="C1492" s="4" t="n"/>
      <c r="D1492" s="4" t="n"/>
    </row>
    <row r="1493">
      <c r="A1493" s="6" t="n"/>
      <c r="B1493" s="4" t="n"/>
      <c r="C1493" s="4" t="n"/>
      <c r="D1493" s="4" t="n"/>
    </row>
    <row r="1494">
      <c r="A1494" s="6" t="n"/>
      <c r="B1494" s="4" t="n"/>
      <c r="C1494" s="4" t="n"/>
      <c r="D1494" s="4" t="n"/>
    </row>
    <row r="1495">
      <c r="A1495" s="6" t="n"/>
      <c r="B1495" s="4" t="n"/>
      <c r="C1495" s="4" t="n"/>
      <c r="D1495" s="4" t="n"/>
    </row>
    <row r="1496">
      <c r="A1496" s="6" t="n"/>
      <c r="B1496" s="4" t="n"/>
      <c r="C1496" s="4" t="n"/>
      <c r="D1496" s="4" t="n"/>
    </row>
    <row r="1497">
      <c r="A1497" s="6" t="n"/>
      <c r="B1497" s="4" t="n"/>
      <c r="C1497" s="4" t="n"/>
      <c r="D1497" s="4" t="n"/>
    </row>
    <row r="1498">
      <c r="A1498" s="6" t="n"/>
      <c r="B1498" s="4" t="n"/>
      <c r="C1498" s="4" t="n"/>
      <c r="D1498" s="4" t="n"/>
    </row>
    <row r="1499">
      <c r="A1499" s="6" t="n"/>
      <c r="B1499" s="4" t="n"/>
      <c r="C1499" s="4" t="n"/>
      <c r="D1499" s="4" t="n"/>
    </row>
    <row r="1500">
      <c r="A1500" s="6" t="n"/>
      <c r="B1500" s="4" t="n"/>
      <c r="C1500" s="4" t="n"/>
      <c r="D1500" s="4" t="n"/>
    </row>
    <row r="1501">
      <c r="A1501" s="6" t="n"/>
      <c r="B1501" s="4" t="n"/>
      <c r="C1501" s="4" t="n"/>
      <c r="D1501" s="4" t="n"/>
    </row>
    <row r="1502">
      <c r="A1502" s="6" t="n"/>
      <c r="B1502" s="4" t="n"/>
      <c r="C1502" s="4" t="n"/>
      <c r="D1502" s="4" t="n"/>
    </row>
    <row r="1503">
      <c r="A1503" s="6" t="n"/>
      <c r="B1503" s="4" t="n"/>
      <c r="C1503" s="4" t="n"/>
      <c r="D1503" s="4" t="n"/>
    </row>
    <row r="1504">
      <c r="A1504" s="6" t="n"/>
      <c r="B1504" s="4" t="n"/>
      <c r="C1504" s="4" t="n"/>
      <c r="D1504" s="4" t="n"/>
    </row>
    <row r="1505">
      <c r="A1505" s="6" t="n"/>
      <c r="B1505" s="4" t="n"/>
      <c r="C1505" s="4" t="n"/>
      <c r="D1505" s="4" t="n"/>
    </row>
    <row r="1506">
      <c r="A1506" s="6" t="n"/>
      <c r="B1506" s="4" t="n"/>
      <c r="C1506" s="4" t="n"/>
      <c r="D1506" s="4" t="n"/>
    </row>
    <row r="1507">
      <c r="A1507" s="6" t="n"/>
      <c r="B1507" s="4" t="n"/>
      <c r="C1507" s="4" t="n"/>
      <c r="D1507" s="4" t="n"/>
    </row>
    <row r="1508">
      <c r="A1508" s="6" t="n"/>
      <c r="B1508" s="4" t="n"/>
      <c r="C1508" s="4" t="n"/>
      <c r="D1508" s="4" t="n"/>
    </row>
    <row r="1509">
      <c r="A1509" s="6" t="n"/>
      <c r="B1509" s="4" t="n"/>
      <c r="C1509" s="4" t="n"/>
      <c r="D1509" s="4" t="n"/>
    </row>
    <row r="1510">
      <c r="A1510" s="6" t="n"/>
      <c r="B1510" s="4" t="n"/>
      <c r="C1510" s="4" t="n"/>
      <c r="D1510" s="4" t="n"/>
    </row>
    <row r="1511">
      <c r="A1511" s="6" t="n"/>
      <c r="B1511" s="4" t="n"/>
      <c r="C1511" s="4" t="n"/>
      <c r="D1511" s="4" t="n"/>
    </row>
    <row r="1512">
      <c r="A1512" s="6" t="n"/>
      <c r="B1512" s="4" t="n"/>
      <c r="C1512" s="4" t="n"/>
      <c r="D1512" s="4" t="n"/>
    </row>
    <row r="1513">
      <c r="A1513" s="6" t="n"/>
      <c r="B1513" s="4" t="n"/>
      <c r="C1513" s="4" t="n"/>
      <c r="D1513" s="4" t="n"/>
    </row>
    <row r="1514">
      <c r="A1514" s="6" t="n"/>
      <c r="B1514" s="4" t="n"/>
      <c r="C1514" s="4" t="n"/>
      <c r="D1514" s="4" t="n"/>
    </row>
    <row r="1515">
      <c r="A1515" s="6" t="n"/>
      <c r="B1515" s="4" t="n"/>
      <c r="C1515" s="4" t="n"/>
      <c r="D1515" s="4" t="n"/>
    </row>
    <row r="1516">
      <c r="A1516" s="6" t="n"/>
      <c r="B1516" s="4" t="n"/>
      <c r="C1516" s="4" t="n"/>
      <c r="D1516" s="4" t="n"/>
    </row>
    <row r="1517">
      <c r="A1517" s="6" t="n"/>
      <c r="B1517" s="4" t="n"/>
      <c r="C1517" s="4" t="n"/>
      <c r="D1517" s="4" t="n"/>
    </row>
    <row r="1518">
      <c r="A1518" s="6" t="n"/>
      <c r="B1518" s="4" t="n"/>
      <c r="C1518" s="4" t="n"/>
      <c r="D1518" s="4" t="n"/>
    </row>
    <row r="1519">
      <c r="A1519" s="6" t="n"/>
      <c r="B1519" s="4" t="n"/>
      <c r="C1519" s="4" t="n"/>
      <c r="D1519" s="4" t="n"/>
    </row>
    <row r="1520">
      <c r="A1520" s="6" t="n"/>
      <c r="B1520" s="4" t="n"/>
      <c r="C1520" s="4" t="n"/>
      <c r="D1520" s="4" t="n"/>
    </row>
    <row r="1521">
      <c r="A1521" s="6" t="n"/>
      <c r="B1521" s="4" t="n"/>
      <c r="C1521" s="4" t="n"/>
      <c r="D1521" s="4" t="n"/>
    </row>
    <row r="1522">
      <c r="A1522" s="6" t="n"/>
      <c r="B1522" s="4" t="n"/>
      <c r="C1522" s="4" t="n"/>
      <c r="D1522" s="4" t="n"/>
    </row>
    <row r="1523">
      <c r="A1523" s="6" t="n"/>
      <c r="B1523" s="4" t="n"/>
      <c r="C1523" s="4" t="n"/>
      <c r="D1523" s="4" t="n"/>
    </row>
    <row r="1524">
      <c r="A1524" s="6" t="n"/>
      <c r="B1524" s="4" t="n"/>
      <c r="C1524" s="4" t="n"/>
      <c r="D1524" s="4" t="n"/>
    </row>
    <row r="1525">
      <c r="A1525" s="6" t="n"/>
      <c r="B1525" s="4" t="n"/>
      <c r="C1525" s="4" t="n"/>
      <c r="D1525" s="4" t="n"/>
    </row>
    <row r="1526">
      <c r="A1526" s="6" t="n"/>
      <c r="B1526" s="4" t="n"/>
      <c r="C1526" s="4" t="n"/>
      <c r="D1526" s="4" t="n"/>
    </row>
    <row r="1527">
      <c r="A1527" s="6" t="n"/>
      <c r="B1527" s="4" t="n"/>
      <c r="C1527" s="4" t="n"/>
      <c r="D1527" s="4" t="n"/>
    </row>
    <row r="1528">
      <c r="A1528" s="6" t="n"/>
      <c r="B1528" s="4" t="n"/>
      <c r="C1528" s="4" t="n"/>
      <c r="D1528" s="4" t="n"/>
    </row>
    <row r="1529">
      <c r="A1529" s="6" t="n"/>
      <c r="B1529" s="4" t="n"/>
      <c r="C1529" s="4" t="n"/>
      <c r="D1529" s="4" t="n"/>
    </row>
    <row r="1530">
      <c r="A1530" s="6" t="n"/>
      <c r="B1530" s="4" t="n"/>
      <c r="C1530" s="4" t="n"/>
      <c r="D1530" s="4" t="n"/>
    </row>
    <row r="1531">
      <c r="A1531" s="6" t="n"/>
      <c r="B1531" s="4" t="n"/>
      <c r="C1531" s="4" t="n"/>
      <c r="D1531" s="4" t="n"/>
    </row>
    <row r="1532">
      <c r="A1532" s="6" t="n"/>
      <c r="B1532" s="4" t="n"/>
      <c r="C1532" s="4" t="n"/>
      <c r="D1532" s="4" t="n"/>
    </row>
    <row r="1533">
      <c r="A1533" s="6" t="n"/>
      <c r="B1533" s="4" t="n"/>
      <c r="C1533" s="4" t="n"/>
      <c r="D1533" s="4" t="n"/>
    </row>
    <row r="1534">
      <c r="A1534" s="6" t="n"/>
      <c r="B1534" s="4" t="n"/>
      <c r="C1534" s="4" t="n"/>
      <c r="D1534" s="4" t="n"/>
    </row>
    <row r="1535">
      <c r="A1535" s="6" t="n"/>
      <c r="B1535" s="4" t="n"/>
      <c r="C1535" s="4" t="n"/>
      <c r="D1535" s="4" t="n"/>
    </row>
    <row r="1536">
      <c r="A1536" s="6" t="n"/>
      <c r="B1536" s="4" t="n"/>
      <c r="C1536" s="4" t="n"/>
      <c r="D1536" s="4" t="n"/>
    </row>
    <row r="1537">
      <c r="A1537" s="6" t="n"/>
      <c r="B1537" s="4" t="n"/>
      <c r="C1537" s="4" t="n"/>
      <c r="D1537" s="4" t="n"/>
    </row>
    <row r="1538">
      <c r="A1538" s="6" t="n"/>
      <c r="B1538" s="4" t="n"/>
      <c r="C1538" s="4" t="n"/>
      <c r="D1538" s="4" t="n"/>
    </row>
    <row r="1539">
      <c r="A1539" s="6" t="n"/>
      <c r="B1539" s="4" t="n"/>
      <c r="C1539" s="4" t="n"/>
      <c r="D1539" s="4" t="n"/>
    </row>
    <row r="1540">
      <c r="A1540" s="6" t="n"/>
      <c r="B1540" s="4" t="n"/>
      <c r="C1540" s="4" t="n"/>
      <c r="D1540" s="4" t="n"/>
    </row>
    <row r="1541">
      <c r="A1541" s="6" t="n"/>
      <c r="B1541" s="4" t="n"/>
      <c r="C1541" s="4" t="n"/>
      <c r="D1541" s="4" t="n"/>
    </row>
    <row r="1542">
      <c r="A1542" s="6" t="n"/>
      <c r="B1542" s="4" t="n"/>
      <c r="C1542" s="4" t="n"/>
      <c r="D1542" s="4" t="n"/>
    </row>
    <row r="1543">
      <c r="A1543" s="6" t="n"/>
      <c r="B1543" s="4" t="n"/>
      <c r="C1543" s="4" t="n"/>
      <c r="D1543" s="4" t="n"/>
    </row>
    <row r="1544">
      <c r="A1544" s="6" t="n"/>
      <c r="B1544" s="4" t="n"/>
      <c r="C1544" s="4" t="n"/>
      <c r="D1544" s="4" t="n"/>
    </row>
    <row r="1545">
      <c r="A1545" s="6" t="n"/>
      <c r="B1545" s="4" t="n"/>
      <c r="C1545" s="4" t="n"/>
      <c r="D1545" s="4" t="n"/>
    </row>
    <row r="1546">
      <c r="A1546" s="6" t="n"/>
      <c r="B1546" s="4" t="n"/>
      <c r="C1546" s="4" t="n"/>
      <c r="D1546" s="4" t="n"/>
    </row>
    <row r="1547">
      <c r="A1547" s="6" t="n"/>
      <c r="B1547" s="4" t="n"/>
      <c r="C1547" s="4" t="n"/>
      <c r="D1547" s="4" t="n"/>
    </row>
    <row r="1548">
      <c r="A1548" s="6" t="n"/>
      <c r="B1548" s="4" t="n"/>
      <c r="C1548" s="4" t="n"/>
      <c r="D1548" s="4" t="n"/>
    </row>
    <row r="1549">
      <c r="A1549" s="6" t="n"/>
      <c r="B1549" s="4" t="n"/>
      <c r="C1549" s="4" t="n"/>
      <c r="D1549" s="4" t="n"/>
    </row>
    <row r="1550">
      <c r="A1550" s="6" t="n"/>
      <c r="B1550" s="4" t="n"/>
      <c r="C1550" s="4" t="n"/>
      <c r="D1550" s="4" t="n"/>
    </row>
    <row r="1551">
      <c r="A1551" s="6" t="n"/>
      <c r="B1551" s="4" t="n"/>
      <c r="C1551" s="4" t="n"/>
      <c r="D1551" s="4" t="n"/>
    </row>
    <row r="1552">
      <c r="A1552" s="6" t="n"/>
      <c r="B1552" s="4" t="n"/>
      <c r="C1552" s="4" t="n"/>
      <c r="D1552" s="4" t="n"/>
    </row>
    <row r="1553">
      <c r="A1553" s="6" t="n"/>
      <c r="B1553" s="4" t="n"/>
      <c r="C1553" s="4" t="n"/>
      <c r="D1553" s="4" t="n"/>
    </row>
    <row r="1554">
      <c r="A1554" s="6" t="n"/>
      <c r="B1554" s="4" t="n"/>
      <c r="C1554" s="4" t="n"/>
      <c r="D1554" s="4" t="n"/>
    </row>
    <row r="1555">
      <c r="A1555" s="6" t="n"/>
      <c r="B1555" s="4" t="n"/>
      <c r="C1555" s="4" t="n"/>
      <c r="D1555" s="4" t="n"/>
    </row>
    <row r="1556">
      <c r="A1556" s="6" t="n"/>
      <c r="B1556" s="4" t="n"/>
      <c r="C1556" s="4" t="n"/>
      <c r="D1556" s="4" t="n"/>
    </row>
    <row r="1557">
      <c r="A1557" s="6" t="n"/>
      <c r="B1557" s="4" t="n"/>
      <c r="C1557" s="4" t="n"/>
      <c r="D1557" s="4" t="n"/>
    </row>
    <row r="1558">
      <c r="A1558" s="6" t="n"/>
      <c r="B1558" s="4" t="n"/>
      <c r="C1558" s="4" t="n"/>
      <c r="D1558" s="4" t="n"/>
    </row>
    <row r="1559">
      <c r="A1559" s="6" t="n"/>
      <c r="B1559" s="4" t="n"/>
      <c r="C1559" s="4" t="n"/>
      <c r="D1559" s="4" t="n"/>
    </row>
    <row r="1560">
      <c r="A1560" s="6" t="n"/>
      <c r="B1560" s="4" t="n"/>
      <c r="C1560" s="4" t="n"/>
      <c r="D1560" s="4" t="n"/>
    </row>
    <row r="1561">
      <c r="A1561" s="6" t="n"/>
      <c r="B1561" s="4" t="n"/>
      <c r="C1561" s="4" t="n"/>
      <c r="D1561" s="4" t="n"/>
    </row>
    <row r="1562">
      <c r="A1562" s="6" t="n"/>
      <c r="B1562" s="4" t="n"/>
      <c r="C1562" s="4" t="n"/>
      <c r="D1562" s="4" t="n"/>
    </row>
    <row r="1563">
      <c r="A1563" s="6" t="n"/>
      <c r="B1563" s="4" t="n"/>
      <c r="C1563" s="4" t="n"/>
      <c r="D1563" s="4" t="n"/>
    </row>
    <row r="1564">
      <c r="A1564" s="6" t="n"/>
      <c r="B1564" s="4" t="n"/>
      <c r="C1564" s="4" t="n"/>
      <c r="D1564" s="4" t="n"/>
    </row>
    <row r="1565">
      <c r="A1565" s="6" t="n"/>
      <c r="B1565" s="4" t="n"/>
      <c r="C1565" s="4" t="n"/>
      <c r="D1565" s="4" t="n"/>
    </row>
    <row r="1566">
      <c r="A1566" s="6" t="n"/>
      <c r="B1566" s="4" t="n"/>
      <c r="C1566" s="4" t="n"/>
      <c r="D1566" s="4" t="n"/>
    </row>
    <row r="1567">
      <c r="A1567" s="6" t="n"/>
      <c r="B1567" s="4" t="n"/>
      <c r="C1567" s="4" t="n"/>
      <c r="D1567" s="4" t="n"/>
    </row>
    <row r="1568">
      <c r="A1568" s="6" t="n"/>
      <c r="B1568" s="4" t="n"/>
      <c r="C1568" s="4" t="n"/>
      <c r="D1568" s="4" t="n"/>
    </row>
    <row r="1569">
      <c r="A1569" s="6" t="n"/>
      <c r="B1569" s="4" t="n"/>
      <c r="C1569" s="4" t="n"/>
      <c r="D1569" s="4" t="n"/>
    </row>
    <row r="1570">
      <c r="A1570" s="6" t="n"/>
      <c r="B1570" s="4" t="n"/>
      <c r="C1570" s="4" t="n"/>
      <c r="D1570" s="4" t="n"/>
    </row>
    <row r="1571">
      <c r="A1571" s="6" t="n"/>
      <c r="B1571" s="4" t="n"/>
      <c r="C1571" s="4" t="n"/>
      <c r="D1571" s="4" t="n"/>
    </row>
    <row r="1572">
      <c r="A1572" s="6" t="n"/>
      <c r="B1572" s="4" t="n"/>
      <c r="C1572" s="4" t="n"/>
      <c r="D1572" s="4" t="n"/>
    </row>
    <row r="1573">
      <c r="A1573" s="6" t="n"/>
      <c r="B1573" s="4" t="n"/>
      <c r="C1573" s="4" t="n"/>
      <c r="D1573" s="4" t="n"/>
    </row>
    <row r="1574">
      <c r="A1574" s="6" t="n"/>
      <c r="B1574" s="4" t="n"/>
      <c r="C1574" s="4" t="n"/>
      <c r="D1574" s="4" t="n"/>
    </row>
    <row r="1575">
      <c r="A1575" s="6" t="n"/>
      <c r="B1575" s="4" t="n"/>
      <c r="C1575" s="4" t="n"/>
      <c r="D1575" s="4" t="n"/>
    </row>
    <row r="1576">
      <c r="A1576" s="6" t="n"/>
      <c r="B1576" s="4" t="n"/>
      <c r="C1576" s="4" t="n"/>
      <c r="D1576" s="4" t="n"/>
    </row>
    <row r="1577">
      <c r="A1577" s="6" t="n"/>
      <c r="B1577" s="4" t="n"/>
      <c r="C1577" s="4" t="n"/>
      <c r="D1577" s="4" t="n"/>
    </row>
    <row r="1578">
      <c r="A1578" s="6" t="n"/>
      <c r="B1578" s="4" t="n"/>
      <c r="C1578" s="4" t="n"/>
      <c r="D1578" s="4" t="n"/>
    </row>
    <row r="1579">
      <c r="A1579" s="6" t="n"/>
      <c r="B1579" s="4" t="n"/>
      <c r="C1579" s="4" t="n"/>
      <c r="D1579" s="4" t="n"/>
    </row>
    <row r="1580">
      <c r="A1580" s="6" t="n"/>
      <c r="B1580" s="4" t="n"/>
      <c r="C1580" s="4" t="n"/>
      <c r="D1580" s="4" t="n"/>
    </row>
    <row r="1581">
      <c r="A1581" s="6" t="n"/>
      <c r="B1581" s="4" t="n"/>
      <c r="C1581" s="4" t="n"/>
      <c r="D1581" s="4" t="n"/>
    </row>
    <row r="1582">
      <c r="A1582" s="6" t="n"/>
      <c r="B1582" s="4" t="n"/>
      <c r="C1582" s="4" t="n"/>
      <c r="D1582" s="4" t="n"/>
    </row>
    <row r="1583">
      <c r="A1583" s="6" t="n"/>
      <c r="B1583" s="4" t="n"/>
      <c r="C1583" s="4" t="n"/>
      <c r="D1583" s="4" t="n"/>
    </row>
    <row r="1584">
      <c r="A1584" s="6" t="n"/>
      <c r="B1584" s="4" t="n"/>
      <c r="C1584" s="4" t="n"/>
      <c r="D1584" s="4" t="n"/>
    </row>
    <row r="1585">
      <c r="A1585" s="6" t="n"/>
      <c r="B1585" s="4" t="n"/>
      <c r="C1585" s="4" t="n"/>
      <c r="D1585" s="4" t="n"/>
    </row>
    <row r="1586">
      <c r="A1586" s="6" t="n"/>
      <c r="B1586" s="4" t="n"/>
      <c r="C1586" s="4" t="n"/>
      <c r="D1586" s="4" t="n"/>
    </row>
    <row r="1587">
      <c r="A1587" s="6" t="n"/>
      <c r="B1587" s="4" t="n"/>
      <c r="C1587" s="4" t="n"/>
      <c r="D1587" s="4" t="n"/>
    </row>
    <row r="1588">
      <c r="A1588" s="6" t="n"/>
      <c r="B1588" s="4" t="n"/>
      <c r="C1588" s="4" t="n"/>
      <c r="D1588" s="4" t="n"/>
    </row>
    <row r="1589">
      <c r="A1589" s="6" t="n"/>
      <c r="B1589" s="4" t="n"/>
      <c r="C1589" s="4" t="n"/>
      <c r="D1589" s="4" t="n"/>
    </row>
    <row r="1590">
      <c r="A1590" s="6" t="n"/>
      <c r="B1590" s="4" t="n"/>
      <c r="C1590" s="4" t="n"/>
      <c r="D1590" s="4" t="n"/>
    </row>
    <row r="1591">
      <c r="A1591" s="6" t="n"/>
      <c r="B1591" s="4" t="n"/>
      <c r="C1591" s="4" t="n"/>
      <c r="D1591" s="4" t="n"/>
    </row>
    <row r="1592">
      <c r="A1592" s="6" t="n"/>
      <c r="B1592" s="4" t="n"/>
      <c r="C1592" s="4" t="n"/>
      <c r="D1592" s="4" t="n"/>
    </row>
    <row r="1593">
      <c r="A1593" s="6" t="n"/>
      <c r="B1593" s="4" t="n"/>
      <c r="C1593" s="4" t="n"/>
      <c r="D1593" s="4" t="n"/>
    </row>
    <row r="1594">
      <c r="A1594" s="6" t="n"/>
      <c r="B1594" s="4" t="n"/>
      <c r="C1594" s="4" t="n"/>
      <c r="D1594" s="4" t="n"/>
    </row>
    <row r="1595">
      <c r="A1595" s="6" t="n"/>
      <c r="B1595" s="4" t="n"/>
      <c r="C1595" s="4" t="n"/>
      <c r="D1595" s="4" t="n"/>
    </row>
    <row r="1596">
      <c r="A1596" s="6" t="n"/>
      <c r="B1596" s="4" t="n"/>
      <c r="C1596" s="4" t="n"/>
      <c r="D1596" s="4" t="n"/>
    </row>
    <row r="1597">
      <c r="A1597" s="6" t="n"/>
      <c r="B1597" s="4" t="n"/>
      <c r="C1597" s="4" t="n"/>
      <c r="D1597" s="4" t="n"/>
    </row>
    <row r="1598">
      <c r="A1598" s="6" t="n"/>
      <c r="B1598" s="4" t="n"/>
      <c r="C1598" s="4" t="n"/>
      <c r="D1598" s="4" t="n"/>
    </row>
    <row r="1599">
      <c r="A1599" s="6" t="n"/>
      <c r="B1599" s="4" t="n"/>
      <c r="C1599" s="4" t="n"/>
      <c r="D1599" s="4" t="n"/>
    </row>
    <row r="1600">
      <c r="A1600" s="6" t="n"/>
      <c r="B1600" s="4" t="n"/>
      <c r="C1600" s="4" t="n"/>
      <c r="D1600" s="4" t="n"/>
    </row>
    <row r="1601">
      <c r="A1601" s="6" t="n"/>
      <c r="B1601" s="4" t="n"/>
      <c r="C1601" s="4" t="n"/>
      <c r="D1601" s="4" t="n"/>
    </row>
    <row r="1602">
      <c r="A1602" s="6" t="n"/>
      <c r="B1602" s="4" t="n"/>
      <c r="C1602" s="4" t="n"/>
      <c r="D1602" s="4" t="n"/>
    </row>
    <row r="1603">
      <c r="A1603" s="6" t="n"/>
      <c r="B1603" s="4" t="n"/>
      <c r="C1603" s="4" t="n"/>
      <c r="D1603" s="4" t="n"/>
    </row>
    <row r="1604">
      <c r="A1604" s="6" t="n"/>
      <c r="B1604" s="4" t="n"/>
      <c r="C1604" s="4" t="n"/>
      <c r="D1604" s="4" t="n"/>
    </row>
    <row r="1605">
      <c r="A1605" s="6" t="n"/>
      <c r="B1605" s="4" t="n"/>
      <c r="C1605" s="4" t="n"/>
      <c r="D1605" s="4" t="n"/>
    </row>
    <row r="1606">
      <c r="A1606" s="6" t="n"/>
      <c r="B1606" s="4" t="n"/>
      <c r="C1606" s="4" t="n"/>
      <c r="D1606" s="4" t="n"/>
    </row>
    <row r="1607">
      <c r="A1607" s="6" t="n"/>
      <c r="B1607" s="4" t="n"/>
      <c r="C1607" s="4" t="n"/>
      <c r="D1607" s="4" t="n"/>
    </row>
    <row r="1608">
      <c r="A1608" s="6" t="n"/>
      <c r="B1608" s="4" t="n"/>
      <c r="C1608" s="4" t="n"/>
      <c r="D1608" s="4" t="n"/>
    </row>
    <row r="1609">
      <c r="A1609" s="6" t="n"/>
      <c r="B1609" s="4" t="n"/>
      <c r="C1609" s="4" t="n"/>
      <c r="D1609" s="4" t="n"/>
    </row>
    <row r="1610">
      <c r="A1610" s="6" t="n"/>
      <c r="B1610" s="4" t="n"/>
      <c r="C1610" s="4" t="n"/>
      <c r="D1610" s="4" t="n"/>
    </row>
    <row r="1611">
      <c r="A1611" s="6" t="n"/>
      <c r="B1611" s="4" t="n"/>
      <c r="C1611" s="4" t="n"/>
      <c r="D1611" s="4" t="n"/>
    </row>
    <row r="1612">
      <c r="A1612" s="6" t="n"/>
      <c r="B1612" s="4" t="n"/>
      <c r="C1612" s="4" t="n"/>
      <c r="D1612" s="4" t="n"/>
    </row>
    <row r="1613">
      <c r="A1613" s="6" t="n"/>
      <c r="B1613" s="4" t="n"/>
      <c r="C1613" s="4" t="n"/>
      <c r="D1613" s="4" t="n"/>
    </row>
    <row r="1614">
      <c r="A1614" s="6" t="n"/>
      <c r="B1614" s="4" t="n"/>
      <c r="C1614" s="4" t="n"/>
      <c r="D1614" s="4" t="n"/>
    </row>
    <row r="1615">
      <c r="A1615" s="6" t="n"/>
      <c r="B1615" s="4" t="n"/>
      <c r="C1615" s="4" t="n"/>
      <c r="D1615" s="4" t="n"/>
    </row>
    <row r="1616">
      <c r="A1616" s="6" t="n"/>
      <c r="B1616" s="4" t="n"/>
      <c r="C1616" s="4" t="n"/>
      <c r="D1616" s="4" t="n"/>
    </row>
    <row r="1617">
      <c r="A1617" s="6" t="n"/>
      <c r="B1617" s="4" t="n"/>
      <c r="C1617" s="4" t="n"/>
      <c r="D1617" s="4" t="n"/>
    </row>
    <row r="1618">
      <c r="A1618" s="6" t="n"/>
      <c r="B1618" s="4" t="n"/>
      <c r="C1618" s="4" t="n"/>
      <c r="D1618" s="4" t="n"/>
    </row>
    <row r="1619">
      <c r="A1619" s="6" t="n"/>
      <c r="B1619" s="4" t="n"/>
      <c r="C1619" s="4" t="n"/>
      <c r="D1619" s="4" t="n"/>
    </row>
    <row r="1620">
      <c r="A1620" s="6" t="n"/>
      <c r="B1620" s="4" t="n"/>
      <c r="C1620" s="4" t="n"/>
      <c r="D1620" s="4" t="n"/>
    </row>
    <row r="1621">
      <c r="A1621" s="6" t="n"/>
      <c r="B1621" s="4" t="n"/>
      <c r="C1621" s="4" t="n"/>
      <c r="D1621" s="4" t="n"/>
    </row>
    <row r="1622">
      <c r="A1622" s="6" t="n"/>
      <c r="B1622" s="4" t="n"/>
      <c r="C1622" s="4" t="n"/>
      <c r="D1622" s="4" t="n"/>
    </row>
    <row r="1623">
      <c r="A1623" s="6" t="n"/>
      <c r="B1623" s="4" t="n"/>
      <c r="C1623" s="4" t="n"/>
      <c r="D1623" s="4" t="n"/>
    </row>
    <row r="1624">
      <c r="A1624" s="6" t="n"/>
      <c r="B1624" s="4" t="n"/>
      <c r="C1624" s="4" t="n"/>
      <c r="D1624" s="4" t="n"/>
    </row>
    <row r="1625">
      <c r="A1625" s="6" t="n"/>
      <c r="B1625" s="4" t="n"/>
      <c r="C1625" s="4" t="n"/>
      <c r="D1625" s="4" t="n"/>
    </row>
    <row r="1626">
      <c r="A1626" s="6" t="n"/>
      <c r="B1626" s="4" t="n"/>
      <c r="C1626" s="4" t="n"/>
      <c r="D1626" s="4" t="n"/>
    </row>
    <row r="1627">
      <c r="A1627" s="6" t="n"/>
      <c r="B1627" s="4" t="n"/>
      <c r="C1627" s="4" t="n"/>
      <c r="D1627" s="4" t="n"/>
    </row>
    <row r="1628">
      <c r="A1628" s="6" t="n"/>
      <c r="B1628" s="4" t="n"/>
      <c r="C1628" s="4" t="n"/>
      <c r="D1628" s="4" t="n"/>
    </row>
    <row r="1629">
      <c r="A1629" s="6" t="n"/>
      <c r="B1629" s="4" t="n"/>
      <c r="C1629" s="4" t="n"/>
      <c r="D1629" s="4" t="n"/>
    </row>
    <row r="1630">
      <c r="A1630" s="6" t="n"/>
      <c r="B1630" s="4" t="n"/>
      <c r="C1630" s="4" t="n"/>
      <c r="D1630" s="4" t="n"/>
    </row>
    <row r="1631">
      <c r="A1631" s="6" t="n"/>
      <c r="B1631" s="4" t="n"/>
      <c r="C1631" s="4" t="n"/>
      <c r="D1631" s="4" t="n"/>
    </row>
    <row r="1632">
      <c r="A1632" s="6" t="n"/>
      <c r="B1632" s="4" t="n"/>
      <c r="C1632" s="4" t="n"/>
      <c r="D1632" s="4" t="n"/>
    </row>
    <row r="1633">
      <c r="A1633" s="6" t="n"/>
      <c r="B1633" s="4" t="n"/>
      <c r="C1633" s="4" t="n"/>
      <c r="D1633" s="4" t="n"/>
    </row>
    <row r="1634">
      <c r="A1634" s="6" t="n"/>
      <c r="B1634" s="4" t="n"/>
      <c r="C1634" s="4" t="n"/>
      <c r="D1634" s="4" t="n"/>
    </row>
    <row r="1635">
      <c r="A1635" s="6" t="n"/>
      <c r="B1635" s="4" t="n"/>
      <c r="C1635" s="4" t="n"/>
      <c r="D1635" s="4" t="n"/>
    </row>
    <row r="1636">
      <c r="A1636" s="6" t="n"/>
      <c r="B1636" s="4" t="n"/>
      <c r="C1636" s="4" t="n"/>
      <c r="D1636" s="4" t="n"/>
    </row>
    <row r="1637">
      <c r="A1637" s="6" t="n"/>
      <c r="B1637" s="4" t="n"/>
      <c r="C1637" s="4" t="n"/>
      <c r="D1637" s="4" t="n"/>
    </row>
    <row r="1638">
      <c r="A1638" s="6" t="n"/>
      <c r="B1638" s="4" t="n"/>
      <c r="C1638" s="4" t="n"/>
      <c r="D1638" s="4" t="n"/>
    </row>
    <row r="1639">
      <c r="A1639" s="6" t="n"/>
      <c r="B1639" s="4" t="n"/>
      <c r="C1639" s="4" t="n"/>
      <c r="D1639" s="4" t="n"/>
    </row>
    <row r="1640">
      <c r="A1640" s="6" t="n"/>
      <c r="B1640" s="4" t="n"/>
      <c r="C1640" s="4" t="n"/>
      <c r="D1640" s="4" t="n"/>
    </row>
    <row r="1641">
      <c r="A1641" s="6" t="n"/>
      <c r="B1641" s="4" t="n"/>
      <c r="C1641" s="4" t="n"/>
      <c r="D1641" s="4" t="n"/>
    </row>
    <row r="1642">
      <c r="A1642" s="6" t="n"/>
      <c r="B1642" s="4" t="n"/>
      <c r="C1642" s="4" t="n"/>
      <c r="D1642" s="4" t="n"/>
    </row>
    <row r="1643">
      <c r="A1643" s="6" t="n"/>
      <c r="B1643" s="4" t="n"/>
      <c r="C1643" s="4" t="n"/>
      <c r="D1643" s="4" t="n"/>
    </row>
    <row r="1644">
      <c r="A1644" s="6" t="n"/>
      <c r="B1644" s="4" t="n"/>
      <c r="C1644" s="4" t="n"/>
      <c r="D1644" s="4" t="n"/>
    </row>
    <row r="1645">
      <c r="A1645" s="6" t="n"/>
      <c r="B1645" s="4" t="n"/>
      <c r="C1645" s="4" t="n"/>
      <c r="D1645" s="4" t="n"/>
    </row>
    <row r="1646">
      <c r="A1646" s="6" t="n"/>
      <c r="B1646" s="4" t="n"/>
      <c r="C1646" s="4" t="n"/>
      <c r="D1646" s="4" t="n"/>
    </row>
    <row r="1647">
      <c r="A1647" s="6" t="n"/>
      <c r="B1647" s="4" t="n"/>
      <c r="C1647" s="4" t="n"/>
      <c r="D1647" s="4" t="n"/>
    </row>
    <row r="1648">
      <c r="A1648" s="6" t="n"/>
      <c r="B1648" s="4" t="n"/>
      <c r="C1648" s="4" t="n"/>
      <c r="D1648" s="4" t="n"/>
    </row>
    <row r="1649">
      <c r="A1649" s="6" t="n"/>
      <c r="B1649" s="4" t="n"/>
      <c r="C1649" s="4" t="n"/>
      <c r="D1649" s="4" t="n"/>
    </row>
    <row r="1650">
      <c r="A1650" s="6" t="n"/>
      <c r="B1650" s="4" t="n"/>
      <c r="C1650" s="4" t="n"/>
      <c r="D1650" s="4" t="n"/>
    </row>
    <row r="1651">
      <c r="A1651" s="6" t="n"/>
      <c r="B1651" s="4" t="n"/>
      <c r="C1651" s="4" t="n"/>
      <c r="D1651" s="4" t="n"/>
    </row>
    <row r="1652">
      <c r="A1652" s="6" t="n"/>
      <c r="B1652" s="4" t="n"/>
      <c r="C1652" s="4" t="n"/>
      <c r="D1652" s="4" t="n"/>
    </row>
    <row r="1653">
      <c r="A1653" s="6" t="n"/>
      <c r="B1653" s="4" t="n"/>
      <c r="C1653" s="4" t="n"/>
      <c r="D1653" s="4" t="n"/>
    </row>
    <row r="1654">
      <c r="A1654" s="6" t="n"/>
      <c r="B1654" s="4" t="n"/>
      <c r="C1654" s="4" t="n"/>
      <c r="D1654" s="4" t="n"/>
    </row>
    <row r="1655">
      <c r="A1655" s="6" t="n"/>
      <c r="B1655" s="4" t="n"/>
      <c r="C1655" s="4" t="n"/>
      <c r="D1655" s="4" t="n"/>
    </row>
    <row r="1656">
      <c r="A1656" s="6" t="n"/>
      <c r="B1656" s="4" t="n"/>
      <c r="C1656" s="4" t="n"/>
      <c r="D1656" s="4" t="n"/>
    </row>
    <row r="1657">
      <c r="A1657" s="6" t="n"/>
      <c r="B1657" s="4" t="n"/>
      <c r="C1657" s="4" t="n"/>
      <c r="D1657" s="4" t="n"/>
    </row>
    <row r="1658">
      <c r="A1658" s="6" t="n"/>
      <c r="B1658" s="4" t="n"/>
      <c r="C1658" s="4" t="n"/>
      <c r="D1658" s="4" t="n"/>
    </row>
    <row r="1659">
      <c r="A1659" s="6" t="n"/>
      <c r="B1659" s="4" t="n"/>
      <c r="C1659" s="4" t="n"/>
      <c r="D1659" s="4" t="n"/>
    </row>
    <row r="1660">
      <c r="A1660" s="6" t="n"/>
      <c r="B1660" s="4" t="n"/>
      <c r="C1660" s="4" t="n"/>
      <c r="D1660" s="4" t="n"/>
    </row>
    <row r="1661">
      <c r="A1661" s="6" t="n"/>
      <c r="B1661" s="4" t="n"/>
      <c r="C1661" s="4" t="n"/>
      <c r="D1661" s="4" t="n"/>
    </row>
    <row r="1662">
      <c r="A1662" s="6" t="n"/>
      <c r="B1662" s="4" t="n"/>
      <c r="C1662" s="4" t="n"/>
      <c r="D1662" s="4" t="n"/>
    </row>
    <row r="1663">
      <c r="A1663" s="6" t="n"/>
      <c r="B1663" s="4" t="n"/>
      <c r="C1663" s="4" t="n"/>
      <c r="D1663" s="4" t="n"/>
    </row>
    <row r="1664">
      <c r="A1664" s="6" t="n"/>
      <c r="B1664" s="4" t="n"/>
      <c r="C1664" s="4" t="n"/>
      <c r="D1664" s="4" t="n"/>
    </row>
    <row r="1665">
      <c r="A1665" s="6" t="n"/>
      <c r="B1665" s="4" t="n"/>
      <c r="C1665" s="4" t="n"/>
      <c r="D1665" s="4" t="n"/>
    </row>
    <row r="1666">
      <c r="A1666" s="6" t="n"/>
      <c r="B1666" s="4" t="n"/>
      <c r="C1666" s="4" t="n"/>
      <c r="D1666" s="4" t="n"/>
    </row>
    <row r="1667">
      <c r="A1667" s="6" t="n"/>
      <c r="B1667" s="4" t="n"/>
      <c r="C1667" s="4" t="n"/>
      <c r="D1667" s="4" t="n"/>
    </row>
    <row r="1668">
      <c r="A1668" s="6" t="n"/>
      <c r="B1668" s="4" t="n"/>
      <c r="C1668" s="4" t="n"/>
      <c r="D1668" s="4" t="n"/>
    </row>
    <row r="1669">
      <c r="A1669" s="6" t="n"/>
      <c r="B1669" s="4" t="n"/>
      <c r="C1669" s="4" t="n"/>
      <c r="D1669" s="4" t="n"/>
    </row>
    <row r="1670">
      <c r="A1670" s="6" t="n"/>
      <c r="B1670" s="4" t="n"/>
      <c r="C1670" s="4" t="n"/>
      <c r="D1670" s="4" t="n"/>
    </row>
    <row r="1671">
      <c r="A1671" s="6" t="n"/>
      <c r="B1671" s="4" t="n"/>
      <c r="C1671" s="4" t="n"/>
      <c r="D1671" s="4" t="n"/>
    </row>
    <row r="1672">
      <c r="A1672" s="6" t="n"/>
      <c r="B1672" s="4" t="n"/>
      <c r="C1672" s="4" t="n"/>
      <c r="D1672" s="4" t="n"/>
    </row>
    <row r="1673">
      <c r="A1673" s="6" t="n"/>
      <c r="B1673" s="4" t="n"/>
      <c r="C1673" s="4" t="n"/>
      <c r="D1673" s="4" t="n"/>
    </row>
    <row r="1674">
      <c r="A1674" s="6" t="n"/>
      <c r="B1674" s="4" t="n"/>
      <c r="C1674" s="4" t="n"/>
      <c r="D1674" s="4" t="n"/>
    </row>
    <row r="1675">
      <c r="A1675" s="6" t="n"/>
      <c r="B1675" s="4" t="n"/>
      <c r="C1675" s="4" t="n"/>
      <c r="D1675" s="4" t="n"/>
    </row>
    <row r="1676">
      <c r="A1676" s="6" t="n"/>
      <c r="B1676" s="4" t="n"/>
      <c r="C1676" s="4" t="n"/>
      <c r="D1676" s="4" t="n"/>
    </row>
    <row r="1677">
      <c r="A1677" s="6" t="n"/>
      <c r="B1677" s="4" t="n"/>
      <c r="C1677" s="4" t="n"/>
      <c r="D1677" s="4" t="n"/>
    </row>
    <row r="1678">
      <c r="A1678" s="6" t="n"/>
      <c r="B1678" s="4" t="n"/>
      <c r="C1678" s="4" t="n"/>
      <c r="D1678" s="4" t="n"/>
    </row>
    <row r="1679">
      <c r="A1679" s="6" t="n"/>
      <c r="B1679" s="4" t="n"/>
      <c r="C1679" s="4" t="n"/>
      <c r="D1679" s="4" t="n"/>
    </row>
    <row r="1680">
      <c r="A1680" s="6" t="n"/>
      <c r="B1680" s="4" t="n"/>
      <c r="C1680" s="4" t="n"/>
      <c r="D1680" s="4" t="n"/>
    </row>
    <row r="1681">
      <c r="A1681" s="6" t="n"/>
      <c r="B1681" s="4" t="n"/>
      <c r="C1681" s="4" t="n"/>
      <c r="D1681" s="4" t="n"/>
    </row>
    <row r="1682">
      <c r="A1682" s="6" t="n"/>
      <c r="B1682" s="4" t="n"/>
      <c r="C1682" s="4" t="n"/>
      <c r="D1682" s="4" t="n"/>
    </row>
    <row r="1683">
      <c r="A1683" s="6" t="n"/>
      <c r="B1683" s="4" t="n"/>
      <c r="C1683" s="4" t="n"/>
      <c r="D1683" s="4" t="n"/>
    </row>
    <row r="1684">
      <c r="A1684" s="6" t="n"/>
      <c r="B1684" s="4" t="n"/>
      <c r="C1684" s="4" t="n"/>
      <c r="D1684" s="4" t="n"/>
    </row>
    <row r="1685">
      <c r="A1685" s="6" t="n"/>
      <c r="B1685" s="4" t="n"/>
      <c r="C1685" s="4" t="n"/>
      <c r="D1685" s="4" t="n"/>
    </row>
    <row r="1686">
      <c r="A1686" s="6" t="n"/>
      <c r="B1686" s="4" t="n"/>
      <c r="C1686" s="4" t="n"/>
      <c r="D1686" s="4" t="n"/>
    </row>
    <row r="1687">
      <c r="A1687" s="6" t="n"/>
      <c r="B1687" s="4" t="n"/>
      <c r="C1687" s="4" t="n"/>
      <c r="D1687" s="4" t="n"/>
    </row>
    <row r="1688">
      <c r="A1688" s="6" t="n"/>
      <c r="B1688" s="4" t="n"/>
      <c r="C1688" s="4" t="n"/>
      <c r="D1688" s="4" t="n"/>
    </row>
    <row r="1689">
      <c r="A1689" s="6" t="n"/>
      <c r="B1689" s="4" t="n"/>
      <c r="C1689" s="4" t="n"/>
      <c r="D1689" s="4" t="n"/>
    </row>
    <row r="1690">
      <c r="A1690" s="6" t="n"/>
      <c r="B1690" s="4" t="n"/>
      <c r="C1690" s="4" t="n"/>
      <c r="D1690" s="4" t="n"/>
    </row>
    <row r="1691">
      <c r="A1691" s="6" t="n"/>
      <c r="B1691" s="4" t="n"/>
      <c r="C1691" s="4" t="n"/>
      <c r="D1691" s="4" t="n"/>
    </row>
    <row r="1692">
      <c r="A1692" s="6" t="n"/>
      <c r="B1692" s="4" t="n"/>
      <c r="C1692" s="4" t="n"/>
      <c r="D1692" s="4" t="n"/>
    </row>
    <row r="1693">
      <c r="A1693" s="6" t="n"/>
      <c r="B1693" s="4" t="n"/>
      <c r="C1693" s="4" t="n"/>
      <c r="D1693" s="4" t="n"/>
    </row>
    <row r="1694">
      <c r="A1694" s="6" t="n"/>
      <c r="B1694" s="4" t="n"/>
      <c r="C1694" s="4" t="n"/>
      <c r="D1694" s="4" t="n"/>
    </row>
    <row r="1695">
      <c r="A1695" s="6" t="n"/>
      <c r="B1695" s="4" t="n"/>
      <c r="C1695" s="4" t="n"/>
      <c r="D1695" s="4" t="n"/>
    </row>
    <row r="1696">
      <c r="A1696" s="6" t="n"/>
      <c r="B1696" s="4" t="n"/>
      <c r="C1696" s="4" t="n"/>
      <c r="D1696" s="4" t="n"/>
    </row>
    <row r="1697">
      <c r="A1697" s="6" t="n"/>
      <c r="B1697" s="4" t="n"/>
      <c r="C1697" s="4" t="n"/>
      <c r="D1697" s="4" t="n"/>
    </row>
    <row r="1698">
      <c r="A1698" s="6" t="n"/>
      <c r="B1698" s="4" t="n"/>
      <c r="C1698" s="4" t="n"/>
      <c r="D1698" s="4" t="n"/>
    </row>
    <row r="1699">
      <c r="A1699" s="6" t="n"/>
      <c r="B1699" s="4" t="n"/>
      <c r="C1699" s="4" t="n"/>
      <c r="D1699" s="4" t="n"/>
    </row>
    <row r="1700">
      <c r="A1700" s="6" t="n"/>
      <c r="B1700" s="4" t="n"/>
      <c r="C1700" s="4" t="n"/>
      <c r="D1700" s="4" t="n"/>
    </row>
    <row r="1701">
      <c r="A1701" s="6" t="n"/>
      <c r="B1701" s="4" t="n"/>
      <c r="C1701" s="4" t="n"/>
      <c r="D1701" s="4" t="n"/>
    </row>
    <row r="1702">
      <c r="A1702" s="6" t="n"/>
      <c r="B1702" s="4" t="n"/>
      <c r="C1702" s="4" t="n"/>
      <c r="D1702" s="4" t="n"/>
    </row>
    <row r="1703">
      <c r="A1703" s="6" t="n"/>
      <c r="B1703" s="4" t="n"/>
      <c r="C1703" s="4" t="n"/>
      <c r="D1703" s="4" t="n"/>
    </row>
    <row r="1704">
      <c r="A1704" s="6" t="n"/>
      <c r="B1704" s="4" t="n"/>
      <c r="C1704" s="4" t="n"/>
      <c r="D1704" s="4" t="n"/>
    </row>
    <row r="1705">
      <c r="A1705" s="6" t="n"/>
      <c r="B1705" s="4" t="n"/>
      <c r="C1705" s="4" t="n"/>
      <c r="D1705" s="4" t="n"/>
    </row>
    <row r="1706">
      <c r="A1706" s="6" t="n"/>
      <c r="B1706" s="4" t="n"/>
      <c r="C1706" s="4" t="n"/>
      <c r="D1706" s="4" t="n"/>
    </row>
    <row r="1707">
      <c r="A1707" s="6" t="n"/>
      <c r="B1707" s="4" t="n"/>
      <c r="C1707" s="4" t="n"/>
      <c r="D1707" s="4" t="n"/>
    </row>
    <row r="1708">
      <c r="A1708" s="6" t="n"/>
      <c r="B1708" s="4" t="n"/>
      <c r="C1708" s="4" t="n"/>
      <c r="D1708" s="4" t="n"/>
    </row>
    <row r="1709">
      <c r="A1709" s="6" t="n"/>
      <c r="B1709" s="4" t="n"/>
      <c r="C1709" s="4" t="n"/>
      <c r="D1709" s="4" t="n"/>
    </row>
    <row r="1710">
      <c r="A1710" s="6" t="n"/>
      <c r="B1710" s="4" t="n"/>
      <c r="C1710" s="4" t="n"/>
      <c r="D1710" s="4" t="n"/>
    </row>
    <row r="1711">
      <c r="A1711" s="6" t="n"/>
      <c r="B1711" s="4" t="n"/>
      <c r="C1711" s="4" t="n"/>
      <c r="D1711" s="4" t="n"/>
    </row>
    <row r="1712">
      <c r="A1712" s="6" t="n"/>
      <c r="B1712" s="4" t="n"/>
      <c r="C1712" s="4" t="n"/>
      <c r="D1712" s="4" t="n"/>
    </row>
    <row r="1713">
      <c r="A1713" s="6" t="n"/>
      <c r="B1713" s="4" t="n"/>
      <c r="C1713" s="4" t="n"/>
      <c r="D1713" s="4" t="n"/>
    </row>
    <row r="1714">
      <c r="A1714" s="6" t="n"/>
      <c r="B1714" s="4" t="n"/>
      <c r="C1714" s="4" t="n"/>
      <c r="D1714" s="4" t="n"/>
    </row>
    <row r="1715">
      <c r="A1715" s="6" t="n"/>
      <c r="B1715" s="4" t="n"/>
      <c r="C1715" s="4" t="n"/>
      <c r="D1715" s="4" t="n"/>
    </row>
    <row r="1716">
      <c r="A1716" s="6" t="n"/>
      <c r="B1716" s="4" t="n"/>
      <c r="C1716" s="4" t="n"/>
      <c r="D1716" s="4" t="n"/>
    </row>
    <row r="1717">
      <c r="A1717" s="6" t="n"/>
      <c r="B1717" s="4" t="n"/>
      <c r="C1717" s="4" t="n"/>
      <c r="D1717" s="4" t="n"/>
    </row>
    <row r="1718">
      <c r="A1718" s="6" t="n"/>
      <c r="B1718" s="4" t="n"/>
      <c r="C1718" s="4" t="n"/>
      <c r="D1718" s="4" t="n"/>
    </row>
    <row r="1719">
      <c r="A1719" s="6" t="n"/>
      <c r="B1719" s="4" t="n"/>
      <c r="C1719" s="4" t="n"/>
      <c r="D1719" s="4" t="n"/>
    </row>
    <row r="1720">
      <c r="A1720" s="6" t="n"/>
      <c r="B1720" s="4" t="n"/>
      <c r="C1720" s="4" t="n"/>
      <c r="D1720" s="4" t="n"/>
    </row>
    <row r="1721">
      <c r="A1721" s="6" t="n"/>
      <c r="B1721" s="4" t="n"/>
      <c r="C1721" s="4" t="n"/>
      <c r="D1721" s="4" t="n"/>
    </row>
    <row r="1722">
      <c r="A1722" s="6" t="n"/>
      <c r="B1722" s="4" t="n"/>
      <c r="C1722" s="4" t="n"/>
      <c r="D1722" s="4" t="n"/>
    </row>
    <row r="1723">
      <c r="A1723" s="6" t="n"/>
      <c r="B1723" s="4" t="n"/>
      <c r="C1723" s="4" t="n"/>
      <c r="D1723" s="4" t="n"/>
    </row>
    <row r="1724">
      <c r="A1724" s="6" t="n"/>
      <c r="B1724" s="4" t="n"/>
      <c r="C1724" s="4" t="n"/>
      <c r="D1724" s="4" t="n"/>
    </row>
    <row r="1725">
      <c r="A1725" s="6" t="n"/>
      <c r="B1725" s="4" t="n"/>
      <c r="C1725" s="4" t="n"/>
      <c r="D1725" s="4" t="n"/>
    </row>
    <row r="1726">
      <c r="A1726" s="6" t="n"/>
      <c r="B1726" s="4" t="n"/>
      <c r="C1726" s="4" t="n"/>
      <c r="D1726" s="4" t="n"/>
    </row>
    <row r="1727">
      <c r="A1727" s="6" t="n"/>
      <c r="B1727" s="4" t="n"/>
      <c r="C1727" s="4" t="n"/>
      <c r="D1727" s="4" t="n"/>
    </row>
    <row r="1728">
      <c r="A1728" s="6" t="n"/>
      <c r="B1728" s="4" t="n"/>
      <c r="C1728" s="4" t="n"/>
      <c r="D1728" s="4" t="n"/>
    </row>
    <row r="1729">
      <c r="A1729" s="6" t="n"/>
      <c r="B1729" s="4" t="n"/>
      <c r="C1729" s="4" t="n"/>
      <c r="D1729" s="4" t="n"/>
    </row>
    <row r="1730">
      <c r="A1730" s="6" t="n"/>
      <c r="B1730" s="4" t="n"/>
      <c r="C1730" s="4" t="n"/>
      <c r="D1730" s="4" t="n"/>
    </row>
    <row r="1731">
      <c r="A1731" s="6" t="n"/>
      <c r="B1731" s="4" t="n"/>
      <c r="C1731" s="4" t="n"/>
      <c r="D1731" s="4" t="n"/>
    </row>
    <row r="1732">
      <c r="A1732" s="6" t="n"/>
      <c r="B1732" s="4" t="n"/>
      <c r="C1732" s="4" t="n"/>
      <c r="D1732" s="4" t="n"/>
    </row>
    <row r="1733">
      <c r="A1733" s="6" t="n"/>
      <c r="B1733" s="4" t="n"/>
      <c r="C1733" s="4" t="n"/>
      <c r="D1733" s="4" t="n"/>
    </row>
    <row r="1734">
      <c r="A1734" s="6" t="n"/>
      <c r="B1734" s="4" t="n"/>
      <c r="C1734" s="4" t="n"/>
      <c r="D1734" s="4" t="n"/>
    </row>
    <row r="1735">
      <c r="A1735" s="6" t="n"/>
      <c r="B1735" s="4" t="n"/>
      <c r="C1735" s="4" t="n"/>
      <c r="D1735" s="4" t="n"/>
    </row>
    <row r="1736">
      <c r="A1736" s="6" t="n"/>
      <c r="B1736" s="4" t="n"/>
      <c r="C1736" s="4" t="n"/>
      <c r="D1736" s="4" t="n"/>
    </row>
    <row r="1737">
      <c r="A1737" s="6" t="n"/>
      <c r="B1737" s="4" t="n"/>
      <c r="C1737" s="4" t="n"/>
      <c r="D1737" s="4" t="n"/>
    </row>
    <row r="1738">
      <c r="A1738" s="6" t="n"/>
      <c r="B1738" s="4" t="n"/>
      <c r="C1738" s="4" t="n"/>
      <c r="D1738" s="4" t="n"/>
    </row>
    <row r="1739">
      <c r="A1739" s="6" t="n"/>
      <c r="B1739" s="4" t="n"/>
      <c r="C1739" s="4" t="n"/>
      <c r="D1739" s="4" t="n"/>
    </row>
    <row r="1740">
      <c r="A1740" s="6" t="n"/>
      <c r="B1740" s="4" t="n"/>
      <c r="C1740" s="4" t="n"/>
      <c r="D1740" s="4" t="n"/>
    </row>
    <row r="1741">
      <c r="A1741" s="6" t="n"/>
      <c r="B1741" s="4" t="n"/>
      <c r="C1741" s="4" t="n"/>
      <c r="D1741" s="4" t="n"/>
    </row>
    <row r="1742">
      <c r="A1742" s="6" t="n"/>
      <c r="B1742" s="4" t="n"/>
      <c r="C1742" s="4" t="n"/>
      <c r="D1742" s="4" t="n"/>
    </row>
    <row r="1743">
      <c r="A1743" s="6" t="n"/>
      <c r="B1743" s="4" t="n"/>
      <c r="C1743" s="4" t="n"/>
      <c r="D1743" s="4" t="n"/>
    </row>
    <row r="1744">
      <c r="A1744" s="6" t="n"/>
      <c r="B1744" s="4" t="n"/>
      <c r="C1744" s="4" t="n"/>
      <c r="D1744" s="4" t="n"/>
    </row>
    <row r="1745">
      <c r="A1745" s="6" t="n"/>
      <c r="B1745" s="4" t="n"/>
      <c r="C1745" s="4" t="n"/>
      <c r="D1745" s="4" t="n"/>
    </row>
    <row r="1746">
      <c r="A1746" s="6" t="n"/>
      <c r="B1746" s="4" t="n"/>
      <c r="C1746" s="4" t="n"/>
      <c r="D1746" s="4" t="n"/>
    </row>
    <row r="1747">
      <c r="A1747" s="6" t="n"/>
      <c r="B1747" s="4" t="n"/>
      <c r="C1747" s="4" t="n"/>
      <c r="D1747" s="4" t="n"/>
    </row>
    <row r="1748">
      <c r="A1748" s="6" t="n"/>
      <c r="B1748" s="4" t="n"/>
      <c r="C1748" s="4" t="n"/>
      <c r="D1748" s="4" t="n"/>
    </row>
    <row r="1749">
      <c r="A1749" s="6" t="n"/>
      <c r="B1749" s="4" t="n"/>
      <c r="C1749" s="4" t="n"/>
      <c r="D1749" s="4" t="n"/>
    </row>
    <row r="1750">
      <c r="A1750" s="6" t="n"/>
      <c r="B1750" s="4" t="n"/>
      <c r="C1750" s="4" t="n"/>
      <c r="D1750" s="4" t="n"/>
    </row>
    <row r="1751">
      <c r="A1751" s="6" t="n"/>
      <c r="B1751" s="4" t="n"/>
      <c r="C1751" s="4" t="n"/>
      <c r="D1751" s="4" t="n"/>
    </row>
    <row r="1752">
      <c r="A1752" s="6" t="n"/>
      <c r="B1752" s="4" t="n"/>
      <c r="C1752" s="4" t="n"/>
      <c r="D1752" s="4" t="n"/>
    </row>
    <row r="1753">
      <c r="A1753" s="6" t="n"/>
      <c r="B1753" s="4" t="n"/>
      <c r="C1753" s="4" t="n"/>
      <c r="D1753" s="4" t="n"/>
    </row>
    <row r="1754">
      <c r="A1754" s="6" t="n"/>
      <c r="B1754" s="4" t="n"/>
      <c r="C1754" s="4" t="n"/>
      <c r="D1754" s="4" t="n"/>
    </row>
    <row r="1755">
      <c r="A1755" s="6" t="n"/>
      <c r="B1755" s="4" t="n"/>
      <c r="C1755" s="4" t="n"/>
      <c r="D1755" s="4" t="n"/>
    </row>
    <row r="1756">
      <c r="A1756" s="6" t="n"/>
      <c r="B1756" s="4" t="n"/>
      <c r="C1756" s="4" t="n"/>
      <c r="D1756" s="4" t="n"/>
    </row>
    <row r="1757">
      <c r="A1757" s="6" t="n"/>
      <c r="B1757" s="4" t="n"/>
      <c r="C1757" s="4" t="n"/>
      <c r="D1757" s="4" t="n"/>
    </row>
    <row r="1758">
      <c r="A1758" s="6" t="n"/>
      <c r="B1758" s="4" t="n"/>
      <c r="C1758" s="4" t="n"/>
      <c r="D1758" s="4" t="n"/>
    </row>
    <row r="1759">
      <c r="A1759" s="6" t="n"/>
      <c r="B1759" s="4" t="n"/>
      <c r="C1759" s="4" t="n"/>
      <c r="D1759" s="4" t="n"/>
    </row>
    <row r="1760">
      <c r="A1760" s="6" t="n"/>
      <c r="B1760" s="4" t="n"/>
      <c r="C1760" s="4" t="n"/>
      <c r="D1760" s="4" t="n"/>
    </row>
    <row r="1761">
      <c r="A1761" s="6" t="n"/>
      <c r="B1761" s="4" t="n"/>
      <c r="C1761" s="4" t="n"/>
      <c r="D1761" s="4" t="n"/>
    </row>
    <row r="1762">
      <c r="A1762" s="6" t="n"/>
      <c r="B1762" s="4" t="n"/>
      <c r="C1762" s="4" t="n"/>
      <c r="D1762" s="4" t="n"/>
    </row>
    <row r="1763">
      <c r="A1763" s="6" t="n"/>
      <c r="B1763" s="4" t="n"/>
      <c r="C1763" s="4" t="n"/>
      <c r="D1763" s="4" t="n"/>
    </row>
    <row r="1764">
      <c r="A1764" s="6" t="n"/>
      <c r="B1764" s="4" t="n"/>
      <c r="C1764" s="4" t="n"/>
      <c r="D1764" s="4" t="n"/>
    </row>
    <row r="1765">
      <c r="A1765" s="6" t="n"/>
      <c r="B1765" s="4" t="n"/>
      <c r="C1765" s="4" t="n"/>
      <c r="D1765" s="4" t="n"/>
    </row>
    <row r="1766">
      <c r="A1766" s="6" t="n"/>
      <c r="B1766" s="4" t="n"/>
      <c r="C1766" s="4" t="n"/>
      <c r="D1766" s="4" t="n"/>
    </row>
    <row r="1767">
      <c r="A1767" s="6" t="n"/>
      <c r="B1767" s="4" t="n"/>
      <c r="C1767" s="4" t="n"/>
      <c r="D1767" s="4" t="n"/>
    </row>
    <row r="1768">
      <c r="A1768" s="6" t="n"/>
      <c r="B1768" s="4" t="n"/>
      <c r="C1768" s="4" t="n"/>
      <c r="D1768" s="4" t="n"/>
    </row>
    <row r="1769">
      <c r="A1769" s="6" t="n"/>
      <c r="B1769" s="4" t="n"/>
      <c r="C1769" s="4" t="n"/>
      <c r="D1769" s="4" t="n"/>
    </row>
    <row r="1770">
      <c r="A1770" s="6" t="n"/>
      <c r="B1770" s="4" t="n"/>
      <c r="C1770" s="4" t="n"/>
      <c r="D1770" s="4" t="n"/>
    </row>
    <row r="1771">
      <c r="A1771" s="6" t="n"/>
      <c r="B1771" s="4" t="n"/>
      <c r="C1771" s="4" t="n"/>
      <c r="D1771" s="4" t="n"/>
    </row>
    <row r="1772">
      <c r="A1772" s="6" t="n"/>
      <c r="B1772" s="4" t="n"/>
      <c r="C1772" s="4" t="n"/>
      <c r="D1772" s="4" t="n"/>
    </row>
    <row r="1773">
      <c r="A1773" s="6" t="n"/>
      <c r="B1773" s="4" t="n"/>
      <c r="C1773" s="4" t="n"/>
      <c r="D1773" s="4" t="n"/>
    </row>
    <row r="1774">
      <c r="A1774" s="6" t="n"/>
      <c r="B1774" s="4" t="n"/>
      <c r="C1774" s="4" t="n"/>
      <c r="D1774" s="4" t="n"/>
    </row>
    <row r="1775">
      <c r="A1775" s="6" t="n"/>
      <c r="B1775" s="4" t="n"/>
      <c r="C1775" s="4" t="n"/>
      <c r="D1775" s="4" t="n"/>
    </row>
    <row r="1776">
      <c r="A1776" s="6" t="n"/>
      <c r="B1776" s="4" t="n"/>
      <c r="C1776" s="4" t="n"/>
      <c r="D1776" s="4" t="n"/>
    </row>
    <row r="1777">
      <c r="A1777" s="6" t="n"/>
      <c r="B1777" s="4" t="n"/>
      <c r="C1777" s="4" t="n"/>
      <c r="D1777" s="4" t="n"/>
    </row>
    <row r="1778">
      <c r="A1778" s="6" t="n"/>
      <c r="B1778" s="4" t="n"/>
      <c r="C1778" s="4" t="n"/>
      <c r="D1778" s="4" t="n"/>
    </row>
    <row r="1779">
      <c r="A1779" s="6" t="n"/>
      <c r="B1779" s="4" t="n"/>
      <c r="C1779" s="4" t="n"/>
      <c r="D1779" s="4" t="n"/>
    </row>
    <row r="1780">
      <c r="A1780" s="6" t="n"/>
      <c r="B1780" s="4" t="n"/>
      <c r="C1780" s="4" t="n"/>
      <c r="D1780" s="4" t="n"/>
    </row>
    <row r="1781">
      <c r="A1781" s="6" t="n"/>
      <c r="B1781" s="4" t="n"/>
      <c r="C1781" s="4" t="n"/>
      <c r="D1781" s="4" t="n"/>
    </row>
    <row r="1782">
      <c r="A1782" s="6" t="n"/>
      <c r="B1782" s="4" t="n"/>
      <c r="C1782" s="4" t="n"/>
      <c r="D1782" s="4" t="n"/>
    </row>
    <row r="1783">
      <c r="A1783" s="6" t="n"/>
      <c r="B1783" s="4" t="n"/>
      <c r="C1783" s="4" t="n"/>
      <c r="D1783" s="4" t="n"/>
    </row>
    <row r="1784">
      <c r="A1784" s="6" t="n"/>
      <c r="B1784" s="4" t="n"/>
      <c r="C1784" s="4" t="n"/>
      <c r="D1784" s="4" t="n"/>
    </row>
    <row r="1785">
      <c r="A1785" s="6" t="n"/>
      <c r="B1785" s="4" t="n"/>
      <c r="C1785" s="4" t="n"/>
      <c r="D1785" s="4" t="n"/>
    </row>
    <row r="1786">
      <c r="A1786" s="6" t="n"/>
      <c r="B1786" s="4" t="n"/>
      <c r="C1786" s="4" t="n"/>
      <c r="D1786" s="4" t="n"/>
    </row>
    <row r="1787">
      <c r="A1787" s="6" t="n"/>
      <c r="B1787" s="4" t="n"/>
      <c r="C1787" s="4" t="n"/>
      <c r="D1787" s="4" t="n"/>
    </row>
    <row r="1788">
      <c r="A1788" s="6" t="n"/>
      <c r="B1788" s="4" t="n"/>
      <c r="C1788" s="4" t="n"/>
      <c r="D1788" s="4" t="n"/>
    </row>
    <row r="1789">
      <c r="A1789" s="6" t="n"/>
      <c r="B1789" s="4" t="n"/>
      <c r="C1789" s="4" t="n"/>
      <c r="D1789" s="4" t="n"/>
    </row>
    <row r="1790">
      <c r="A1790" s="6" t="n"/>
      <c r="B1790" s="4" t="n"/>
      <c r="C1790" s="4" t="n"/>
      <c r="D1790" s="4" t="n"/>
    </row>
    <row r="1791">
      <c r="A1791" s="6" t="n"/>
      <c r="B1791" s="4" t="n"/>
      <c r="C1791" s="4" t="n"/>
      <c r="D1791" s="4" t="n"/>
    </row>
    <row r="1792">
      <c r="A1792" s="6" t="n"/>
      <c r="B1792" s="4" t="n"/>
      <c r="C1792" s="4" t="n"/>
      <c r="D1792" s="4" t="n"/>
    </row>
    <row r="1793">
      <c r="A1793" s="6" t="n"/>
      <c r="B1793" s="4" t="n"/>
      <c r="C1793" s="4" t="n"/>
      <c r="D1793" s="4" t="n"/>
    </row>
    <row r="1794">
      <c r="A1794" s="6" t="n"/>
      <c r="B1794" s="4" t="n"/>
      <c r="C1794" s="4" t="n"/>
      <c r="D1794" s="4" t="n"/>
    </row>
    <row r="1795">
      <c r="A1795" s="6" t="n"/>
      <c r="B1795" s="4" t="n"/>
      <c r="C1795" s="4" t="n"/>
      <c r="D1795" s="4" t="n"/>
    </row>
    <row r="1796">
      <c r="A1796" s="6" t="n"/>
      <c r="B1796" s="4" t="n"/>
      <c r="C1796" s="4" t="n"/>
      <c r="D1796" s="4" t="n"/>
    </row>
    <row r="1797">
      <c r="A1797" s="6" t="n"/>
      <c r="B1797" s="4" t="n"/>
      <c r="C1797" s="4" t="n"/>
      <c r="D1797" s="4" t="n"/>
    </row>
    <row r="1798">
      <c r="A1798" s="6" t="n"/>
      <c r="B1798" s="4" t="n"/>
      <c r="C1798" s="4" t="n"/>
      <c r="D1798" s="4" t="n"/>
    </row>
    <row r="1799">
      <c r="A1799" s="6" t="n"/>
      <c r="B1799" s="4" t="n"/>
      <c r="C1799" s="4" t="n"/>
      <c r="D1799" s="4" t="n"/>
    </row>
    <row r="1800">
      <c r="A1800" s="6" t="n"/>
      <c r="B1800" s="4" t="n"/>
      <c r="C1800" s="4" t="n"/>
      <c r="D1800" s="4" t="n"/>
    </row>
    <row r="1801">
      <c r="A1801" s="6" t="n"/>
      <c r="B1801" s="4" t="n"/>
      <c r="C1801" s="4" t="n"/>
      <c r="D1801" s="4" t="n"/>
    </row>
    <row r="1802">
      <c r="A1802" s="6" t="n"/>
      <c r="B1802" s="4" t="n"/>
      <c r="C1802" s="4" t="n"/>
      <c r="D1802" s="4" t="n"/>
    </row>
    <row r="1803">
      <c r="A1803" s="6" t="n"/>
      <c r="B1803" s="4" t="n"/>
      <c r="C1803" s="4" t="n"/>
      <c r="D1803" s="4" t="n"/>
    </row>
    <row r="1804">
      <c r="A1804" s="6" t="n"/>
      <c r="B1804" s="4" t="n"/>
      <c r="C1804" s="4" t="n"/>
      <c r="D1804" s="4" t="n"/>
    </row>
    <row r="1805">
      <c r="A1805" s="6" t="n"/>
      <c r="B1805" s="4" t="n"/>
      <c r="C1805" s="4" t="n"/>
      <c r="D1805" s="4" t="n"/>
    </row>
    <row r="1806">
      <c r="A1806" s="6" t="n"/>
      <c r="B1806" s="4" t="n"/>
      <c r="C1806" s="4" t="n"/>
      <c r="D1806" s="4" t="n"/>
    </row>
    <row r="1807">
      <c r="A1807" s="6" t="n"/>
      <c r="B1807" s="4" t="n"/>
      <c r="C1807" s="4" t="n"/>
      <c r="D1807" s="4" t="n"/>
    </row>
    <row r="1808">
      <c r="A1808" s="6" t="n"/>
      <c r="B1808" s="4" t="n"/>
      <c r="C1808" s="4" t="n"/>
      <c r="D1808" s="4" t="n"/>
    </row>
    <row r="1809">
      <c r="A1809" s="6" t="n"/>
      <c r="B1809" s="4" t="n"/>
      <c r="C1809" s="4" t="n"/>
      <c r="D1809" s="4" t="n"/>
    </row>
    <row r="1810">
      <c r="A1810" s="6" t="n"/>
      <c r="B1810" s="4" t="n"/>
      <c r="C1810" s="4" t="n"/>
      <c r="D1810" s="4" t="n"/>
    </row>
    <row r="1811">
      <c r="A1811" s="6" t="n"/>
      <c r="B1811" s="4" t="n"/>
      <c r="C1811" s="4" t="n"/>
      <c r="D1811" s="4" t="n"/>
    </row>
    <row r="1812">
      <c r="A1812" s="6" t="n"/>
      <c r="B1812" s="4" t="n"/>
      <c r="C1812" s="4" t="n"/>
      <c r="D1812" s="4" t="n"/>
    </row>
    <row r="1813">
      <c r="A1813" s="6" t="n"/>
      <c r="B1813" s="4" t="n"/>
      <c r="C1813" s="4" t="n"/>
      <c r="D1813" s="4" t="n"/>
    </row>
    <row r="1814">
      <c r="A1814" s="6" t="n"/>
      <c r="B1814" s="4" t="n"/>
      <c r="C1814" s="4" t="n"/>
      <c r="D1814" s="4" t="n"/>
    </row>
    <row r="1815">
      <c r="A1815" s="6" t="n"/>
      <c r="B1815" s="4" t="n"/>
      <c r="C1815" s="4" t="n"/>
      <c r="D1815" s="4" t="n"/>
    </row>
    <row r="1816">
      <c r="A1816" s="6" t="n"/>
      <c r="B1816" s="4" t="n"/>
      <c r="C1816" s="4" t="n"/>
      <c r="D1816" s="4" t="n"/>
    </row>
    <row r="1817">
      <c r="A1817" s="6" t="n"/>
      <c r="B1817" s="4" t="n"/>
      <c r="C1817" s="4" t="n"/>
      <c r="D1817" s="4" t="n"/>
    </row>
    <row r="1818">
      <c r="A1818" s="6" t="n"/>
      <c r="B1818" s="4" t="n"/>
      <c r="C1818" s="4" t="n"/>
      <c r="D1818" s="4" t="n"/>
    </row>
    <row r="1819">
      <c r="A1819" s="6" t="n"/>
      <c r="B1819" s="4" t="n"/>
      <c r="C1819" s="4" t="n"/>
      <c r="D1819" s="4" t="n"/>
    </row>
    <row r="1820">
      <c r="A1820" s="6" t="n"/>
      <c r="B1820" s="4" t="n"/>
      <c r="C1820" s="4" t="n"/>
      <c r="D1820" s="4" t="n"/>
    </row>
    <row r="1821">
      <c r="A1821" s="6" t="n"/>
      <c r="B1821" s="4" t="n"/>
      <c r="C1821" s="4" t="n"/>
      <c r="D1821" s="4" t="n"/>
    </row>
    <row r="1822">
      <c r="A1822" s="6" t="n"/>
      <c r="B1822" s="4" t="n"/>
      <c r="C1822" s="4" t="n"/>
      <c r="D1822" s="4" t="n"/>
    </row>
    <row r="1823">
      <c r="A1823" s="6" t="n"/>
      <c r="B1823" s="4" t="n"/>
      <c r="C1823" s="4" t="n"/>
      <c r="D1823" s="4" t="n"/>
    </row>
    <row r="1824">
      <c r="A1824" s="6" t="n"/>
      <c r="B1824" s="4" t="n"/>
      <c r="C1824" s="4" t="n"/>
      <c r="D1824" s="4" t="n"/>
    </row>
    <row r="1825">
      <c r="A1825" s="6" t="n"/>
      <c r="B1825" s="4" t="n"/>
      <c r="C1825" s="4" t="n"/>
      <c r="D1825" s="4" t="n"/>
    </row>
    <row r="1826">
      <c r="A1826" s="6" t="n"/>
      <c r="B1826" s="4" t="n"/>
      <c r="C1826" s="4" t="n"/>
      <c r="D1826" s="4" t="n"/>
    </row>
    <row r="1827">
      <c r="A1827" s="6" t="n"/>
      <c r="B1827" s="4" t="n"/>
      <c r="C1827" s="4" t="n"/>
      <c r="D1827" s="4" t="n"/>
    </row>
    <row r="1828">
      <c r="A1828" s="6" t="n"/>
      <c r="B1828" s="4" t="n"/>
      <c r="C1828" s="4" t="n"/>
      <c r="D1828" s="4" t="n"/>
    </row>
    <row r="1829">
      <c r="A1829" s="6" t="n"/>
      <c r="B1829" s="4" t="n"/>
      <c r="C1829" s="4" t="n"/>
      <c r="D1829" s="4" t="n"/>
    </row>
    <row r="1830">
      <c r="A1830" s="6" t="n"/>
      <c r="B1830" s="4" t="n"/>
      <c r="C1830" s="4" t="n"/>
      <c r="D1830" s="4" t="n"/>
    </row>
    <row r="1831">
      <c r="A1831" s="6" t="n"/>
      <c r="B1831" s="4" t="n"/>
      <c r="C1831" s="4" t="n"/>
      <c r="D1831" s="4" t="n"/>
    </row>
    <row r="1832">
      <c r="A1832" s="6" t="n"/>
      <c r="B1832" s="4" t="n"/>
      <c r="C1832" s="4" t="n"/>
      <c r="D1832" s="4" t="n"/>
    </row>
    <row r="1833">
      <c r="A1833" s="6" t="n"/>
      <c r="B1833" s="4" t="n"/>
      <c r="C1833" s="4" t="n"/>
      <c r="D1833" s="4" t="n"/>
    </row>
    <row r="1834">
      <c r="A1834" s="6" t="n"/>
      <c r="B1834" s="4" t="n"/>
      <c r="C1834" s="4" t="n"/>
      <c r="D1834" s="4" t="n"/>
    </row>
    <row r="1835">
      <c r="A1835" s="6" t="n"/>
      <c r="B1835" s="4" t="n"/>
      <c r="C1835" s="4" t="n"/>
      <c r="D1835" s="4" t="n"/>
    </row>
    <row r="1836">
      <c r="A1836" s="6" t="n"/>
      <c r="B1836" s="4" t="n"/>
      <c r="C1836" s="4" t="n"/>
      <c r="D1836" s="4" t="n"/>
    </row>
    <row r="1837">
      <c r="A1837" s="6" t="n"/>
      <c r="B1837" s="4" t="n"/>
      <c r="C1837" s="4" t="n"/>
      <c r="D1837" s="4" t="n"/>
    </row>
    <row r="1838">
      <c r="A1838" s="6" t="n"/>
      <c r="B1838" s="4" t="n"/>
      <c r="C1838" s="4" t="n"/>
      <c r="D1838" s="4" t="n"/>
    </row>
    <row r="1839">
      <c r="A1839" s="6" t="n"/>
      <c r="B1839" s="4" t="n"/>
      <c r="C1839" s="4" t="n"/>
      <c r="D1839" s="4" t="n"/>
    </row>
    <row r="1840">
      <c r="A1840" s="6" t="n"/>
      <c r="B1840" s="4" t="n"/>
      <c r="C1840" s="4" t="n"/>
      <c r="D1840" s="4" t="n"/>
    </row>
    <row r="1841">
      <c r="A1841" s="6" t="n"/>
      <c r="B1841" s="4" t="n"/>
      <c r="C1841" s="4" t="n"/>
      <c r="D1841" s="4" t="n"/>
    </row>
    <row r="1842">
      <c r="A1842" s="6" t="n"/>
      <c r="B1842" s="4" t="n"/>
      <c r="C1842" s="4" t="n"/>
      <c r="D1842" s="4" t="n"/>
    </row>
    <row r="1843">
      <c r="A1843" s="6" t="n"/>
      <c r="B1843" s="4" t="n"/>
      <c r="C1843" s="4" t="n"/>
      <c r="D1843" s="4" t="n"/>
    </row>
    <row r="1844">
      <c r="A1844" s="6" t="n"/>
      <c r="B1844" s="4" t="n"/>
      <c r="C1844" s="4" t="n"/>
      <c r="D1844" s="4" t="n"/>
    </row>
    <row r="1845">
      <c r="A1845" s="6" t="n"/>
      <c r="B1845" s="4" t="n"/>
      <c r="C1845" s="4" t="n"/>
      <c r="D1845" s="4" t="n"/>
    </row>
    <row r="1846">
      <c r="A1846" s="6" t="n"/>
      <c r="B1846" s="4" t="n"/>
      <c r="C1846" s="4" t="n"/>
      <c r="D1846" s="4" t="n"/>
    </row>
    <row r="1847">
      <c r="A1847" s="6" t="n"/>
      <c r="B1847" s="4" t="n"/>
      <c r="C1847" s="4" t="n"/>
      <c r="D1847" s="4" t="n"/>
    </row>
    <row r="1848">
      <c r="A1848" s="6" t="n"/>
      <c r="B1848" s="4" t="n"/>
      <c r="C1848" s="4" t="n"/>
      <c r="D1848" s="4" t="n"/>
    </row>
    <row r="1849">
      <c r="A1849" s="6" t="n"/>
      <c r="B1849" s="4" t="n"/>
      <c r="C1849" s="4" t="n"/>
      <c r="D1849" s="4" t="n"/>
    </row>
    <row r="1850">
      <c r="A1850" s="6" t="n"/>
      <c r="B1850" s="4" t="n"/>
      <c r="C1850" s="4" t="n"/>
      <c r="D1850" s="4" t="n"/>
    </row>
    <row r="1851">
      <c r="A1851" s="6" t="n"/>
      <c r="B1851" s="4" t="n"/>
      <c r="C1851" s="4" t="n"/>
      <c r="D1851" s="4" t="n"/>
    </row>
    <row r="1852">
      <c r="A1852" s="6" t="n"/>
      <c r="B1852" s="4" t="n"/>
      <c r="C1852" s="4" t="n"/>
      <c r="D1852" s="4" t="n"/>
    </row>
    <row r="1853">
      <c r="A1853" s="6" t="n"/>
      <c r="B1853" s="4" t="n"/>
      <c r="C1853" s="4" t="n"/>
      <c r="D1853" s="4" t="n"/>
    </row>
    <row r="1854">
      <c r="A1854" s="6" t="n"/>
      <c r="B1854" s="4" t="n"/>
      <c r="C1854" s="4" t="n"/>
      <c r="D1854" s="4" t="n"/>
    </row>
    <row r="1855">
      <c r="A1855" s="6" t="n"/>
      <c r="B1855" s="4" t="n"/>
      <c r="C1855" s="4" t="n"/>
      <c r="D1855" s="4" t="n"/>
    </row>
    <row r="1856">
      <c r="A1856" s="6" t="n"/>
      <c r="B1856" s="4" t="n"/>
      <c r="C1856" s="4" t="n"/>
      <c r="D1856" s="4" t="n"/>
    </row>
    <row r="1857">
      <c r="A1857" s="6" t="n"/>
      <c r="B1857" s="4" t="n"/>
      <c r="C1857" s="4" t="n"/>
      <c r="D1857" s="4" t="n"/>
    </row>
    <row r="1858">
      <c r="A1858" s="6" t="n"/>
      <c r="B1858" s="4" t="n"/>
      <c r="C1858" s="4" t="n"/>
      <c r="D1858" s="4" t="n"/>
    </row>
    <row r="1859">
      <c r="A1859" s="6" t="n"/>
      <c r="B1859" s="4" t="n"/>
      <c r="C1859" s="4" t="n"/>
      <c r="D1859" s="4" t="n"/>
    </row>
    <row r="1860">
      <c r="A1860" s="6" t="n"/>
      <c r="B1860" s="4" t="n"/>
      <c r="C1860" s="4" t="n"/>
      <c r="D1860" s="4" t="n"/>
    </row>
    <row r="1861">
      <c r="A1861" s="6" t="n"/>
      <c r="B1861" s="4" t="n"/>
      <c r="C1861" s="4" t="n"/>
      <c r="D1861" s="4" t="n"/>
    </row>
    <row r="1862">
      <c r="A1862" s="6" t="n"/>
      <c r="B1862" s="4" t="n"/>
      <c r="C1862" s="4" t="n"/>
      <c r="D1862" s="4" t="n"/>
    </row>
    <row r="1863">
      <c r="A1863" s="6" t="n"/>
      <c r="B1863" s="4" t="n"/>
      <c r="C1863" s="4" t="n"/>
      <c r="D1863" s="4" t="n"/>
    </row>
    <row r="1864">
      <c r="A1864" s="6" t="n"/>
      <c r="B1864" s="4" t="n"/>
      <c r="C1864" s="4" t="n"/>
      <c r="D1864" s="4" t="n"/>
    </row>
    <row r="1865">
      <c r="A1865" s="6" t="n"/>
      <c r="B1865" s="4" t="n"/>
      <c r="C1865" s="4" t="n"/>
      <c r="D1865" s="4" t="n"/>
    </row>
    <row r="1866">
      <c r="A1866" s="6" t="n"/>
      <c r="B1866" s="4" t="n"/>
      <c r="C1866" s="4" t="n"/>
      <c r="D1866" s="4" t="n"/>
    </row>
    <row r="1867">
      <c r="A1867" s="6" t="n"/>
      <c r="B1867" s="4" t="n"/>
      <c r="C1867" s="4" t="n"/>
      <c r="D1867" s="4" t="n"/>
    </row>
    <row r="1868">
      <c r="A1868" s="6" t="n"/>
      <c r="B1868" s="4" t="n"/>
      <c r="C1868" s="4" t="n"/>
      <c r="D1868" s="4" t="n"/>
    </row>
    <row r="1869">
      <c r="A1869" s="6" t="n"/>
      <c r="B1869" s="4" t="n"/>
      <c r="C1869" s="4" t="n"/>
      <c r="D1869" s="4" t="n"/>
    </row>
    <row r="1870">
      <c r="A1870" s="6" t="n"/>
      <c r="B1870" s="4" t="n"/>
      <c r="C1870" s="4" t="n"/>
      <c r="D1870" s="4" t="n"/>
    </row>
    <row r="1871">
      <c r="A1871" s="6" t="n"/>
      <c r="B1871" s="4" t="n"/>
      <c r="C1871" s="4" t="n"/>
      <c r="D1871" s="4" t="n"/>
    </row>
    <row r="1872">
      <c r="A1872" s="6" t="n"/>
      <c r="B1872" s="4" t="n"/>
      <c r="C1872" s="4" t="n"/>
      <c r="D1872" s="4" t="n"/>
    </row>
    <row r="1873">
      <c r="A1873" s="6" t="n"/>
      <c r="B1873" s="4" t="n"/>
      <c r="C1873" s="4" t="n"/>
      <c r="D1873" s="4" t="n"/>
    </row>
    <row r="1874">
      <c r="A1874" s="6" t="n"/>
      <c r="B1874" s="4" t="n"/>
      <c r="C1874" s="4" t="n"/>
      <c r="D1874" s="4" t="n"/>
    </row>
    <row r="1875">
      <c r="A1875" s="6" t="n"/>
      <c r="B1875" s="4" t="n"/>
      <c r="C1875" s="4" t="n"/>
      <c r="D1875" s="4" t="n"/>
    </row>
    <row r="1876">
      <c r="A1876" s="6" t="n"/>
      <c r="B1876" s="4" t="n"/>
      <c r="C1876" s="4" t="n"/>
      <c r="D1876" s="4" t="n"/>
    </row>
    <row r="1877">
      <c r="A1877" s="6" t="n"/>
      <c r="B1877" s="4" t="n"/>
      <c r="C1877" s="4" t="n"/>
      <c r="D1877" s="4" t="n"/>
    </row>
    <row r="1878">
      <c r="A1878" s="6" t="n"/>
      <c r="B1878" s="4" t="n"/>
      <c r="C1878" s="4" t="n"/>
      <c r="D1878" s="4" t="n"/>
    </row>
    <row r="1879">
      <c r="A1879" s="6" t="n"/>
      <c r="B1879" s="4" t="n"/>
      <c r="C1879" s="4" t="n"/>
      <c r="D1879" s="4" t="n"/>
    </row>
    <row r="1880">
      <c r="A1880" s="6" t="n"/>
      <c r="B1880" s="4" t="n"/>
      <c r="C1880" s="4" t="n"/>
      <c r="D1880" s="4" t="n"/>
    </row>
    <row r="1881">
      <c r="A1881" s="6" t="n"/>
      <c r="B1881" s="4" t="n"/>
      <c r="C1881" s="4" t="n"/>
      <c r="D1881" s="4" t="n"/>
    </row>
    <row r="1882">
      <c r="A1882" s="6" t="n"/>
      <c r="B1882" s="4" t="n"/>
      <c r="C1882" s="4" t="n"/>
      <c r="D1882" s="4" t="n"/>
    </row>
    <row r="1883">
      <c r="A1883" s="6" t="n"/>
      <c r="B1883" s="4" t="n"/>
      <c r="C1883" s="4" t="n"/>
      <c r="D1883" s="4" t="n"/>
    </row>
    <row r="1884">
      <c r="A1884" s="6" t="n"/>
      <c r="B1884" s="4" t="n"/>
      <c r="C1884" s="4" t="n"/>
      <c r="D1884" s="4" t="n"/>
    </row>
    <row r="1885">
      <c r="A1885" s="6" t="n"/>
      <c r="B1885" s="4" t="n"/>
      <c r="C1885" s="4" t="n"/>
      <c r="D1885" s="4" t="n"/>
    </row>
    <row r="1886">
      <c r="A1886" s="6" t="n"/>
      <c r="B1886" s="4" t="n"/>
      <c r="C1886" s="4" t="n"/>
      <c r="D1886" s="4" t="n"/>
    </row>
    <row r="1887">
      <c r="A1887" s="6" t="n"/>
      <c r="B1887" s="4" t="n"/>
      <c r="C1887" s="4" t="n"/>
      <c r="D1887" s="4" t="n"/>
    </row>
    <row r="1888">
      <c r="A1888" s="6" t="n"/>
      <c r="B1888" s="4" t="n"/>
      <c r="C1888" s="4" t="n"/>
      <c r="D1888" s="4" t="n"/>
    </row>
    <row r="1889">
      <c r="A1889" s="6" t="n"/>
      <c r="B1889" s="4" t="n"/>
      <c r="C1889" s="4" t="n"/>
      <c r="D1889" s="4" t="n"/>
    </row>
    <row r="1890">
      <c r="A1890" s="6" t="n"/>
      <c r="B1890" s="4" t="n"/>
      <c r="C1890" s="4" t="n"/>
      <c r="D1890" s="4" t="n"/>
    </row>
    <row r="1891">
      <c r="A1891" s="6" t="n"/>
      <c r="B1891" s="4" t="n"/>
      <c r="C1891" s="4" t="n"/>
      <c r="D1891" s="4" t="n"/>
    </row>
    <row r="1892">
      <c r="A1892" s="6" t="n"/>
      <c r="B1892" s="4" t="n"/>
      <c r="C1892" s="4" t="n"/>
      <c r="D1892" s="4" t="n"/>
    </row>
    <row r="1893">
      <c r="A1893" s="6" t="n"/>
      <c r="B1893" s="4" t="n"/>
      <c r="C1893" s="4" t="n"/>
      <c r="D1893" s="4" t="n"/>
    </row>
    <row r="1894">
      <c r="A1894" s="6" t="n"/>
      <c r="B1894" s="4" t="n"/>
      <c r="C1894" s="4" t="n"/>
      <c r="D1894" s="4" t="n"/>
    </row>
    <row r="1895">
      <c r="A1895" s="6" t="n"/>
      <c r="B1895" s="4" t="n"/>
      <c r="C1895" s="4" t="n"/>
      <c r="D1895" s="4" t="n"/>
    </row>
    <row r="1896">
      <c r="A1896" s="6" t="n"/>
      <c r="B1896" s="4" t="n"/>
      <c r="C1896" s="4" t="n"/>
      <c r="D1896" s="4" t="n"/>
    </row>
    <row r="1897">
      <c r="A1897" s="6" t="n"/>
      <c r="B1897" s="4" t="n"/>
      <c r="C1897" s="4" t="n"/>
      <c r="D1897" s="4" t="n"/>
    </row>
    <row r="1898">
      <c r="A1898" s="6" t="n"/>
      <c r="B1898" s="4" t="n"/>
      <c r="C1898" s="4" t="n"/>
      <c r="D1898" s="4" t="n"/>
    </row>
    <row r="1899">
      <c r="A1899" s="6" t="n"/>
      <c r="B1899" s="4" t="n"/>
      <c r="C1899" s="4" t="n"/>
      <c r="D1899" s="4" t="n"/>
    </row>
    <row r="1900">
      <c r="A1900" s="6" t="n"/>
      <c r="B1900" s="4" t="n"/>
      <c r="C1900" s="4" t="n"/>
      <c r="D1900" s="4" t="n"/>
    </row>
    <row r="1901">
      <c r="A1901" s="6" t="n"/>
      <c r="B1901" s="4" t="n"/>
      <c r="C1901" s="4" t="n"/>
      <c r="D1901" s="4" t="n"/>
    </row>
    <row r="1902">
      <c r="A1902" s="6" t="n"/>
      <c r="B1902" s="4" t="n"/>
      <c r="C1902" s="4" t="n"/>
      <c r="D1902" s="4" t="n"/>
    </row>
    <row r="1903">
      <c r="A1903" s="6" t="n"/>
      <c r="B1903" s="4" t="n"/>
      <c r="C1903" s="4" t="n"/>
      <c r="D1903" s="4" t="n"/>
    </row>
    <row r="1904">
      <c r="A1904" s="6" t="n"/>
      <c r="B1904" s="4" t="n"/>
      <c r="C1904" s="4" t="n"/>
      <c r="D1904" s="4" t="n"/>
    </row>
    <row r="1905">
      <c r="A1905" s="6" t="n"/>
      <c r="B1905" s="4" t="n"/>
      <c r="C1905" s="4" t="n"/>
      <c r="D1905" s="4" t="n"/>
    </row>
    <row r="1906">
      <c r="A1906" s="6" t="n"/>
      <c r="B1906" s="4" t="n"/>
      <c r="C1906" s="4" t="n"/>
      <c r="D1906" s="4" t="n"/>
    </row>
    <row r="1907">
      <c r="A1907" s="6" t="n"/>
      <c r="B1907" s="4" t="n"/>
      <c r="C1907" s="4" t="n"/>
      <c r="D1907" s="4" t="n"/>
    </row>
    <row r="1908">
      <c r="A1908" s="6" t="n"/>
      <c r="B1908" s="4" t="n"/>
      <c r="C1908" s="4" t="n"/>
      <c r="D1908" s="4" t="n"/>
    </row>
    <row r="1909">
      <c r="A1909" s="6" t="n"/>
      <c r="B1909" s="4" t="n"/>
      <c r="C1909" s="4" t="n"/>
      <c r="D1909" s="4" t="n"/>
    </row>
    <row r="1910">
      <c r="A1910" s="6" t="n"/>
      <c r="B1910" s="4" t="n"/>
      <c r="C1910" s="4" t="n"/>
      <c r="D1910" s="4" t="n"/>
    </row>
    <row r="1911">
      <c r="A1911" s="6" t="n"/>
      <c r="B1911" s="4" t="n"/>
      <c r="C1911" s="4" t="n"/>
      <c r="D1911" s="4" t="n"/>
    </row>
    <row r="1912">
      <c r="A1912" s="6" t="n"/>
      <c r="B1912" s="4" t="n"/>
      <c r="C1912" s="4" t="n"/>
      <c r="D1912" s="4" t="n"/>
    </row>
    <row r="1913">
      <c r="A1913" s="6" t="n"/>
      <c r="B1913" s="4" t="n"/>
      <c r="C1913" s="4" t="n"/>
      <c r="D1913" s="4" t="n"/>
    </row>
    <row r="1914">
      <c r="A1914" s="6" t="n"/>
      <c r="B1914" s="4" t="n"/>
      <c r="C1914" s="4" t="n"/>
      <c r="D1914" s="4" t="n"/>
    </row>
    <row r="1915">
      <c r="A1915" s="6" t="n"/>
      <c r="B1915" s="4" t="n"/>
      <c r="C1915" s="4" t="n"/>
      <c r="D1915" s="4" t="n"/>
    </row>
    <row r="1916">
      <c r="A1916" s="6" t="n"/>
      <c r="B1916" s="4" t="n"/>
      <c r="C1916" s="4" t="n"/>
      <c r="D1916" s="4" t="n"/>
    </row>
    <row r="1917">
      <c r="A1917" s="6" t="n"/>
      <c r="B1917" s="4" t="n"/>
      <c r="C1917" s="4" t="n"/>
      <c r="D1917" s="4" t="n"/>
    </row>
    <row r="1918">
      <c r="A1918" s="6" t="n"/>
      <c r="B1918" s="4" t="n"/>
      <c r="C1918" s="4" t="n"/>
      <c r="D1918" s="4" t="n"/>
    </row>
    <row r="1919">
      <c r="A1919" s="6" t="n"/>
      <c r="B1919" s="4" t="n"/>
      <c r="C1919" s="4" t="n"/>
      <c r="D1919" s="4" t="n"/>
    </row>
    <row r="1920">
      <c r="A1920" s="6" t="n"/>
      <c r="B1920" s="4" t="n"/>
      <c r="C1920" s="4" t="n"/>
      <c r="D1920" s="4" t="n"/>
    </row>
    <row r="1921">
      <c r="A1921" s="6" t="n"/>
      <c r="B1921" s="4" t="n"/>
      <c r="C1921" s="4" t="n"/>
      <c r="D1921" s="4" t="n"/>
    </row>
    <row r="1922">
      <c r="A1922" s="6" t="n"/>
      <c r="B1922" s="4" t="n"/>
      <c r="C1922" s="4" t="n"/>
      <c r="D1922" s="4" t="n"/>
    </row>
    <row r="1923">
      <c r="A1923" s="6" t="n"/>
      <c r="B1923" s="4" t="n"/>
      <c r="C1923" s="4" t="n"/>
      <c r="D1923" s="4" t="n"/>
    </row>
    <row r="1924">
      <c r="A1924" s="6" t="n"/>
      <c r="B1924" s="4" t="n"/>
      <c r="C1924" s="4" t="n"/>
      <c r="D1924" s="4" t="n"/>
    </row>
    <row r="1925">
      <c r="A1925" s="6" t="n"/>
      <c r="B1925" s="4" t="n"/>
      <c r="C1925" s="4" t="n"/>
      <c r="D1925" s="4" t="n"/>
    </row>
    <row r="1926">
      <c r="A1926" s="6" t="n"/>
      <c r="B1926" s="4" t="n"/>
      <c r="C1926" s="4" t="n"/>
      <c r="D1926" s="4" t="n"/>
    </row>
    <row r="1927">
      <c r="A1927" s="6" t="n"/>
      <c r="B1927" s="4" t="n"/>
      <c r="C1927" s="4" t="n"/>
      <c r="D1927" s="4" t="n"/>
    </row>
    <row r="1928">
      <c r="A1928" s="6" t="n"/>
      <c r="B1928" s="4" t="n"/>
      <c r="C1928" s="4" t="n"/>
      <c r="D1928" s="4" t="n"/>
    </row>
    <row r="1929">
      <c r="A1929" s="6" t="n"/>
      <c r="B1929" s="4" t="n"/>
      <c r="C1929" s="4" t="n"/>
      <c r="D1929" s="4" t="n"/>
    </row>
    <row r="1930">
      <c r="A1930" s="6" t="n"/>
      <c r="B1930" s="4" t="n"/>
      <c r="C1930" s="4" t="n"/>
      <c r="D1930" s="4" t="n"/>
    </row>
    <row r="1931">
      <c r="A1931" s="6" t="n"/>
      <c r="B1931" s="4" t="n"/>
      <c r="C1931" s="4" t="n"/>
      <c r="D1931" s="4" t="n"/>
    </row>
    <row r="1932">
      <c r="A1932" s="6" t="n"/>
      <c r="B1932" s="4" t="n"/>
      <c r="C1932" s="4" t="n"/>
      <c r="D1932" s="4" t="n"/>
    </row>
    <row r="1933">
      <c r="A1933" s="6" t="n"/>
      <c r="B1933" s="4" t="n"/>
      <c r="C1933" s="4" t="n"/>
      <c r="D1933" s="4" t="n"/>
    </row>
    <row r="1934">
      <c r="A1934" s="6" t="n"/>
      <c r="B1934" s="4" t="n"/>
      <c r="C1934" s="4" t="n"/>
      <c r="D1934" s="4" t="n"/>
    </row>
    <row r="1935">
      <c r="A1935" s="6" t="n"/>
      <c r="B1935" s="4" t="n"/>
      <c r="C1935" s="4" t="n"/>
      <c r="D1935" s="4" t="n"/>
    </row>
    <row r="1936">
      <c r="A1936" s="6" t="n"/>
      <c r="B1936" s="4" t="n"/>
      <c r="C1936" s="4" t="n"/>
      <c r="D1936" s="4" t="n"/>
    </row>
    <row r="1937">
      <c r="A1937" s="6" t="n"/>
      <c r="B1937" s="4" t="n"/>
      <c r="C1937" s="4" t="n"/>
      <c r="D1937" s="4" t="n"/>
    </row>
    <row r="1938">
      <c r="A1938" s="6" t="n"/>
      <c r="B1938" s="4" t="n"/>
      <c r="C1938" s="4" t="n"/>
      <c r="D1938" s="4" t="n"/>
    </row>
    <row r="1939">
      <c r="A1939" s="6" t="n"/>
      <c r="B1939" s="4" t="n"/>
      <c r="C1939" s="4" t="n"/>
      <c r="D1939" s="4" t="n"/>
    </row>
    <row r="1940">
      <c r="A1940" s="6" t="n"/>
      <c r="B1940" s="4" t="n"/>
      <c r="C1940" s="4" t="n"/>
      <c r="D1940" s="4" t="n"/>
    </row>
    <row r="1941">
      <c r="A1941" s="6" t="n"/>
      <c r="B1941" s="4" t="n"/>
      <c r="C1941" s="4" t="n"/>
      <c r="D1941" s="4" t="n"/>
    </row>
    <row r="1942">
      <c r="A1942" s="6" t="n"/>
      <c r="B1942" s="4" t="n"/>
      <c r="C1942" s="4" t="n"/>
      <c r="D1942" s="4" t="n"/>
    </row>
    <row r="1943">
      <c r="A1943" s="6" t="n"/>
      <c r="B1943" s="4" t="n"/>
      <c r="C1943" s="4" t="n"/>
      <c r="D1943" s="4" t="n"/>
    </row>
    <row r="1944">
      <c r="A1944" s="6" t="n"/>
      <c r="B1944" s="4" t="n"/>
      <c r="C1944" s="4" t="n"/>
      <c r="D1944" s="4" t="n"/>
    </row>
    <row r="1945">
      <c r="A1945" s="6" t="n"/>
      <c r="B1945" s="4" t="n"/>
      <c r="C1945" s="4" t="n"/>
      <c r="D1945" s="4" t="n"/>
    </row>
    <row r="1946">
      <c r="A1946" s="6" t="n"/>
      <c r="B1946" s="4" t="n"/>
      <c r="C1946" s="4" t="n"/>
      <c r="D1946" s="4" t="n"/>
    </row>
    <row r="1947">
      <c r="A1947" s="6" t="n"/>
      <c r="B1947" s="4" t="n"/>
      <c r="C1947" s="4" t="n"/>
      <c r="D1947" s="4" t="n"/>
    </row>
    <row r="1948">
      <c r="A1948" s="6" t="n"/>
      <c r="B1948" s="4" t="n"/>
      <c r="C1948" s="4" t="n"/>
      <c r="D1948" s="4" t="n"/>
    </row>
    <row r="1949">
      <c r="A1949" s="6" t="n"/>
      <c r="B1949" s="4" t="n"/>
      <c r="C1949" s="4" t="n"/>
      <c r="D1949" s="4" t="n"/>
    </row>
    <row r="1950">
      <c r="A1950" s="6" t="n"/>
      <c r="B1950" s="4" t="n"/>
      <c r="C1950" s="4" t="n"/>
      <c r="D1950" s="4" t="n"/>
    </row>
    <row r="1951">
      <c r="A1951" s="6" t="n"/>
      <c r="B1951" s="4" t="n"/>
      <c r="C1951" s="4" t="n"/>
      <c r="D1951" s="4" t="n"/>
    </row>
    <row r="1952">
      <c r="A1952" s="6" t="n"/>
      <c r="B1952" s="4" t="n"/>
      <c r="C1952" s="4" t="n"/>
      <c r="D1952" s="4" t="n"/>
    </row>
    <row r="1953">
      <c r="A1953" s="6" t="n"/>
      <c r="B1953" s="4" t="n"/>
      <c r="C1953" s="4" t="n"/>
      <c r="D1953" s="4" t="n"/>
    </row>
    <row r="1954">
      <c r="A1954" s="6" t="n"/>
      <c r="B1954" s="4" t="n"/>
      <c r="C1954" s="4" t="n"/>
      <c r="D1954" s="4" t="n"/>
    </row>
    <row r="1955">
      <c r="A1955" s="6" t="n"/>
      <c r="B1955" s="4" t="n"/>
      <c r="C1955" s="4" t="n"/>
      <c r="D1955" s="4" t="n"/>
    </row>
    <row r="1956">
      <c r="A1956" s="6" t="n"/>
      <c r="B1956" s="4" t="n"/>
      <c r="C1956" s="4" t="n"/>
      <c r="D1956" s="4" t="n"/>
    </row>
    <row r="1957">
      <c r="A1957" s="6" t="n"/>
      <c r="B1957" s="4" t="n"/>
      <c r="C1957" s="4" t="n"/>
      <c r="D1957" s="4" t="n"/>
    </row>
    <row r="1958">
      <c r="A1958" s="6" t="n"/>
      <c r="B1958" s="4" t="n"/>
      <c r="C1958" s="4" t="n"/>
      <c r="D1958" s="4" t="n"/>
    </row>
    <row r="1959">
      <c r="A1959" s="6" t="n"/>
      <c r="B1959" s="4" t="n"/>
      <c r="C1959" s="4" t="n"/>
      <c r="D1959" s="4" t="n"/>
    </row>
    <row r="1960">
      <c r="A1960" s="6" t="n"/>
      <c r="B1960" s="4" t="n"/>
      <c r="C1960" s="4" t="n"/>
      <c r="D1960" s="4" t="n"/>
    </row>
    <row r="1961">
      <c r="A1961" s="6" t="n"/>
      <c r="B1961" s="4" t="n"/>
      <c r="C1961" s="4" t="n"/>
      <c r="D1961" s="4" t="n"/>
    </row>
    <row r="1962">
      <c r="A1962" s="6" t="n"/>
      <c r="B1962" s="4" t="n"/>
      <c r="C1962" s="4" t="n"/>
      <c r="D1962" s="4" t="n"/>
    </row>
    <row r="1963">
      <c r="A1963" s="6" t="n"/>
      <c r="B1963" s="4" t="n"/>
      <c r="C1963" s="4" t="n"/>
      <c r="D1963" s="4" t="n"/>
    </row>
    <row r="1964">
      <c r="A1964" s="6" t="n"/>
      <c r="B1964" s="4" t="n"/>
      <c r="C1964" s="4" t="n"/>
      <c r="D1964" s="4" t="n"/>
    </row>
    <row r="1965">
      <c r="A1965" s="6" t="n"/>
      <c r="B1965" s="4" t="n"/>
      <c r="C1965" s="4" t="n"/>
      <c r="D1965" s="4" t="n"/>
    </row>
    <row r="1966">
      <c r="A1966" s="6" t="n"/>
      <c r="B1966" s="4" t="n"/>
      <c r="C1966" s="4" t="n"/>
      <c r="D1966" s="4" t="n"/>
    </row>
    <row r="1967">
      <c r="A1967" s="6" t="n"/>
      <c r="B1967" s="4" t="n"/>
      <c r="C1967" s="4" t="n"/>
      <c r="D1967" s="4" t="n"/>
    </row>
    <row r="1968">
      <c r="A1968" s="6" t="n"/>
      <c r="B1968" s="4" t="n"/>
      <c r="C1968" s="4" t="n"/>
      <c r="D1968" s="4" t="n"/>
    </row>
    <row r="1969">
      <c r="A1969" s="6" t="n"/>
      <c r="B1969" s="4" t="n"/>
      <c r="C1969" s="4" t="n"/>
      <c r="D1969" s="4" t="n"/>
    </row>
    <row r="1970">
      <c r="A1970" s="6" t="n"/>
      <c r="B1970" s="4" t="n"/>
      <c r="C1970" s="4" t="n"/>
      <c r="D1970" s="4" t="n"/>
    </row>
    <row r="1971">
      <c r="A1971" s="6" t="n"/>
      <c r="B1971" s="4" t="n"/>
      <c r="C1971" s="4" t="n"/>
      <c r="D1971" s="4" t="n"/>
    </row>
    <row r="1972">
      <c r="A1972" s="6" t="n"/>
      <c r="B1972" s="4" t="n"/>
      <c r="C1972" s="4" t="n"/>
      <c r="D1972" s="4" t="n"/>
    </row>
    <row r="1973">
      <c r="A1973" s="6" t="n"/>
      <c r="B1973" s="4" t="n"/>
      <c r="C1973" s="4" t="n"/>
      <c r="D1973" s="4" t="n"/>
    </row>
    <row r="1974">
      <c r="A1974" s="6" t="n"/>
      <c r="B1974" s="4" t="n"/>
      <c r="C1974" s="4" t="n"/>
      <c r="D1974" s="4" t="n"/>
    </row>
    <row r="1975">
      <c r="A1975" s="6" t="n"/>
      <c r="B1975" s="4" t="n"/>
      <c r="C1975" s="4" t="n"/>
      <c r="D1975" s="4" t="n"/>
    </row>
    <row r="1976">
      <c r="A1976" s="6" t="n"/>
      <c r="B1976" s="4" t="n"/>
      <c r="C1976" s="4" t="n"/>
      <c r="D1976" s="4" t="n"/>
    </row>
    <row r="1977">
      <c r="A1977" s="6" t="n"/>
      <c r="B1977" s="4" t="n"/>
      <c r="C1977" s="4" t="n"/>
      <c r="D1977" s="4" t="n"/>
    </row>
    <row r="1978">
      <c r="A1978" s="6" t="n"/>
      <c r="B1978" s="4" t="n"/>
      <c r="C1978" s="4" t="n"/>
      <c r="D1978" s="4" t="n"/>
    </row>
    <row r="1979">
      <c r="A1979" s="6" t="n"/>
      <c r="B1979" s="4" t="n"/>
      <c r="C1979" s="4" t="n"/>
      <c r="D1979" s="4" t="n"/>
    </row>
    <row r="1980">
      <c r="A1980" s="6" t="n"/>
      <c r="B1980" s="4" t="n"/>
      <c r="C1980" s="4" t="n"/>
      <c r="D1980" s="4" t="n"/>
    </row>
    <row r="1981">
      <c r="A1981" s="6" t="n"/>
      <c r="B1981" s="4" t="n"/>
      <c r="C1981" s="4" t="n"/>
      <c r="D1981" s="4" t="n"/>
    </row>
    <row r="1982">
      <c r="A1982" s="6" t="n"/>
      <c r="B1982" s="4" t="n"/>
      <c r="C1982" s="4" t="n"/>
      <c r="D1982" s="4" t="n"/>
    </row>
    <row r="1983">
      <c r="A1983" s="6" t="n"/>
      <c r="B1983" s="4" t="n"/>
      <c r="C1983" s="4" t="n"/>
      <c r="D1983" s="4" t="n"/>
    </row>
    <row r="1984">
      <c r="A1984" s="6" t="n"/>
      <c r="B1984" s="4" t="n"/>
      <c r="C1984" s="4" t="n"/>
      <c r="D1984" s="4" t="n"/>
    </row>
    <row r="1985">
      <c r="A1985" s="6" t="n"/>
      <c r="B1985" s="4" t="n"/>
      <c r="C1985" s="4" t="n"/>
      <c r="D1985" s="4" t="n"/>
    </row>
    <row r="1986">
      <c r="A1986" s="6" t="n"/>
      <c r="B1986" s="4" t="n"/>
      <c r="C1986" s="4" t="n"/>
      <c r="D1986" s="4" t="n"/>
    </row>
    <row r="1987">
      <c r="A1987" s="6" t="n"/>
      <c r="B1987" s="4" t="n"/>
      <c r="C1987" s="4" t="n"/>
      <c r="D1987" s="4" t="n"/>
    </row>
    <row r="1988">
      <c r="A1988" s="6" t="n"/>
      <c r="B1988" s="4" t="n"/>
      <c r="C1988" s="4" t="n"/>
      <c r="D1988" s="4" t="n"/>
    </row>
    <row r="1989">
      <c r="A1989" s="6" t="n"/>
      <c r="B1989" s="4" t="n"/>
      <c r="C1989" s="4" t="n"/>
      <c r="D1989" s="4" t="n"/>
    </row>
    <row r="1990">
      <c r="A1990" s="6" t="n"/>
      <c r="B1990" s="4" t="n"/>
      <c r="C1990" s="4" t="n"/>
      <c r="D1990" s="4" t="n"/>
    </row>
    <row r="1991">
      <c r="A1991" s="6" t="n"/>
      <c r="B1991" s="4" t="n"/>
      <c r="C1991" s="4" t="n"/>
      <c r="D1991" s="4" t="n"/>
    </row>
    <row r="1992">
      <c r="A1992" s="6" t="n"/>
      <c r="B1992" s="4" t="n"/>
      <c r="C1992" s="4" t="n"/>
      <c r="D1992" s="4" t="n"/>
    </row>
    <row r="1993">
      <c r="A1993" s="6" t="n"/>
      <c r="B1993" s="4" t="n"/>
      <c r="C1993" s="4" t="n"/>
      <c r="D1993" s="4" t="n"/>
    </row>
    <row r="1994">
      <c r="A1994" s="6" t="n"/>
      <c r="B1994" s="4" t="n"/>
      <c r="C1994" s="4" t="n"/>
      <c r="D1994" s="4" t="n"/>
    </row>
    <row r="1995">
      <c r="A1995" s="6" t="n"/>
      <c r="B1995" s="4" t="n"/>
      <c r="C1995" s="4" t="n"/>
      <c r="D1995" s="4" t="n"/>
    </row>
    <row r="1996">
      <c r="A1996" s="6" t="n"/>
      <c r="B1996" s="4" t="n"/>
      <c r="C1996" s="4" t="n"/>
      <c r="D1996" s="4" t="n"/>
    </row>
    <row r="1997">
      <c r="A1997" s="6" t="n"/>
      <c r="B1997" s="4" t="n"/>
      <c r="C1997" s="4" t="n"/>
      <c r="D1997" s="4" t="n"/>
    </row>
    <row r="1998">
      <c r="A1998" s="6" t="n"/>
      <c r="B1998" s="4" t="n"/>
      <c r="C1998" s="4" t="n"/>
      <c r="D1998" s="4" t="n"/>
    </row>
    <row r="1999">
      <c r="A1999" s="6" t="n"/>
      <c r="B1999" s="4" t="n"/>
      <c r="C1999" s="4" t="n"/>
      <c r="D1999" s="4" t="n"/>
    </row>
    <row r="2000">
      <c r="A2000" s="6" t="n"/>
      <c r="B2000" s="4" t="n"/>
      <c r="C2000" s="4" t="n"/>
      <c r="D2000" s="4" t="n"/>
    </row>
  </sheetData>
  <dataValidations count="1">
    <dataValidation sqref="B2:B2000" showDropDown="0" showInputMessage="0" showErrorMessage="0" allowBlank="1" type="list">
      <formula1>"إيجار,رواتب,شحن,تسويق,كهرباء وماء,مشتريات أخرى,أخرى"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5" customWidth="1" min="6" max="6"/>
  </cols>
  <sheetData>
    <row r="1" ht="26" customHeight="1">
      <c r="A1" s="3" t="inlineStr">
        <is>
          <t>الشهر</t>
        </is>
      </c>
      <c r="B1" s="3" t="inlineStr">
        <is>
          <t>المبيعات</t>
        </is>
      </c>
      <c r="C1" s="3" t="inlineStr">
        <is>
          <t>الربح من المبيعات</t>
        </is>
      </c>
      <c r="D1" s="3" t="inlineStr">
        <is>
          <t>المصروفات</t>
        </is>
      </c>
      <c r="E1" s="3" t="inlineStr">
        <is>
          <t>صافي الربح</t>
        </is>
      </c>
      <c r="F1" s="3" t="inlineStr">
        <is>
          <t>عدد الإيصالات</t>
        </is>
      </c>
      <c r="H1" s="8" t="inlineStr">
        <is>
          <t>السنة</t>
        </is>
      </c>
      <c r="I1" s="4" t="n">
        <v>2026</v>
      </c>
    </row>
    <row r="2">
      <c r="A2" s="9" t="inlineStr">
        <is>
          <t>يناير</t>
        </is>
      </c>
      <c r="B2" s="10">
        <f>SUMIFS(المبيعات!$H$2:$H$2000,المبيعات!$A$2:$A$2000,"&gt;="&amp;DATE($I$1,1,1),المبيعات!$A$2:$A$2000,"&lt;="&amp;EOMONTH(DATE($I$1,1,1),0))</f>
        <v/>
      </c>
      <c r="C2" s="10">
        <f>SUMIFS(المبيعات!$I$2:$I$2000,المبيعات!$A$2:$A$2000,"&gt;="&amp;DATE($I$1,1,1),المبيعات!$A$2:$A$2000,"&lt;="&amp;EOMONTH(DATE($I$1,1,1),0))</f>
        <v/>
      </c>
      <c r="D2" s="10">
        <f>SUMIFS(المصروفات!$C$2:$C$2000,المصروفات!$A$2:$A$2000,"&gt;="&amp;DATE($I$1,1,1),المصروفات!$A$2:$A$2000,"&lt;="&amp;EOMONTH(DATE($I$1,1,1),0))</f>
        <v/>
      </c>
      <c r="E2" s="10">
        <f>C2-D2</f>
        <v/>
      </c>
      <c r="F2" s="9">
        <f>SUMPRODUCT((المبيعات!$A$2:$A$2000&gt;=DATE($I$1,1,1))*(المبيعات!$A$2:$A$2000&lt;=EOMONTH(DATE($I$1,1,1),0))*(المبيعات!$B$2:$B$2000&lt;&gt;"")/COUNTIFS(المبيعات!$B$2:$B$2000,المبيعات!$B$2:$B$2000&amp;""))</f>
        <v/>
      </c>
    </row>
    <row r="3">
      <c r="A3" s="9" t="inlineStr">
        <is>
          <t>فبراير</t>
        </is>
      </c>
      <c r="B3" s="10">
        <f>SUMIFS(المبيعات!$H$2:$H$2000,المبيعات!$A$2:$A$2000,"&gt;="&amp;DATE($I$1,2,1),المبيعات!$A$2:$A$2000,"&lt;="&amp;EOMONTH(DATE($I$1,2,1),0))</f>
        <v/>
      </c>
      <c r="C3" s="10">
        <f>SUMIFS(المبيعات!$I$2:$I$2000,المبيعات!$A$2:$A$2000,"&gt;="&amp;DATE($I$1,2,1),المبيعات!$A$2:$A$2000,"&lt;="&amp;EOMONTH(DATE($I$1,2,1),0))</f>
        <v/>
      </c>
      <c r="D3" s="10">
        <f>SUMIFS(المصروفات!$C$2:$C$2000,المصروفات!$A$2:$A$2000,"&gt;="&amp;DATE($I$1,2,1),المصروفات!$A$2:$A$2000,"&lt;="&amp;EOMONTH(DATE($I$1,2,1),0))</f>
        <v/>
      </c>
      <c r="E3" s="10">
        <f>C3-D3</f>
        <v/>
      </c>
      <c r="F3" s="9">
        <f>SUMPRODUCT((المبيعات!$A$2:$A$2000&gt;=DATE($I$1,2,1))*(المبيعات!$A$2:$A$2000&lt;=EOMONTH(DATE($I$1,2,1),0))*(المبيعات!$B$2:$B$2000&lt;&gt;"")/COUNTIFS(المبيعات!$B$2:$B$2000,المبيعات!$B$2:$B$2000&amp;""))</f>
        <v/>
      </c>
    </row>
    <row r="4">
      <c r="A4" s="9" t="inlineStr">
        <is>
          <t>مارس</t>
        </is>
      </c>
      <c r="B4" s="10">
        <f>SUMIFS(المبيعات!$H$2:$H$2000,المبيعات!$A$2:$A$2000,"&gt;="&amp;DATE($I$1,3,1),المبيعات!$A$2:$A$2000,"&lt;="&amp;EOMONTH(DATE($I$1,3,1),0))</f>
        <v/>
      </c>
      <c r="C4" s="10">
        <f>SUMIFS(المبيعات!$I$2:$I$2000,المبيعات!$A$2:$A$2000,"&gt;="&amp;DATE($I$1,3,1),المبيعات!$A$2:$A$2000,"&lt;="&amp;EOMONTH(DATE($I$1,3,1),0))</f>
        <v/>
      </c>
      <c r="D4" s="10">
        <f>SUMIFS(المصروفات!$C$2:$C$2000,المصروفات!$A$2:$A$2000,"&gt;="&amp;DATE($I$1,3,1),المصروفات!$A$2:$A$2000,"&lt;="&amp;EOMONTH(DATE($I$1,3,1),0))</f>
        <v/>
      </c>
      <c r="E4" s="10">
        <f>C4-D4</f>
        <v/>
      </c>
      <c r="F4" s="9">
        <f>SUMPRODUCT((المبيعات!$A$2:$A$2000&gt;=DATE($I$1,3,1))*(المبيعات!$A$2:$A$2000&lt;=EOMONTH(DATE($I$1,3,1),0))*(المبيعات!$B$2:$B$2000&lt;&gt;"")/COUNTIFS(المبيعات!$B$2:$B$2000,المبيعات!$B$2:$B$2000&amp;""))</f>
        <v/>
      </c>
    </row>
    <row r="5">
      <c r="A5" s="9" t="inlineStr">
        <is>
          <t>أبريل</t>
        </is>
      </c>
      <c r="B5" s="10">
        <f>SUMIFS(المبيعات!$H$2:$H$2000,المبيعات!$A$2:$A$2000,"&gt;="&amp;DATE($I$1,4,1),المبيعات!$A$2:$A$2000,"&lt;="&amp;EOMONTH(DATE($I$1,4,1),0))</f>
        <v/>
      </c>
      <c r="C5" s="10">
        <f>SUMIFS(المبيعات!$I$2:$I$2000,المبيعات!$A$2:$A$2000,"&gt;="&amp;DATE($I$1,4,1),المبيعات!$A$2:$A$2000,"&lt;="&amp;EOMONTH(DATE($I$1,4,1),0))</f>
        <v/>
      </c>
      <c r="D5" s="10">
        <f>SUMIFS(المصروفات!$C$2:$C$2000,المصروفات!$A$2:$A$2000,"&gt;="&amp;DATE($I$1,4,1),المصروفات!$A$2:$A$2000,"&lt;="&amp;EOMONTH(DATE($I$1,4,1),0))</f>
        <v/>
      </c>
      <c r="E5" s="10">
        <f>C5-D5</f>
        <v/>
      </c>
      <c r="F5" s="9">
        <f>SUMPRODUCT((المبيعات!$A$2:$A$2000&gt;=DATE($I$1,4,1))*(المبيعات!$A$2:$A$2000&lt;=EOMONTH(DATE($I$1,4,1),0))*(المبيعات!$B$2:$B$2000&lt;&gt;"")/COUNTIFS(المبيعات!$B$2:$B$2000,المبيعات!$B$2:$B$2000&amp;""))</f>
        <v/>
      </c>
    </row>
    <row r="6">
      <c r="A6" s="9" t="inlineStr">
        <is>
          <t>مايو</t>
        </is>
      </c>
      <c r="B6" s="10">
        <f>SUMIFS(المبيعات!$H$2:$H$2000,المبيعات!$A$2:$A$2000,"&gt;="&amp;DATE($I$1,5,1),المبيعات!$A$2:$A$2000,"&lt;="&amp;EOMONTH(DATE($I$1,5,1),0))</f>
        <v/>
      </c>
      <c r="C6" s="10">
        <f>SUMIFS(المبيعات!$I$2:$I$2000,المبيعات!$A$2:$A$2000,"&gt;="&amp;DATE($I$1,5,1),المبيعات!$A$2:$A$2000,"&lt;="&amp;EOMONTH(DATE($I$1,5,1),0))</f>
        <v/>
      </c>
      <c r="D6" s="10">
        <f>SUMIFS(المصروفات!$C$2:$C$2000,المصروفات!$A$2:$A$2000,"&gt;="&amp;DATE($I$1,5,1),المصروفات!$A$2:$A$2000,"&lt;="&amp;EOMONTH(DATE($I$1,5,1),0))</f>
        <v/>
      </c>
      <c r="E6" s="10">
        <f>C6-D6</f>
        <v/>
      </c>
      <c r="F6" s="9">
        <f>SUMPRODUCT((المبيعات!$A$2:$A$2000&gt;=DATE($I$1,5,1))*(المبيعات!$A$2:$A$2000&lt;=EOMONTH(DATE($I$1,5,1),0))*(المبيعات!$B$2:$B$2000&lt;&gt;"")/COUNTIFS(المبيعات!$B$2:$B$2000,المبيعات!$B$2:$B$2000&amp;""))</f>
        <v/>
      </c>
    </row>
    <row r="7">
      <c r="A7" s="9" t="inlineStr">
        <is>
          <t>يونيو</t>
        </is>
      </c>
      <c r="B7" s="10">
        <f>SUMIFS(المبيعات!$H$2:$H$2000,المبيعات!$A$2:$A$2000,"&gt;="&amp;DATE($I$1,6,1),المبيعات!$A$2:$A$2000,"&lt;="&amp;EOMONTH(DATE($I$1,6,1),0))</f>
        <v/>
      </c>
      <c r="C7" s="10">
        <f>SUMIFS(المبيعات!$I$2:$I$2000,المبيعات!$A$2:$A$2000,"&gt;="&amp;DATE($I$1,6,1),المبيعات!$A$2:$A$2000,"&lt;="&amp;EOMONTH(DATE($I$1,6,1),0))</f>
        <v/>
      </c>
      <c r="D7" s="10">
        <f>SUMIFS(المصروفات!$C$2:$C$2000,المصروفات!$A$2:$A$2000,"&gt;="&amp;DATE($I$1,6,1),المصروفات!$A$2:$A$2000,"&lt;="&amp;EOMONTH(DATE($I$1,6,1),0))</f>
        <v/>
      </c>
      <c r="E7" s="10">
        <f>C7-D7</f>
        <v/>
      </c>
      <c r="F7" s="9">
        <f>SUMPRODUCT((المبيعات!$A$2:$A$2000&gt;=DATE($I$1,6,1))*(المبيعات!$A$2:$A$2000&lt;=EOMONTH(DATE($I$1,6,1),0))*(المبيعات!$B$2:$B$2000&lt;&gt;"")/COUNTIFS(المبيعات!$B$2:$B$2000,المبيعات!$B$2:$B$2000&amp;""))</f>
        <v/>
      </c>
    </row>
    <row r="8">
      <c r="A8" s="9" t="inlineStr">
        <is>
          <t>يوليو</t>
        </is>
      </c>
      <c r="B8" s="10">
        <f>SUMIFS(المبيعات!$H$2:$H$2000,المبيعات!$A$2:$A$2000,"&gt;="&amp;DATE($I$1,7,1),المبيعات!$A$2:$A$2000,"&lt;="&amp;EOMONTH(DATE($I$1,7,1),0))</f>
        <v/>
      </c>
      <c r="C8" s="10">
        <f>SUMIFS(المبيعات!$I$2:$I$2000,المبيعات!$A$2:$A$2000,"&gt;="&amp;DATE($I$1,7,1),المبيعات!$A$2:$A$2000,"&lt;="&amp;EOMONTH(DATE($I$1,7,1),0))</f>
        <v/>
      </c>
      <c r="D8" s="10">
        <f>SUMIFS(المصروفات!$C$2:$C$2000,المصروفات!$A$2:$A$2000,"&gt;="&amp;DATE($I$1,7,1),المصروفات!$A$2:$A$2000,"&lt;="&amp;EOMONTH(DATE($I$1,7,1),0))</f>
        <v/>
      </c>
      <c r="E8" s="10">
        <f>C8-D8</f>
        <v/>
      </c>
      <c r="F8" s="9">
        <f>SUMPRODUCT((المبيعات!$A$2:$A$2000&gt;=DATE($I$1,7,1))*(المبيعات!$A$2:$A$2000&lt;=EOMONTH(DATE($I$1,7,1),0))*(المبيعات!$B$2:$B$2000&lt;&gt;"")/COUNTIFS(المبيعات!$B$2:$B$2000,المبيعات!$B$2:$B$2000&amp;""))</f>
        <v/>
      </c>
    </row>
    <row r="9">
      <c r="A9" s="9" t="inlineStr">
        <is>
          <t>أغسطس</t>
        </is>
      </c>
      <c r="B9" s="10">
        <f>SUMIFS(المبيعات!$H$2:$H$2000,المبيعات!$A$2:$A$2000,"&gt;="&amp;DATE($I$1,8,1),المبيعات!$A$2:$A$2000,"&lt;="&amp;EOMONTH(DATE($I$1,8,1),0))</f>
        <v/>
      </c>
      <c r="C9" s="10">
        <f>SUMIFS(المبيعات!$I$2:$I$2000,المبيعات!$A$2:$A$2000,"&gt;="&amp;DATE($I$1,8,1),المبيعات!$A$2:$A$2000,"&lt;="&amp;EOMONTH(DATE($I$1,8,1),0))</f>
        <v/>
      </c>
      <c r="D9" s="10">
        <f>SUMIFS(المصروفات!$C$2:$C$2000,المصروفات!$A$2:$A$2000,"&gt;="&amp;DATE($I$1,8,1),المصروفات!$A$2:$A$2000,"&lt;="&amp;EOMONTH(DATE($I$1,8,1),0))</f>
        <v/>
      </c>
      <c r="E9" s="10">
        <f>C9-D9</f>
        <v/>
      </c>
      <c r="F9" s="9">
        <f>SUMPRODUCT((المبيعات!$A$2:$A$2000&gt;=DATE($I$1,8,1))*(المبيعات!$A$2:$A$2000&lt;=EOMONTH(DATE($I$1,8,1),0))*(المبيعات!$B$2:$B$2000&lt;&gt;"")/COUNTIFS(المبيعات!$B$2:$B$2000,المبيعات!$B$2:$B$2000&amp;""))</f>
        <v/>
      </c>
    </row>
    <row r="10">
      <c r="A10" s="9" t="inlineStr">
        <is>
          <t>سبتمبر</t>
        </is>
      </c>
      <c r="B10" s="10">
        <f>SUMIFS(المبيعات!$H$2:$H$2000,المبيعات!$A$2:$A$2000,"&gt;="&amp;DATE($I$1,9,1),المبيعات!$A$2:$A$2000,"&lt;="&amp;EOMONTH(DATE($I$1,9,1),0))</f>
        <v/>
      </c>
      <c r="C10" s="10">
        <f>SUMIFS(المبيعات!$I$2:$I$2000,المبيعات!$A$2:$A$2000,"&gt;="&amp;DATE($I$1,9,1),المبيعات!$A$2:$A$2000,"&lt;="&amp;EOMONTH(DATE($I$1,9,1),0))</f>
        <v/>
      </c>
      <c r="D10" s="10">
        <f>SUMIFS(المصروفات!$C$2:$C$2000,المصروفات!$A$2:$A$2000,"&gt;="&amp;DATE($I$1,9,1),المصروفات!$A$2:$A$2000,"&lt;="&amp;EOMONTH(DATE($I$1,9,1),0))</f>
        <v/>
      </c>
      <c r="E10" s="10">
        <f>C10-D10</f>
        <v/>
      </c>
      <c r="F10" s="9">
        <f>SUMPRODUCT((المبيعات!$A$2:$A$2000&gt;=DATE($I$1,9,1))*(المبيعات!$A$2:$A$2000&lt;=EOMONTH(DATE($I$1,9,1),0))*(المبيعات!$B$2:$B$2000&lt;&gt;"")/COUNTIFS(المبيعات!$B$2:$B$2000,المبيعات!$B$2:$B$2000&amp;""))</f>
        <v/>
      </c>
    </row>
    <row r="11">
      <c r="A11" s="9" t="inlineStr">
        <is>
          <t>أكتوبر</t>
        </is>
      </c>
      <c r="B11" s="10">
        <f>SUMIFS(المبيعات!$H$2:$H$2000,المبيعات!$A$2:$A$2000,"&gt;="&amp;DATE($I$1,10,1),المبيعات!$A$2:$A$2000,"&lt;="&amp;EOMONTH(DATE($I$1,10,1),0))</f>
        <v/>
      </c>
      <c r="C11" s="10">
        <f>SUMIFS(المبيعات!$I$2:$I$2000,المبيعات!$A$2:$A$2000,"&gt;="&amp;DATE($I$1,10,1),المبيعات!$A$2:$A$2000,"&lt;="&amp;EOMONTH(DATE($I$1,10,1),0))</f>
        <v/>
      </c>
      <c r="D11" s="10">
        <f>SUMIFS(المصروفات!$C$2:$C$2000,المصروفات!$A$2:$A$2000,"&gt;="&amp;DATE($I$1,10,1),المصروفات!$A$2:$A$2000,"&lt;="&amp;EOMONTH(DATE($I$1,10,1),0))</f>
        <v/>
      </c>
      <c r="E11" s="10">
        <f>C11-D11</f>
        <v/>
      </c>
      <c r="F11" s="9">
        <f>SUMPRODUCT((المبيعات!$A$2:$A$2000&gt;=DATE($I$1,10,1))*(المبيعات!$A$2:$A$2000&lt;=EOMONTH(DATE($I$1,10,1),0))*(المبيعات!$B$2:$B$2000&lt;&gt;"")/COUNTIFS(المبيعات!$B$2:$B$2000,المبيعات!$B$2:$B$2000&amp;""))</f>
        <v/>
      </c>
    </row>
    <row r="12">
      <c r="A12" s="9" t="inlineStr">
        <is>
          <t>نوفمبر</t>
        </is>
      </c>
      <c r="B12" s="10">
        <f>SUMIFS(المبيعات!$H$2:$H$2000,المبيعات!$A$2:$A$2000,"&gt;="&amp;DATE($I$1,11,1),المبيعات!$A$2:$A$2000,"&lt;="&amp;EOMONTH(DATE($I$1,11,1),0))</f>
        <v/>
      </c>
      <c r="C12" s="10">
        <f>SUMIFS(المبيعات!$I$2:$I$2000,المبيعات!$A$2:$A$2000,"&gt;="&amp;DATE($I$1,11,1),المبيعات!$A$2:$A$2000,"&lt;="&amp;EOMONTH(DATE($I$1,11,1),0))</f>
        <v/>
      </c>
      <c r="D12" s="10">
        <f>SUMIFS(المصروفات!$C$2:$C$2000,المصروفات!$A$2:$A$2000,"&gt;="&amp;DATE($I$1,11,1),المصروفات!$A$2:$A$2000,"&lt;="&amp;EOMONTH(DATE($I$1,11,1),0))</f>
        <v/>
      </c>
      <c r="E12" s="10">
        <f>C12-D12</f>
        <v/>
      </c>
      <c r="F12" s="9">
        <f>SUMPRODUCT((المبيعات!$A$2:$A$2000&gt;=DATE($I$1,11,1))*(المبيعات!$A$2:$A$2000&lt;=EOMONTH(DATE($I$1,11,1),0))*(المبيعات!$B$2:$B$2000&lt;&gt;"")/COUNTIFS(المبيعات!$B$2:$B$2000,المبيعات!$B$2:$B$2000&amp;""))</f>
        <v/>
      </c>
    </row>
    <row r="13">
      <c r="A13" s="9" t="inlineStr">
        <is>
          <t>ديسمبر</t>
        </is>
      </c>
      <c r="B13" s="10">
        <f>SUMIFS(المبيعات!$H$2:$H$2000,المبيعات!$A$2:$A$2000,"&gt;="&amp;DATE($I$1,12,1),المبيعات!$A$2:$A$2000,"&lt;="&amp;EOMONTH(DATE($I$1,12,1),0))</f>
        <v/>
      </c>
      <c r="C13" s="10">
        <f>SUMIFS(المبيعات!$I$2:$I$2000,المبيعات!$A$2:$A$2000,"&gt;="&amp;DATE($I$1,12,1),المبيعات!$A$2:$A$2000,"&lt;="&amp;EOMONTH(DATE($I$1,12,1),0))</f>
        <v/>
      </c>
      <c r="D13" s="10">
        <f>SUMIFS(المصروفات!$C$2:$C$2000,المصروفات!$A$2:$A$2000,"&gt;="&amp;DATE($I$1,12,1),المصروفات!$A$2:$A$2000,"&lt;="&amp;EOMONTH(DATE($I$1,12,1),0))</f>
        <v/>
      </c>
      <c r="E13" s="10">
        <f>C13-D13</f>
        <v/>
      </c>
      <c r="F13" s="9">
        <f>SUMPRODUCT((المبيعات!$A$2:$A$2000&gt;=DATE($I$1,12,1))*(المبيعات!$A$2:$A$2000&lt;=EOMONTH(DATE($I$1,12,1),0))*(المبيعات!$B$2:$B$2000&lt;&gt;"")/COUNTIFS(المبيعات!$B$2:$B$2000,المبيعات!$B$2:$B$2000&amp;""))</f>
        <v/>
      </c>
    </row>
    <row r="14">
      <c r="A14" s="11" t="inlineStr">
        <is>
          <t>المجموع</t>
        </is>
      </c>
      <c r="B14" s="12">
        <f>SUM(B2:B13)</f>
        <v/>
      </c>
      <c r="C14" s="12">
        <f>SUM(C2:C13)</f>
        <v/>
      </c>
      <c r="D14" s="12">
        <f>SUM(D2:D13)</f>
        <v/>
      </c>
      <c r="E14" s="12">
        <f>SUM(E2:E13)</f>
        <v/>
      </c>
      <c r="F14" s="11">
        <f>SUM(F2:F13)</f>
        <v/>
      </c>
    </row>
  </sheetData>
  <conditionalFormatting sqref="E2:E14">
    <cfRule type="expression" priority="1" dxfId="1">
      <formula>E2&lt;0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16" customWidth="1" min="4" max="4"/>
    <col width="13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3" t="inlineStr">
        <is>
          <t>العميل</t>
        </is>
      </c>
      <c r="B1" s="3" t="inlineStr">
        <is>
          <t>الجوال</t>
        </is>
      </c>
      <c r="C1" s="3" t="inlineStr">
        <is>
          <t>عدد الإيصالات</t>
        </is>
      </c>
      <c r="D1" s="3" t="inlineStr">
        <is>
          <t>إجمالي المشتريات</t>
        </is>
      </c>
      <c r="E1" s="3" t="inlineStr">
        <is>
          <t>آخر شراء</t>
        </is>
      </c>
      <c r="F1" s="3" t="inlineStr">
        <is>
          <t>مبيعات آجلة</t>
        </is>
      </c>
      <c r="G1" s="3" t="inlineStr">
        <is>
          <t>المدفوع منها</t>
        </is>
      </c>
      <c r="H1" s="3" t="inlineStr">
        <is>
          <t>المتبقي عليه</t>
        </is>
      </c>
    </row>
    <row r="2">
      <c r="A2" s="4" t="inlineStr">
        <is>
          <t>أبو خالد</t>
        </is>
      </c>
      <c r="B2" s="4" t="inlineStr">
        <is>
          <t>0500000001</t>
        </is>
      </c>
      <c r="C2">
        <f>IF(A2="","",SUMPRODUCT((المبيعات!$C$2:$C$2000=A2)*(المبيعات!$B$2:$B$2000&lt;&gt;"")/COUNTIFS(المبيعات!$B$2:$B$2000,المبيعات!$B$2:$B$2000&amp;"",المبيعات!$C$2:$C$2000,المبيعات!$C$2:$C$2000&amp;"")))</f>
        <v/>
      </c>
      <c r="D2">
        <f>IF(A2="","",SUMIFS(المبيعات!$H$2:$H$2000,المبيعات!$C$2:$C$2000,A2))</f>
        <v/>
      </c>
      <c r="E2" s="13">
        <f>IF(A2="","",IF(COUNTIF(المبيعات!$C$2:$C$2000,A2)=0,"",_xlfn.MAXIFS(المبيعات!$A$2:$A$2000,المبيعات!$C$2:$C$2000,A2)))</f>
        <v/>
      </c>
      <c r="F2">
        <f>IF(A2="","",SUMIFS(المبيعات!$H$2:$H$2000,المبيعات!$C$2:$C$2000,A2,المبيعات!$J$2:$J$2000,"آجل"))</f>
        <v/>
      </c>
      <c r="G2" s="4" t="n">
        <v>0</v>
      </c>
      <c r="H2">
        <f>IF(A2="","",F2-G2)</f>
        <v/>
      </c>
    </row>
    <row r="3">
      <c r="A3" s="4" t="inlineStr">
        <is>
          <t>متجر الورود</t>
        </is>
      </c>
      <c r="B3" s="4" t="inlineStr">
        <is>
          <t>0500000002</t>
        </is>
      </c>
      <c r="C3">
        <f>IF(A3="","",SUMPRODUCT((المبيعات!$C$2:$C$2000=A3)*(المبيعات!$B$2:$B$2000&lt;&gt;"")/COUNTIFS(المبيعات!$B$2:$B$2000,المبيعات!$B$2:$B$2000&amp;"",المبيعات!$C$2:$C$2000,المبيعات!$C$2:$C$2000&amp;"")))</f>
        <v/>
      </c>
      <c r="D3">
        <f>IF(A3="","",SUMIFS(المبيعات!$H$2:$H$2000,المبيعات!$C$2:$C$2000,A3))</f>
        <v/>
      </c>
      <c r="E3" s="13">
        <f>IF(A3="","",IF(COUNTIF(المبيعات!$C$2:$C$2000,A3)=0,"",_xlfn.MAXIFS(المبيعات!$A$2:$A$2000,المبيعات!$C$2:$C$2000,A3)))</f>
        <v/>
      </c>
      <c r="F3">
        <f>IF(A3="","",SUMIFS(المبيعات!$H$2:$H$2000,المبيعات!$C$2:$C$2000,A3,المبيعات!$J$2:$J$2000,"آجل"))</f>
        <v/>
      </c>
      <c r="G3" s="4" t="n">
        <v>0</v>
      </c>
      <c r="H3">
        <f>IF(A3="","",F3-G3)</f>
        <v/>
      </c>
    </row>
    <row r="4">
      <c r="A4" s="4" t="inlineStr">
        <is>
          <t>نورة</t>
        </is>
      </c>
      <c r="B4" s="4" t="inlineStr">
        <is>
          <t>0500000003</t>
        </is>
      </c>
      <c r="C4">
        <f>IF(A4="","",SUMPRODUCT((المبيعات!$C$2:$C$2000=A4)*(المبيعات!$B$2:$B$2000&lt;&gt;"")/COUNTIFS(المبيعات!$B$2:$B$2000,المبيعات!$B$2:$B$2000&amp;"",المبيعات!$C$2:$C$2000,المبيعات!$C$2:$C$2000&amp;"")))</f>
        <v/>
      </c>
      <c r="D4">
        <f>IF(A4="","",SUMIFS(المبيعات!$H$2:$H$2000,المبيعات!$C$2:$C$2000,A4))</f>
        <v/>
      </c>
      <c r="E4" s="13">
        <f>IF(A4="","",IF(COUNTIF(المبيعات!$C$2:$C$2000,A4)=0,"",_xlfn.MAXIFS(المبيعات!$A$2:$A$2000,المبيعات!$C$2:$C$2000,A4)))</f>
        <v/>
      </c>
      <c r="F4">
        <f>IF(A4="","",SUMIFS(المبيعات!$H$2:$H$2000,المبيعات!$C$2:$C$2000,A4,المبيعات!$J$2:$J$2000,"آجل"))</f>
        <v/>
      </c>
      <c r="G4" s="4" t="n">
        <v>50</v>
      </c>
      <c r="H4">
        <f>IF(A4="","",F4-G4)</f>
        <v/>
      </c>
    </row>
    <row r="5">
      <c r="A5" s="4" t="n"/>
      <c r="B5" s="4" t="n"/>
      <c r="C5">
        <f>IF(A5="","",SUMPRODUCT((المبيعات!$C$2:$C$2000=A5)*(المبيعات!$B$2:$B$2000&lt;&gt;"")/COUNTIFS(المبيعات!$B$2:$B$2000,المبيعات!$B$2:$B$2000&amp;"",المبيعات!$C$2:$C$2000,المبيعات!$C$2:$C$2000&amp;"")))</f>
        <v/>
      </c>
      <c r="D5">
        <f>IF(A5="","",SUMIFS(المبيعات!$H$2:$H$2000,المبيعات!$C$2:$C$2000,A5))</f>
        <v/>
      </c>
      <c r="E5" s="13">
        <f>IF(A5="","",IF(COUNTIF(المبيعات!$C$2:$C$2000,A5)=0,"",_xlfn.MAXIFS(المبيعات!$A$2:$A$2000,المبيعات!$C$2:$C$2000,A5)))</f>
        <v/>
      </c>
      <c r="F5">
        <f>IF(A5="","",SUMIFS(المبيعات!$H$2:$H$2000,المبيعات!$C$2:$C$2000,A5,المبيعات!$J$2:$J$2000,"آجل"))</f>
        <v/>
      </c>
      <c r="G5" s="4" t="n"/>
      <c r="H5">
        <f>IF(A5="","",F5-G5)</f>
        <v/>
      </c>
    </row>
    <row r="6">
      <c r="A6" s="4" t="n"/>
      <c r="B6" s="4" t="n"/>
      <c r="C6">
        <f>IF(A6="","",SUMPRODUCT((المبيعات!$C$2:$C$2000=A6)*(المبيعات!$B$2:$B$2000&lt;&gt;"")/COUNTIFS(المبيعات!$B$2:$B$2000,المبيعات!$B$2:$B$2000&amp;"",المبيعات!$C$2:$C$2000,المبيعات!$C$2:$C$2000&amp;"")))</f>
        <v/>
      </c>
      <c r="D6">
        <f>IF(A6="","",SUMIFS(المبيعات!$H$2:$H$2000,المبيعات!$C$2:$C$2000,A6))</f>
        <v/>
      </c>
      <c r="E6" s="13">
        <f>IF(A6="","",IF(COUNTIF(المبيعات!$C$2:$C$2000,A6)=0,"",_xlfn.MAXIFS(المبيعات!$A$2:$A$2000,المبيعات!$C$2:$C$2000,A6)))</f>
        <v/>
      </c>
      <c r="F6">
        <f>IF(A6="","",SUMIFS(المبيعات!$H$2:$H$2000,المبيعات!$C$2:$C$2000,A6,المبيعات!$J$2:$J$2000,"آجل"))</f>
        <v/>
      </c>
      <c r="G6" s="4" t="n"/>
      <c r="H6">
        <f>IF(A6="","",F6-G6)</f>
        <v/>
      </c>
    </row>
    <row r="7">
      <c r="A7" s="4" t="n"/>
      <c r="B7" s="4" t="n"/>
      <c r="C7">
        <f>IF(A7="","",SUMPRODUCT((المبيعات!$C$2:$C$2000=A7)*(المبيعات!$B$2:$B$2000&lt;&gt;"")/COUNTIFS(المبيعات!$B$2:$B$2000,المبيعات!$B$2:$B$2000&amp;"",المبيعات!$C$2:$C$2000,المبيعات!$C$2:$C$2000&amp;"")))</f>
        <v/>
      </c>
      <c r="D7">
        <f>IF(A7="","",SUMIFS(المبيعات!$H$2:$H$2000,المبيعات!$C$2:$C$2000,A7))</f>
        <v/>
      </c>
      <c r="E7" s="13">
        <f>IF(A7="","",IF(COUNTIF(المبيعات!$C$2:$C$2000,A7)=0,"",_xlfn.MAXIFS(المبيعات!$A$2:$A$2000,المبيعات!$C$2:$C$2000,A7)))</f>
        <v/>
      </c>
      <c r="F7">
        <f>IF(A7="","",SUMIFS(المبيعات!$H$2:$H$2000,المبيعات!$C$2:$C$2000,A7,المبيعات!$J$2:$J$2000,"آجل"))</f>
        <v/>
      </c>
      <c r="G7" s="4" t="n"/>
      <c r="H7">
        <f>IF(A7="","",F7-G7)</f>
        <v/>
      </c>
    </row>
    <row r="8">
      <c r="A8" s="4" t="n"/>
      <c r="B8" s="4" t="n"/>
      <c r="C8">
        <f>IF(A8="","",SUMPRODUCT((المبيعات!$C$2:$C$2000=A8)*(المبيعات!$B$2:$B$2000&lt;&gt;"")/COUNTIFS(المبيعات!$B$2:$B$2000,المبيعات!$B$2:$B$2000&amp;"",المبيعات!$C$2:$C$2000,المبيعات!$C$2:$C$2000&amp;"")))</f>
        <v/>
      </c>
      <c r="D8">
        <f>IF(A8="","",SUMIFS(المبيعات!$H$2:$H$2000,المبيعات!$C$2:$C$2000,A8))</f>
        <v/>
      </c>
      <c r="E8" s="13">
        <f>IF(A8="","",IF(COUNTIF(المبيعات!$C$2:$C$2000,A8)=0,"",_xlfn.MAXIFS(المبيعات!$A$2:$A$2000,المبيعات!$C$2:$C$2000,A8)))</f>
        <v/>
      </c>
      <c r="F8">
        <f>IF(A8="","",SUMIFS(المبيعات!$H$2:$H$2000,المبيعات!$C$2:$C$2000,A8,المبيعات!$J$2:$J$2000,"آجل"))</f>
        <v/>
      </c>
      <c r="G8" s="4" t="n"/>
      <c r="H8">
        <f>IF(A8="","",F8-G8)</f>
        <v/>
      </c>
    </row>
    <row r="9">
      <c r="A9" s="4" t="n"/>
      <c r="B9" s="4" t="n"/>
      <c r="C9">
        <f>IF(A9="","",SUMPRODUCT((المبيعات!$C$2:$C$2000=A9)*(المبيعات!$B$2:$B$2000&lt;&gt;"")/COUNTIFS(المبيعات!$B$2:$B$2000,المبيعات!$B$2:$B$2000&amp;"",المبيعات!$C$2:$C$2000,المبيعات!$C$2:$C$2000&amp;"")))</f>
        <v/>
      </c>
      <c r="D9">
        <f>IF(A9="","",SUMIFS(المبيعات!$H$2:$H$2000,المبيعات!$C$2:$C$2000,A9))</f>
        <v/>
      </c>
      <c r="E9" s="13">
        <f>IF(A9="","",IF(COUNTIF(المبيعات!$C$2:$C$2000,A9)=0,"",_xlfn.MAXIFS(المبيعات!$A$2:$A$2000,المبيعات!$C$2:$C$2000,A9)))</f>
        <v/>
      </c>
      <c r="F9">
        <f>IF(A9="","",SUMIFS(المبيعات!$H$2:$H$2000,المبيعات!$C$2:$C$2000,A9,المبيعات!$J$2:$J$2000,"آجل"))</f>
        <v/>
      </c>
      <c r="G9" s="4" t="n"/>
      <c r="H9">
        <f>IF(A9="","",F9-G9)</f>
        <v/>
      </c>
    </row>
    <row r="10">
      <c r="A10" s="4" t="n"/>
      <c r="B10" s="4" t="n"/>
      <c r="C10">
        <f>IF(A10="","",SUMPRODUCT((المبيعات!$C$2:$C$2000=A10)*(المبيعات!$B$2:$B$2000&lt;&gt;"")/COUNTIFS(المبيعات!$B$2:$B$2000,المبيعات!$B$2:$B$2000&amp;"",المبيعات!$C$2:$C$2000,المبيعات!$C$2:$C$2000&amp;"")))</f>
        <v/>
      </c>
      <c r="D10">
        <f>IF(A10="","",SUMIFS(المبيعات!$H$2:$H$2000,المبيعات!$C$2:$C$2000,A10))</f>
        <v/>
      </c>
      <c r="E10" s="13">
        <f>IF(A10="","",IF(COUNTIF(المبيعات!$C$2:$C$2000,A10)=0,"",_xlfn.MAXIFS(المبيعات!$A$2:$A$2000,المبيعات!$C$2:$C$2000,A10)))</f>
        <v/>
      </c>
      <c r="F10">
        <f>IF(A10="","",SUMIFS(المبيعات!$H$2:$H$2000,المبيعات!$C$2:$C$2000,A10,المبيعات!$J$2:$J$2000,"آجل"))</f>
        <v/>
      </c>
      <c r="G10" s="4" t="n"/>
      <c r="H10">
        <f>IF(A10="","",F10-G10)</f>
        <v/>
      </c>
    </row>
    <row r="11">
      <c r="A11" s="4" t="n"/>
      <c r="B11" s="4" t="n"/>
      <c r="C11">
        <f>IF(A11="","",SUMPRODUCT((المبيعات!$C$2:$C$2000=A11)*(المبيعات!$B$2:$B$2000&lt;&gt;"")/COUNTIFS(المبيعات!$B$2:$B$2000,المبيعات!$B$2:$B$2000&amp;"",المبيعات!$C$2:$C$2000,المبيعات!$C$2:$C$2000&amp;"")))</f>
        <v/>
      </c>
      <c r="D11">
        <f>IF(A11="","",SUMIFS(المبيعات!$H$2:$H$2000,المبيعات!$C$2:$C$2000,A11))</f>
        <v/>
      </c>
      <c r="E11" s="13">
        <f>IF(A11="","",IF(COUNTIF(المبيعات!$C$2:$C$2000,A11)=0,"",_xlfn.MAXIFS(المبيعات!$A$2:$A$2000,المبيعات!$C$2:$C$2000,A11)))</f>
        <v/>
      </c>
      <c r="F11">
        <f>IF(A11="","",SUMIFS(المبيعات!$H$2:$H$2000,المبيعات!$C$2:$C$2000,A11,المبيعات!$J$2:$J$2000,"آجل"))</f>
        <v/>
      </c>
      <c r="G11" s="4" t="n"/>
      <c r="H11">
        <f>IF(A11="","",F11-G11)</f>
        <v/>
      </c>
    </row>
    <row r="12">
      <c r="A12" s="4" t="n"/>
      <c r="B12" s="4" t="n"/>
      <c r="C12">
        <f>IF(A12="","",SUMPRODUCT((المبيعات!$C$2:$C$2000=A12)*(المبيعات!$B$2:$B$2000&lt;&gt;"")/COUNTIFS(المبيعات!$B$2:$B$2000,المبيعات!$B$2:$B$2000&amp;"",المبيعات!$C$2:$C$2000,المبيعات!$C$2:$C$2000&amp;"")))</f>
        <v/>
      </c>
      <c r="D12">
        <f>IF(A12="","",SUMIFS(المبيعات!$H$2:$H$2000,المبيعات!$C$2:$C$2000,A12))</f>
        <v/>
      </c>
      <c r="E12" s="13">
        <f>IF(A12="","",IF(COUNTIF(المبيعات!$C$2:$C$2000,A12)=0,"",_xlfn.MAXIFS(المبيعات!$A$2:$A$2000,المبيعات!$C$2:$C$2000,A12)))</f>
        <v/>
      </c>
      <c r="F12">
        <f>IF(A12="","",SUMIFS(المبيعات!$H$2:$H$2000,المبيعات!$C$2:$C$2000,A12,المبيعات!$J$2:$J$2000,"آجل"))</f>
        <v/>
      </c>
      <c r="G12" s="4" t="n"/>
      <c r="H12">
        <f>IF(A12="","",F12-G12)</f>
        <v/>
      </c>
    </row>
    <row r="13">
      <c r="A13" s="4" t="n"/>
      <c r="B13" s="4" t="n"/>
      <c r="C13">
        <f>IF(A13="","",SUMPRODUCT((المبيعات!$C$2:$C$2000=A13)*(المبيعات!$B$2:$B$2000&lt;&gt;"")/COUNTIFS(المبيعات!$B$2:$B$2000,المبيعات!$B$2:$B$2000&amp;"",المبيعات!$C$2:$C$2000,المبيعات!$C$2:$C$2000&amp;"")))</f>
        <v/>
      </c>
      <c r="D13">
        <f>IF(A13="","",SUMIFS(المبيعات!$H$2:$H$2000,المبيعات!$C$2:$C$2000,A13))</f>
        <v/>
      </c>
      <c r="E13" s="13">
        <f>IF(A13="","",IF(COUNTIF(المبيعات!$C$2:$C$2000,A13)=0,"",_xlfn.MAXIFS(المبيعات!$A$2:$A$2000,المبيعات!$C$2:$C$2000,A13)))</f>
        <v/>
      </c>
      <c r="F13">
        <f>IF(A13="","",SUMIFS(المبيعات!$H$2:$H$2000,المبيعات!$C$2:$C$2000,A13,المبيعات!$J$2:$J$2000,"آجل"))</f>
        <v/>
      </c>
      <c r="G13" s="4" t="n"/>
      <c r="H13">
        <f>IF(A13="","",F13-G13)</f>
        <v/>
      </c>
    </row>
    <row r="14">
      <c r="A14" s="4" t="n"/>
      <c r="B14" s="4" t="n"/>
      <c r="C14">
        <f>IF(A14="","",SUMPRODUCT((المبيعات!$C$2:$C$2000=A14)*(المبيعات!$B$2:$B$2000&lt;&gt;"")/COUNTIFS(المبيعات!$B$2:$B$2000,المبيعات!$B$2:$B$2000&amp;"",المبيعات!$C$2:$C$2000,المبيعات!$C$2:$C$2000&amp;"")))</f>
        <v/>
      </c>
      <c r="D14">
        <f>IF(A14="","",SUMIFS(المبيعات!$H$2:$H$2000,المبيعات!$C$2:$C$2000,A14))</f>
        <v/>
      </c>
      <c r="E14" s="13">
        <f>IF(A14="","",IF(COUNTIF(المبيعات!$C$2:$C$2000,A14)=0,"",_xlfn.MAXIFS(المبيعات!$A$2:$A$2000,المبيعات!$C$2:$C$2000,A14)))</f>
        <v/>
      </c>
      <c r="F14">
        <f>IF(A14="","",SUMIFS(المبيعات!$H$2:$H$2000,المبيعات!$C$2:$C$2000,A14,المبيعات!$J$2:$J$2000,"آجل"))</f>
        <v/>
      </c>
      <c r="G14" s="4" t="n"/>
      <c r="H14">
        <f>IF(A14="","",F14-G14)</f>
        <v/>
      </c>
    </row>
    <row r="15">
      <c r="A15" s="4" t="n"/>
      <c r="B15" s="4" t="n"/>
      <c r="C15">
        <f>IF(A15="","",SUMPRODUCT((المبيعات!$C$2:$C$2000=A15)*(المبيعات!$B$2:$B$2000&lt;&gt;"")/COUNTIFS(المبيعات!$B$2:$B$2000,المبيعات!$B$2:$B$2000&amp;"",المبيعات!$C$2:$C$2000,المبيعات!$C$2:$C$2000&amp;"")))</f>
        <v/>
      </c>
      <c r="D15">
        <f>IF(A15="","",SUMIFS(المبيعات!$H$2:$H$2000,المبيعات!$C$2:$C$2000,A15))</f>
        <v/>
      </c>
      <c r="E15" s="13">
        <f>IF(A15="","",IF(COUNTIF(المبيعات!$C$2:$C$2000,A15)=0,"",_xlfn.MAXIFS(المبيعات!$A$2:$A$2000,المبيعات!$C$2:$C$2000,A15)))</f>
        <v/>
      </c>
      <c r="F15">
        <f>IF(A15="","",SUMIFS(المبيعات!$H$2:$H$2000,المبيعات!$C$2:$C$2000,A15,المبيعات!$J$2:$J$2000,"آجل"))</f>
        <v/>
      </c>
      <c r="G15" s="4" t="n"/>
      <c r="H15">
        <f>IF(A15="","",F15-G15)</f>
        <v/>
      </c>
    </row>
    <row r="16">
      <c r="A16" s="4" t="n"/>
      <c r="B16" s="4" t="n"/>
      <c r="C16">
        <f>IF(A16="","",SUMPRODUCT((المبيعات!$C$2:$C$2000=A16)*(المبيعات!$B$2:$B$2000&lt;&gt;"")/COUNTIFS(المبيعات!$B$2:$B$2000,المبيعات!$B$2:$B$2000&amp;"",المبيعات!$C$2:$C$2000,المبيعات!$C$2:$C$2000&amp;"")))</f>
        <v/>
      </c>
      <c r="D16">
        <f>IF(A16="","",SUMIFS(المبيعات!$H$2:$H$2000,المبيعات!$C$2:$C$2000,A16))</f>
        <v/>
      </c>
      <c r="E16" s="13">
        <f>IF(A16="","",IF(COUNTIF(المبيعات!$C$2:$C$2000,A16)=0,"",_xlfn.MAXIFS(المبيعات!$A$2:$A$2000,المبيعات!$C$2:$C$2000,A16)))</f>
        <v/>
      </c>
      <c r="F16">
        <f>IF(A16="","",SUMIFS(المبيعات!$H$2:$H$2000,المبيعات!$C$2:$C$2000,A16,المبيعات!$J$2:$J$2000,"آجل"))</f>
        <v/>
      </c>
      <c r="G16" s="4" t="n"/>
      <c r="H16">
        <f>IF(A16="","",F16-G16)</f>
        <v/>
      </c>
    </row>
    <row r="17">
      <c r="A17" s="4" t="n"/>
      <c r="B17" s="4" t="n"/>
      <c r="C17">
        <f>IF(A17="","",SUMPRODUCT((المبيعات!$C$2:$C$2000=A17)*(المبيعات!$B$2:$B$2000&lt;&gt;"")/COUNTIFS(المبيعات!$B$2:$B$2000,المبيعات!$B$2:$B$2000&amp;"",المبيعات!$C$2:$C$2000,المبيعات!$C$2:$C$2000&amp;"")))</f>
        <v/>
      </c>
      <c r="D17">
        <f>IF(A17="","",SUMIFS(المبيعات!$H$2:$H$2000,المبيعات!$C$2:$C$2000,A17))</f>
        <v/>
      </c>
      <c r="E17" s="13">
        <f>IF(A17="","",IF(COUNTIF(المبيعات!$C$2:$C$2000,A17)=0,"",_xlfn.MAXIFS(المبيعات!$A$2:$A$2000,المبيعات!$C$2:$C$2000,A17)))</f>
        <v/>
      </c>
      <c r="F17">
        <f>IF(A17="","",SUMIFS(المبيعات!$H$2:$H$2000,المبيعات!$C$2:$C$2000,A17,المبيعات!$J$2:$J$2000,"آجل"))</f>
        <v/>
      </c>
      <c r="G17" s="4" t="n"/>
      <c r="H17">
        <f>IF(A17="","",F17-G17)</f>
        <v/>
      </c>
    </row>
    <row r="18">
      <c r="A18" s="4" t="n"/>
      <c r="B18" s="4" t="n"/>
      <c r="C18">
        <f>IF(A18="","",SUMPRODUCT((المبيعات!$C$2:$C$2000=A18)*(المبيعات!$B$2:$B$2000&lt;&gt;"")/COUNTIFS(المبيعات!$B$2:$B$2000,المبيعات!$B$2:$B$2000&amp;"",المبيعات!$C$2:$C$2000,المبيعات!$C$2:$C$2000&amp;"")))</f>
        <v/>
      </c>
      <c r="D18">
        <f>IF(A18="","",SUMIFS(المبيعات!$H$2:$H$2000,المبيعات!$C$2:$C$2000,A18))</f>
        <v/>
      </c>
      <c r="E18" s="13">
        <f>IF(A18="","",IF(COUNTIF(المبيعات!$C$2:$C$2000,A18)=0,"",_xlfn.MAXIFS(المبيعات!$A$2:$A$2000,المبيعات!$C$2:$C$2000,A18)))</f>
        <v/>
      </c>
      <c r="F18">
        <f>IF(A18="","",SUMIFS(المبيعات!$H$2:$H$2000,المبيعات!$C$2:$C$2000,A18,المبيعات!$J$2:$J$2000,"آجل"))</f>
        <v/>
      </c>
      <c r="G18" s="4" t="n"/>
      <c r="H18">
        <f>IF(A18="","",F18-G18)</f>
        <v/>
      </c>
    </row>
    <row r="19">
      <c r="A19" s="4" t="n"/>
      <c r="B19" s="4" t="n"/>
      <c r="C19">
        <f>IF(A19="","",SUMPRODUCT((المبيعات!$C$2:$C$2000=A19)*(المبيعات!$B$2:$B$2000&lt;&gt;"")/COUNTIFS(المبيعات!$B$2:$B$2000,المبيعات!$B$2:$B$2000&amp;"",المبيعات!$C$2:$C$2000,المبيعات!$C$2:$C$2000&amp;"")))</f>
        <v/>
      </c>
      <c r="D19">
        <f>IF(A19="","",SUMIFS(المبيعات!$H$2:$H$2000,المبيعات!$C$2:$C$2000,A19))</f>
        <v/>
      </c>
      <c r="E19" s="13">
        <f>IF(A19="","",IF(COUNTIF(المبيعات!$C$2:$C$2000,A19)=0,"",_xlfn.MAXIFS(المبيعات!$A$2:$A$2000,المبيعات!$C$2:$C$2000,A19)))</f>
        <v/>
      </c>
      <c r="F19">
        <f>IF(A19="","",SUMIFS(المبيعات!$H$2:$H$2000,المبيعات!$C$2:$C$2000,A19,المبيعات!$J$2:$J$2000,"آجل"))</f>
        <v/>
      </c>
      <c r="G19" s="4" t="n"/>
      <c r="H19">
        <f>IF(A19="","",F19-G19)</f>
        <v/>
      </c>
    </row>
    <row r="20">
      <c r="A20" s="4" t="n"/>
      <c r="B20" s="4" t="n"/>
      <c r="C20">
        <f>IF(A20="","",SUMPRODUCT((المبيعات!$C$2:$C$2000=A20)*(المبيعات!$B$2:$B$2000&lt;&gt;"")/COUNTIFS(المبيعات!$B$2:$B$2000,المبيعات!$B$2:$B$2000&amp;"",المبيعات!$C$2:$C$2000,المبيعات!$C$2:$C$2000&amp;"")))</f>
        <v/>
      </c>
      <c r="D20">
        <f>IF(A20="","",SUMIFS(المبيعات!$H$2:$H$2000,المبيعات!$C$2:$C$2000,A20))</f>
        <v/>
      </c>
      <c r="E20" s="13">
        <f>IF(A20="","",IF(COUNTIF(المبيعات!$C$2:$C$2000,A20)=0,"",_xlfn.MAXIFS(المبيعات!$A$2:$A$2000,المبيعات!$C$2:$C$2000,A20)))</f>
        <v/>
      </c>
      <c r="F20">
        <f>IF(A20="","",SUMIFS(المبيعات!$H$2:$H$2000,المبيعات!$C$2:$C$2000,A20,المبيعات!$J$2:$J$2000,"آجل"))</f>
        <v/>
      </c>
      <c r="G20" s="4" t="n"/>
      <c r="H20">
        <f>IF(A20="","",F20-G20)</f>
        <v/>
      </c>
    </row>
    <row r="21">
      <c r="A21" s="4" t="n"/>
      <c r="B21" s="4" t="n"/>
      <c r="C21">
        <f>IF(A21="","",SUMPRODUCT((المبيعات!$C$2:$C$2000=A21)*(المبيعات!$B$2:$B$2000&lt;&gt;"")/COUNTIFS(المبيعات!$B$2:$B$2000,المبيعات!$B$2:$B$2000&amp;"",المبيعات!$C$2:$C$2000,المبيعات!$C$2:$C$2000&amp;"")))</f>
        <v/>
      </c>
      <c r="D21">
        <f>IF(A21="","",SUMIFS(المبيعات!$H$2:$H$2000,المبيعات!$C$2:$C$2000,A21))</f>
        <v/>
      </c>
      <c r="E21" s="13">
        <f>IF(A21="","",IF(COUNTIF(المبيعات!$C$2:$C$2000,A21)=0,"",_xlfn.MAXIFS(المبيعات!$A$2:$A$2000,المبيعات!$C$2:$C$2000,A21)))</f>
        <v/>
      </c>
      <c r="F21">
        <f>IF(A21="","",SUMIFS(المبيعات!$H$2:$H$2000,المبيعات!$C$2:$C$2000,A21,المبيعات!$J$2:$J$2000,"آجل"))</f>
        <v/>
      </c>
      <c r="G21" s="4" t="n"/>
      <c r="H21">
        <f>IF(A21="","",F21-G21)</f>
        <v/>
      </c>
    </row>
    <row r="22">
      <c r="A22" s="4" t="n"/>
      <c r="B22" s="4" t="n"/>
      <c r="C22">
        <f>IF(A22="","",SUMPRODUCT((المبيعات!$C$2:$C$2000=A22)*(المبيعات!$B$2:$B$2000&lt;&gt;"")/COUNTIFS(المبيعات!$B$2:$B$2000,المبيعات!$B$2:$B$2000&amp;"",المبيعات!$C$2:$C$2000,المبيعات!$C$2:$C$2000&amp;"")))</f>
        <v/>
      </c>
      <c r="D22">
        <f>IF(A22="","",SUMIFS(المبيعات!$H$2:$H$2000,المبيعات!$C$2:$C$2000,A22))</f>
        <v/>
      </c>
      <c r="E22" s="13">
        <f>IF(A22="","",IF(COUNTIF(المبيعات!$C$2:$C$2000,A22)=0,"",_xlfn.MAXIFS(المبيعات!$A$2:$A$2000,المبيعات!$C$2:$C$2000,A22)))</f>
        <v/>
      </c>
      <c r="F22">
        <f>IF(A22="","",SUMIFS(المبيعات!$H$2:$H$2000,المبيعات!$C$2:$C$2000,A22,المبيعات!$J$2:$J$2000,"آجل"))</f>
        <v/>
      </c>
      <c r="G22" s="4" t="n"/>
      <c r="H22">
        <f>IF(A22="","",F22-G22)</f>
        <v/>
      </c>
    </row>
    <row r="23">
      <c r="A23" s="4" t="n"/>
      <c r="B23" s="4" t="n"/>
      <c r="C23">
        <f>IF(A23="","",SUMPRODUCT((المبيعات!$C$2:$C$2000=A23)*(المبيعات!$B$2:$B$2000&lt;&gt;"")/COUNTIFS(المبيعات!$B$2:$B$2000,المبيعات!$B$2:$B$2000&amp;"",المبيعات!$C$2:$C$2000,المبيعات!$C$2:$C$2000&amp;"")))</f>
        <v/>
      </c>
      <c r="D23">
        <f>IF(A23="","",SUMIFS(المبيعات!$H$2:$H$2000,المبيعات!$C$2:$C$2000,A23))</f>
        <v/>
      </c>
      <c r="E23" s="13">
        <f>IF(A23="","",IF(COUNTIF(المبيعات!$C$2:$C$2000,A23)=0,"",_xlfn.MAXIFS(المبيعات!$A$2:$A$2000,المبيعات!$C$2:$C$2000,A23)))</f>
        <v/>
      </c>
      <c r="F23">
        <f>IF(A23="","",SUMIFS(المبيعات!$H$2:$H$2000,المبيعات!$C$2:$C$2000,A23,المبيعات!$J$2:$J$2000,"آجل"))</f>
        <v/>
      </c>
      <c r="G23" s="4" t="n"/>
      <c r="H23">
        <f>IF(A23="","",F23-G23)</f>
        <v/>
      </c>
    </row>
    <row r="24">
      <c r="A24" s="4" t="n"/>
      <c r="B24" s="4" t="n"/>
      <c r="C24">
        <f>IF(A24="","",SUMPRODUCT((المبيعات!$C$2:$C$2000=A24)*(المبيعات!$B$2:$B$2000&lt;&gt;"")/COUNTIFS(المبيعات!$B$2:$B$2000,المبيعات!$B$2:$B$2000&amp;"",المبيعات!$C$2:$C$2000,المبيعات!$C$2:$C$2000&amp;"")))</f>
        <v/>
      </c>
      <c r="D24">
        <f>IF(A24="","",SUMIFS(المبيعات!$H$2:$H$2000,المبيعات!$C$2:$C$2000,A24))</f>
        <v/>
      </c>
      <c r="E24" s="13">
        <f>IF(A24="","",IF(COUNTIF(المبيعات!$C$2:$C$2000,A24)=0,"",_xlfn.MAXIFS(المبيعات!$A$2:$A$2000,المبيعات!$C$2:$C$2000,A24)))</f>
        <v/>
      </c>
      <c r="F24">
        <f>IF(A24="","",SUMIFS(المبيعات!$H$2:$H$2000,المبيعات!$C$2:$C$2000,A24,المبيعات!$J$2:$J$2000,"آجل"))</f>
        <v/>
      </c>
      <c r="G24" s="4" t="n"/>
      <c r="H24">
        <f>IF(A24="","",F24-G24)</f>
        <v/>
      </c>
    </row>
    <row r="25">
      <c r="A25" s="4" t="n"/>
      <c r="B25" s="4" t="n"/>
      <c r="C25">
        <f>IF(A25="","",SUMPRODUCT((المبيعات!$C$2:$C$2000=A25)*(المبيعات!$B$2:$B$2000&lt;&gt;"")/COUNTIFS(المبيعات!$B$2:$B$2000,المبيعات!$B$2:$B$2000&amp;"",المبيعات!$C$2:$C$2000,المبيعات!$C$2:$C$2000&amp;"")))</f>
        <v/>
      </c>
      <c r="D25">
        <f>IF(A25="","",SUMIFS(المبيعات!$H$2:$H$2000,المبيعات!$C$2:$C$2000,A25))</f>
        <v/>
      </c>
      <c r="E25" s="13">
        <f>IF(A25="","",IF(COUNTIF(المبيعات!$C$2:$C$2000,A25)=0,"",_xlfn.MAXIFS(المبيعات!$A$2:$A$2000,المبيعات!$C$2:$C$2000,A25)))</f>
        <v/>
      </c>
      <c r="F25">
        <f>IF(A25="","",SUMIFS(المبيعات!$H$2:$H$2000,المبيعات!$C$2:$C$2000,A25,المبيعات!$J$2:$J$2000,"آجل"))</f>
        <v/>
      </c>
      <c r="G25" s="4" t="n"/>
      <c r="H25">
        <f>IF(A25="","",F25-G25)</f>
        <v/>
      </c>
    </row>
    <row r="26">
      <c r="A26" s="4" t="n"/>
      <c r="B26" s="4" t="n"/>
      <c r="C26">
        <f>IF(A26="","",SUMPRODUCT((المبيعات!$C$2:$C$2000=A26)*(المبيعات!$B$2:$B$2000&lt;&gt;"")/COUNTIFS(المبيعات!$B$2:$B$2000,المبيعات!$B$2:$B$2000&amp;"",المبيعات!$C$2:$C$2000,المبيعات!$C$2:$C$2000&amp;"")))</f>
        <v/>
      </c>
      <c r="D26">
        <f>IF(A26="","",SUMIFS(المبيعات!$H$2:$H$2000,المبيعات!$C$2:$C$2000,A26))</f>
        <v/>
      </c>
      <c r="E26" s="13">
        <f>IF(A26="","",IF(COUNTIF(المبيعات!$C$2:$C$2000,A26)=0,"",_xlfn.MAXIFS(المبيعات!$A$2:$A$2000,المبيعات!$C$2:$C$2000,A26)))</f>
        <v/>
      </c>
      <c r="F26">
        <f>IF(A26="","",SUMIFS(المبيعات!$H$2:$H$2000,المبيعات!$C$2:$C$2000,A26,المبيعات!$J$2:$J$2000,"آجل"))</f>
        <v/>
      </c>
      <c r="G26" s="4" t="n"/>
      <c r="H26">
        <f>IF(A26="","",F26-G26)</f>
        <v/>
      </c>
    </row>
    <row r="27">
      <c r="A27" s="4" t="n"/>
      <c r="B27" s="4" t="n"/>
      <c r="C27">
        <f>IF(A27="","",SUMPRODUCT((المبيعات!$C$2:$C$2000=A27)*(المبيعات!$B$2:$B$2000&lt;&gt;"")/COUNTIFS(المبيعات!$B$2:$B$2000,المبيعات!$B$2:$B$2000&amp;"",المبيعات!$C$2:$C$2000,المبيعات!$C$2:$C$2000&amp;"")))</f>
        <v/>
      </c>
      <c r="D27">
        <f>IF(A27="","",SUMIFS(المبيعات!$H$2:$H$2000,المبيعات!$C$2:$C$2000,A27))</f>
        <v/>
      </c>
      <c r="E27" s="13">
        <f>IF(A27="","",IF(COUNTIF(المبيعات!$C$2:$C$2000,A27)=0,"",_xlfn.MAXIFS(المبيعات!$A$2:$A$2000,المبيعات!$C$2:$C$2000,A27)))</f>
        <v/>
      </c>
      <c r="F27">
        <f>IF(A27="","",SUMIFS(المبيعات!$H$2:$H$2000,المبيعات!$C$2:$C$2000,A27,المبيعات!$J$2:$J$2000,"آجل"))</f>
        <v/>
      </c>
      <c r="G27" s="4" t="n"/>
      <c r="H27">
        <f>IF(A27="","",F27-G27)</f>
        <v/>
      </c>
    </row>
    <row r="28">
      <c r="A28" s="4" t="n"/>
      <c r="B28" s="4" t="n"/>
      <c r="C28">
        <f>IF(A28="","",SUMPRODUCT((المبيعات!$C$2:$C$2000=A28)*(المبيعات!$B$2:$B$2000&lt;&gt;"")/COUNTIFS(المبيعات!$B$2:$B$2000,المبيعات!$B$2:$B$2000&amp;"",المبيعات!$C$2:$C$2000,المبيعات!$C$2:$C$2000&amp;"")))</f>
        <v/>
      </c>
      <c r="D28">
        <f>IF(A28="","",SUMIFS(المبيعات!$H$2:$H$2000,المبيعات!$C$2:$C$2000,A28))</f>
        <v/>
      </c>
      <c r="E28" s="13">
        <f>IF(A28="","",IF(COUNTIF(المبيعات!$C$2:$C$2000,A28)=0,"",_xlfn.MAXIFS(المبيعات!$A$2:$A$2000,المبيعات!$C$2:$C$2000,A28)))</f>
        <v/>
      </c>
      <c r="F28">
        <f>IF(A28="","",SUMIFS(المبيعات!$H$2:$H$2000,المبيعات!$C$2:$C$2000,A28,المبيعات!$J$2:$J$2000,"آجل"))</f>
        <v/>
      </c>
      <c r="G28" s="4" t="n"/>
      <c r="H28">
        <f>IF(A28="","",F28-G28)</f>
        <v/>
      </c>
    </row>
    <row r="29">
      <c r="A29" s="4" t="n"/>
      <c r="B29" s="4" t="n"/>
      <c r="C29">
        <f>IF(A29="","",SUMPRODUCT((المبيعات!$C$2:$C$2000=A29)*(المبيعات!$B$2:$B$2000&lt;&gt;"")/COUNTIFS(المبيعات!$B$2:$B$2000,المبيعات!$B$2:$B$2000&amp;"",المبيعات!$C$2:$C$2000,المبيعات!$C$2:$C$2000&amp;"")))</f>
        <v/>
      </c>
      <c r="D29">
        <f>IF(A29="","",SUMIFS(المبيعات!$H$2:$H$2000,المبيعات!$C$2:$C$2000,A29))</f>
        <v/>
      </c>
      <c r="E29" s="13">
        <f>IF(A29="","",IF(COUNTIF(المبيعات!$C$2:$C$2000,A29)=0,"",_xlfn.MAXIFS(المبيعات!$A$2:$A$2000,المبيعات!$C$2:$C$2000,A29)))</f>
        <v/>
      </c>
      <c r="F29">
        <f>IF(A29="","",SUMIFS(المبيعات!$H$2:$H$2000,المبيعات!$C$2:$C$2000,A29,المبيعات!$J$2:$J$2000,"آجل"))</f>
        <v/>
      </c>
      <c r="G29" s="4" t="n"/>
      <c r="H29">
        <f>IF(A29="","",F29-G29)</f>
        <v/>
      </c>
    </row>
    <row r="30">
      <c r="A30" s="4" t="n"/>
      <c r="B30" s="4" t="n"/>
      <c r="C30">
        <f>IF(A30="","",SUMPRODUCT((المبيعات!$C$2:$C$2000=A30)*(المبيعات!$B$2:$B$2000&lt;&gt;"")/COUNTIFS(المبيعات!$B$2:$B$2000,المبيعات!$B$2:$B$2000&amp;"",المبيعات!$C$2:$C$2000,المبيعات!$C$2:$C$2000&amp;"")))</f>
        <v/>
      </c>
      <c r="D30">
        <f>IF(A30="","",SUMIFS(المبيعات!$H$2:$H$2000,المبيعات!$C$2:$C$2000,A30))</f>
        <v/>
      </c>
      <c r="E30" s="13">
        <f>IF(A30="","",IF(COUNTIF(المبيعات!$C$2:$C$2000,A30)=0,"",_xlfn.MAXIFS(المبيعات!$A$2:$A$2000,المبيعات!$C$2:$C$2000,A30)))</f>
        <v/>
      </c>
      <c r="F30">
        <f>IF(A30="","",SUMIFS(المبيعات!$H$2:$H$2000,المبيعات!$C$2:$C$2000,A30,المبيعات!$J$2:$J$2000,"آجل"))</f>
        <v/>
      </c>
      <c r="G30" s="4" t="n"/>
      <c r="H30">
        <f>IF(A30="","",F30-G30)</f>
        <v/>
      </c>
    </row>
    <row r="31">
      <c r="A31" s="4" t="n"/>
      <c r="B31" s="4" t="n"/>
      <c r="C31">
        <f>IF(A31="","",SUMPRODUCT((المبيعات!$C$2:$C$2000=A31)*(المبيعات!$B$2:$B$2000&lt;&gt;"")/COUNTIFS(المبيعات!$B$2:$B$2000,المبيعات!$B$2:$B$2000&amp;"",المبيعات!$C$2:$C$2000,المبيعات!$C$2:$C$2000&amp;"")))</f>
        <v/>
      </c>
      <c r="D31">
        <f>IF(A31="","",SUMIFS(المبيعات!$H$2:$H$2000,المبيعات!$C$2:$C$2000,A31))</f>
        <v/>
      </c>
      <c r="E31" s="13">
        <f>IF(A31="","",IF(COUNTIF(المبيعات!$C$2:$C$2000,A31)=0,"",_xlfn.MAXIFS(المبيعات!$A$2:$A$2000,المبيعات!$C$2:$C$2000,A31)))</f>
        <v/>
      </c>
      <c r="F31">
        <f>IF(A31="","",SUMIFS(المبيعات!$H$2:$H$2000,المبيعات!$C$2:$C$2000,A31,المبيعات!$J$2:$J$2000,"آجل"))</f>
        <v/>
      </c>
      <c r="G31" s="4" t="n"/>
      <c r="H31">
        <f>IF(A31="","",F31-G31)</f>
        <v/>
      </c>
    </row>
    <row r="32">
      <c r="A32" s="4" t="n"/>
      <c r="B32" s="4" t="n"/>
      <c r="C32">
        <f>IF(A32="","",SUMPRODUCT((المبيعات!$C$2:$C$2000=A32)*(المبيعات!$B$2:$B$2000&lt;&gt;"")/COUNTIFS(المبيعات!$B$2:$B$2000,المبيعات!$B$2:$B$2000&amp;"",المبيعات!$C$2:$C$2000,المبيعات!$C$2:$C$2000&amp;"")))</f>
        <v/>
      </c>
      <c r="D32">
        <f>IF(A32="","",SUMIFS(المبيعات!$H$2:$H$2000,المبيعات!$C$2:$C$2000,A32))</f>
        <v/>
      </c>
      <c r="E32" s="13">
        <f>IF(A32="","",IF(COUNTIF(المبيعات!$C$2:$C$2000,A32)=0,"",_xlfn.MAXIFS(المبيعات!$A$2:$A$2000,المبيعات!$C$2:$C$2000,A32)))</f>
        <v/>
      </c>
      <c r="F32">
        <f>IF(A32="","",SUMIFS(المبيعات!$H$2:$H$2000,المبيعات!$C$2:$C$2000,A32,المبيعات!$J$2:$J$2000,"آجل"))</f>
        <v/>
      </c>
      <c r="G32" s="4" t="n"/>
      <c r="H32">
        <f>IF(A32="","",F32-G32)</f>
        <v/>
      </c>
    </row>
    <row r="33">
      <c r="A33" s="4" t="n"/>
      <c r="B33" s="4" t="n"/>
      <c r="C33">
        <f>IF(A33="","",SUMPRODUCT((المبيعات!$C$2:$C$2000=A33)*(المبيعات!$B$2:$B$2000&lt;&gt;"")/COUNTIFS(المبيعات!$B$2:$B$2000,المبيعات!$B$2:$B$2000&amp;"",المبيعات!$C$2:$C$2000,المبيعات!$C$2:$C$2000&amp;"")))</f>
        <v/>
      </c>
      <c r="D33">
        <f>IF(A33="","",SUMIFS(المبيعات!$H$2:$H$2000,المبيعات!$C$2:$C$2000,A33))</f>
        <v/>
      </c>
      <c r="E33" s="13">
        <f>IF(A33="","",IF(COUNTIF(المبيعات!$C$2:$C$2000,A33)=0,"",_xlfn.MAXIFS(المبيعات!$A$2:$A$2000,المبيعات!$C$2:$C$2000,A33)))</f>
        <v/>
      </c>
      <c r="F33">
        <f>IF(A33="","",SUMIFS(المبيعات!$H$2:$H$2000,المبيعات!$C$2:$C$2000,A33,المبيعات!$J$2:$J$2000,"آجل"))</f>
        <v/>
      </c>
      <c r="G33" s="4" t="n"/>
      <c r="H33">
        <f>IF(A33="","",F33-G33)</f>
        <v/>
      </c>
    </row>
    <row r="34">
      <c r="A34" s="4" t="n"/>
      <c r="B34" s="4" t="n"/>
      <c r="C34">
        <f>IF(A34="","",SUMPRODUCT((المبيعات!$C$2:$C$2000=A34)*(المبيعات!$B$2:$B$2000&lt;&gt;"")/COUNTIFS(المبيعات!$B$2:$B$2000,المبيعات!$B$2:$B$2000&amp;"",المبيعات!$C$2:$C$2000,المبيعات!$C$2:$C$2000&amp;"")))</f>
        <v/>
      </c>
      <c r="D34">
        <f>IF(A34="","",SUMIFS(المبيعات!$H$2:$H$2000,المبيعات!$C$2:$C$2000,A34))</f>
        <v/>
      </c>
      <c r="E34" s="13">
        <f>IF(A34="","",IF(COUNTIF(المبيعات!$C$2:$C$2000,A34)=0,"",_xlfn.MAXIFS(المبيعات!$A$2:$A$2000,المبيعات!$C$2:$C$2000,A34)))</f>
        <v/>
      </c>
      <c r="F34">
        <f>IF(A34="","",SUMIFS(المبيعات!$H$2:$H$2000,المبيعات!$C$2:$C$2000,A34,المبيعات!$J$2:$J$2000,"آجل"))</f>
        <v/>
      </c>
      <c r="G34" s="4" t="n"/>
      <c r="H34">
        <f>IF(A34="","",F34-G34)</f>
        <v/>
      </c>
    </row>
    <row r="35">
      <c r="A35" s="4" t="n"/>
      <c r="B35" s="4" t="n"/>
      <c r="C35">
        <f>IF(A35="","",SUMPRODUCT((المبيعات!$C$2:$C$2000=A35)*(المبيعات!$B$2:$B$2000&lt;&gt;"")/COUNTIFS(المبيعات!$B$2:$B$2000,المبيعات!$B$2:$B$2000&amp;"",المبيعات!$C$2:$C$2000,المبيعات!$C$2:$C$2000&amp;"")))</f>
        <v/>
      </c>
      <c r="D35">
        <f>IF(A35="","",SUMIFS(المبيعات!$H$2:$H$2000,المبيعات!$C$2:$C$2000,A35))</f>
        <v/>
      </c>
      <c r="E35" s="13">
        <f>IF(A35="","",IF(COUNTIF(المبيعات!$C$2:$C$2000,A35)=0,"",_xlfn.MAXIFS(المبيعات!$A$2:$A$2000,المبيعات!$C$2:$C$2000,A35)))</f>
        <v/>
      </c>
      <c r="F35">
        <f>IF(A35="","",SUMIFS(المبيعات!$H$2:$H$2000,المبيعات!$C$2:$C$2000,A35,المبيعات!$J$2:$J$2000,"آجل"))</f>
        <v/>
      </c>
      <c r="G35" s="4" t="n"/>
      <c r="H35">
        <f>IF(A35="","",F35-G35)</f>
        <v/>
      </c>
    </row>
    <row r="36">
      <c r="A36" s="4" t="n"/>
      <c r="B36" s="4" t="n"/>
      <c r="C36">
        <f>IF(A36="","",SUMPRODUCT((المبيعات!$C$2:$C$2000=A36)*(المبيعات!$B$2:$B$2000&lt;&gt;"")/COUNTIFS(المبيعات!$B$2:$B$2000,المبيعات!$B$2:$B$2000&amp;"",المبيعات!$C$2:$C$2000,المبيعات!$C$2:$C$2000&amp;"")))</f>
        <v/>
      </c>
      <c r="D36">
        <f>IF(A36="","",SUMIFS(المبيعات!$H$2:$H$2000,المبيعات!$C$2:$C$2000,A36))</f>
        <v/>
      </c>
      <c r="E36" s="13">
        <f>IF(A36="","",IF(COUNTIF(المبيعات!$C$2:$C$2000,A36)=0,"",_xlfn.MAXIFS(المبيعات!$A$2:$A$2000,المبيعات!$C$2:$C$2000,A36)))</f>
        <v/>
      </c>
      <c r="F36">
        <f>IF(A36="","",SUMIFS(المبيعات!$H$2:$H$2000,المبيعات!$C$2:$C$2000,A36,المبيعات!$J$2:$J$2000,"آجل"))</f>
        <v/>
      </c>
      <c r="G36" s="4" t="n"/>
      <c r="H36">
        <f>IF(A36="","",F36-G36)</f>
        <v/>
      </c>
    </row>
    <row r="37">
      <c r="A37" s="4" t="n"/>
      <c r="B37" s="4" t="n"/>
      <c r="C37">
        <f>IF(A37="","",SUMPRODUCT((المبيعات!$C$2:$C$2000=A37)*(المبيعات!$B$2:$B$2000&lt;&gt;"")/COUNTIFS(المبيعات!$B$2:$B$2000,المبيعات!$B$2:$B$2000&amp;"",المبيعات!$C$2:$C$2000,المبيعات!$C$2:$C$2000&amp;"")))</f>
        <v/>
      </c>
      <c r="D37">
        <f>IF(A37="","",SUMIFS(المبيعات!$H$2:$H$2000,المبيعات!$C$2:$C$2000,A37))</f>
        <v/>
      </c>
      <c r="E37" s="13">
        <f>IF(A37="","",IF(COUNTIF(المبيعات!$C$2:$C$2000,A37)=0,"",_xlfn.MAXIFS(المبيعات!$A$2:$A$2000,المبيعات!$C$2:$C$2000,A37)))</f>
        <v/>
      </c>
      <c r="F37">
        <f>IF(A37="","",SUMIFS(المبيعات!$H$2:$H$2000,المبيعات!$C$2:$C$2000,A37,المبيعات!$J$2:$J$2000,"آجل"))</f>
        <v/>
      </c>
      <c r="G37" s="4" t="n"/>
      <c r="H37">
        <f>IF(A37="","",F37-G37)</f>
        <v/>
      </c>
    </row>
    <row r="38">
      <c r="A38" s="4" t="n"/>
      <c r="B38" s="4" t="n"/>
      <c r="C38">
        <f>IF(A38="","",SUMPRODUCT((المبيعات!$C$2:$C$2000=A38)*(المبيعات!$B$2:$B$2000&lt;&gt;"")/COUNTIFS(المبيعات!$B$2:$B$2000,المبيعات!$B$2:$B$2000&amp;"",المبيعات!$C$2:$C$2000,المبيعات!$C$2:$C$2000&amp;"")))</f>
        <v/>
      </c>
      <c r="D38">
        <f>IF(A38="","",SUMIFS(المبيعات!$H$2:$H$2000,المبيعات!$C$2:$C$2000,A38))</f>
        <v/>
      </c>
      <c r="E38" s="13">
        <f>IF(A38="","",IF(COUNTIF(المبيعات!$C$2:$C$2000,A38)=0,"",_xlfn.MAXIFS(المبيعات!$A$2:$A$2000,المبيعات!$C$2:$C$2000,A38)))</f>
        <v/>
      </c>
      <c r="F38">
        <f>IF(A38="","",SUMIFS(المبيعات!$H$2:$H$2000,المبيعات!$C$2:$C$2000,A38,المبيعات!$J$2:$J$2000,"آجل"))</f>
        <v/>
      </c>
      <c r="G38" s="4" t="n"/>
      <c r="H38">
        <f>IF(A38="","",F38-G38)</f>
        <v/>
      </c>
    </row>
    <row r="39">
      <c r="A39" s="4" t="n"/>
      <c r="B39" s="4" t="n"/>
      <c r="C39">
        <f>IF(A39="","",SUMPRODUCT((المبيعات!$C$2:$C$2000=A39)*(المبيعات!$B$2:$B$2000&lt;&gt;"")/COUNTIFS(المبيعات!$B$2:$B$2000,المبيعات!$B$2:$B$2000&amp;"",المبيعات!$C$2:$C$2000,المبيعات!$C$2:$C$2000&amp;"")))</f>
        <v/>
      </c>
      <c r="D39">
        <f>IF(A39="","",SUMIFS(المبيعات!$H$2:$H$2000,المبيعات!$C$2:$C$2000,A39))</f>
        <v/>
      </c>
      <c r="E39" s="13">
        <f>IF(A39="","",IF(COUNTIF(المبيعات!$C$2:$C$2000,A39)=0,"",_xlfn.MAXIFS(المبيعات!$A$2:$A$2000,المبيعات!$C$2:$C$2000,A39)))</f>
        <v/>
      </c>
      <c r="F39">
        <f>IF(A39="","",SUMIFS(المبيعات!$H$2:$H$2000,المبيعات!$C$2:$C$2000,A39,المبيعات!$J$2:$J$2000,"آجل"))</f>
        <v/>
      </c>
      <c r="G39" s="4" t="n"/>
      <c r="H39">
        <f>IF(A39="","",F39-G39)</f>
        <v/>
      </c>
    </row>
    <row r="40">
      <c r="A40" s="4" t="n"/>
      <c r="B40" s="4" t="n"/>
      <c r="C40">
        <f>IF(A40="","",SUMPRODUCT((المبيعات!$C$2:$C$2000=A40)*(المبيعات!$B$2:$B$2000&lt;&gt;"")/COUNTIFS(المبيعات!$B$2:$B$2000,المبيعات!$B$2:$B$2000&amp;"",المبيعات!$C$2:$C$2000,المبيعات!$C$2:$C$2000&amp;"")))</f>
        <v/>
      </c>
      <c r="D40">
        <f>IF(A40="","",SUMIFS(المبيعات!$H$2:$H$2000,المبيعات!$C$2:$C$2000,A40))</f>
        <v/>
      </c>
      <c r="E40" s="13">
        <f>IF(A40="","",IF(COUNTIF(المبيعات!$C$2:$C$2000,A40)=0,"",_xlfn.MAXIFS(المبيعات!$A$2:$A$2000,المبيعات!$C$2:$C$2000,A40)))</f>
        <v/>
      </c>
      <c r="F40">
        <f>IF(A40="","",SUMIFS(المبيعات!$H$2:$H$2000,المبيعات!$C$2:$C$2000,A40,المبيعات!$J$2:$J$2000,"آجل"))</f>
        <v/>
      </c>
      <c r="G40" s="4" t="n"/>
      <c r="H40">
        <f>IF(A40="","",F40-G40)</f>
        <v/>
      </c>
    </row>
    <row r="41">
      <c r="A41" s="4" t="n"/>
      <c r="B41" s="4" t="n"/>
      <c r="C41">
        <f>IF(A41="","",SUMPRODUCT((المبيعات!$C$2:$C$2000=A41)*(المبيعات!$B$2:$B$2000&lt;&gt;"")/COUNTIFS(المبيعات!$B$2:$B$2000,المبيعات!$B$2:$B$2000&amp;"",المبيعات!$C$2:$C$2000,المبيعات!$C$2:$C$2000&amp;"")))</f>
        <v/>
      </c>
      <c r="D41">
        <f>IF(A41="","",SUMIFS(المبيعات!$H$2:$H$2000,المبيعات!$C$2:$C$2000,A41))</f>
        <v/>
      </c>
      <c r="E41" s="13">
        <f>IF(A41="","",IF(COUNTIF(المبيعات!$C$2:$C$2000,A41)=0,"",_xlfn.MAXIFS(المبيعات!$A$2:$A$2000,المبيعات!$C$2:$C$2000,A41)))</f>
        <v/>
      </c>
      <c r="F41">
        <f>IF(A41="","",SUMIFS(المبيعات!$H$2:$H$2000,المبيعات!$C$2:$C$2000,A41,المبيعات!$J$2:$J$2000,"آجل"))</f>
        <v/>
      </c>
      <c r="G41" s="4" t="n"/>
      <c r="H41">
        <f>IF(A41="","",F41-G41)</f>
        <v/>
      </c>
    </row>
    <row r="42">
      <c r="A42" s="4" t="n"/>
      <c r="B42" s="4" t="n"/>
      <c r="C42">
        <f>IF(A42="","",SUMPRODUCT((المبيعات!$C$2:$C$2000=A42)*(المبيعات!$B$2:$B$2000&lt;&gt;"")/COUNTIFS(المبيعات!$B$2:$B$2000,المبيعات!$B$2:$B$2000&amp;"",المبيعات!$C$2:$C$2000,المبيعات!$C$2:$C$2000&amp;"")))</f>
        <v/>
      </c>
      <c r="D42">
        <f>IF(A42="","",SUMIFS(المبيعات!$H$2:$H$2000,المبيعات!$C$2:$C$2000,A42))</f>
        <v/>
      </c>
      <c r="E42" s="13">
        <f>IF(A42="","",IF(COUNTIF(المبيعات!$C$2:$C$2000,A42)=0,"",_xlfn.MAXIFS(المبيعات!$A$2:$A$2000,المبيعات!$C$2:$C$2000,A42)))</f>
        <v/>
      </c>
      <c r="F42">
        <f>IF(A42="","",SUMIFS(المبيعات!$H$2:$H$2000,المبيعات!$C$2:$C$2000,A42,المبيعات!$J$2:$J$2000,"آجل"))</f>
        <v/>
      </c>
      <c r="G42" s="4" t="n"/>
      <c r="H42">
        <f>IF(A42="","",F42-G42)</f>
        <v/>
      </c>
    </row>
    <row r="43">
      <c r="A43" s="4" t="n"/>
      <c r="B43" s="4" t="n"/>
      <c r="C43">
        <f>IF(A43="","",SUMPRODUCT((المبيعات!$C$2:$C$2000=A43)*(المبيعات!$B$2:$B$2000&lt;&gt;"")/COUNTIFS(المبيعات!$B$2:$B$2000,المبيعات!$B$2:$B$2000&amp;"",المبيعات!$C$2:$C$2000,المبيعات!$C$2:$C$2000&amp;"")))</f>
        <v/>
      </c>
      <c r="D43">
        <f>IF(A43="","",SUMIFS(المبيعات!$H$2:$H$2000,المبيعات!$C$2:$C$2000,A43))</f>
        <v/>
      </c>
      <c r="E43" s="13">
        <f>IF(A43="","",IF(COUNTIF(المبيعات!$C$2:$C$2000,A43)=0,"",_xlfn.MAXIFS(المبيعات!$A$2:$A$2000,المبيعات!$C$2:$C$2000,A43)))</f>
        <v/>
      </c>
      <c r="F43">
        <f>IF(A43="","",SUMIFS(المبيعات!$H$2:$H$2000,المبيعات!$C$2:$C$2000,A43,المبيعات!$J$2:$J$2000,"آجل"))</f>
        <v/>
      </c>
      <c r="G43" s="4" t="n"/>
      <c r="H43">
        <f>IF(A43="","",F43-G43)</f>
        <v/>
      </c>
    </row>
    <row r="44">
      <c r="A44" s="4" t="n"/>
      <c r="B44" s="4" t="n"/>
      <c r="C44">
        <f>IF(A44="","",SUMPRODUCT((المبيعات!$C$2:$C$2000=A44)*(المبيعات!$B$2:$B$2000&lt;&gt;"")/COUNTIFS(المبيعات!$B$2:$B$2000,المبيعات!$B$2:$B$2000&amp;"",المبيعات!$C$2:$C$2000,المبيعات!$C$2:$C$2000&amp;"")))</f>
        <v/>
      </c>
      <c r="D44">
        <f>IF(A44="","",SUMIFS(المبيعات!$H$2:$H$2000,المبيعات!$C$2:$C$2000,A44))</f>
        <v/>
      </c>
      <c r="E44" s="13">
        <f>IF(A44="","",IF(COUNTIF(المبيعات!$C$2:$C$2000,A44)=0,"",_xlfn.MAXIFS(المبيعات!$A$2:$A$2000,المبيعات!$C$2:$C$2000,A44)))</f>
        <v/>
      </c>
      <c r="F44">
        <f>IF(A44="","",SUMIFS(المبيعات!$H$2:$H$2000,المبيعات!$C$2:$C$2000,A44,المبيعات!$J$2:$J$2000,"آجل"))</f>
        <v/>
      </c>
      <c r="G44" s="4" t="n"/>
      <c r="H44">
        <f>IF(A44="","",F44-G44)</f>
        <v/>
      </c>
    </row>
    <row r="45">
      <c r="A45" s="4" t="n"/>
      <c r="B45" s="4" t="n"/>
      <c r="C45">
        <f>IF(A45="","",SUMPRODUCT((المبيعات!$C$2:$C$2000=A45)*(المبيعات!$B$2:$B$2000&lt;&gt;"")/COUNTIFS(المبيعات!$B$2:$B$2000,المبيعات!$B$2:$B$2000&amp;"",المبيعات!$C$2:$C$2000,المبيعات!$C$2:$C$2000&amp;"")))</f>
        <v/>
      </c>
      <c r="D45">
        <f>IF(A45="","",SUMIFS(المبيعات!$H$2:$H$2000,المبيعات!$C$2:$C$2000,A45))</f>
        <v/>
      </c>
      <c r="E45" s="13">
        <f>IF(A45="","",IF(COUNTIF(المبيعات!$C$2:$C$2000,A45)=0,"",_xlfn.MAXIFS(المبيعات!$A$2:$A$2000,المبيعات!$C$2:$C$2000,A45)))</f>
        <v/>
      </c>
      <c r="F45">
        <f>IF(A45="","",SUMIFS(المبيعات!$H$2:$H$2000,المبيعات!$C$2:$C$2000,A45,المبيعات!$J$2:$J$2000,"آجل"))</f>
        <v/>
      </c>
      <c r="G45" s="4" t="n"/>
      <c r="H45">
        <f>IF(A45="","",F45-G45)</f>
        <v/>
      </c>
    </row>
    <row r="46">
      <c r="A46" s="4" t="n"/>
      <c r="B46" s="4" t="n"/>
      <c r="C46">
        <f>IF(A46="","",SUMPRODUCT((المبيعات!$C$2:$C$2000=A46)*(المبيعات!$B$2:$B$2000&lt;&gt;"")/COUNTIFS(المبيعات!$B$2:$B$2000,المبيعات!$B$2:$B$2000&amp;"",المبيعات!$C$2:$C$2000,المبيعات!$C$2:$C$2000&amp;"")))</f>
        <v/>
      </c>
      <c r="D46">
        <f>IF(A46="","",SUMIFS(المبيعات!$H$2:$H$2000,المبيعات!$C$2:$C$2000,A46))</f>
        <v/>
      </c>
      <c r="E46" s="13">
        <f>IF(A46="","",IF(COUNTIF(المبيعات!$C$2:$C$2000,A46)=0,"",_xlfn.MAXIFS(المبيعات!$A$2:$A$2000,المبيعات!$C$2:$C$2000,A46)))</f>
        <v/>
      </c>
      <c r="F46">
        <f>IF(A46="","",SUMIFS(المبيعات!$H$2:$H$2000,المبيعات!$C$2:$C$2000,A46,المبيعات!$J$2:$J$2000,"آجل"))</f>
        <v/>
      </c>
      <c r="G46" s="4" t="n"/>
      <c r="H46">
        <f>IF(A46="","",F46-G46)</f>
        <v/>
      </c>
    </row>
    <row r="47">
      <c r="A47" s="4" t="n"/>
      <c r="B47" s="4" t="n"/>
      <c r="C47">
        <f>IF(A47="","",SUMPRODUCT((المبيعات!$C$2:$C$2000=A47)*(المبيعات!$B$2:$B$2000&lt;&gt;"")/COUNTIFS(المبيعات!$B$2:$B$2000,المبيعات!$B$2:$B$2000&amp;"",المبيعات!$C$2:$C$2000,المبيعات!$C$2:$C$2000&amp;"")))</f>
        <v/>
      </c>
      <c r="D47">
        <f>IF(A47="","",SUMIFS(المبيعات!$H$2:$H$2000,المبيعات!$C$2:$C$2000,A47))</f>
        <v/>
      </c>
      <c r="E47" s="13">
        <f>IF(A47="","",IF(COUNTIF(المبيعات!$C$2:$C$2000,A47)=0,"",_xlfn.MAXIFS(المبيعات!$A$2:$A$2000,المبيعات!$C$2:$C$2000,A47)))</f>
        <v/>
      </c>
      <c r="F47">
        <f>IF(A47="","",SUMIFS(المبيعات!$H$2:$H$2000,المبيعات!$C$2:$C$2000,A47,المبيعات!$J$2:$J$2000,"آجل"))</f>
        <v/>
      </c>
      <c r="G47" s="4" t="n"/>
      <c r="H47">
        <f>IF(A47="","",F47-G47)</f>
        <v/>
      </c>
    </row>
    <row r="48">
      <c r="A48" s="4" t="n"/>
      <c r="B48" s="4" t="n"/>
      <c r="C48">
        <f>IF(A48="","",SUMPRODUCT((المبيعات!$C$2:$C$2000=A48)*(المبيعات!$B$2:$B$2000&lt;&gt;"")/COUNTIFS(المبيعات!$B$2:$B$2000,المبيعات!$B$2:$B$2000&amp;"",المبيعات!$C$2:$C$2000,المبيعات!$C$2:$C$2000&amp;"")))</f>
        <v/>
      </c>
      <c r="D48">
        <f>IF(A48="","",SUMIFS(المبيعات!$H$2:$H$2000,المبيعات!$C$2:$C$2000,A48))</f>
        <v/>
      </c>
      <c r="E48" s="13">
        <f>IF(A48="","",IF(COUNTIF(المبيعات!$C$2:$C$2000,A48)=0,"",_xlfn.MAXIFS(المبيعات!$A$2:$A$2000,المبيعات!$C$2:$C$2000,A48)))</f>
        <v/>
      </c>
      <c r="F48">
        <f>IF(A48="","",SUMIFS(المبيعات!$H$2:$H$2000,المبيعات!$C$2:$C$2000,A48,المبيعات!$J$2:$J$2000,"آجل"))</f>
        <v/>
      </c>
      <c r="G48" s="4" t="n"/>
      <c r="H48">
        <f>IF(A48="","",F48-G48)</f>
        <v/>
      </c>
    </row>
    <row r="49">
      <c r="A49" s="4" t="n"/>
      <c r="B49" s="4" t="n"/>
      <c r="C49">
        <f>IF(A49="","",SUMPRODUCT((المبيعات!$C$2:$C$2000=A49)*(المبيعات!$B$2:$B$2000&lt;&gt;"")/COUNTIFS(المبيعات!$B$2:$B$2000,المبيعات!$B$2:$B$2000&amp;"",المبيعات!$C$2:$C$2000,المبيعات!$C$2:$C$2000&amp;"")))</f>
        <v/>
      </c>
      <c r="D49">
        <f>IF(A49="","",SUMIFS(المبيعات!$H$2:$H$2000,المبيعات!$C$2:$C$2000,A49))</f>
        <v/>
      </c>
      <c r="E49" s="13">
        <f>IF(A49="","",IF(COUNTIF(المبيعات!$C$2:$C$2000,A49)=0,"",_xlfn.MAXIFS(المبيعات!$A$2:$A$2000,المبيعات!$C$2:$C$2000,A49)))</f>
        <v/>
      </c>
      <c r="F49">
        <f>IF(A49="","",SUMIFS(المبيعات!$H$2:$H$2000,المبيعات!$C$2:$C$2000,A49,المبيعات!$J$2:$J$2000,"آجل"))</f>
        <v/>
      </c>
      <c r="G49" s="4" t="n"/>
      <c r="H49">
        <f>IF(A49="","",F49-G49)</f>
        <v/>
      </c>
    </row>
    <row r="50">
      <c r="A50" s="4" t="n"/>
      <c r="B50" s="4" t="n"/>
      <c r="C50">
        <f>IF(A50="","",SUMPRODUCT((المبيعات!$C$2:$C$2000=A50)*(المبيعات!$B$2:$B$2000&lt;&gt;"")/COUNTIFS(المبيعات!$B$2:$B$2000,المبيعات!$B$2:$B$2000&amp;"",المبيعات!$C$2:$C$2000,المبيعات!$C$2:$C$2000&amp;"")))</f>
        <v/>
      </c>
      <c r="D50">
        <f>IF(A50="","",SUMIFS(المبيعات!$H$2:$H$2000,المبيعات!$C$2:$C$2000,A50))</f>
        <v/>
      </c>
      <c r="E50" s="13">
        <f>IF(A50="","",IF(COUNTIF(المبيعات!$C$2:$C$2000,A50)=0,"",_xlfn.MAXIFS(المبيعات!$A$2:$A$2000,المبيعات!$C$2:$C$2000,A50)))</f>
        <v/>
      </c>
      <c r="F50">
        <f>IF(A50="","",SUMIFS(المبيعات!$H$2:$H$2000,المبيعات!$C$2:$C$2000,A50,المبيعات!$J$2:$J$2000,"آجل"))</f>
        <v/>
      </c>
      <c r="G50" s="4" t="n"/>
      <c r="H50">
        <f>IF(A50="","",F50-G50)</f>
        <v/>
      </c>
    </row>
    <row r="51">
      <c r="A51" s="4" t="n"/>
      <c r="B51" s="4" t="n"/>
      <c r="C51">
        <f>IF(A51="","",SUMPRODUCT((المبيعات!$C$2:$C$2000=A51)*(المبيعات!$B$2:$B$2000&lt;&gt;"")/COUNTIFS(المبيعات!$B$2:$B$2000,المبيعات!$B$2:$B$2000&amp;"",المبيعات!$C$2:$C$2000,المبيعات!$C$2:$C$2000&amp;"")))</f>
        <v/>
      </c>
      <c r="D51">
        <f>IF(A51="","",SUMIFS(المبيعات!$H$2:$H$2000,المبيعات!$C$2:$C$2000,A51))</f>
        <v/>
      </c>
      <c r="E51" s="13">
        <f>IF(A51="","",IF(COUNTIF(المبيعات!$C$2:$C$2000,A51)=0,"",_xlfn.MAXIFS(المبيعات!$A$2:$A$2000,المبيعات!$C$2:$C$2000,A51)))</f>
        <v/>
      </c>
      <c r="F51">
        <f>IF(A51="","",SUMIFS(المبيعات!$H$2:$H$2000,المبيعات!$C$2:$C$2000,A51,المبيعات!$J$2:$J$2000,"آجل"))</f>
        <v/>
      </c>
      <c r="G51" s="4" t="n"/>
      <c r="H51">
        <f>IF(A51="","",F51-G51)</f>
        <v/>
      </c>
    </row>
    <row r="52">
      <c r="A52" s="4" t="n"/>
      <c r="B52" s="4" t="n"/>
      <c r="C52">
        <f>IF(A52="","",SUMPRODUCT((المبيعات!$C$2:$C$2000=A52)*(المبيعات!$B$2:$B$2000&lt;&gt;"")/COUNTIFS(المبيعات!$B$2:$B$2000,المبيعات!$B$2:$B$2000&amp;"",المبيعات!$C$2:$C$2000,المبيعات!$C$2:$C$2000&amp;"")))</f>
        <v/>
      </c>
      <c r="D52">
        <f>IF(A52="","",SUMIFS(المبيعات!$H$2:$H$2000,المبيعات!$C$2:$C$2000,A52))</f>
        <v/>
      </c>
      <c r="E52" s="13">
        <f>IF(A52="","",IF(COUNTIF(المبيعات!$C$2:$C$2000,A52)=0,"",_xlfn.MAXIFS(المبيعات!$A$2:$A$2000,المبيعات!$C$2:$C$2000,A52)))</f>
        <v/>
      </c>
      <c r="F52">
        <f>IF(A52="","",SUMIFS(المبيعات!$H$2:$H$2000,المبيعات!$C$2:$C$2000,A52,المبيعات!$J$2:$J$2000,"آجل"))</f>
        <v/>
      </c>
      <c r="G52" s="4" t="n"/>
      <c r="H52">
        <f>IF(A52="","",F52-G52)</f>
        <v/>
      </c>
    </row>
    <row r="53">
      <c r="A53" s="4" t="n"/>
      <c r="B53" s="4" t="n"/>
      <c r="C53">
        <f>IF(A53="","",SUMPRODUCT((المبيعات!$C$2:$C$2000=A53)*(المبيعات!$B$2:$B$2000&lt;&gt;"")/COUNTIFS(المبيعات!$B$2:$B$2000,المبيعات!$B$2:$B$2000&amp;"",المبيعات!$C$2:$C$2000,المبيعات!$C$2:$C$2000&amp;"")))</f>
        <v/>
      </c>
      <c r="D53">
        <f>IF(A53="","",SUMIFS(المبيعات!$H$2:$H$2000,المبيعات!$C$2:$C$2000,A53))</f>
        <v/>
      </c>
      <c r="E53" s="13">
        <f>IF(A53="","",IF(COUNTIF(المبيعات!$C$2:$C$2000,A53)=0,"",_xlfn.MAXIFS(المبيعات!$A$2:$A$2000,المبيعات!$C$2:$C$2000,A53)))</f>
        <v/>
      </c>
      <c r="F53">
        <f>IF(A53="","",SUMIFS(المبيعات!$H$2:$H$2000,المبيعات!$C$2:$C$2000,A53,المبيعات!$J$2:$J$2000,"آجل"))</f>
        <v/>
      </c>
      <c r="G53" s="4" t="n"/>
      <c r="H53">
        <f>IF(A53="","",F53-G53)</f>
        <v/>
      </c>
    </row>
    <row r="54">
      <c r="A54" s="4" t="n"/>
      <c r="B54" s="4" t="n"/>
      <c r="C54">
        <f>IF(A54="","",SUMPRODUCT((المبيعات!$C$2:$C$2000=A54)*(المبيعات!$B$2:$B$2000&lt;&gt;"")/COUNTIFS(المبيعات!$B$2:$B$2000,المبيعات!$B$2:$B$2000&amp;"",المبيعات!$C$2:$C$2000,المبيعات!$C$2:$C$2000&amp;"")))</f>
        <v/>
      </c>
      <c r="D54">
        <f>IF(A54="","",SUMIFS(المبيعات!$H$2:$H$2000,المبيعات!$C$2:$C$2000,A54))</f>
        <v/>
      </c>
      <c r="E54" s="13">
        <f>IF(A54="","",IF(COUNTIF(المبيعات!$C$2:$C$2000,A54)=0,"",_xlfn.MAXIFS(المبيعات!$A$2:$A$2000,المبيعات!$C$2:$C$2000,A54)))</f>
        <v/>
      </c>
      <c r="F54">
        <f>IF(A54="","",SUMIFS(المبيعات!$H$2:$H$2000,المبيعات!$C$2:$C$2000,A54,المبيعات!$J$2:$J$2000,"آجل"))</f>
        <v/>
      </c>
      <c r="G54" s="4" t="n"/>
      <c r="H54">
        <f>IF(A54="","",F54-G54)</f>
        <v/>
      </c>
    </row>
    <row r="55">
      <c r="A55" s="4" t="n"/>
      <c r="B55" s="4" t="n"/>
      <c r="C55">
        <f>IF(A55="","",SUMPRODUCT((المبيعات!$C$2:$C$2000=A55)*(المبيعات!$B$2:$B$2000&lt;&gt;"")/COUNTIFS(المبيعات!$B$2:$B$2000,المبيعات!$B$2:$B$2000&amp;"",المبيعات!$C$2:$C$2000,المبيعات!$C$2:$C$2000&amp;"")))</f>
        <v/>
      </c>
      <c r="D55">
        <f>IF(A55="","",SUMIFS(المبيعات!$H$2:$H$2000,المبيعات!$C$2:$C$2000,A55))</f>
        <v/>
      </c>
      <c r="E55" s="13">
        <f>IF(A55="","",IF(COUNTIF(المبيعات!$C$2:$C$2000,A55)=0,"",_xlfn.MAXIFS(المبيعات!$A$2:$A$2000,المبيعات!$C$2:$C$2000,A55)))</f>
        <v/>
      </c>
      <c r="F55">
        <f>IF(A55="","",SUMIFS(المبيعات!$H$2:$H$2000,المبيعات!$C$2:$C$2000,A55,المبيعات!$J$2:$J$2000,"آجل"))</f>
        <v/>
      </c>
      <c r="G55" s="4" t="n"/>
      <c r="H55">
        <f>IF(A55="","",F55-G55)</f>
        <v/>
      </c>
    </row>
    <row r="56">
      <c r="A56" s="4" t="n"/>
      <c r="B56" s="4" t="n"/>
      <c r="C56">
        <f>IF(A56="","",SUMPRODUCT((المبيعات!$C$2:$C$2000=A56)*(المبيعات!$B$2:$B$2000&lt;&gt;"")/COUNTIFS(المبيعات!$B$2:$B$2000,المبيعات!$B$2:$B$2000&amp;"",المبيعات!$C$2:$C$2000,المبيعات!$C$2:$C$2000&amp;"")))</f>
        <v/>
      </c>
      <c r="D56">
        <f>IF(A56="","",SUMIFS(المبيعات!$H$2:$H$2000,المبيعات!$C$2:$C$2000,A56))</f>
        <v/>
      </c>
      <c r="E56" s="13">
        <f>IF(A56="","",IF(COUNTIF(المبيعات!$C$2:$C$2000,A56)=0,"",_xlfn.MAXIFS(المبيعات!$A$2:$A$2000,المبيعات!$C$2:$C$2000,A56)))</f>
        <v/>
      </c>
      <c r="F56">
        <f>IF(A56="","",SUMIFS(المبيعات!$H$2:$H$2000,المبيعات!$C$2:$C$2000,A56,المبيعات!$J$2:$J$2000,"آجل"))</f>
        <v/>
      </c>
      <c r="G56" s="4" t="n"/>
      <c r="H56">
        <f>IF(A56="","",F56-G56)</f>
        <v/>
      </c>
    </row>
    <row r="57">
      <c r="A57" s="4" t="n"/>
      <c r="B57" s="4" t="n"/>
      <c r="C57">
        <f>IF(A57="","",SUMPRODUCT((المبيعات!$C$2:$C$2000=A57)*(المبيعات!$B$2:$B$2000&lt;&gt;"")/COUNTIFS(المبيعات!$B$2:$B$2000,المبيعات!$B$2:$B$2000&amp;"",المبيعات!$C$2:$C$2000,المبيعات!$C$2:$C$2000&amp;"")))</f>
        <v/>
      </c>
      <c r="D57">
        <f>IF(A57="","",SUMIFS(المبيعات!$H$2:$H$2000,المبيعات!$C$2:$C$2000,A57))</f>
        <v/>
      </c>
      <c r="E57" s="13">
        <f>IF(A57="","",IF(COUNTIF(المبيعات!$C$2:$C$2000,A57)=0,"",_xlfn.MAXIFS(المبيعات!$A$2:$A$2000,المبيعات!$C$2:$C$2000,A57)))</f>
        <v/>
      </c>
      <c r="F57">
        <f>IF(A57="","",SUMIFS(المبيعات!$H$2:$H$2000,المبيعات!$C$2:$C$2000,A57,المبيعات!$J$2:$J$2000,"آجل"))</f>
        <v/>
      </c>
      <c r="G57" s="4" t="n"/>
      <c r="H57">
        <f>IF(A57="","",F57-G57)</f>
        <v/>
      </c>
    </row>
    <row r="58">
      <c r="A58" s="4" t="n"/>
      <c r="B58" s="4" t="n"/>
      <c r="C58">
        <f>IF(A58="","",SUMPRODUCT((المبيعات!$C$2:$C$2000=A58)*(المبيعات!$B$2:$B$2000&lt;&gt;"")/COUNTIFS(المبيعات!$B$2:$B$2000,المبيعات!$B$2:$B$2000&amp;"",المبيعات!$C$2:$C$2000,المبيعات!$C$2:$C$2000&amp;"")))</f>
        <v/>
      </c>
      <c r="D58">
        <f>IF(A58="","",SUMIFS(المبيعات!$H$2:$H$2000,المبيعات!$C$2:$C$2000,A58))</f>
        <v/>
      </c>
      <c r="E58" s="13">
        <f>IF(A58="","",IF(COUNTIF(المبيعات!$C$2:$C$2000,A58)=0,"",_xlfn.MAXIFS(المبيعات!$A$2:$A$2000,المبيعات!$C$2:$C$2000,A58)))</f>
        <v/>
      </c>
      <c r="F58">
        <f>IF(A58="","",SUMIFS(المبيعات!$H$2:$H$2000,المبيعات!$C$2:$C$2000,A58,المبيعات!$J$2:$J$2000,"آجل"))</f>
        <v/>
      </c>
      <c r="G58" s="4" t="n"/>
      <c r="H58">
        <f>IF(A58="","",F58-G58)</f>
        <v/>
      </c>
    </row>
    <row r="59">
      <c r="A59" s="4" t="n"/>
      <c r="B59" s="4" t="n"/>
      <c r="C59">
        <f>IF(A59="","",SUMPRODUCT((المبيعات!$C$2:$C$2000=A59)*(المبيعات!$B$2:$B$2000&lt;&gt;"")/COUNTIFS(المبيعات!$B$2:$B$2000,المبيعات!$B$2:$B$2000&amp;"",المبيعات!$C$2:$C$2000,المبيعات!$C$2:$C$2000&amp;"")))</f>
        <v/>
      </c>
      <c r="D59">
        <f>IF(A59="","",SUMIFS(المبيعات!$H$2:$H$2000,المبيعات!$C$2:$C$2000,A59))</f>
        <v/>
      </c>
      <c r="E59" s="13">
        <f>IF(A59="","",IF(COUNTIF(المبيعات!$C$2:$C$2000,A59)=0,"",_xlfn.MAXIFS(المبيعات!$A$2:$A$2000,المبيعات!$C$2:$C$2000,A59)))</f>
        <v/>
      </c>
      <c r="F59">
        <f>IF(A59="","",SUMIFS(المبيعات!$H$2:$H$2000,المبيعات!$C$2:$C$2000,A59,المبيعات!$J$2:$J$2000,"آجل"))</f>
        <v/>
      </c>
      <c r="G59" s="4" t="n"/>
      <c r="H59">
        <f>IF(A59="","",F59-G59)</f>
        <v/>
      </c>
    </row>
    <row r="60">
      <c r="A60" s="4" t="n"/>
      <c r="B60" s="4" t="n"/>
      <c r="C60">
        <f>IF(A60="","",SUMPRODUCT((المبيعات!$C$2:$C$2000=A60)*(المبيعات!$B$2:$B$2000&lt;&gt;"")/COUNTIFS(المبيعات!$B$2:$B$2000,المبيعات!$B$2:$B$2000&amp;"",المبيعات!$C$2:$C$2000,المبيعات!$C$2:$C$2000&amp;"")))</f>
        <v/>
      </c>
      <c r="D60">
        <f>IF(A60="","",SUMIFS(المبيعات!$H$2:$H$2000,المبيعات!$C$2:$C$2000,A60))</f>
        <v/>
      </c>
      <c r="E60" s="13">
        <f>IF(A60="","",IF(COUNTIF(المبيعات!$C$2:$C$2000,A60)=0,"",_xlfn.MAXIFS(المبيعات!$A$2:$A$2000,المبيعات!$C$2:$C$2000,A60)))</f>
        <v/>
      </c>
      <c r="F60">
        <f>IF(A60="","",SUMIFS(المبيعات!$H$2:$H$2000,المبيعات!$C$2:$C$2000,A60,المبيعات!$J$2:$J$2000,"آجل"))</f>
        <v/>
      </c>
      <c r="G60" s="4" t="n"/>
      <c r="H60">
        <f>IF(A60="","",F60-G60)</f>
        <v/>
      </c>
    </row>
    <row r="61">
      <c r="A61" s="4" t="n"/>
      <c r="B61" s="4" t="n"/>
      <c r="C61">
        <f>IF(A61="","",SUMPRODUCT((المبيعات!$C$2:$C$2000=A61)*(المبيعات!$B$2:$B$2000&lt;&gt;"")/COUNTIFS(المبيعات!$B$2:$B$2000,المبيعات!$B$2:$B$2000&amp;"",المبيعات!$C$2:$C$2000,المبيعات!$C$2:$C$2000&amp;"")))</f>
        <v/>
      </c>
      <c r="D61">
        <f>IF(A61="","",SUMIFS(المبيعات!$H$2:$H$2000,المبيعات!$C$2:$C$2000,A61))</f>
        <v/>
      </c>
      <c r="E61" s="13">
        <f>IF(A61="","",IF(COUNTIF(المبيعات!$C$2:$C$2000,A61)=0,"",_xlfn.MAXIFS(المبيعات!$A$2:$A$2000,المبيعات!$C$2:$C$2000,A61)))</f>
        <v/>
      </c>
      <c r="F61">
        <f>IF(A61="","",SUMIFS(المبيعات!$H$2:$H$2000,المبيعات!$C$2:$C$2000,A61,المبيعات!$J$2:$J$2000,"آجل"))</f>
        <v/>
      </c>
      <c r="G61" s="4" t="n"/>
      <c r="H61">
        <f>IF(A61="","",F61-G61)</f>
        <v/>
      </c>
    </row>
    <row r="62">
      <c r="A62" s="4" t="n"/>
      <c r="B62" s="4" t="n"/>
      <c r="C62">
        <f>IF(A62="","",SUMPRODUCT((المبيعات!$C$2:$C$2000=A62)*(المبيعات!$B$2:$B$2000&lt;&gt;"")/COUNTIFS(المبيعات!$B$2:$B$2000,المبيعات!$B$2:$B$2000&amp;"",المبيعات!$C$2:$C$2000,المبيعات!$C$2:$C$2000&amp;"")))</f>
        <v/>
      </c>
      <c r="D62">
        <f>IF(A62="","",SUMIFS(المبيعات!$H$2:$H$2000,المبيعات!$C$2:$C$2000,A62))</f>
        <v/>
      </c>
      <c r="E62" s="13">
        <f>IF(A62="","",IF(COUNTIF(المبيعات!$C$2:$C$2000,A62)=0,"",_xlfn.MAXIFS(المبيعات!$A$2:$A$2000,المبيعات!$C$2:$C$2000,A62)))</f>
        <v/>
      </c>
      <c r="F62">
        <f>IF(A62="","",SUMIFS(المبيعات!$H$2:$H$2000,المبيعات!$C$2:$C$2000,A62,المبيعات!$J$2:$J$2000,"آجل"))</f>
        <v/>
      </c>
      <c r="G62" s="4" t="n"/>
      <c r="H62">
        <f>IF(A62="","",F62-G62)</f>
        <v/>
      </c>
    </row>
    <row r="63">
      <c r="A63" s="4" t="n"/>
      <c r="B63" s="4" t="n"/>
      <c r="C63">
        <f>IF(A63="","",SUMPRODUCT((المبيعات!$C$2:$C$2000=A63)*(المبيعات!$B$2:$B$2000&lt;&gt;"")/COUNTIFS(المبيعات!$B$2:$B$2000,المبيعات!$B$2:$B$2000&amp;"",المبيعات!$C$2:$C$2000,المبيعات!$C$2:$C$2000&amp;"")))</f>
        <v/>
      </c>
      <c r="D63">
        <f>IF(A63="","",SUMIFS(المبيعات!$H$2:$H$2000,المبيعات!$C$2:$C$2000,A63))</f>
        <v/>
      </c>
      <c r="E63" s="13">
        <f>IF(A63="","",IF(COUNTIF(المبيعات!$C$2:$C$2000,A63)=0,"",_xlfn.MAXIFS(المبيعات!$A$2:$A$2000,المبيعات!$C$2:$C$2000,A63)))</f>
        <v/>
      </c>
      <c r="F63">
        <f>IF(A63="","",SUMIFS(المبيعات!$H$2:$H$2000,المبيعات!$C$2:$C$2000,A63,المبيعات!$J$2:$J$2000,"آجل"))</f>
        <v/>
      </c>
      <c r="G63" s="4" t="n"/>
      <c r="H63">
        <f>IF(A63="","",F63-G63)</f>
        <v/>
      </c>
    </row>
    <row r="64">
      <c r="A64" s="4" t="n"/>
      <c r="B64" s="4" t="n"/>
      <c r="C64">
        <f>IF(A64="","",SUMPRODUCT((المبيعات!$C$2:$C$2000=A64)*(المبيعات!$B$2:$B$2000&lt;&gt;"")/COUNTIFS(المبيعات!$B$2:$B$2000,المبيعات!$B$2:$B$2000&amp;"",المبيعات!$C$2:$C$2000,المبيعات!$C$2:$C$2000&amp;"")))</f>
        <v/>
      </c>
      <c r="D64">
        <f>IF(A64="","",SUMIFS(المبيعات!$H$2:$H$2000,المبيعات!$C$2:$C$2000,A64))</f>
        <v/>
      </c>
      <c r="E64" s="13">
        <f>IF(A64="","",IF(COUNTIF(المبيعات!$C$2:$C$2000,A64)=0,"",_xlfn.MAXIFS(المبيعات!$A$2:$A$2000,المبيعات!$C$2:$C$2000,A64)))</f>
        <v/>
      </c>
      <c r="F64">
        <f>IF(A64="","",SUMIFS(المبيعات!$H$2:$H$2000,المبيعات!$C$2:$C$2000,A64,المبيعات!$J$2:$J$2000,"آجل"))</f>
        <v/>
      </c>
      <c r="G64" s="4" t="n"/>
      <c r="H64">
        <f>IF(A64="","",F64-G64)</f>
        <v/>
      </c>
    </row>
    <row r="65">
      <c r="A65" s="4" t="n"/>
      <c r="B65" s="4" t="n"/>
      <c r="C65">
        <f>IF(A65="","",SUMPRODUCT((المبيعات!$C$2:$C$2000=A65)*(المبيعات!$B$2:$B$2000&lt;&gt;"")/COUNTIFS(المبيعات!$B$2:$B$2000,المبيعات!$B$2:$B$2000&amp;"",المبيعات!$C$2:$C$2000,المبيعات!$C$2:$C$2000&amp;"")))</f>
        <v/>
      </c>
      <c r="D65">
        <f>IF(A65="","",SUMIFS(المبيعات!$H$2:$H$2000,المبيعات!$C$2:$C$2000,A65))</f>
        <v/>
      </c>
      <c r="E65" s="13">
        <f>IF(A65="","",IF(COUNTIF(المبيعات!$C$2:$C$2000,A65)=0,"",_xlfn.MAXIFS(المبيعات!$A$2:$A$2000,المبيعات!$C$2:$C$2000,A65)))</f>
        <v/>
      </c>
      <c r="F65">
        <f>IF(A65="","",SUMIFS(المبيعات!$H$2:$H$2000,المبيعات!$C$2:$C$2000,A65,المبيعات!$J$2:$J$2000,"آجل"))</f>
        <v/>
      </c>
      <c r="G65" s="4" t="n"/>
      <c r="H65">
        <f>IF(A65="","",F65-G65)</f>
        <v/>
      </c>
    </row>
    <row r="66">
      <c r="A66" s="4" t="n"/>
      <c r="B66" s="4" t="n"/>
      <c r="C66">
        <f>IF(A66="","",SUMPRODUCT((المبيعات!$C$2:$C$2000=A66)*(المبيعات!$B$2:$B$2000&lt;&gt;"")/COUNTIFS(المبيعات!$B$2:$B$2000,المبيعات!$B$2:$B$2000&amp;"",المبيعات!$C$2:$C$2000,المبيعات!$C$2:$C$2000&amp;"")))</f>
        <v/>
      </c>
      <c r="D66">
        <f>IF(A66="","",SUMIFS(المبيعات!$H$2:$H$2000,المبيعات!$C$2:$C$2000,A66))</f>
        <v/>
      </c>
      <c r="E66" s="13">
        <f>IF(A66="","",IF(COUNTIF(المبيعات!$C$2:$C$2000,A66)=0,"",_xlfn.MAXIFS(المبيعات!$A$2:$A$2000,المبيعات!$C$2:$C$2000,A66)))</f>
        <v/>
      </c>
      <c r="F66">
        <f>IF(A66="","",SUMIFS(المبيعات!$H$2:$H$2000,المبيعات!$C$2:$C$2000,A66,المبيعات!$J$2:$J$2000,"آجل"))</f>
        <v/>
      </c>
      <c r="G66" s="4" t="n"/>
      <c r="H66">
        <f>IF(A66="","",F66-G66)</f>
        <v/>
      </c>
    </row>
    <row r="67">
      <c r="A67" s="4" t="n"/>
      <c r="B67" s="4" t="n"/>
      <c r="C67">
        <f>IF(A67="","",SUMPRODUCT((المبيعات!$C$2:$C$2000=A67)*(المبيعات!$B$2:$B$2000&lt;&gt;"")/COUNTIFS(المبيعات!$B$2:$B$2000,المبيعات!$B$2:$B$2000&amp;"",المبيعات!$C$2:$C$2000,المبيعات!$C$2:$C$2000&amp;"")))</f>
        <v/>
      </c>
      <c r="D67">
        <f>IF(A67="","",SUMIFS(المبيعات!$H$2:$H$2000,المبيعات!$C$2:$C$2000,A67))</f>
        <v/>
      </c>
      <c r="E67" s="13">
        <f>IF(A67="","",IF(COUNTIF(المبيعات!$C$2:$C$2000,A67)=0,"",_xlfn.MAXIFS(المبيعات!$A$2:$A$2000,المبيعات!$C$2:$C$2000,A67)))</f>
        <v/>
      </c>
      <c r="F67">
        <f>IF(A67="","",SUMIFS(المبيعات!$H$2:$H$2000,المبيعات!$C$2:$C$2000,A67,المبيعات!$J$2:$J$2000,"آجل"))</f>
        <v/>
      </c>
      <c r="G67" s="4" t="n"/>
      <c r="H67">
        <f>IF(A67="","",F67-G67)</f>
        <v/>
      </c>
    </row>
    <row r="68">
      <c r="A68" s="4" t="n"/>
      <c r="B68" s="4" t="n"/>
      <c r="C68">
        <f>IF(A68="","",SUMPRODUCT((المبيعات!$C$2:$C$2000=A68)*(المبيعات!$B$2:$B$2000&lt;&gt;"")/COUNTIFS(المبيعات!$B$2:$B$2000,المبيعات!$B$2:$B$2000&amp;"",المبيعات!$C$2:$C$2000,المبيعات!$C$2:$C$2000&amp;"")))</f>
        <v/>
      </c>
      <c r="D68">
        <f>IF(A68="","",SUMIFS(المبيعات!$H$2:$H$2000,المبيعات!$C$2:$C$2000,A68))</f>
        <v/>
      </c>
      <c r="E68" s="13">
        <f>IF(A68="","",IF(COUNTIF(المبيعات!$C$2:$C$2000,A68)=0,"",_xlfn.MAXIFS(المبيعات!$A$2:$A$2000,المبيعات!$C$2:$C$2000,A68)))</f>
        <v/>
      </c>
      <c r="F68">
        <f>IF(A68="","",SUMIFS(المبيعات!$H$2:$H$2000,المبيعات!$C$2:$C$2000,A68,المبيعات!$J$2:$J$2000,"آجل"))</f>
        <v/>
      </c>
      <c r="G68" s="4" t="n"/>
      <c r="H68">
        <f>IF(A68="","",F68-G68)</f>
        <v/>
      </c>
    </row>
    <row r="69">
      <c r="A69" s="4" t="n"/>
      <c r="B69" s="4" t="n"/>
      <c r="C69">
        <f>IF(A69="","",SUMPRODUCT((المبيعات!$C$2:$C$2000=A69)*(المبيعات!$B$2:$B$2000&lt;&gt;"")/COUNTIFS(المبيعات!$B$2:$B$2000,المبيعات!$B$2:$B$2000&amp;"",المبيعات!$C$2:$C$2000,المبيعات!$C$2:$C$2000&amp;"")))</f>
        <v/>
      </c>
      <c r="D69">
        <f>IF(A69="","",SUMIFS(المبيعات!$H$2:$H$2000,المبيعات!$C$2:$C$2000,A69))</f>
        <v/>
      </c>
      <c r="E69" s="13">
        <f>IF(A69="","",IF(COUNTIF(المبيعات!$C$2:$C$2000,A69)=0,"",_xlfn.MAXIFS(المبيعات!$A$2:$A$2000,المبيعات!$C$2:$C$2000,A69)))</f>
        <v/>
      </c>
      <c r="F69">
        <f>IF(A69="","",SUMIFS(المبيعات!$H$2:$H$2000,المبيعات!$C$2:$C$2000,A69,المبيعات!$J$2:$J$2000,"آجل"))</f>
        <v/>
      </c>
      <c r="G69" s="4" t="n"/>
      <c r="H69">
        <f>IF(A69="","",F69-G69)</f>
        <v/>
      </c>
    </row>
    <row r="70">
      <c r="A70" s="4" t="n"/>
      <c r="B70" s="4" t="n"/>
      <c r="C70">
        <f>IF(A70="","",SUMPRODUCT((المبيعات!$C$2:$C$2000=A70)*(المبيعات!$B$2:$B$2000&lt;&gt;"")/COUNTIFS(المبيعات!$B$2:$B$2000,المبيعات!$B$2:$B$2000&amp;"",المبيعات!$C$2:$C$2000,المبيعات!$C$2:$C$2000&amp;"")))</f>
        <v/>
      </c>
      <c r="D70">
        <f>IF(A70="","",SUMIFS(المبيعات!$H$2:$H$2000,المبيعات!$C$2:$C$2000,A70))</f>
        <v/>
      </c>
      <c r="E70" s="13">
        <f>IF(A70="","",IF(COUNTIF(المبيعات!$C$2:$C$2000,A70)=0,"",_xlfn.MAXIFS(المبيعات!$A$2:$A$2000,المبيعات!$C$2:$C$2000,A70)))</f>
        <v/>
      </c>
      <c r="F70">
        <f>IF(A70="","",SUMIFS(المبيعات!$H$2:$H$2000,المبيعات!$C$2:$C$2000,A70,المبيعات!$J$2:$J$2000,"آجل"))</f>
        <v/>
      </c>
      <c r="G70" s="4" t="n"/>
      <c r="H70">
        <f>IF(A70="","",F70-G70)</f>
        <v/>
      </c>
    </row>
    <row r="71">
      <c r="A71" s="4" t="n"/>
      <c r="B71" s="4" t="n"/>
      <c r="C71">
        <f>IF(A71="","",SUMPRODUCT((المبيعات!$C$2:$C$2000=A71)*(المبيعات!$B$2:$B$2000&lt;&gt;"")/COUNTIFS(المبيعات!$B$2:$B$2000,المبيعات!$B$2:$B$2000&amp;"",المبيعات!$C$2:$C$2000,المبيعات!$C$2:$C$2000&amp;"")))</f>
        <v/>
      </c>
      <c r="D71">
        <f>IF(A71="","",SUMIFS(المبيعات!$H$2:$H$2000,المبيعات!$C$2:$C$2000,A71))</f>
        <v/>
      </c>
      <c r="E71" s="13">
        <f>IF(A71="","",IF(COUNTIF(المبيعات!$C$2:$C$2000,A71)=0,"",_xlfn.MAXIFS(المبيعات!$A$2:$A$2000,المبيعات!$C$2:$C$2000,A71)))</f>
        <v/>
      </c>
      <c r="F71">
        <f>IF(A71="","",SUMIFS(المبيعات!$H$2:$H$2000,المبيعات!$C$2:$C$2000,A71,المبيعات!$J$2:$J$2000,"آجل"))</f>
        <v/>
      </c>
      <c r="G71" s="4" t="n"/>
      <c r="H71">
        <f>IF(A71="","",F71-G71)</f>
        <v/>
      </c>
    </row>
    <row r="72">
      <c r="A72" s="4" t="n"/>
      <c r="B72" s="4" t="n"/>
      <c r="C72">
        <f>IF(A72="","",SUMPRODUCT((المبيعات!$C$2:$C$2000=A72)*(المبيعات!$B$2:$B$2000&lt;&gt;"")/COUNTIFS(المبيعات!$B$2:$B$2000,المبيعات!$B$2:$B$2000&amp;"",المبيعات!$C$2:$C$2000,المبيعات!$C$2:$C$2000&amp;"")))</f>
        <v/>
      </c>
      <c r="D72">
        <f>IF(A72="","",SUMIFS(المبيعات!$H$2:$H$2000,المبيعات!$C$2:$C$2000,A72))</f>
        <v/>
      </c>
      <c r="E72" s="13">
        <f>IF(A72="","",IF(COUNTIF(المبيعات!$C$2:$C$2000,A72)=0,"",_xlfn.MAXIFS(المبيعات!$A$2:$A$2000,المبيعات!$C$2:$C$2000,A72)))</f>
        <v/>
      </c>
      <c r="F72">
        <f>IF(A72="","",SUMIFS(المبيعات!$H$2:$H$2000,المبيعات!$C$2:$C$2000,A72,المبيعات!$J$2:$J$2000,"آجل"))</f>
        <v/>
      </c>
      <c r="G72" s="4" t="n"/>
      <c r="H72">
        <f>IF(A72="","",F72-G72)</f>
        <v/>
      </c>
    </row>
    <row r="73">
      <c r="A73" s="4" t="n"/>
      <c r="B73" s="4" t="n"/>
      <c r="C73">
        <f>IF(A73="","",SUMPRODUCT((المبيعات!$C$2:$C$2000=A73)*(المبيعات!$B$2:$B$2000&lt;&gt;"")/COUNTIFS(المبيعات!$B$2:$B$2000,المبيعات!$B$2:$B$2000&amp;"",المبيعات!$C$2:$C$2000,المبيعات!$C$2:$C$2000&amp;"")))</f>
        <v/>
      </c>
      <c r="D73">
        <f>IF(A73="","",SUMIFS(المبيعات!$H$2:$H$2000,المبيعات!$C$2:$C$2000,A73))</f>
        <v/>
      </c>
      <c r="E73" s="13">
        <f>IF(A73="","",IF(COUNTIF(المبيعات!$C$2:$C$2000,A73)=0,"",_xlfn.MAXIFS(المبيعات!$A$2:$A$2000,المبيعات!$C$2:$C$2000,A73)))</f>
        <v/>
      </c>
      <c r="F73">
        <f>IF(A73="","",SUMIFS(المبيعات!$H$2:$H$2000,المبيعات!$C$2:$C$2000,A73,المبيعات!$J$2:$J$2000,"آجل"))</f>
        <v/>
      </c>
      <c r="G73" s="4" t="n"/>
      <c r="H73">
        <f>IF(A73="","",F73-G73)</f>
        <v/>
      </c>
    </row>
    <row r="74">
      <c r="A74" s="4" t="n"/>
      <c r="B74" s="4" t="n"/>
      <c r="C74">
        <f>IF(A74="","",SUMPRODUCT((المبيعات!$C$2:$C$2000=A74)*(المبيعات!$B$2:$B$2000&lt;&gt;"")/COUNTIFS(المبيعات!$B$2:$B$2000,المبيعات!$B$2:$B$2000&amp;"",المبيعات!$C$2:$C$2000,المبيعات!$C$2:$C$2000&amp;"")))</f>
        <v/>
      </c>
      <c r="D74">
        <f>IF(A74="","",SUMIFS(المبيعات!$H$2:$H$2000,المبيعات!$C$2:$C$2000,A74))</f>
        <v/>
      </c>
      <c r="E74" s="13">
        <f>IF(A74="","",IF(COUNTIF(المبيعات!$C$2:$C$2000,A74)=0,"",_xlfn.MAXIFS(المبيعات!$A$2:$A$2000,المبيعات!$C$2:$C$2000,A74)))</f>
        <v/>
      </c>
      <c r="F74">
        <f>IF(A74="","",SUMIFS(المبيعات!$H$2:$H$2000,المبيعات!$C$2:$C$2000,A74,المبيعات!$J$2:$J$2000,"آجل"))</f>
        <v/>
      </c>
      <c r="G74" s="4" t="n"/>
      <c r="H74">
        <f>IF(A74="","",F74-G74)</f>
        <v/>
      </c>
    </row>
    <row r="75">
      <c r="A75" s="4" t="n"/>
      <c r="B75" s="4" t="n"/>
      <c r="C75">
        <f>IF(A75="","",SUMPRODUCT((المبيعات!$C$2:$C$2000=A75)*(المبيعات!$B$2:$B$2000&lt;&gt;"")/COUNTIFS(المبيعات!$B$2:$B$2000,المبيعات!$B$2:$B$2000&amp;"",المبيعات!$C$2:$C$2000,المبيعات!$C$2:$C$2000&amp;"")))</f>
        <v/>
      </c>
      <c r="D75">
        <f>IF(A75="","",SUMIFS(المبيعات!$H$2:$H$2000,المبيعات!$C$2:$C$2000,A75))</f>
        <v/>
      </c>
      <c r="E75" s="13">
        <f>IF(A75="","",IF(COUNTIF(المبيعات!$C$2:$C$2000,A75)=0,"",_xlfn.MAXIFS(المبيعات!$A$2:$A$2000,المبيعات!$C$2:$C$2000,A75)))</f>
        <v/>
      </c>
      <c r="F75">
        <f>IF(A75="","",SUMIFS(المبيعات!$H$2:$H$2000,المبيعات!$C$2:$C$2000,A75,المبيعات!$J$2:$J$2000,"آجل"))</f>
        <v/>
      </c>
      <c r="G75" s="4" t="n"/>
      <c r="H75">
        <f>IF(A75="","",F75-G75)</f>
        <v/>
      </c>
    </row>
    <row r="76">
      <c r="A76" s="4" t="n"/>
      <c r="B76" s="4" t="n"/>
      <c r="C76">
        <f>IF(A76="","",SUMPRODUCT((المبيعات!$C$2:$C$2000=A76)*(المبيعات!$B$2:$B$2000&lt;&gt;"")/COUNTIFS(المبيعات!$B$2:$B$2000,المبيعات!$B$2:$B$2000&amp;"",المبيعات!$C$2:$C$2000,المبيعات!$C$2:$C$2000&amp;"")))</f>
        <v/>
      </c>
      <c r="D76">
        <f>IF(A76="","",SUMIFS(المبيعات!$H$2:$H$2000,المبيعات!$C$2:$C$2000,A76))</f>
        <v/>
      </c>
      <c r="E76" s="13">
        <f>IF(A76="","",IF(COUNTIF(المبيعات!$C$2:$C$2000,A76)=0,"",_xlfn.MAXIFS(المبيعات!$A$2:$A$2000,المبيعات!$C$2:$C$2000,A76)))</f>
        <v/>
      </c>
      <c r="F76">
        <f>IF(A76="","",SUMIFS(المبيعات!$H$2:$H$2000,المبيعات!$C$2:$C$2000,A76,المبيعات!$J$2:$J$2000,"آجل"))</f>
        <v/>
      </c>
      <c r="G76" s="4" t="n"/>
      <c r="H76">
        <f>IF(A76="","",F76-G76)</f>
        <v/>
      </c>
    </row>
    <row r="77">
      <c r="A77" s="4" t="n"/>
      <c r="B77" s="4" t="n"/>
      <c r="C77">
        <f>IF(A77="","",SUMPRODUCT((المبيعات!$C$2:$C$2000=A77)*(المبيعات!$B$2:$B$2000&lt;&gt;"")/COUNTIFS(المبيعات!$B$2:$B$2000,المبيعات!$B$2:$B$2000&amp;"",المبيعات!$C$2:$C$2000,المبيعات!$C$2:$C$2000&amp;"")))</f>
        <v/>
      </c>
      <c r="D77">
        <f>IF(A77="","",SUMIFS(المبيعات!$H$2:$H$2000,المبيعات!$C$2:$C$2000,A77))</f>
        <v/>
      </c>
      <c r="E77" s="13">
        <f>IF(A77="","",IF(COUNTIF(المبيعات!$C$2:$C$2000,A77)=0,"",_xlfn.MAXIFS(المبيعات!$A$2:$A$2000,المبيعات!$C$2:$C$2000,A77)))</f>
        <v/>
      </c>
      <c r="F77">
        <f>IF(A77="","",SUMIFS(المبيعات!$H$2:$H$2000,المبيعات!$C$2:$C$2000,A77,المبيعات!$J$2:$J$2000,"آجل"))</f>
        <v/>
      </c>
      <c r="G77" s="4" t="n"/>
      <c r="H77">
        <f>IF(A77="","",F77-G77)</f>
        <v/>
      </c>
    </row>
    <row r="78">
      <c r="A78" s="4" t="n"/>
      <c r="B78" s="4" t="n"/>
      <c r="C78">
        <f>IF(A78="","",SUMPRODUCT((المبيعات!$C$2:$C$2000=A78)*(المبيعات!$B$2:$B$2000&lt;&gt;"")/COUNTIFS(المبيعات!$B$2:$B$2000,المبيعات!$B$2:$B$2000&amp;"",المبيعات!$C$2:$C$2000,المبيعات!$C$2:$C$2000&amp;"")))</f>
        <v/>
      </c>
      <c r="D78">
        <f>IF(A78="","",SUMIFS(المبيعات!$H$2:$H$2000,المبيعات!$C$2:$C$2000,A78))</f>
        <v/>
      </c>
      <c r="E78" s="13">
        <f>IF(A78="","",IF(COUNTIF(المبيعات!$C$2:$C$2000,A78)=0,"",_xlfn.MAXIFS(المبيعات!$A$2:$A$2000,المبيعات!$C$2:$C$2000,A78)))</f>
        <v/>
      </c>
      <c r="F78">
        <f>IF(A78="","",SUMIFS(المبيعات!$H$2:$H$2000,المبيعات!$C$2:$C$2000,A78,المبيعات!$J$2:$J$2000,"آجل"))</f>
        <v/>
      </c>
      <c r="G78" s="4" t="n"/>
      <c r="H78">
        <f>IF(A78="","",F78-G78)</f>
        <v/>
      </c>
    </row>
    <row r="79">
      <c r="A79" s="4" t="n"/>
      <c r="B79" s="4" t="n"/>
      <c r="C79">
        <f>IF(A79="","",SUMPRODUCT((المبيعات!$C$2:$C$2000=A79)*(المبيعات!$B$2:$B$2000&lt;&gt;"")/COUNTIFS(المبيعات!$B$2:$B$2000,المبيعات!$B$2:$B$2000&amp;"",المبيعات!$C$2:$C$2000,المبيعات!$C$2:$C$2000&amp;"")))</f>
        <v/>
      </c>
      <c r="D79">
        <f>IF(A79="","",SUMIFS(المبيعات!$H$2:$H$2000,المبيعات!$C$2:$C$2000,A79))</f>
        <v/>
      </c>
      <c r="E79" s="13">
        <f>IF(A79="","",IF(COUNTIF(المبيعات!$C$2:$C$2000,A79)=0,"",_xlfn.MAXIFS(المبيعات!$A$2:$A$2000,المبيعات!$C$2:$C$2000,A79)))</f>
        <v/>
      </c>
      <c r="F79">
        <f>IF(A79="","",SUMIFS(المبيعات!$H$2:$H$2000,المبيعات!$C$2:$C$2000,A79,المبيعات!$J$2:$J$2000,"آجل"))</f>
        <v/>
      </c>
      <c r="G79" s="4" t="n"/>
      <c r="H79">
        <f>IF(A79="","",F79-G79)</f>
        <v/>
      </c>
    </row>
    <row r="80">
      <c r="A80" s="4" t="n"/>
      <c r="B80" s="4" t="n"/>
      <c r="C80">
        <f>IF(A80="","",SUMPRODUCT((المبيعات!$C$2:$C$2000=A80)*(المبيعات!$B$2:$B$2000&lt;&gt;"")/COUNTIFS(المبيعات!$B$2:$B$2000,المبيعات!$B$2:$B$2000&amp;"",المبيعات!$C$2:$C$2000,المبيعات!$C$2:$C$2000&amp;"")))</f>
        <v/>
      </c>
      <c r="D80">
        <f>IF(A80="","",SUMIFS(المبيعات!$H$2:$H$2000,المبيعات!$C$2:$C$2000,A80))</f>
        <v/>
      </c>
      <c r="E80" s="13">
        <f>IF(A80="","",IF(COUNTIF(المبيعات!$C$2:$C$2000,A80)=0,"",_xlfn.MAXIFS(المبيعات!$A$2:$A$2000,المبيعات!$C$2:$C$2000,A80)))</f>
        <v/>
      </c>
      <c r="F80">
        <f>IF(A80="","",SUMIFS(المبيعات!$H$2:$H$2000,المبيعات!$C$2:$C$2000,A80,المبيعات!$J$2:$J$2000,"آجل"))</f>
        <v/>
      </c>
      <c r="G80" s="4" t="n"/>
      <c r="H80">
        <f>IF(A80="","",F80-G80)</f>
        <v/>
      </c>
    </row>
    <row r="81">
      <c r="A81" s="4" t="n"/>
      <c r="B81" s="4" t="n"/>
      <c r="C81">
        <f>IF(A81="","",SUMPRODUCT((المبيعات!$C$2:$C$2000=A81)*(المبيعات!$B$2:$B$2000&lt;&gt;"")/COUNTIFS(المبيعات!$B$2:$B$2000,المبيعات!$B$2:$B$2000&amp;"",المبيعات!$C$2:$C$2000,المبيعات!$C$2:$C$2000&amp;"")))</f>
        <v/>
      </c>
      <c r="D81">
        <f>IF(A81="","",SUMIFS(المبيعات!$H$2:$H$2000,المبيعات!$C$2:$C$2000,A81))</f>
        <v/>
      </c>
      <c r="E81" s="13">
        <f>IF(A81="","",IF(COUNTIF(المبيعات!$C$2:$C$2000,A81)=0,"",_xlfn.MAXIFS(المبيعات!$A$2:$A$2000,المبيعات!$C$2:$C$2000,A81)))</f>
        <v/>
      </c>
      <c r="F81">
        <f>IF(A81="","",SUMIFS(المبيعات!$H$2:$H$2000,المبيعات!$C$2:$C$2000,A81,المبيعات!$J$2:$J$2000,"آجل"))</f>
        <v/>
      </c>
      <c r="G81" s="4" t="n"/>
      <c r="H81">
        <f>IF(A81="","",F81-G81)</f>
        <v/>
      </c>
    </row>
    <row r="82">
      <c r="A82" s="4" t="n"/>
      <c r="B82" s="4" t="n"/>
      <c r="C82">
        <f>IF(A82="","",SUMPRODUCT((المبيعات!$C$2:$C$2000=A82)*(المبيعات!$B$2:$B$2000&lt;&gt;"")/COUNTIFS(المبيعات!$B$2:$B$2000,المبيعات!$B$2:$B$2000&amp;"",المبيعات!$C$2:$C$2000,المبيعات!$C$2:$C$2000&amp;"")))</f>
        <v/>
      </c>
      <c r="D82">
        <f>IF(A82="","",SUMIFS(المبيعات!$H$2:$H$2000,المبيعات!$C$2:$C$2000,A82))</f>
        <v/>
      </c>
      <c r="E82" s="13">
        <f>IF(A82="","",IF(COUNTIF(المبيعات!$C$2:$C$2000,A82)=0,"",_xlfn.MAXIFS(المبيعات!$A$2:$A$2000,المبيعات!$C$2:$C$2000,A82)))</f>
        <v/>
      </c>
      <c r="F82">
        <f>IF(A82="","",SUMIFS(المبيعات!$H$2:$H$2000,المبيعات!$C$2:$C$2000,A82,المبيعات!$J$2:$J$2000,"آجل"))</f>
        <v/>
      </c>
      <c r="G82" s="4" t="n"/>
      <c r="H82">
        <f>IF(A82="","",F82-G82)</f>
        <v/>
      </c>
    </row>
    <row r="83">
      <c r="A83" s="4" t="n"/>
      <c r="B83" s="4" t="n"/>
      <c r="C83">
        <f>IF(A83="","",SUMPRODUCT((المبيعات!$C$2:$C$2000=A83)*(المبيعات!$B$2:$B$2000&lt;&gt;"")/COUNTIFS(المبيعات!$B$2:$B$2000,المبيعات!$B$2:$B$2000&amp;"",المبيعات!$C$2:$C$2000,المبيعات!$C$2:$C$2000&amp;"")))</f>
        <v/>
      </c>
      <c r="D83">
        <f>IF(A83="","",SUMIFS(المبيعات!$H$2:$H$2000,المبيعات!$C$2:$C$2000,A83))</f>
        <v/>
      </c>
      <c r="E83" s="13">
        <f>IF(A83="","",IF(COUNTIF(المبيعات!$C$2:$C$2000,A83)=0,"",_xlfn.MAXIFS(المبيعات!$A$2:$A$2000,المبيعات!$C$2:$C$2000,A83)))</f>
        <v/>
      </c>
      <c r="F83">
        <f>IF(A83="","",SUMIFS(المبيعات!$H$2:$H$2000,المبيعات!$C$2:$C$2000,A83,المبيعات!$J$2:$J$2000,"آجل"))</f>
        <v/>
      </c>
      <c r="G83" s="4" t="n"/>
      <c r="H83">
        <f>IF(A83="","",F83-G83)</f>
        <v/>
      </c>
    </row>
    <row r="84">
      <c r="A84" s="4" t="n"/>
      <c r="B84" s="4" t="n"/>
      <c r="C84">
        <f>IF(A84="","",SUMPRODUCT((المبيعات!$C$2:$C$2000=A84)*(المبيعات!$B$2:$B$2000&lt;&gt;"")/COUNTIFS(المبيعات!$B$2:$B$2000,المبيعات!$B$2:$B$2000&amp;"",المبيعات!$C$2:$C$2000,المبيعات!$C$2:$C$2000&amp;"")))</f>
        <v/>
      </c>
      <c r="D84">
        <f>IF(A84="","",SUMIFS(المبيعات!$H$2:$H$2000,المبيعات!$C$2:$C$2000,A84))</f>
        <v/>
      </c>
      <c r="E84" s="13">
        <f>IF(A84="","",IF(COUNTIF(المبيعات!$C$2:$C$2000,A84)=0,"",_xlfn.MAXIFS(المبيعات!$A$2:$A$2000,المبيعات!$C$2:$C$2000,A84)))</f>
        <v/>
      </c>
      <c r="F84">
        <f>IF(A84="","",SUMIFS(المبيعات!$H$2:$H$2000,المبيعات!$C$2:$C$2000,A84,المبيعات!$J$2:$J$2000,"آجل"))</f>
        <v/>
      </c>
      <c r="G84" s="4" t="n"/>
      <c r="H84">
        <f>IF(A84="","",F84-G84)</f>
        <v/>
      </c>
    </row>
    <row r="85">
      <c r="A85" s="4" t="n"/>
      <c r="B85" s="4" t="n"/>
      <c r="C85">
        <f>IF(A85="","",SUMPRODUCT((المبيعات!$C$2:$C$2000=A85)*(المبيعات!$B$2:$B$2000&lt;&gt;"")/COUNTIFS(المبيعات!$B$2:$B$2000,المبيعات!$B$2:$B$2000&amp;"",المبيعات!$C$2:$C$2000,المبيعات!$C$2:$C$2000&amp;"")))</f>
        <v/>
      </c>
      <c r="D85">
        <f>IF(A85="","",SUMIFS(المبيعات!$H$2:$H$2000,المبيعات!$C$2:$C$2000,A85))</f>
        <v/>
      </c>
      <c r="E85" s="13">
        <f>IF(A85="","",IF(COUNTIF(المبيعات!$C$2:$C$2000,A85)=0,"",_xlfn.MAXIFS(المبيعات!$A$2:$A$2000,المبيعات!$C$2:$C$2000,A85)))</f>
        <v/>
      </c>
      <c r="F85">
        <f>IF(A85="","",SUMIFS(المبيعات!$H$2:$H$2000,المبيعات!$C$2:$C$2000,A85,المبيعات!$J$2:$J$2000,"آجل"))</f>
        <v/>
      </c>
      <c r="G85" s="4" t="n"/>
      <c r="H85">
        <f>IF(A85="","",F85-G85)</f>
        <v/>
      </c>
    </row>
    <row r="86">
      <c r="A86" s="4" t="n"/>
      <c r="B86" s="4" t="n"/>
      <c r="C86">
        <f>IF(A86="","",SUMPRODUCT((المبيعات!$C$2:$C$2000=A86)*(المبيعات!$B$2:$B$2000&lt;&gt;"")/COUNTIFS(المبيعات!$B$2:$B$2000,المبيعات!$B$2:$B$2000&amp;"",المبيعات!$C$2:$C$2000,المبيعات!$C$2:$C$2000&amp;"")))</f>
        <v/>
      </c>
      <c r="D86">
        <f>IF(A86="","",SUMIFS(المبيعات!$H$2:$H$2000,المبيعات!$C$2:$C$2000,A86))</f>
        <v/>
      </c>
      <c r="E86" s="13">
        <f>IF(A86="","",IF(COUNTIF(المبيعات!$C$2:$C$2000,A86)=0,"",_xlfn.MAXIFS(المبيعات!$A$2:$A$2000,المبيعات!$C$2:$C$2000,A86)))</f>
        <v/>
      </c>
      <c r="F86">
        <f>IF(A86="","",SUMIFS(المبيعات!$H$2:$H$2000,المبيعات!$C$2:$C$2000,A86,المبيعات!$J$2:$J$2000,"آجل"))</f>
        <v/>
      </c>
      <c r="G86" s="4" t="n"/>
      <c r="H86">
        <f>IF(A86="","",F86-G86)</f>
        <v/>
      </c>
    </row>
    <row r="87">
      <c r="A87" s="4" t="n"/>
      <c r="B87" s="4" t="n"/>
      <c r="C87">
        <f>IF(A87="","",SUMPRODUCT((المبيعات!$C$2:$C$2000=A87)*(المبيعات!$B$2:$B$2000&lt;&gt;"")/COUNTIFS(المبيعات!$B$2:$B$2000,المبيعات!$B$2:$B$2000&amp;"",المبيعات!$C$2:$C$2000,المبيعات!$C$2:$C$2000&amp;"")))</f>
        <v/>
      </c>
      <c r="D87">
        <f>IF(A87="","",SUMIFS(المبيعات!$H$2:$H$2000,المبيعات!$C$2:$C$2000,A87))</f>
        <v/>
      </c>
      <c r="E87" s="13">
        <f>IF(A87="","",IF(COUNTIF(المبيعات!$C$2:$C$2000,A87)=0,"",_xlfn.MAXIFS(المبيعات!$A$2:$A$2000,المبيعات!$C$2:$C$2000,A87)))</f>
        <v/>
      </c>
      <c r="F87">
        <f>IF(A87="","",SUMIFS(المبيعات!$H$2:$H$2000,المبيعات!$C$2:$C$2000,A87,المبيعات!$J$2:$J$2000,"آجل"))</f>
        <v/>
      </c>
      <c r="G87" s="4" t="n"/>
      <c r="H87">
        <f>IF(A87="","",F87-G87)</f>
        <v/>
      </c>
    </row>
    <row r="88">
      <c r="A88" s="4" t="n"/>
      <c r="B88" s="4" t="n"/>
      <c r="C88">
        <f>IF(A88="","",SUMPRODUCT((المبيعات!$C$2:$C$2000=A88)*(المبيعات!$B$2:$B$2000&lt;&gt;"")/COUNTIFS(المبيعات!$B$2:$B$2000,المبيعات!$B$2:$B$2000&amp;"",المبيعات!$C$2:$C$2000,المبيعات!$C$2:$C$2000&amp;"")))</f>
        <v/>
      </c>
      <c r="D88">
        <f>IF(A88="","",SUMIFS(المبيعات!$H$2:$H$2000,المبيعات!$C$2:$C$2000,A88))</f>
        <v/>
      </c>
      <c r="E88" s="13">
        <f>IF(A88="","",IF(COUNTIF(المبيعات!$C$2:$C$2000,A88)=0,"",_xlfn.MAXIFS(المبيعات!$A$2:$A$2000,المبيعات!$C$2:$C$2000,A88)))</f>
        <v/>
      </c>
      <c r="F88">
        <f>IF(A88="","",SUMIFS(المبيعات!$H$2:$H$2000,المبيعات!$C$2:$C$2000,A88,المبيعات!$J$2:$J$2000,"آجل"))</f>
        <v/>
      </c>
      <c r="G88" s="4" t="n"/>
      <c r="H88">
        <f>IF(A88="","",F88-G88)</f>
        <v/>
      </c>
    </row>
    <row r="89">
      <c r="A89" s="4" t="n"/>
      <c r="B89" s="4" t="n"/>
      <c r="C89">
        <f>IF(A89="","",SUMPRODUCT((المبيعات!$C$2:$C$2000=A89)*(المبيعات!$B$2:$B$2000&lt;&gt;"")/COUNTIFS(المبيعات!$B$2:$B$2000,المبيعات!$B$2:$B$2000&amp;"",المبيعات!$C$2:$C$2000,المبيعات!$C$2:$C$2000&amp;"")))</f>
        <v/>
      </c>
      <c r="D89">
        <f>IF(A89="","",SUMIFS(المبيعات!$H$2:$H$2000,المبيعات!$C$2:$C$2000,A89))</f>
        <v/>
      </c>
      <c r="E89" s="13">
        <f>IF(A89="","",IF(COUNTIF(المبيعات!$C$2:$C$2000,A89)=0,"",_xlfn.MAXIFS(المبيعات!$A$2:$A$2000,المبيعات!$C$2:$C$2000,A89)))</f>
        <v/>
      </c>
      <c r="F89">
        <f>IF(A89="","",SUMIFS(المبيعات!$H$2:$H$2000,المبيعات!$C$2:$C$2000,A89,المبيعات!$J$2:$J$2000,"آجل"))</f>
        <v/>
      </c>
      <c r="G89" s="4" t="n"/>
      <c r="H89">
        <f>IF(A89="","",F89-G89)</f>
        <v/>
      </c>
    </row>
    <row r="90">
      <c r="A90" s="4" t="n"/>
      <c r="B90" s="4" t="n"/>
      <c r="C90">
        <f>IF(A90="","",SUMPRODUCT((المبيعات!$C$2:$C$2000=A90)*(المبيعات!$B$2:$B$2000&lt;&gt;"")/COUNTIFS(المبيعات!$B$2:$B$2000,المبيعات!$B$2:$B$2000&amp;"",المبيعات!$C$2:$C$2000,المبيعات!$C$2:$C$2000&amp;"")))</f>
        <v/>
      </c>
      <c r="D90">
        <f>IF(A90="","",SUMIFS(المبيعات!$H$2:$H$2000,المبيعات!$C$2:$C$2000,A90))</f>
        <v/>
      </c>
      <c r="E90" s="13">
        <f>IF(A90="","",IF(COUNTIF(المبيعات!$C$2:$C$2000,A90)=0,"",_xlfn.MAXIFS(المبيعات!$A$2:$A$2000,المبيعات!$C$2:$C$2000,A90)))</f>
        <v/>
      </c>
      <c r="F90">
        <f>IF(A90="","",SUMIFS(المبيعات!$H$2:$H$2000,المبيعات!$C$2:$C$2000,A90,المبيعات!$J$2:$J$2000,"آجل"))</f>
        <v/>
      </c>
      <c r="G90" s="4" t="n"/>
      <c r="H90">
        <f>IF(A90="","",F90-G90)</f>
        <v/>
      </c>
    </row>
    <row r="91">
      <c r="A91" s="4" t="n"/>
      <c r="B91" s="4" t="n"/>
      <c r="C91">
        <f>IF(A91="","",SUMPRODUCT((المبيعات!$C$2:$C$2000=A91)*(المبيعات!$B$2:$B$2000&lt;&gt;"")/COUNTIFS(المبيعات!$B$2:$B$2000,المبيعات!$B$2:$B$2000&amp;"",المبيعات!$C$2:$C$2000,المبيعات!$C$2:$C$2000&amp;"")))</f>
        <v/>
      </c>
      <c r="D91">
        <f>IF(A91="","",SUMIFS(المبيعات!$H$2:$H$2000,المبيعات!$C$2:$C$2000,A91))</f>
        <v/>
      </c>
      <c r="E91" s="13">
        <f>IF(A91="","",IF(COUNTIF(المبيعات!$C$2:$C$2000,A91)=0,"",_xlfn.MAXIFS(المبيعات!$A$2:$A$2000,المبيعات!$C$2:$C$2000,A91)))</f>
        <v/>
      </c>
      <c r="F91">
        <f>IF(A91="","",SUMIFS(المبيعات!$H$2:$H$2000,المبيعات!$C$2:$C$2000,A91,المبيعات!$J$2:$J$2000,"آجل"))</f>
        <v/>
      </c>
      <c r="G91" s="4" t="n"/>
      <c r="H91">
        <f>IF(A91="","",F91-G91)</f>
        <v/>
      </c>
    </row>
    <row r="92">
      <c r="A92" s="4" t="n"/>
      <c r="B92" s="4" t="n"/>
      <c r="C92">
        <f>IF(A92="","",SUMPRODUCT((المبيعات!$C$2:$C$2000=A92)*(المبيعات!$B$2:$B$2000&lt;&gt;"")/COUNTIFS(المبيعات!$B$2:$B$2000,المبيعات!$B$2:$B$2000&amp;"",المبيعات!$C$2:$C$2000,المبيعات!$C$2:$C$2000&amp;"")))</f>
        <v/>
      </c>
      <c r="D92">
        <f>IF(A92="","",SUMIFS(المبيعات!$H$2:$H$2000,المبيعات!$C$2:$C$2000,A92))</f>
        <v/>
      </c>
      <c r="E92" s="13">
        <f>IF(A92="","",IF(COUNTIF(المبيعات!$C$2:$C$2000,A92)=0,"",_xlfn.MAXIFS(المبيعات!$A$2:$A$2000,المبيعات!$C$2:$C$2000,A92)))</f>
        <v/>
      </c>
      <c r="F92">
        <f>IF(A92="","",SUMIFS(المبيعات!$H$2:$H$2000,المبيعات!$C$2:$C$2000,A92,المبيعات!$J$2:$J$2000,"آجل"))</f>
        <v/>
      </c>
      <c r="G92" s="4" t="n"/>
      <c r="H92">
        <f>IF(A92="","",F92-G92)</f>
        <v/>
      </c>
    </row>
    <row r="93">
      <c r="A93" s="4" t="n"/>
      <c r="B93" s="4" t="n"/>
      <c r="C93">
        <f>IF(A93="","",SUMPRODUCT((المبيعات!$C$2:$C$2000=A93)*(المبيعات!$B$2:$B$2000&lt;&gt;"")/COUNTIFS(المبيعات!$B$2:$B$2000,المبيعات!$B$2:$B$2000&amp;"",المبيعات!$C$2:$C$2000,المبيعات!$C$2:$C$2000&amp;"")))</f>
        <v/>
      </c>
      <c r="D93">
        <f>IF(A93="","",SUMIFS(المبيعات!$H$2:$H$2000,المبيعات!$C$2:$C$2000,A93))</f>
        <v/>
      </c>
      <c r="E93" s="13">
        <f>IF(A93="","",IF(COUNTIF(المبيعات!$C$2:$C$2000,A93)=0,"",_xlfn.MAXIFS(المبيعات!$A$2:$A$2000,المبيعات!$C$2:$C$2000,A93)))</f>
        <v/>
      </c>
      <c r="F93">
        <f>IF(A93="","",SUMIFS(المبيعات!$H$2:$H$2000,المبيعات!$C$2:$C$2000,A93,المبيعات!$J$2:$J$2000,"آجل"))</f>
        <v/>
      </c>
      <c r="G93" s="4" t="n"/>
      <c r="H93">
        <f>IF(A93="","",F93-G93)</f>
        <v/>
      </c>
    </row>
    <row r="94">
      <c r="A94" s="4" t="n"/>
      <c r="B94" s="4" t="n"/>
      <c r="C94">
        <f>IF(A94="","",SUMPRODUCT((المبيعات!$C$2:$C$2000=A94)*(المبيعات!$B$2:$B$2000&lt;&gt;"")/COUNTIFS(المبيعات!$B$2:$B$2000,المبيعات!$B$2:$B$2000&amp;"",المبيعات!$C$2:$C$2000,المبيعات!$C$2:$C$2000&amp;"")))</f>
        <v/>
      </c>
      <c r="D94">
        <f>IF(A94="","",SUMIFS(المبيعات!$H$2:$H$2000,المبيعات!$C$2:$C$2000,A94))</f>
        <v/>
      </c>
      <c r="E94" s="13">
        <f>IF(A94="","",IF(COUNTIF(المبيعات!$C$2:$C$2000,A94)=0,"",_xlfn.MAXIFS(المبيعات!$A$2:$A$2000,المبيعات!$C$2:$C$2000,A94)))</f>
        <v/>
      </c>
      <c r="F94">
        <f>IF(A94="","",SUMIFS(المبيعات!$H$2:$H$2000,المبيعات!$C$2:$C$2000,A94,المبيعات!$J$2:$J$2000,"آجل"))</f>
        <v/>
      </c>
      <c r="G94" s="4" t="n"/>
      <c r="H94">
        <f>IF(A94="","",F94-G94)</f>
        <v/>
      </c>
    </row>
    <row r="95">
      <c r="A95" s="4" t="n"/>
      <c r="B95" s="4" t="n"/>
      <c r="C95">
        <f>IF(A95="","",SUMPRODUCT((المبيعات!$C$2:$C$2000=A95)*(المبيعات!$B$2:$B$2000&lt;&gt;"")/COUNTIFS(المبيعات!$B$2:$B$2000,المبيعات!$B$2:$B$2000&amp;"",المبيعات!$C$2:$C$2000,المبيعات!$C$2:$C$2000&amp;"")))</f>
        <v/>
      </c>
      <c r="D95">
        <f>IF(A95="","",SUMIFS(المبيعات!$H$2:$H$2000,المبيعات!$C$2:$C$2000,A95))</f>
        <v/>
      </c>
      <c r="E95" s="13">
        <f>IF(A95="","",IF(COUNTIF(المبيعات!$C$2:$C$2000,A95)=0,"",_xlfn.MAXIFS(المبيعات!$A$2:$A$2000,المبيعات!$C$2:$C$2000,A95)))</f>
        <v/>
      </c>
      <c r="F95">
        <f>IF(A95="","",SUMIFS(المبيعات!$H$2:$H$2000,المبيعات!$C$2:$C$2000,A95,المبيعات!$J$2:$J$2000,"آجل"))</f>
        <v/>
      </c>
      <c r="G95" s="4" t="n"/>
      <c r="H95">
        <f>IF(A95="","",F95-G95)</f>
        <v/>
      </c>
    </row>
    <row r="96">
      <c r="A96" s="4" t="n"/>
      <c r="B96" s="4" t="n"/>
      <c r="C96">
        <f>IF(A96="","",SUMPRODUCT((المبيعات!$C$2:$C$2000=A96)*(المبيعات!$B$2:$B$2000&lt;&gt;"")/COUNTIFS(المبيعات!$B$2:$B$2000,المبيعات!$B$2:$B$2000&amp;"",المبيعات!$C$2:$C$2000,المبيعات!$C$2:$C$2000&amp;"")))</f>
        <v/>
      </c>
      <c r="D96">
        <f>IF(A96="","",SUMIFS(المبيعات!$H$2:$H$2000,المبيعات!$C$2:$C$2000,A96))</f>
        <v/>
      </c>
      <c r="E96" s="13">
        <f>IF(A96="","",IF(COUNTIF(المبيعات!$C$2:$C$2000,A96)=0,"",_xlfn.MAXIFS(المبيعات!$A$2:$A$2000,المبيعات!$C$2:$C$2000,A96)))</f>
        <v/>
      </c>
      <c r="F96">
        <f>IF(A96="","",SUMIFS(المبيعات!$H$2:$H$2000,المبيعات!$C$2:$C$2000,A96,المبيعات!$J$2:$J$2000,"آجل"))</f>
        <v/>
      </c>
      <c r="G96" s="4" t="n"/>
      <c r="H96">
        <f>IF(A96="","",F96-G96)</f>
        <v/>
      </c>
    </row>
    <row r="97">
      <c r="A97" s="4" t="n"/>
      <c r="B97" s="4" t="n"/>
      <c r="C97">
        <f>IF(A97="","",SUMPRODUCT((المبيعات!$C$2:$C$2000=A97)*(المبيعات!$B$2:$B$2000&lt;&gt;"")/COUNTIFS(المبيعات!$B$2:$B$2000,المبيعات!$B$2:$B$2000&amp;"",المبيعات!$C$2:$C$2000,المبيعات!$C$2:$C$2000&amp;"")))</f>
        <v/>
      </c>
      <c r="D97">
        <f>IF(A97="","",SUMIFS(المبيعات!$H$2:$H$2000,المبيعات!$C$2:$C$2000,A97))</f>
        <v/>
      </c>
      <c r="E97" s="13">
        <f>IF(A97="","",IF(COUNTIF(المبيعات!$C$2:$C$2000,A97)=0,"",_xlfn.MAXIFS(المبيعات!$A$2:$A$2000,المبيعات!$C$2:$C$2000,A97)))</f>
        <v/>
      </c>
      <c r="F97">
        <f>IF(A97="","",SUMIFS(المبيعات!$H$2:$H$2000,المبيعات!$C$2:$C$2000,A97,المبيعات!$J$2:$J$2000,"آجل"))</f>
        <v/>
      </c>
      <c r="G97" s="4" t="n"/>
      <c r="H97">
        <f>IF(A97="","",F97-G97)</f>
        <v/>
      </c>
    </row>
    <row r="98">
      <c r="A98" s="4" t="n"/>
      <c r="B98" s="4" t="n"/>
      <c r="C98">
        <f>IF(A98="","",SUMPRODUCT((المبيعات!$C$2:$C$2000=A98)*(المبيعات!$B$2:$B$2000&lt;&gt;"")/COUNTIFS(المبيعات!$B$2:$B$2000,المبيعات!$B$2:$B$2000&amp;"",المبيعات!$C$2:$C$2000,المبيعات!$C$2:$C$2000&amp;"")))</f>
        <v/>
      </c>
      <c r="D98">
        <f>IF(A98="","",SUMIFS(المبيعات!$H$2:$H$2000,المبيعات!$C$2:$C$2000,A98))</f>
        <v/>
      </c>
      <c r="E98" s="13">
        <f>IF(A98="","",IF(COUNTIF(المبيعات!$C$2:$C$2000,A98)=0,"",_xlfn.MAXIFS(المبيعات!$A$2:$A$2000,المبيعات!$C$2:$C$2000,A98)))</f>
        <v/>
      </c>
      <c r="F98">
        <f>IF(A98="","",SUMIFS(المبيعات!$H$2:$H$2000,المبيعات!$C$2:$C$2000,A98,المبيعات!$J$2:$J$2000,"آجل"))</f>
        <v/>
      </c>
      <c r="G98" s="4" t="n"/>
      <c r="H98">
        <f>IF(A98="","",F98-G98)</f>
        <v/>
      </c>
    </row>
    <row r="99">
      <c r="A99" s="4" t="n"/>
      <c r="B99" s="4" t="n"/>
      <c r="C99">
        <f>IF(A99="","",SUMPRODUCT((المبيعات!$C$2:$C$2000=A99)*(المبيعات!$B$2:$B$2000&lt;&gt;"")/COUNTIFS(المبيعات!$B$2:$B$2000,المبيعات!$B$2:$B$2000&amp;"",المبيعات!$C$2:$C$2000,المبيعات!$C$2:$C$2000&amp;"")))</f>
        <v/>
      </c>
      <c r="D99">
        <f>IF(A99="","",SUMIFS(المبيعات!$H$2:$H$2000,المبيعات!$C$2:$C$2000,A99))</f>
        <v/>
      </c>
      <c r="E99" s="13">
        <f>IF(A99="","",IF(COUNTIF(المبيعات!$C$2:$C$2000,A99)=0,"",_xlfn.MAXIFS(المبيعات!$A$2:$A$2000,المبيعات!$C$2:$C$2000,A99)))</f>
        <v/>
      </c>
      <c r="F99">
        <f>IF(A99="","",SUMIFS(المبيعات!$H$2:$H$2000,المبيعات!$C$2:$C$2000,A99,المبيعات!$J$2:$J$2000,"آجل"))</f>
        <v/>
      </c>
      <c r="G99" s="4" t="n"/>
      <c r="H99">
        <f>IF(A99="","",F99-G99)</f>
        <v/>
      </c>
    </row>
    <row r="100">
      <c r="A100" s="4" t="n"/>
      <c r="B100" s="4" t="n"/>
      <c r="C100">
        <f>IF(A100="","",SUMPRODUCT((المبيعات!$C$2:$C$2000=A100)*(المبيعات!$B$2:$B$2000&lt;&gt;"")/COUNTIFS(المبيعات!$B$2:$B$2000,المبيعات!$B$2:$B$2000&amp;"",المبيعات!$C$2:$C$2000,المبيعات!$C$2:$C$2000&amp;"")))</f>
        <v/>
      </c>
      <c r="D100">
        <f>IF(A100="","",SUMIFS(المبيعات!$H$2:$H$2000,المبيعات!$C$2:$C$2000,A100))</f>
        <v/>
      </c>
      <c r="E100" s="13">
        <f>IF(A100="","",IF(COUNTIF(المبيعات!$C$2:$C$2000,A100)=0,"",_xlfn.MAXIFS(المبيعات!$A$2:$A$2000,المبيعات!$C$2:$C$2000,A100)))</f>
        <v/>
      </c>
      <c r="F100">
        <f>IF(A100="","",SUMIFS(المبيعات!$H$2:$H$2000,المبيعات!$C$2:$C$2000,A100,المبيعات!$J$2:$J$2000,"آجل"))</f>
        <v/>
      </c>
      <c r="G100" s="4" t="n"/>
      <c r="H100">
        <f>IF(A100="","",F100-G100)</f>
        <v/>
      </c>
    </row>
    <row r="101">
      <c r="A101" s="4" t="n"/>
      <c r="B101" s="4" t="n"/>
      <c r="C101">
        <f>IF(A101="","",SUMPRODUCT((المبيعات!$C$2:$C$2000=A101)*(المبيعات!$B$2:$B$2000&lt;&gt;"")/COUNTIFS(المبيعات!$B$2:$B$2000,المبيعات!$B$2:$B$2000&amp;"",المبيعات!$C$2:$C$2000,المبيعات!$C$2:$C$2000&amp;"")))</f>
        <v/>
      </c>
      <c r="D101">
        <f>IF(A101="","",SUMIFS(المبيعات!$H$2:$H$2000,المبيعات!$C$2:$C$2000,A101))</f>
        <v/>
      </c>
      <c r="E101" s="13">
        <f>IF(A101="","",IF(COUNTIF(المبيعات!$C$2:$C$2000,A101)=0,"",_xlfn.MAXIFS(المبيعات!$A$2:$A$2000,المبيعات!$C$2:$C$2000,A101)))</f>
        <v/>
      </c>
      <c r="F101">
        <f>IF(A101="","",SUMIFS(المبيعات!$H$2:$H$2000,المبيعات!$C$2:$C$2000,A101,المبيعات!$J$2:$J$2000,"آجل"))</f>
        <v/>
      </c>
      <c r="G101" s="4" t="n"/>
      <c r="H101">
        <f>IF(A101="","",F101-G101)</f>
        <v/>
      </c>
    </row>
    <row r="102">
      <c r="A102" s="4" t="n"/>
      <c r="B102" s="4" t="n"/>
      <c r="C102">
        <f>IF(A102="","",SUMPRODUCT((المبيعات!$C$2:$C$2000=A102)*(المبيعات!$B$2:$B$2000&lt;&gt;"")/COUNTIFS(المبيعات!$B$2:$B$2000,المبيعات!$B$2:$B$2000&amp;"",المبيعات!$C$2:$C$2000,المبيعات!$C$2:$C$2000&amp;"")))</f>
        <v/>
      </c>
      <c r="D102">
        <f>IF(A102="","",SUMIFS(المبيعات!$H$2:$H$2000,المبيعات!$C$2:$C$2000,A102))</f>
        <v/>
      </c>
      <c r="E102" s="13">
        <f>IF(A102="","",IF(COUNTIF(المبيعات!$C$2:$C$2000,A102)=0,"",_xlfn.MAXIFS(المبيعات!$A$2:$A$2000,المبيعات!$C$2:$C$2000,A102)))</f>
        <v/>
      </c>
      <c r="F102">
        <f>IF(A102="","",SUMIFS(المبيعات!$H$2:$H$2000,المبيعات!$C$2:$C$2000,A102,المبيعات!$J$2:$J$2000,"آجل"))</f>
        <v/>
      </c>
      <c r="G102" s="4" t="n"/>
      <c r="H102">
        <f>IF(A102="","",F102-G102)</f>
        <v/>
      </c>
    </row>
    <row r="103">
      <c r="A103" s="4" t="n"/>
      <c r="B103" s="4" t="n"/>
      <c r="C103">
        <f>IF(A103="","",SUMPRODUCT((المبيعات!$C$2:$C$2000=A103)*(المبيعات!$B$2:$B$2000&lt;&gt;"")/COUNTIFS(المبيعات!$B$2:$B$2000,المبيعات!$B$2:$B$2000&amp;"",المبيعات!$C$2:$C$2000,المبيعات!$C$2:$C$2000&amp;"")))</f>
        <v/>
      </c>
      <c r="D103">
        <f>IF(A103="","",SUMIFS(المبيعات!$H$2:$H$2000,المبيعات!$C$2:$C$2000,A103))</f>
        <v/>
      </c>
      <c r="E103" s="13">
        <f>IF(A103="","",IF(COUNTIF(المبيعات!$C$2:$C$2000,A103)=0,"",_xlfn.MAXIFS(المبيعات!$A$2:$A$2000,المبيعات!$C$2:$C$2000,A103)))</f>
        <v/>
      </c>
      <c r="F103">
        <f>IF(A103="","",SUMIFS(المبيعات!$H$2:$H$2000,المبيعات!$C$2:$C$2000,A103,المبيعات!$J$2:$J$2000,"آجل"))</f>
        <v/>
      </c>
      <c r="G103" s="4" t="n"/>
      <c r="H103">
        <f>IF(A103="","",F103-G103)</f>
        <v/>
      </c>
    </row>
    <row r="104">
      <c r="A104" s="4" t="n"/>
      <c r="B104" s="4" t="n"/>
      <c r="C104">
        <f>IF(A104="","",SUMPRODUCT((المبيعات!$C$2:$C$2000=A104)*(المبيعات!$B$2:$B$2000&lt;&gt;"")/COUNTIFS(المبيعات!$B$2:$B$2000,المبيعات!$B$2:$B$2000&amp;"",المبيعات!$C$2:$C$2000,المبيعات!$C$2:$C$2000&amp;"")))</f>
        <v/>
      </c>
      <c r="D104">
        <f>IF(A104="","",SUMIFS(المبيعات!$H$2:$H$2000,المبيعات!$C$2:$C$2000,A104))</f>
        <v/>
      </c>
      <c r="E104" s="13">
        <f>IF(A104="","",IF(COUNTIF(المبيعات!$C$2:$C$2000,A104)=0,"",_xlfn.MAXIFS(المبيعات!$A$2:$A$2000,المبيعات!$C$2:$C$2000,A104)))</f>
        <v/>
      </c>
      <c r="F104">
        <f>IF(A104="","",SUMIFS(المبيعات!$H$2:$H$2000,المبيعات!$C$2:$C$2000,A104,المبيعات!$J$2:$J$2000,"آجل"))</f>
        <v/>
      </c>
      <c r="G104" s="4" t="n"/>
      <c r="H104">
        <f>IF(A104="","",F104-G104)</f>
        <v/>
      </c>
    </row>
    <row r="105">
      <c r="A105" s="4" t="n"/>
      <c r="B105" s="4" t="n"/>
      <c r="C105">
        <f>IF(A105="","",SUMPRODUCT((المبيعات!$C$2:$C$2000=A105)*(المبيعات!$B$2:$B$2000&lt;&gt;"")/COUNTIFS(المبيعات!$B$2:$B$2000,المبيعات!$B$2:$B$2000&amp;"",المبيعات!$C$2:$C$2000,المبيعات!$C$2:$C$2000&amp;"")))</f>
        <v/>
      </c>
      <c r="D105">
        <f>IF(A105="","",SUMIFS(المبيعات!$H$2:$H$2000,المبيعات!$C$2:$C$2000,A105))</f>
        <v/>
      </c>
      <c r="E105" s="13">
        <f>IF(A105="","",IF(COUNTIF(المبيعات!$C$2:$C$2000,A105)=0,"",_xlfn.MAXIFS(المبيعات!$A$2:$A$2000,المبيعات!$C$2:$C$2000,A105)))</f>
        <v/>
      </c>
      <c r="F105">
        <f>IF(A105="","",SUMIFS(المبيعات!$H$2:$H$2000,المبيعات!$C$2:$C$2000,A105,المبيعات!$J$2:$J$2000,"آجل"))</f>
        <v/>
      </c>
      <c r="G105" s="4" t="n"/>
      <c r="H105">
        <f>IF(A105="","",F105-G105)</f>
        <v/>
      </c>
    </row>
    <row r="106">
      <c r="A106" s="4" t="n"/>
      <c r="B106" s="4" t="n"/>
      <c r="C106">
        <f>IF(A106="","",SUMPRODUCT((المبيعات!$C$2:$C$2000=A106)*(المبيعات!$B$2:$B$2000&lt;&gt;"")/COUNTIFS(المبيعات!$B$2:$B$2000,المبيعات!$B$2:$B$2000&amp;"",المبيعات!$C$2:$C$2000,المبيعات!$C$2:$C$2000&amp;"")))</f>
        <v/>
      </c>
      <c r="D106">
        <f>IF(A106="","",SUMIFS(المبيعات!$H$2:$H$2000,المبيعات!$C$2:$C$2000,A106))</f>
        <v/>
      </c>
      <c r="E106" s="13">
        <f>IF(A106="","",IF(COUNTIF(المبيعات!$C$2:$C$2000,A106)=0,"",_xlfn.MAXIFS(المبيعات!$A$2:$A$2000,المبيعات!$C$2:$C$2000,A106)))</f>
        <v/>
      </c>
      <c r="F106">
        <f>IF(A106="","",SUMIFS(المبيعات!$H$2:$H$2000,المبيعات!$C$2:$C$2000,A106,المبيعات!$J$2:$J$2000,"آجل"))</f>
        <v/>
      </c>
      <c r="G106" s="4" t="n"/>
      <c r="H106">
        <f>IF(A106="","",F106-G106)</f>
        <v/>
      </c>
    </row>
    <row r="107">
      <c r="A107" s="4" t="n"/>
      <c r="B107" s="4" t="n"/>
      <c r="C107">
        <f>IF(A107="","",SUMPRODUCT((المبيعات!$C$2:$C$2000=A107)*(المبيعات!$B$2:$B$2000&lt;&gt;"")/COUNTIFS(المبيعات!$B$2:$B$2000,المبيعات!$B$2:$B$2000&amp;"",المبيعات!$C$2:$C$2000,المبيعات!$C$2:$C$2000&amp;"")))</f>
        <v/>
      </c>
      <c r="D107">
        <f>IF(A107="","",SUMIFS(المبيعات!$H$2:$H$2000,المبيعات!$C$2:$C$2000,A107))</f>
        <v/>
      </c>
      <c r="E107" s="13">
        <f>IF(A107="","",IF(COUNTIF(المبيعات!$C$2:$C$2000,A107)=0,"",_xlfn.MAXIFS(المبيعات!$A$2:$A$2000,المبيعات!$C$2:$C$2000,A107)))</f>
        <v/>
      </c>
      <c r="F107">
        <f>IF(A107="","",SUMIFS(المبيعات!$H$2:$H$2000,المبيعات!$C$2:$C$2000,A107,المبيعات!$J$2:$J$2000,"آجل"))</f>
        <v/>
      </c>
      <c r="G107" s="4" t="n"/>
      <c r="H107">
        <f>IF(A107="","",F107-G107)</f>
        <v/>
      </c>
    </row>
    <row r="108">
      <c r="A108" s="4" t="n"/>
      <c r="B108" s="4" t="n"/>
      <c r="C108">
        <f>IF(A108="","",SUMPRODUCT((المبيعات!$C$2:$C$2000=A108)*(المبيعات!$B$2:$B$2000&lt;&gt;"")/COUNTIFS(المبيعات!$B$2:$B$2000,المبيعات!$B$2:$B$2000&amp;"",المبيعات!$C$2:$C$2000,المبيعات!$C$2:$C$2000&amp;"")))</f>
        <v/>
      </c>
      <c r="D108">
        <f>IF(A108="","",SUMIFS(المبيعات!$H$2:$H$2000,المبيعات!$C$2:$C$2000,A108))</f>
        <v/>
      </c>
      <c r="E108" s="13">
        <f>IF(A108="","",IF(COUNTIF(المبيعات!$C$2:$C$2000,A108)=0,"",_xlfn.MAXIFS(المبيعات!$A$2:$A$2000,المبيعات!$C$2:$C$2000,A108)))</f>
        <v/>
      </c>
      <c r="F108">
        <f>IF(A108="","",SUMIFS(المبيعات!$H$2:$H$2000,المبيعات!$C$2:$C$2000,A108,المبيعات!$J$2:$J$2000,"آجل"))</f>
        <v/>
      </c>
      <c r="G108" s="4" t="n"/>
      <c r="H108">
        <f>IF(A108="","",F108-G108)</f>
        <v/>
      </c>
    </row>
    <row r="109">
      <c r="A109" s="4" t="n"/>
      <c r="B109" s="4" t="n"/>
      <c r="C109">
        <f>IF(A109="","",SUMPRODUCT((المبيعات!$C$2:$C$2000=A109)*(المبيعات!$B$2:$B$2000&lt;&gt;"")/COUNTIFS(المبيعات!$B$2:$B$2000,المبيعات!$B$2:$B$2000&amp;"",المبيعات!$C$2:$C$2000,المبيعات!$C$2:$C$2000&amp;"")))</f>
        <v/>
      </c>
      <c r="D109">
        <f>IF(A109="","",SUMIFS(المبيعات!$H$2:$H$2000,المبيعات!$C$2:$C$2000,A109))</f>
        <v/>
      </c>
      <c r="E109" s="13">
        <f>IF(A109="","",IF(COUNTIF(المبيعات!$C$2:$C$2000,A109)=0,"",_xlfn.MAXIFS(المبيعات!$A$2:$A$2000,المبيعات!$C$2:$C$2000,A109)))</f>
        <v/>
      </c>
      <c r="F109">
        <f>IF(A109="","",SUMIFS(المبيعات!$H$2:$H$2000,المبيعات!$C$2:$C$2000,A109,المبيعات!$J$2:$J$2000,"آجل"))</f>
        <v/>
      </c>
      <c r="G109" s="4" t="n"/>
      <c r="H109">
        <f>IF(A109="","",F109-G109)</f>
        <v/>
      </c>
    </row>
    <row r="110">
      <c r="A110" s="4" t="n"/>
      <c r="B110" s="4" t="n"/>
      <c r="C110">
        <f>IF(A110="","",SUMPRODUCT((المبيعات!$C$2:$C$2000=A110)*(المبيعات!$B$2:$B$2000&lt;&gt;"")/COUNTIFS(المبيعات!$B$2:$B$2000,المبيعات!$B$2:$B$2000&amp;"",المبيعات!$C$2:$C$2000,المبيعات!$C$2:$C$2000&amp;"")))</f>
        <v/>
      </c>
      <c r="D110">
        <f>IF(A110="","",SUMIFS(المبيعات!$H$2:$H$2000,المبيعات!$C$2:$C$2000,A110))</f>
        <v/>
      </c>
      <c r="E110" s="13">
        <f>IF(A110="","",IF(COUNTIF(المبيعات!$C$2:$C$2000,A110)=0,"",_xlfn.MAXIFS(المبيعات!$A$2:$A$2000,المبيعات!$C$2:$C$2000,A110)))</f>
        <v/>
      </c>
      <c r="F110">
        <f>IF(A110="","",SUMIFS(المبيعات!$H$2:$H$2000,المبيعات!$C$2:$C$2000,A110,المبيعات!$J$2:$J$2000,"آجل"))</f>
        <v/>
      </c>
      <c r="G110" s="4" t="n"/>
      <c r="H110">
        <f>IF(A110="","",F110-G110)</f>
        <v/>
      </c>
    </row>
    <row r="111">
      <c r="A111" s="4" t="n"/>
      <c r="B111" s="4" t="n"/>
      <c r="C111">
        <f>IF(A111="","",SUMPRODUCT((المبيعات!$C$2:$C$2000=A111)*(المبيعات!$B$2:$B$2000&lt;&gt;"")/COUNTIFS(المبيعات!$B$2:$B$2000,المبيعات!$B$2:$B$2000&amp;"",المبيعات!$C$2:$C$2000,المبيعات!$C$2:$C$2000&amp;"")))</f>
        <v/>
      </c>
      <c r="D111">
        <f>IF(A111="","",SUMIFS(المبيعات!$H$2:$H$2000,المبيعات!$C$2:$C$2000,A111))</f>
        <v/>
      </c>
      <c r="E111" s="13">
        <f>IF(A111="","",IF(COUNTIF(المبيعات!$C$2:$C$2000,A111)=0,"",_xlfn.MAXIFS(المبيعات!$A$2:$A$2000,المبيعات!$C$2:$C$2000,A111)))</f>
        <v/>
      </c>
      <c r="F111">
        <f>IF(A111="","",SUMIFS(المبيعات!$H$2:$H$2000,المبيعات!$C$2:$C$2000,A111,المبيعات!$J$2:$J$2000,"آجل"))</f>
        <v/>
      </c>
      <c r="G111" s="4" t="n"/>
      <c r="H111">
        <f>IF(A111="","",F111-G111)</f>
        <v/>
      </c>
    </row>
    <row r="112">
      <c r="A112" s="4" t="n"/>
      <c r="B112" s="4" t="n"/>
      <c r="C112">
        <f>IF(A112="","",SUMPRODUCT((المبيعات!$C$2:$C$2000=A112)*(المبيعات!$B$2:$B$2000&lt;&gt;"")/COUNTIFS(المبيعات!$B$2:$B$2000,المبيعات!$B$2:$B$2000&amp;"",المبيعات!$C$2:$C$2000,المبيعات!$C$2:$C$2000&amp;"")))</f>
        <v/>
      </c>
      <c r="D112">
        <f>IF(A112="","",SUMIFS(المبيعات!$H$2:$H$2000,المبيعات!$C$2:$C$2000,A112))</f>
        <v/>
      </c>
      <c r="E112" s="13">
        <f>IF(A112="","",IF(COUNTIF(المبيعات!$C$2:$C$2000,A112)=0,"",_xlfn.MAXIFS(المبيعات!$A$2:$A$2000,المبيعات!$C$2:$C$2000,A112)))</f>
        <v/>
      </c>
      <c r="F112">
        <f>IF(A112="","",SUMIFS(المبيعات!$H$2:$H$2000,المبيعات!$C$2:$C$2000,A112,المبيعات!$J$2:$J$2000,"آجل"))</f>
        <v/>
      </c>
      <c r="G112" s="4" t="n"/>
      <c r="H112">
        <f>IF(A112="","",F112-G112)</f>
        <v/>
      </c>
    </row>
    <row r="113">
      <c r="A113" s="4" t="n"/>
      <c r="B113" s="4" t="n"/>
      <c r="C113">
        <f>IF(A113="","",SUMPRODUCT((المبيعات!$C$2:$C$2000=A113)*(المبيعات!$B$2:$B$2000&lt;&gt;"")/COUNTIFS(المبيعات!$B$2:$B$2000,المبيعات!$B$2:$B$2000&amp;"",المبيعات!$C$2:$C$2000,المبيعات!$C$2:$C$2000&amp;"")))</f>
        <v/>
      </c>
      <c r="D113">
        <f>IF(A113="","",SUMIFS(المبيعات!$H$2:$H$2000,المبيعات!$C$2:$C$2000,A113))</f>
        <v/>
      </c>
      <c r="E113" s="13">
        <f>IF(A113="","",IF(COUNTIF(المبيعات!$C$2:$C$2000,A113)=0,"",_xlfn.MAXIFS(المبيعات!$A$2:$A$2000,المبيعات!$C$2:$C$2000,A113)))</f>
        <v/>
      </c>
      <c r="F113">
        <f>IF(A113="","",SUMIFS(المبيعات!$H$2:$H$2000,المبيعات!$C$2:$C$2000,A113,المبيعات!$J$2:$J$2000,"آجل"))</f>
        <v/>
      </c>
      <c r="G113" s="4" t="n"/>
      <c r="H113">
        <f>IF(A113="","",F113-G113)</f>
        <v/>
      </c>
    </row>
    <row r="114">
      <c r="A114" s="4" t="n"/>
      <c r="B114" s="4" t="n"/>
      <c r="C114">
        <f>IF(A114="","",SUMPRODUCT((المبيعات!$C$2:$C$2000=A114)*(المبيعات!$B$2:$B$2000&lt;&gt;"")/COUNTIFS(المبيعات!$B$2:$B$2000,المبيعات!$B$2:$B$2000&amp;"",المبيعات!$C$2:$C$2000,المبيعات!$C$2:$C$2000&amp;"")))</f>
        <v/>
      </c>
      <c r="D114">
        <f>IF(A114="","",SUMIFS(المبيعات!$H$2:$H$2000,المبيعات!$C$2:$C$2000,A114))</f>
        <v/>
      </c>
      <c r="E114" s="13">
        <f>IF(A114="","",IF(COUNTIF(المبيعات!$C$2:$C$2000,A114)=0,"",_xlfn.MAXIFS(المبيعات!$A$2:$A$2000,المبيعات!$C$2:$C$2000,A114)))</f>
        <v/>
      </c>
      <c r="F114">
        <f>IF(A114="","",SUMIFS(المبيعات!$H$2:$H$2000,المبيعات!$C$2:$C$2000,A114,المبيعات!$J$2:$J$2000,"آجل"))</f>
        <v/>
      </c>
      <c r="G114" s="4" t="n"/>
      <c r="H114">
        <f>IF(A114="","",F114-G114)</f>
        <v/>
      </c>
    </row>
    <row r="115">
      <c r="A115" s="4" t="n"/>
      <c r="B115" s="4" t="n"/>
      <c r="C115">
        <f>IF(A115="","",SUMPRODUCT((المبيعات!$C$2:$C$2000=A115)*(المبيعات!$B$2:$B$2000&lt;&gt;"")/COUNTIFS(المبيعات!$B$2:$B$2000,المبيعات!$B$2:$B$2000&amp;"",المبيعات!$C$2:$C$2000,المبيعات!$C$2:$C$2000&amp;"")))</f>
        <v/>
      </c>
      <c r="D115">
        <f>IF(A115="","",SUMIFS(المبيعات!$H$2:$H$2000,المبيعات!$C$2:$C$2000,A115))</f>
        <v/>
      </c>
      <c r="E115" s="13">
        <f>IF(A115="","",IF(COUNTIF(المبيعات!$C$2:$C$2000,A115)=0,"",_xlfn.MAXIFS(المبيعات!$A$2:$A$2000,المبيعات!$C$2:$C$2000,A115)))</f>
        <v/>
      </c>
      <c r="F115">
        <f>IF(A115="","",SUMIFS(المبيعات!$H$2:$H$2000,المبيعات!$C$2:$C$2000,A115,المبيعات!$J$2:$J$2000,"آجل"))</f>
        <v/>
      </c>
      <c r="G115" s="4" t="n"/>
      <c r="H115">
        <f>IF(A115="","",F115-G115)</f>
        <v/>
      </c>
    </row>
    <row r="116">
      <c r="A116" s="4" t="n"/>
      <c r="B116" s="4" t="n"/>
      <c r="C116">
        <f>IF(A116="","",SUMPRODUCT((المبيعات!$C$2:$C$2000=A116)*(المبيعات!$B$2:$B$2000&lt;&gt;"")/COUNTIFS(المبيعات!$B$2:$B$2000,المبيعات!$B$2:$B$2000&amp;"",المبيعات!$C$2:$C$2000,المبيعات!$C$2:$C$2000&amp;"")))</f>
        <v/>
      </c>
      <c r="D116">
        <f>IF(A116="","",SUMIFS(المبيعات!$H$2:$H$2000,المبيعات!$C$2:$C$2000,A116))</f>
        <v/>
      </c>
      <c r="E116" s="13">
        <f>IF(A116="","",IF(COUNTIF(المبيعات!$C$2:$C$2000,A116)=0,"",_xlfn.MAXIFS(المبيعات!$A$2:$A$2000,المبيعات!$C$2:$C$2000,A116)))</f>
        <v/>
      </c>
      <c r="F116">
        <f>IF(A116="","",SUMIFS(المبيعات!$H$2:$H$2000,المبيعات!$C$2:$C$2000,A116,المبيعات!$J$2:$J$2000,"آجل"))</f>
        <v/>
      </c>
      <c r="G116" s="4" t="n"/>
      <c r="H116">
        <f>IF(A116="","",F116-G116)</f>
        <v/>
      </c>
    </row>
    <row r="117">
      <c r="A117" s="4" t="n"/>
      <c r="B117" s="4" t="n"/>
      <c r="C117">
        <f>IF(A117="","",SUMPRODUCT((المبيعات!$C$2:$C$2000=A117)*(المبيعات!$B$2:$B$2000&lt;&gt;"")/COUNTIFS(المبيعات!$B$2:$B$2000,المبيعات!$B$2:$B$2000&amp;"",المبيعات!$C$2:$C$2000,المبيعات!$C$2:$C$2000&amp;"")))</f>
        <v/>
      </c>
      <c r="D117">
        <f>IF(A117="","",SUMIFS(المبيعات!$H$2:$H$2000,المبيعات!$C$2:$C$2000,A117))</f>
        <v/>
      </c>
      <c r="E117" s="13">
        <f>IF(A117="","",IF(COUNTIF(المبيعات!$C$2:$C$2000,A117)=0,"",_xlfn.MAXIFS(المبيعات!$A$2:$A$2000,المبيعات!$C$2:$C$2000,A117)))</f>
        <v/>
      </c>
      <c r="F117">
        <f>IF(A117="","",SUMIFS(المبيعات!$H$2:$H$2000,المبيعات!$C$2:$C$2000,A117,المبيعات!$J$2:$J$2000,"آجل"))</f>
        <v/>
      </c>
      <c r="G117" s="4" t="n"/>
      <c r="H117">
        <f>IF(A117="","",F117-G117)</f>
        <v/>
      </c>
    </row>
    <row r="118">
      <c r="A118" s="4" t="n"/>
      <c r="B118" s="4" t="n"/>
      <c r="C118">
        <f>IF(A118="","",SUMPRODUCT((المبيعات!$C$2:$C$2000=A118)*(المبيعات!$B$2:$B$2000&lt;&gt;"")/COUNTIFS(المبيعات!$B$2:$B$2000,المبيعات!$B$2:$B$2000&amp;"",المبيعات!$C$2:$C$2000,المبيعات!$C$2:$C$2000&amp;"")))</f>
        <v/>
      </c>
      <c r="D118">
        <f>IF(A118="","",SUMIFS(المبيعات!$H$2:$H$2000,المبيعات!$C$2:$C$2000,A118))</f>
        <v/>
      </c>
      <c r="E118" s="13">
        <f>IF(A118="","",IF(COUNTIF(المبيعات!$C$2:$C$2000,A118)=0,"",_xlfn.MAXIFS(المبيعات!$A$2:$A$2000,المبيعات!$C$2:$C$2000,A118)))</f>
        <v/>
      </c>
      <c r="F118">
        <f>IF(A118="","",SUMIFS(المبيعات!$H$2:$H$2000,المبيعات!$C$2:$C$2000,A118,المبيعات!$J$2:$J$2000,"آجل"))</f>
        <v/>
      </c>
      <c r="G118" s="4" t="n"/>
      <c r="H118">
        <f>IF(A118="","",F118-G118)</f>
        <v/>
      </c>
    </row>
    <row r="119">
      <c r="A119" s="4" t="n"/>
      <c r="B119" s="4" t="n"/>
      <c r="C119">
        <f>IF(A119="","",SUMPRODUCT((المبيعات!$C$2:$C$2000=A119)*(المبيعات!$B$2:$B$2000&lt;&gt;"")/COUNTIFS(المبيعات!$B$2:$B$2000,المبيعات!$B$2:$B$2000&amp;"",المبيعات!$C$2:$C$2000,المبيعات!$C$2:$C$2000&amp;"")))</f>
        <v/>
      </c>
      <c r="D119">
        <f>IF(A119="","",SUMIFS(المبيعات!$H$2:$H$2000,المبيعات!$C$2:$C$2000,A119))</f>
        <v/>
      </c>
      <c r="E119" s="13">
        <f>IF(A119="","",IF(COUNTIF(المبيعات!$C$2:$C$2000,A119)=0,"",_xlfn.MAXIFS(المبيعات!$A$2:$A$2000,المبيعات!$C$2:$C$2000,A119)))</f>
        <v/>
      </c>
      <c r="F119">
        <f>IF(A119="","",SUMIFS(المبيعات!$H$2:$H$2000,المبيعات!$C$2:$C$2000,A119,المبيعات!$J$2:$J$2000,"آجل"))</f>
        <v/>
      </c>
      <c r="G119" s="4" t="n"/>
      <c r="H119">
        <f>IF(A119="","",F119-G119)</f>
        <v/>
      </c>
    </row>
    <row r="120">
      <c r="A120" s="4" t="n"/>
      <c r="B120" s="4" t="n"/>
      <c r="C120">
        <f>IF(A120="","",SUMPRODUCT((المبيعات!$C$2:$C$2000=A120)*(المبيعات!$B$2:$B$2000&lt;&gt;"")/COUNTIFS(المبيعات!$B$2:$B$2000,المبيعات!$B$2:$B$2000&amp;"",المبيعات!$C$2:$C$2000,المبيعات!$C$2:$C$2000&amp;"")))</f>
        <v/>
      </c>
      <c r="D120">
        <f>IF(A120="","",SUMIFS(المبيعات!$H$2:$H$2000,المبيعات!$C$2:$C$2000,A120))</f>
        <v/>
      </c>
      <c r="E120" s="13">
        <f>IF(A120="","",IF(COUNTIF(المبيعات!$C$2:$C$2000,A120)=0,"",_xlfn.MAXIFS(المبيعات!$A$2:$A$2000,المبيعات!$C$2:$C$2000,A120)))</f>
        <v/>
      </c>
      <c r="F120">
        <f>IF(A120="","",SUMIFS(المبيعات!$H$2:$H$2000,المبيعات!$C$2:$C$2000,A120,المبيعات!$J$2:$J$2000,"آجل"))</f>
        <v/>
      </c>
      <c r="G120" s="4" t="n"/>
      <c r="H120">
        <f>IF(A120="","",F120-G120)</f>
        <v/>
      </c>
    </row>
    <row r="121">
      <c r="A121" s="4" t="n"/>
      <c r="B121" s="4" t="n"/>
      <c r="C121">
        <f>IF(A121="","",SUMPRODUCT((المبيعات!$C$2:$C$2000=A121)*(المبيعات!$B$2:$B$2000&lt;&gt;"")/COUNTIFS(المبيعات!$B$2:$B$2000,المبيعات!$B$2:$B$2000&amp;"",المبيعات!$C$2:$C$2000,المبيعات!$C$2:$C$2000&amp;"")))</f>
        <v/>
      </c>
      <c r="D121">
        <f>IF(A121="","",SUMIFS(المبيعات!$H$2:$H$2000,المبيعات!$C$2:$C$2000,A121))</f>
        <v/>
      </c>
      <c r="E121" s="13">
        <f>IF(A121="","",IF(COUNTIF(المبيعات!$C$2:$C$2000,A121)=0,"",_xlfn.MAXIFS(المبيعات!$A$2:$A$2000,المبيعات!$C$2:$C$2000,A121)))</f>
        <v/>
      </c>
      <c r="F121">
        <f>IF(A121="","",SUMIFS(المبيعات!$H$2:$H$2000,المبيعات!$C$2:$C$2000,A121,المبيعات!$J$2:$J$2000,"آجل"))</f>
        <v/>
      </c>
      <c r="G121" s="4" t="n"/>
      <c r="H121">
        <f>IF(A121="","",F121-G121)</f>
        <v/>
      </c>
    </row>
    <row r="122">
      <c r="A122" s="4" t="n"/>
      <c r="B122" s="4" t="n"/>
      <c r="C122">
        <f>IF(A122="","",SUMPRODUCT((المبيعات!$C$2:$C$2000=A122)*(المبيعات!$B$2:$B$2000&lt;&gt;"")/COUNTIFS(المبيعات!$B$2:$B$2000,المبيعات!$B$2:$B$2000&amp;"",المبيعات!$C$2:$C$2000,المبيعات!$C$2:$C$2000&amp;"")))</f>
        <v/>
      </c>
      <c r="D122">
        <f>IF(A122="","",SUMIFS(المبيعات!$H$2:$H$2000,المبيعات!$C$2:$C$2000,A122))</f>
        <v/>
      </c>
      <c r="E122" s="13">
        <f>IF(A122="","",IF(COUNTIF(المبيعات!$C$2:$C$2000,A122)=0,"",_xlfn.MAXIFS(المبيعات!$A$2:$A$2000,المبيعات!$C$2:$C$2000,A122)))</f>
        <v/>
      </c>
      <c r="F122">
        <f>IF(A122="","",SUMIFS(المبيعات!$H$2:$H$2000,المبيعات!$C$2:$C$2000,A122,المبيعات!$J$2:$J$2000,"آجل"))</f>
        <v/>
      </c>
      <c r="G122" s="4" t="n"/>
      <c r="H122">
        <f>IF(A122="","",F122-G122)</f>
        <v/>
      </c>
    </row>
    <row r="123">
      <c r="A123" s="4" t="n"/>
      <c r="B123" s="4" t="n"/>
      <c r="C123">
        <f>IF(A123="","",SUMPRODUCT((المبيعات!$C$2:$C$2000=A123)*(المبيعات!$B$2:$B$2000&lt;&gt;"")/COUNTIFS(المبيعات!$B$2:$B$2000,المبيعات!$B$2:$B$2000&amp;"",المبيعات!$C$2:$C$2000,المبيعات!$C$2:$C$2000&amp;"")))</f>
        <v/>
      </c>
      <c r="D123">
        <f>IF(A123="","",SUMIFS(المبيعات!$H$2:$H$2000,المبيعات!$C$2:$C$2000,A123))</f>
        <v/>
      </c>
      <c r="E123" s="13">
        <f>IF(A123="","",IF(COUNTIF(المبيعات!$C$2:$C$2000,A123)=0,"",_xlfn.MAXIFS(المبيعات!$A$2:$A$2000,المبيعات!$C$2:$C$2000,A123)))</f>
        <v/>
      </c>
      <c r="F123">
        <f>IF(A123="","",SUMIFS(المبيعات!$H$2:$H$2000,المبيعات!$C$2:$C$2000,A123,المبيعات!$J$2:$J$2000,"آجل"))</f>
        <v/>
      </c>
      <c r="G123" s="4" t="n"/>
      <c r="H123">
        <f>IF(A123="","",F123-G123)</f>
        <v/>
      </c>
    </row>
    <row r="124">
      <c r="A124" s="4" t="n"/>
      <c r="B124" s="4" t="n"/>
      <c r="C124">
        <f>IF(A124="","",SUMPRODUCT((المبيعات!$C$2:$C$2000=A124)*(المبيعات!$B$2:$B$2000&lt;&gt;"")/COUNTIFS(المبيعات!$B$2:$B$2000,المبيعات!$B$2:$B$2000&amp;"",المبيعات!$C$2:$C$2000,المبيعات!$C$2:$C$2000&amp;"")))</f>
        <v/>
      </c>
      <c r="D124">
        <f>IF(A124="","",SUMIFS(المبيعات!$H$2:$H$2000,المبيعات!$C$2:$C$2000,A124))</f>
        <v/>
      </c>
      <c r="E124" s="13">
        <f>IF(A124="","",IF(COUNTIF(المبيعات!$C$2:$C$2000,A124)=0,"",_xlfn.MAXIFS(المبيعات!$A$2:$A$2000,المبيعات!$C$2:$C$2000,A124)))</f>
        <v/>
      </c>
      <c r="F124">
        <f>IF(A124="","",SUMIFS(المبيعات!$H$2:$H$2000,المبيعات!$C$2:$C$2000,A124,المبيعات!$J$2:$J$2000,"آجل"))</f>
        <v/>
      </c>
      <c r="G124" s="4" t="n"/>
      <c r="H124">
        <f>IF(A124="","",F124-G124)</f>
        <v/>
      </c>
    </row>
    <row r="125">
      <c r="A125" s="4" t="n"/>
      <c r="B125" s="4" t="n"/>
      <c r="C125">
        <f>IF(A125="","",SUMPRODUCT((المبيعات!$C$2:$C$2000=A125)*(المبيعات!$B$2:$B$2000&lt;&gt;"")/COUNTIFS(المبيعات!$B$2:$B$2000,المبيعات!$B$2:$B$2000&amp;"",المبيعات!$C$2:$C$2000,المبيعات!$C$2:$C$2000&amp;"")))</f>
        <v/>
      </c>
      <c r="D125">
        <f>IF(A125="","",SUMIFS(المبيعات!$H$2:$H$2000,المبيعات!$C$2:$C$2000,A125))</f>
        <v/>
      </c>
      <c r="E125" s="13">
        <f>IF(A125="","",IF(COUNTIF(المبيعات!$C$2:$C$2000,A125)=0,"",_xlfn.MAXIFS(المبيعات!$A$2:$A$2000,المبيعات!$C$2:$C$2000,A125)))</f>
        <v/>
      </c>
      <c r="F125">
        <f>IF(A125="","",SUMIFS(المبيعات!$H$2:$H$2000,المبيعات!$C$2:$C$2000,A125,المبيعات!$J$2:$J$2000,"آجل"))</f>
        <v/>
      </c>
      <c r="G125" s="4" t="n"/>
      <c r="H125">
        <f>IF(A125="","",F125-G125)</f>
        <v/>
      </c>
    </row>
    <row r="126">
      <c r="A126" s="4" t="n"/>
      <c r="B126" s="4" t="n"/>
      <c r="C126">
        <f>IF(A126="","",SUMPRODUCT((المبيعات!$C$2:$C$2000=A126)*(المبيعات!$B$2:$B$2000&lt;&gt;"")/COUNTIFS(المبيعات!$B$2:$B$2000,المبيعات!$B$2:$B$2000&amp;"",المبيعات!$C$2:$C$2000,المبيعات!$C$2:$C$2000&amp;"")))</f>
        <v/>
      </c>
      <c r="D126">
        <f>IF(A126="","",SUMIFS(المبيعات!$H$2:$H$2000,المبيعات!$C$2:$C$2000,A126))</f>
        <v/>
      </c>
      <c r="E126" s="13">
        <f>IF(A126="","",IF(COUNTIF(المبيعات!$C$2:$C$2000,A126)=0,"",_xlfn.MAXIFS(المبيعات!$A$2:$A$2000,المبيعات!$C$2:$C$2000,A126)))</f>
        <v/>
      </c>
      <c r="F126">
        <f>IF(A126="","",SUMIFS(المبيعات!$H$2:$H$2000,المبيعات!$C$2:$C$2000,A126,المبيعات!$J$2:$J$2000,"آجل"))</f>
        <v/>
      </c>
      <c r="G126" s="4" t="n"/>
      <c r="H126">
        <f>IF(A126="","",F126-G126)</f>
        <v/>
      </c>
    </row>
    <row r="127">
      <c r="A127" s="4" t="n"/>
      <c r="B127" s="4" t="n"/>
      <c r="C127">
        <f>IF(A127="","",SUMPRODUCT((المبيعات!$C$2:$C$2000=A127)*(المبيعات!$B$2:$B$2000&lt;&gt;"")/COUNTIFS(المبيعات!$B$2:$B$2000,المبيعات!$B$2:$B$2000&amp;"",المبيعات!$C$2:$C$2000,المبيعات!$C$2:$C$2000&amp;"")))</f>
        <v/>
      </c>
      <c r="D127">
        <f>IF(A127="","",SUMIFS(المبيعات!$H$2:$H$2000,المبيعات!$C$2:$C$2000,A127))</f>
        <v/>
      </c>
      <c r="E127" s="13">
        <f>IF(A127="","",IF(COUNTIF(المبيعات!$C$2:$C$2000,A127)=0,"",_xlfn.MAXIFS(المبيعات!$A$2:$A$2000,المبيعات!$C$2:$C$2000,A127)))</f>
        <v/>
      </c>
      <c r="F127">
        <f>IF(A127="","",SUMIFS(المبيعات!$H$2:$H$2000,المبيعات!$C$2:$C$2000,A127,المبيعات!$J$2:$J$2000,"آجل"))</f>
        <v/>
      </c>
      <c r="G127" s="4" t="n"/>
      <c r="H127">
        <f>IF(A127="","",F127-G127)</f>
        <v/>
      </c>
    </row>
    <row r="128">
      <c r="A128" s="4" t="n"/>
      <c r="B128" s="4" t="n"/>
      <c r="C128">
        <f>IF(A128="","",SUMPRODUCT((المبيعات!$C$2:$C$2000=A128)*(المبيعات!$B$2:$B$2000&lt;&gt;"")/COUNTIFS(المبيعات!$B$2:$B$2000,المبيعات!$B$2:$B$2000&amp;"",المبيعات!$C$2:$C$2000,المبيعات!$C$2:$C$2000&amp;"")))</f>
        <v/>
      </c>
      <c r="D128">
        <f>IF(A128="","",SUMIFS(المبيعات!$H$2:$H$2000,المبيعات!$C$2:$C$2000,A128))</f>
        <v/>
      </c>
      <c r="E128" s="13">
        <f>IF(A128="","",IF(COUNTIF(المبيعات!$C$2:$C$2000,A128)=0,"",_xlfn.MAXIFS(المبيعات!$A$2:$A$2000,المبيعات!$C$2:$C$2000,A128)))</f>
        <v/>
      </c>
      <c r="F128">
        <f>IF(A128="","",SUMIFS(المبيعات!$H$2:$H$2000,المبيعات!$C$2:$C$2000,A128,المبيعات!$J$2:$J$2000,"آجل"))</f>
        <v/>
      </c>
      <c r="G128" s="4" t="n"/>
      <c r="H128">
        <f>IF(A128="","",F128-G128)</f>
        <v/>
      </c>
    </row>
    <row r="129">
      <c r="A129" s="4" t="n"/>
      <c r="B129" s="4" t="n"/>
      <c r="C129">
        <f>IF(A129="","",SUMPRODUCT((المبيعات!$C$2:$C$2000=A129)*(المبيعات!$B$2:$B$2000&lt;&gt;"")/COUNTIFS(المبيعات!$B$2:$B$2000,المبيعات!$B$2:$B$2000&amp;"",المبيعات!$C$2:$C$2000,المبيعات!$C$2:$C$2000&amp;"")))</f>
        <v/>
      </c>
      <c r="D129">
        <f>IF(A129="","",SUMIFS(المبيعات!$H$2:$H$2000,المبيعات!$C$2:$C$2000,A129))</f>
        <v/>
      </c>
      <c r="E129" s="13">
        <f>IF(A129="","",IF(COUNTIF(المبيعات!$C$2:$C$2000,A129)=0,"",_xlfn.MAXIFS(المبيعات!$A$2:$A$2000,المبيعات!$C$2:$C$2000,A129)))</f>
        <v/>
      </c>
      <c r="F129">
        <f>IF(A129="","",SUMIFS(المبيعات!$H$2:$H$2000,المبيعات!$C$2:$C$2000,A129,المبيعات!$J$2:$J$2000,"آجل"))</f>
        <v/>
      </c>
      <c r="G129" s="4" t="n"/>
      <c r="H129">
        <f>IF(A129="","",F129-G129)</f>
        <v/>
      </c>
    </row>
    <row r="130">
      <c r="A130" s="4" t="n"/>
      <c r="B130" s="4" t="n"/>
      <c r="C130">
        <f>IF(A130="","",SUMPRODUCT((المبيعات!$C$2:$C$2000=A130)*(المبيعات!$B$2:$B$2000&lt;&gt;"")/COUNTIFS(المبيعات!$B$2:$B$2000,المبيعات!$B$2:$B$2000&amp;"",المبيعات!$C$2:$C$2000,المبيعات!$C$2:$C$2000&amp;"")))</f>
        <v/>
      </c>
      <c r="D130">
        <f>IF(A130="","",SUMIFS(المبيعات!$H$2:$H$2000,المبيعات!$C$2:$C$2000,A130))</f>
        <v/>
      </c>
      <c r="E130" s="13">
        <f>IF(A130="","",IF(COUNTIF(المبيعات!$C$2:$C$2000,A130)=0,"",_xlfn.MAXIFS(المبيعات!$A$2:$A$2000,المبيعات!$C$2:$C$2000,A130)))</f>
        <v/>
      </c>
      <c r="F130">
        <f>IF(A130="","",SUMIFS(المبيعات!$H$2:$H$2000,المبيعات!$C$2:$C$2000,A130,المبيعات!$J$2:$J$2000,"آجل"))</f>
        <v/>
      </c>
      <c r="G130" s="4" t="n"/>
      <c r="H130">
        <f>IF(A130="","",F130-G130)</f>
        <v/>
      </c>
    </row>
    <row r="131">
      <c r="A131" s="4" t="n"/>
      <c r="B131" s="4" t="n"/>
      <c r="C131">
        <f>IF(A131="","",SUMPRODUCT((المبيعات!$C$2:$C$2000=A131)*(المبيعات!$B$2:$B$2000&lt;&gt;"")/COUNTIFS(المبيعات!$B$2:$B$2000,المبيعات!$B$2:$B$2000&amp;"",المبيعات!$C$2:$C$2000,المبيعات!$C$2:$C$2000&amp;"")))</f>
        <v/>
      </c>
      <c r="D131">
        <f>IF(A131="","",SUMIFS(المبيعات!$H$2:$H$2000,المبيعات!$C$2:$C$2000,A131))</f>
        <v/>
      </c>
      <c r="E131" s="13">
        <f>IF(A131="","",IF(COUNTIF(المبيعات!$C$2:$C$2000,A131)=0,"",_xlfn.MAXIFS(المبيعات!$A$2:$A$2000,المبيعات!$C$2:$C$2000,A131)))</f>
        <v/>
      </c>
      <c r="F131">
        <f>IF(A131="","",SUMIFS(المبيعات!$H$2:$H$2000,المبيعات!$C$2:$C$2000,A131,المبيعات!$J$2:$J$2000,"آجل"))</f>
        <v/>
      </c>
      <c r="G131" s="4" t="n"/>
      <c r="H131">
        <f>IF(A131="","",F131-G131)</f>
        <v/>
      </c>
    </row>
    <row r="132">
      <c r="A132" s="4" t="n"/>
      <c r="B132" s="4" t="n"/>
      <c r="C132">
        <f>IF(A132="","",SUMPRODUCT((المبيعات!$C$2:$C$2000=A132)*(المبيعات!$B$2:$B$2000&lt;&gt;"")/COUNTIFS(المبيعات!$B$2:$B$2000,المبيعات!$B$2:$B$2000&amp;"",المبيعات!$C$2:$C$2000,المبيعات!$C$2:$C$2000&amp;"")))</f>
        <v/>
      </c>
      <c r="D132">
        <f>IF(A132="","",SUMIFS(المبيعات!$H$2:$H$2000,المبيعات!$C$2:$C$2000,A132))</f>
        <v/>
      </c>
      <c r="E132" s="13">
        <f>IF(A132="","",IF(COUNTIF(المبيعات!$C$2:$C$2000,A132)=0,"",_xlfn.MAXIFS(المبيعات!$A$2:$A$2000,المبيعات!$C$2:$C$2000,A132)))</f>
        <v/>
      </c>
      <c r="F132">
        <f>IF(A132="","",SUMIFS(المبيعات!$H$2:$H$2000,المبيعات!$C$2:$C$2000,A132,المبيعات!$J$2:$J$2000,"آجل"))</f>
        <v/>
      </c>
      <c r="G132" s="4" t="n"/>
      <c r="H132">
        <f>IF(A132="","",F132-G132)</f>
        <v/>
      </c>
    </row>
    <row r="133">
      <c r="A133" s="4" t="n"/>
      <c r="B133" s="4" t="n"/>
      <c r="C133">
        <f>IF(A133="","",SUMPRODUCT((المبيعات!$C$2:$C$2000=A133)*(المبيعات!$B$2:$B$2000&lt;&gt;"")/COUNTIFS(المبيعات!$B$2:$B$2000,المبيعات!$B$2:$B$2000&amp;"",المبيعات!$C$2:$C$2000,المبيعات!$C$2:$C$2000&amp;"")))</f>
        <v/>
      </c>
      <c r="D133">
        <f>IF(A133="","",SUMIFS(المبيعات!$H$2:$H$2000,المبيعات!$C$2:$C$2000,A133))</f>
        <v/>
      </c>
      <c r="E133" s="13">
        <f>IF(A133="","",IF(COUNTIF(المبيعات!$C$2:$C$2000,A133)=0,"",_xlfn.MAXIFS(المبيعات!$A$2:$A$2000,المبيعات!$C$2:$C$2000,A133)))</f>
        <v/>
      </c>
      <c r="F133">
        <f>IF(A133="","",SUMIFS(المبيعات!$H$2:$H$2000,المبيعات!$C$2:$C$2000,A133,المبيعات!$J$2:$J$2000,"آجل"))</f>
        <v/>
      </c>
      <c r="G133" s="4" t="n"/>
      <c r="H133">
        <f>IF(A133="","",F133-G133)</f>
        <v/>
      </c>
    </row>
    <row r="134">
      <c r="A134" s="4" t="n"/>
      <c r="B134" s="4" t="n"/>
      <c r="C134">
        <f>IF(A134="","",SUMPRODUCT((المبيعات!$C$2:$C$2000=A134)*(المبيعات!$B$2:$B$2000&lt;&gt;"")/COUNTIFS(المبيعات!$B$2:$B$2000,المبيعات!$B$2:$B$2000&amp;"",المبيعات!$C$2:$C$2000,المبيعات!$C$2:$C$2000&amp;"")))</f>
        <v/>
      </c>
      <c r="D134">
        <f>IF(A134="","",SUMIFS(المبيعات!$H$2:$H$2000,المبيعات!$C$2:$C$2000,A134))</f>
        <v/>
      </c>
      <c r="E134" s="13">
        <f>IF(A134="","",IF(COUNTIF(المبيعات!$C$2:$C$2000,A134)=0,"",_xlfn.MAXIFS(المبيعات!$A$2:$A$2000,المبيعات!$C$2:$C$2000,A134)))</f>
        <v/>
      </c>
      <c r="F134">
        <f>IF(A134="","",SUMIFS(المبيعات!$H$2:$H$2000,المبيعات!$C$2:$C$2000,A134,المبيعات!$J$2:$J$2000,"آجل"))</f>
        <v/>
      </c>
      <c r="G134" s="4" t="n"/>
      <c r="H134">
        <f>IF(A134="","",F134-G134)</f>
        <v/>
      </c>
    </row>
    <row r="135">
      <c r="A135" s="4" t="n"/>
      <c r="B135" s="4" t="n"/>
      <c r="C135">
        <f>IF(A135="","",SUMPRODUCT((المبيعات!$C$2:$C$2000=A135)*(المبيعات!$B$2:$B$2000&lt;&gt;"")/COUNTIFS(المبيعات!$B$2:$B$2000,المبيعات!$B$2:$B$2000&amp;"",المبيعات!$C$2:$C$2000,المبيعات!$C$2:$C$2000&amp;"")))</f>
        <v/>
      </c>
      <c r="D135">
        <f>IF(A135="","",SUMIFS(المبيعات!$H$2:$H$2000,المبيعات!$C$2:$C$2000,A135))</f>
        <v/>
      </c>
      <c r="E135" s="13">
        <f>IF(A135="","",IF(COUNTIF(المبيعات!$C$2:$C$2000,A135)=0,"",_xlfn.MAXIFS(المبيعات!$A$2:$A$2000,المبيعات!$C$2:$C$2000,A135)))</f>
        <v/>
      </c>
      <c r="F135">
        <f>IF(A135="","",SUMIFS(المبيعات!$H$2:$H$2000,المبيعات!$C$2:$C$2000,A135,المبيعات!$J$2:$J$2000,"آجل"))</f>
        <v/>
      </c>
      <c r="G135" s="4" t="n"/>
      <c r="H135">
        <f>IF(A135="","",F135-G135)</f>
        <v/>
      </c>
    </row>
    <row r="136">
      <c r="A136" s="4" t="n"/>
      <c r="B136" s="4" t="n"/>
      <c r="C136">
        <f>IF(A136="","",SUMPRODUCT((المبيعات!$C$2:$C$2000=A136)*(المبيعات!$B$2:$B$2000&lt;&gt;"")/COUNTIFS(المبيعات!$B$2:$B$2000,المبيعات!$B$2:$B$2000&amp;"",المبيعات!$C$2:$C$2000,المبيعات!$C$2:$C$2000&amp;"")))</f>
        <v/>
      </c>
      <c r="D136">
        <f>IF(A136="","",SUMIFS(المبيعات!$H$2:$H$2000,المبيعات!$C$2:$C$2000,A136))</f>
        <v/>
      </c>
      <c r="E136" s="13">
        <f>IF(A136="","",IF(COUNTIF(المبيعات!$C$2:$C$2000,A136)=0,"",_xlfn.MAXIFS(المبيعات!$A$2:$A$2000,المبيعات!$C$2:$C$2000,A136)))</f>
        <v/>
      </c>
      <c r="F136">
        <f>IF(A136="","",SUMIFS(المبيعات!$H$2:$H$2000,المبيعات!$C$2:$C$2000,A136,المبيعات!$J$2:$J$2000,"آجل"))</f>
        <v/>
      </c>
      <c r="G136" s="4" t="n"/>
      <c r="H136">
        <f>IF(A136="","",F136-G136)</f>
        <v/>
      </c>
    </row>
    <row r="137">
      <c r="A137" s="4" t="n"/>
      <c r="B137" s="4" t="n"/>
      <c r="C137">
        <f>IF(A137="","",SUMPRODUCT((المبيعات!$C$2:$C$2000=A137)*(المبيعات!$B$2:$B$2000&lt;&gt;"")/COUNTIFS(المبيعات!$B$2:$B$2000,المبيعات!$B$2:$B$2000&amp;"",المبيعات!$C$2:$C$2000,المبيعات!$C$2:$C$2000&amp;"")))</f>
        <v/>
      </c>
      <c r="D137">
        <f>IF(A137="","",SUMIFS(المبيعات!$H$2:$H$2000,المبيعات!$C$2:$C$2000,A137))</f>
        <v/>
      </c>
      <c r="E137" s="13">
        <f>IF(A137="","",IF(COUNTIF(المبيعات!$C$2:$C$2000,A137)=0,"",_xlfn.MAXIFS(المبيعات!$A$2:$A$2000,المبيعات!$C$2:$C$2000,A137)))</f>
        <v/>
      </c>
      <c r="F137">
        <f>IF(A137="","",SUMIFS(المبيعات!$H$2:$H$2000,المبيعات!$C$2:$C$2000,A137,المبيعات!$J$2:$J$2000,"آجل"))</f>
        <v/>
      </c>
      <c r="G137" s="4" t="n"/>
      <c r="H137">
        <f>IF(A137="","",F137-G137)</f>
        <v/>
      </c>
    </row>
    <row r="138">
      <c r="A138" s="4" t="n"/>
      <c r="B138" s="4" t="n"/>
      <c r="C138">
        <f>IF(A138="","",SUMPRODUCT((المبيعات!$C$2:$C$2000=A138)*(المبيعات!$B$2:$B$2000&lt;&gt;"")/COUNTIFS(المبيعات!$B$2:$B$2000,المبيعات!$B$2:$B$2000&amp;"",المبيعات!$C$2:$C$2000,المبيعات!$C$2:$C$2000&amp;"")))</f>
        <v/>
      </c>
      <c r="D138">
        <f>IF(A138="","",SUMIFS(المبيعات!$H$2:$H$2000,المبيعات!$C$2:$C$2000,A138))</f>
        <v/>
      </c>
      <c r="E138" s="13">
        <f>IF(A138="","",IF(COUNTIF(المبيعات!$C$2:$C$2000,A138)=0,"",_xlfn.MAXIFS(المبيعات!$A$2:$A$2000,المبيعات!$C$2:$C$2000,A138)))</f>
        <v/>
      </c>
      <c r="F138">
        <f>IF(A138="","",SUMIFS(المبيعات!$H$2:$H$2000,المبيعات!$C$2:$C$2000,A138,المبيعات!$J$2:$J$2000,"آجل"))</f>
        <v/>
      </c>
      <c r="G138" s="4" t="n"/>
      <c r="H138">
        <f>IF(A138="","",F138-G138)</f>
        <v/>
      </c>
    </row>
    <row r="139">
      <c r="A139" s="4" t="n"/>
      <c r="B139" s="4" t="n"/>
      <c r="C139">
        <f>IF(A139="","",SUMPRODUCT((المبيعات!$C$2:$C$2000=A139)*(المبيعات!$B$2:$B$2000&lt;&gt;"")/COUNTIFS(المبيعات!$B$2:$B$2000,المبيعات!$B$2:$B$2000&amp;"",المبيعات!$C$2:$C$2000,المبيعات!$C$2:$C$2000&amp;"")))</f>
        <v/>
      </c>
      <c r="D139">
        <f>IF(A139="","",SUMIFS(المبيعات!$H$2:$H$2000,المبيعات!$C$2:$C$2000,A139))</f>
        <v/>
      </c>
      <c r="E139" s="13">
        <f>IF(A139="","",IF(COUNTIF(المبيعات!$C$2:$C$2000,A139)=0,"",_xlfn.MAXIFS(المبيعات!$A$2:$A$2000,المبيعات!$C$2:$C$2000,A139)))</f>
        <v/>
      </c>
      <c r="F139">
        <f>IF(A139="","",SUMIFS(المبيعات!$H$2:$H$2000,المبيعات!$C$2:$C$2000,A139,المبيعات!$J$2:$J$2000,"آجل"))</f>
        <v/>
      </c>
      <c r="G139" s="4" t="n"/>
      <c r="H139">
        <f>IF(A139="","",F139-G139)</f>
        <v/>
      </c>
    </row>
    <row r="140">
      <c r="A140" s="4" t="n"/>
      <c r="B140" s="4" t="n"/>
      <c r="C140">
        <f>IF(A140="","",SUMPRODUCT((المبيعات!$C$2:$C$2000=A140)*(المبيعات!$B$2:$B$2000&lt;&gt;"")/COUNTIFS(المبيعات!$B$2:$B$2000,المبيعات!$B$2:$B$2000&amp;"",المبيعات!$C$2:$C$2000,المبيعات!$C$2:$C$2000&amp;"")))</f>
        <v/>
      </c>
      <c r="D140">
        <f>IF(A140="","",SUMIFS(المبيعات!$H$2:$H$2000,المبيعات!$C$2:$C$2000,A140))</f>
        <v/>
      </c>
      <c r="E140" s="13">
        <f>IF(A140="","",IF(COUNTIF(المبيعات!$C$2:$C$2000,A140)=0,"",_xlfn.MAXIFS(المبيعات!$A$2:$A$2000,المبيعات!$C$2:$C$2000,A140)))</f>
        <v/>
      </c>
      <c r="F140">
        <f>IF(A140="","",SUMIFS(المبيعات!$H$2:$H$2000,المبيعات!$C$2:$C$2000,A140,المبيعات!$J$2:$J$2000,"آجل"))</f>
        <v/>
      </c>
      <c r="G140" s="4" t="n"/>
      <c r="H140">
        <f>IF(A140="","",F140-G140)</f>
        <v/>
      </c>
    </row>
    <row r="141">
      <c r="A141" s="4" t="n"/>
      <c r="B141" s="4" t="n"/>
      <c r="C141">
        <f>IF(A141="","",SUMPRODUCT((المبيعات!$C$2:$C$2000=A141)*(المبيعات!$B$2:$B$2000&lt;&gt;"")/COUNTIFS(المبيعات!$B$2:$B$2000,المبيعات!$B$2:$B$2000&amp;"",المبيعات!$C$2:$C$2000,المبيعات!$C$2:$C$2000&amp;"")))</f>
        <v/>
      </c>
      <c r="D141">
        <f>IF(A141="","",SUMIFS(المبيعات!$H$2:$H$2000,المبيعات!$C$2:$C$2000,A141))</f>
        <v/>
      </c>
      <c r="E141" s="13">
        <f>IF(A141="","",IF(COUNTIF(المبيعات!$C$2:$C$2000,A141)=0,"",_xlfn.MAXIFS(المبيعات!$A$2:$A$2000,المبيعات!$C$2:$C$2000,A141)))</f>
        <v/>
      </c>
      <c r="F141">
        <f>IF(A141="","",SUMIFS(المبيعات!$H$2:$H$2000,المبيعات!$C$2:$C$2000,A141,المبيعات!$J$2:$J$2000,"آجل"))</f>
        <v/>
      </c>
      <c r="G141" s="4" t="n"/>
      <c r="H141">
        <f>IF(A141="","",F141-G141)</f>
        <v/>
      </c>
    </row>
    <row r="142">
      <c r="A142" s="4" t="n"/>
      <c r="B142" s="4" t="n"/>
      <c r="C142">
        <f>IF(A142="","",SUMPRODUCT((المبيعات!$C$2:$C$2000=A142)*(المبيعات!$B$2:$B$2000&lt;&gt;"")/COUNTIFS(المبيعات!$B$2:$B$2000,المبيعات!$B$2:$B$2000&amp;"",المبيعات!$C$2:$C$2000,المبيعات!$C$2:$C$2000&amp;"")))</f>
        <v/>
      </c>
      <c r="D142">
        <f>IF(A142="","",SUMIFS(المبيعات!$H$2:$H$2000,المبيعات!$C$2:$C$2000,A142))</f>
        <v/>
      </c>
      <c r="E142" s="13">
        <f>IF(A142="","",IF(COUNTIF(المبيعات!$C$2:$C$2000,A142)=0,"",_xlfn.MAXIFS(المبيعات!$A$2:$A$2000,المبيعات!$C$2:$C$2000,A142)))</f>
        <v/>
      </c>
      <c r="F142">
        <f>IF(A142="","",SUMIFS(المبيعات!$H$2:$H$2000,المبيعات!$C$2:$C$2000,A142,المبيعات!$J$2:$J$2000,"آجل"))</f>
        <v/>
      </c>
      <c r="G142" s="4" t="n"/>
      <c r="H142">
        <f>IF(A142="","",F142-G142)</f>
        <v/>
      </c>
    </row>
    <row r="143">
      <c r="A143" s="4" t="n"/>
      <c r="B143" s="4" t="n"/>
      <c r="C143">
        <f>IF(A143="","",SUMPRODUCT((المبيعات!$C$2:$C$2000=A143)*(المبيعات!$B$2:$B$2000&lt;&gt;"")/COUNTIFS(المبيعات!$B$2:$B$2000,المبيعات!$B$2:$B$2000&amp;"",المبيعات!$C$2:$C$2000,المبيعات!$C$2:$C$2000&amp;"")))</f>
        <v/>
      </c>
      <c r="D143">
        <f>IF(A143="","",SUMIFS(المبيعات!$H$2:$H$2000,المبيعات!$C$2:$C$2000,A143))</f>
        <v/>
      </c>
      <c r="E143" s="13">
        <f>IF(A143="","",IF(COUNTIF(المبيعات!$C$2:$C$2000,A143)=0,"",_xlfn.MAXIFS(المبيعات!$A$2:$A$2000,المبيعات!$C$2:$C$2000,A143)))</f>
        <v/>
      </c>
      <c r="F143">
        <f>IF(A143="","",SUMIFS(المبيعات!$H$2:$H$2000,المبيعات!$C$2:$C$2000,A143,المبيعات!$J$2:$J$2000,"آجل"))</f>
        <v/>
      </c>
      <c r="G143" s="4" t="n"/>
      <c r="H143">
        <f>IF(A143="","",F143-G143)</f>
        <v/>
      </c>
    </row>
    <row r="144">
      <c r="A144" s="4" t="n"/>
      <c r="B144" s="4" t="n"/>
      <c r="C144">
        <f>IF(A144="","",SUMPRODUCT((المبيعات!$C$2:$C$2000=A144)*(المبيعات!$B$2:$B$2000&lt;&gt;"")/COUNTIFS(المبيعات!$B$2:$B$2000,المبيعات!$B$2:$B$2000&amp;"",المبيعات!$C$2:$C$2000,المبيعات!$C$2:$C$2000&amp;"")))</f>
        <v/>
      </c>
      <c r="D144">
        <f>IF(A144="","",SUMIFS(المبيعات!$H$2:$H$2000,المبيعات!$C$2:$C$2000,A144))</f>
        <v/>
      </c>
      <c r="E144" s="13">
        <f>IF(A144="","",IF(COUNTIF(المبيعات!$C$2:$C$2000,A144)=0,"",_xlfn.MAXIFS(المبيعات!$A$2:$A$2000,المبيعات!$C$2:$C$2000,A144)))</f>
        <v/>
      </c>
      <c r="F144">
        <f>IF(A144="","",SUMIFS(المبيعات!$H$2:$H$2000,المبيعات!$C$2:$C$2000,A144,المبيعات!$J$2:$J$2000,"آجل"))</f>
        <v/>
      </c>
      <c r="G144" s="4" t="n"/>
      <c r="H144">
        <f>IF(A144="","",F144-G144)</f>
        <v/>
      </c>
    </row>
    <row r="145">
      <c r="A145" s="4" t="n"/>
      <c r="B145" s="4" t="n"/>
      <c r="C145">
        <f>IF(A145="","",SUMPRODUCT((المبيعات!$C$2:$C$2000=A145)*(المبيعات!$B$2:$B$2000&lt;&gt;"")/COUNTIFS(المبيعات!$B$2:$B$2000,المبيعات!$B$2:$B$2000&amp;"",المبيعات!$C$2:$C$2000,المبيعات!$C$2:$C$2000&amp;"")))</f>
        <v/>
      </c>
      <c r="D145">
        <f>IF(A145="","",SUMIFS(المبيعات!$H$2:$H$2000,المبيعات!$C$2:$C$2000,A145))</f>
        <v/>
      </c>
      <c r="E145" s="13">
        <f>IF(A145="","",IF(COUNTIF(المبيعات!$C$2:$C$2000,A145)=0,"",_xlfn.MAXIFS(المبيعات!$A$2:$A$2000,المبيعات!$C$2:$C$2000,A145)))</f>
        <v/>
      </c>
      <c r="F145">
        <f>IF(A145="","",SUMIFS(المبيعات!$H$2:$H$2000,المبيعات!$C$2:$C$2000,A145,المبيعات!$J$2:$J$2000,"آجل"))</f>
        <v/>
      </c>
      <c r="G145" s="4" t="n"/>
      <c r="H145">
        <f>IF(A145="","",F145-G145)</f>
        <v/>
      </c>
    </row>
    <row r="146">
      <c r="A146" s="4" t="n"/>
      <c r="B146" s="4" t="n"/>
      <c r="C146">
        <f>IF(A146="","",SUMPRODUCT((المبيعات!$C$2:$C$2000=A146)*(المبيعات!$B$2:$B$2000&lt;&gt;"")/COUNTIFS(المبيعات!$B$2:$B$2000,المبيعات!$B$2:$B$2000&amp;"",المبيعات!$C$2:$C$2000,المبيعات!$C$2:$C$2000&amp;"")))</f>
        <v/>
      </c>
      <c r="D146">
        <f>IF(A146="","",SUMIFS(المبيعات!$H$2:$H$2000,المبيعات!$C$2:$C$2000,A146))</f>
        <v/>
      </c>
      <c r="E146" s="13">
        <f>IF(A146="","",IF(COUNTIF(المبيعات!$C$2:$C$2000,A146)=0,"",_xlfn.MAXIFS(المبيعات!$A$2:$A$2000,المبيعات!$C$2:$C$2000,A146)))</f>
        <v/>
      </c>
      <c r="F146">
        <f>IF(A146="","",SUMIFS(المبيعات!$H$2:$H$2000,المبيعات!$C$2:$C$2000,A146,المبيعات!$J$2:$J$2000,"آجل"))</f>
        <v/>
      </c>
      <c r="G146" s="4" t="n"/>
      <c r="H146">
        <f>IF(A146="","",F146-G146)</f>
        <v/>
      </c>
    </row>
    <row r="147">
      <c r="A147" s="4" t="n"/>
      <c r="B147" s="4" t="n"/>
      <c r="C147">
        <f>IF(A147="","",SUMPRODUCT((المبيعات!$C$2:$C$2000=A147)*(المبيعات!$B$2:$B$2000&lt;&gt;"")/COUNTIFS(المبيعات!$B$2:$B$2000,المبيعات!$B$2:$B$2000&amp;"",المبيعات!$C$2:$C$2000,المبيعات!$C$2:$C$2000&amp;"")))</f>
        <v/>
      </c>
      <c r="D147">
        <f>IF(A147="","",SUMIFS(المبيعات!$H$2:$H$2000,المبيعات!$C$2:$C$2000,A147))</f>
        <v/>
      </c>
      <c r="E147" s="13">
        <f>IF(A147="","",IF(COUNTIF(المبيعات!$C$2:$C$2000,A147)=0,"",_xlfn.MAXIFS(المبيعات!$A$2:$A$2000,المبيعات!$C$2:$C$2000,A147)))</f>
        <v/>
      </c>
      <c r="F147">
        <f>IF(A147="","",SUMIFS(المبيعات!$H$2:$H$2000,المبيعات!$C$2:$C$2000,A147,المبيعات!$J$2:$J$2000,"آجل"))</f>
        <v/>
      </c>
      <c r="G147" s="4" t="n"/>
      <c r="H147">
        <f>IF(A147="","",F147-G147)</f>
        <v/>
      </c>
    </row>
    <row r="148">
      <c r="A148" s="4" t="n"/>
      <c r="B148" s="4" t="n"/>
      <c r="C148">
        <f>IF(A148="","",SUMPRODUCT((المبيعات!$C$2:$C$2000=A148)*(المبيعات!$B$2:$B$2000&lt;&gt;"")/COUNTIFS(المبيعات!$B$2:$B$2000,المبيعات!$B$2:$B$2000&amp;"",المبيعات!$C$2:$C$2000,المبيعات!$C$2:$C$2000&amp;"")))</f>
        <v/>
      </c>
      <c r="D148">
        <f>IF(A148="","",SUMIFS(المبيعات!$H$2:$H$2000,المبيعات!$C$2:$C$2000,A148))</f>
        <v/>
      </c>
      <c r="E148" s="13">
        <f>IF(A148="","",IF(COUNTIF(المبيعات!$C$2:$C$2000,A148)=0,"",_xlfn.MAXIFS(المبيعات!$A$2:$A$2000,المبيعات!$C$2:$C$2000,A148)))</f>
        <v/>
      </c>
      <c r="F148">
        <f>IF(A148="","",SUMIFS(المبيعات!$H$2:$H$2000,المبيعات!$C$2:$C$2000,A148,المبيعات!$J$2:$J$2000,"آجل"))</f>
        <v/>
      </c>
      <c r="G148" s="4" t="n"/>
      <c r="H148">
        <f>IF(A148="","",F148-G148)</f>
        <v/>
      </c>
    </row>
    <row r="149">
      <c r="A149" s="4" t="n"/>
      <c r="B149" s="4" t="n"/>
      <c r="C149">
        <f>IF(A149="","",SUMPRODUCT((المبيعات!$C$2:$C$2000=A149)*(المبيعات!$B$2:$B$2000&lt;&gt;"")/COUNTIFS(المبيعات!$B$2:$B$2000,المبيعات!$B$2:$B$2000&amp;"",المبيعات!$C$2:$C$2000,المبيعات!$C$2:$C$2000&amp;"")))</f>
        <v/>
      </c>
      <c r="D149">
        <f>IF(A149="","",SUMIFS(المبيعات!$H$2:$H$2000,المبيعات!$C$2:$C$2000,A149))</f>
        <v/>
      </c>
      <c r="E149" s="13">
        <f>IF(A149="","",IF(COUNTIF(المبيعات!$C$2:$C$2000,A149)=0,"",_xlfn.MAXIFS(المبيعات!$A$2:$A$2000,المبيعات!$C$2:$C$2000,A149)))</f>
        <v/>
      </c>
      <c r="F149">
        <f>IF(A149="","",SUMIFS(المبيعات!$H$2:$H$2000,المبيعات!$C$2:$C$2000,A149,المبيعات!$J$2:$J$2000,"آجل"))</f>
        <v/>
      </c>
      <c r="G149" s="4" t="n"/>
      <c r="H149">
        <f>IF(A149="","",F149-G149)</f>
        <v/>
      </c>
    </row>
    <row r="150">
      <c r="A150" s="4" t="n"/>
      <c r="B150" s="4" t="n"/>
      <c r="C150">
        <f>IF(A150="","",SUMPRODUCT((المبيعات!$C$2:$C$2000=A150)*(المبيعات!$B$2:$B$2000&lt;&gt;"")/COUNTIFS(المبيعات!$B$2:$B$2000,المبيعات!$B$2:$B$2000&amp;"",المبيعات!$C$2:$C$2000,المبيعات!$C$2:$C$2000&amp;"")))</f>
        <v/>
      </c>
      <c r="D150">
        <f>IF(A150="","",SUMIFS(المبيعات!$H$2:$H$2000,المبيعات!$C$2:$C$2000,A150))</f>
        <v/>
      </c>
      <c r="E150" s="13">
        <f>IF(A150="","",IF(COUNTIF(المبيعات!$C$2:$C$2000,A150)=0,"",_xlfn.MAXIFS(المبيعات!$A$2:$A$2000,المبيعات!$C$2:$C$2000,A150)))</f>
        <v/>
      </c>
      <c r="F150">
        <f>IF(A150="","",SUMIFS(المبيعات!$H$2:$H$2000,المبيعات!$C$2:$C$2000,A150,المبيعات!$J$2:$J$2000,"آجل"))</f>
        <v/>
      </c>
      <c r="G150" s="4" t="n"/>
      <c r="H150">
        <f>IF(A150="","",F150-G150)</f>
        <v/>
      </c>
    </row>
    <row r="151">
      <c r="A151" s="4" t="n"/>
      <c r="B151" s="4" t="n"/>
      <c r="C151">
        <f>IF(A151="","",SUMPRODUCT((المبيعات!$C$2:$C$2000=A151)*(المبيعات!$B$2:$B$2000&lt;&gt;"")/COUNTIFS(المبيعات!$B$2:$B$2000,المبيعات!$B$2:$B$2000&amp;"",المبيعات!$C$2:$C$2000,المبيعات!$C$2:$C$2000&amp;"")))</f>
        <v/>
      </c>
      <c r="D151">
        <f>IF(A151="","",SUMIFS(المبيعات!$H$2:$H$2000,المبيعات!$C$2:$C$2000,A151))</f>
        <v/>
      </c>
      <c r="E151" s="13">
        <f>IF(A151="","",IF(COUNTIF(المبيعات!$C$2:$C$2000,A151)=0,"",_xlfn.MAXIFS(المبيعات!$A$2:$A$2000,المبيعات!$C$2:$C$2000,A151)))</f>
        <v/>
      </c>
      <c r="F151">
        <f>IF(A151="","",SUMIFS(المبيعات!$H$2:$H$2000,المبيعات!$C$2:$C$2000,A151,المبيعات!$J$2:$J$2000,"آجل"))</f>
        <v/>
      </c>
      <c r="G151" s="4" t="n"/>
      <c r="H151">
        <f>IF(A151="","",F151-G151)</f>
        <v/>
      </c>
    </row>
    <row r="152">
      <c r="A152" s="4" t="n"/>
      <c r="B152" s="4" t="n"/>
      <c r="C152">
        <f>IF(A152="","",SUMPRODUCT((المبيعات!$C$2:$C$2000=A152)*(المبيعات!$B$2:$B$2000&lt;&gt;"")/COUNTIFS(المبيعات!$B$2:$B$2000,المبيعات!$B$2:$B$2000&amp;"",المبيعات!$C$2:$C$2000,المبيعات!$C$2:$C$2000&amp;"")))</f>
        <v/>
      </c>
      <c r="D152">
        <f>IF(A152="","",SUMIFS(المبيعات!$H$2:$H$2000,المبيعات!$C$2:$C$2000,A152))</f>
        <v/>
      </c>
      <c r="E152" s="13">
        <f>IF(A152="","",IF(COUNTIF(المبيعات!$C$2:$C$2000,A152)=0,"",_xlfn.MAXIFS(المبيعات!$A$2:$A$2000,المبيعات!$C$2:$C$2000,A152)))</f>
        <v/>
      </c>
      <c r="F152">
        <f>IF(A152="","",SUMIFS(المبيعات!$H$2:$H$2000,المبيعات!$C$2:$C$2000,A152,المبيعات!$J$2:$J$2000,"آجل"))</f>
        <v/>
      </c>
      <c r="G152" s="4" t="n"/>
      <c r="H152">
        <f>IF(A152="","",F152-G152)</f>
        <v/>
      </c>
    </row>
    <row r="153">
      <c r="A153" s="4" t="n"/>
      <c r="B153" s="4" t="n"/>
      <c r="C153">
        <f>IF(A153="","",SUMPRODUCT((المبيعات!$C$2:$C$2000=A153)*(المبيعات!$B$2:$B$2000&lt;&gt;"")/COUNTIFS(المبيعات!$B$2:$B$2000,المبيعات!$B$2:$B$2000&amp;"",المبيعات!$C$2:$C$2000,المبيعات!$C$2:$C$2000&amp;"")))</f>
        <v/>
      </c>
      <c r="D153">
        <f>IF(A153="","",SUMIFS(المبيعات!$H$2:$H$2000,المبيعات!$C$2:$C$2000,A153))</f>
        <v/>
      </c>
      <c r="E153" s="13">
        <f>IF(A153="","",IF(COUNTIF(المبيعات!$C$2:$C$2000,A153)=0,"",_xlfn.MAXIFS(المبيعات!$A$2:$A$2000,المبيعات!$C$2:$C$2000,A153)))</f>
        <v/>
      </c>
      <c r="F153">
        <f>IF(A153="","",SUMIFS(المبيعات!$H$2:$H$2000,المبيعات!$C$2:$C$2000,A153,المبيعات!$J$2:$J$2000,"آجل"))</f>
        <v/>
      </c>
      <c r="G153" s="4" t="n"/>
      <c r="H153">
        <f>IF(A153="","",F153-G153)</f>
        <v/>
      </c>
    </row>
    <row r="154">
      <c r="A154" s="4" t="n"/>
      <c r="B154" s="4" t="n"/>
      <c r="C154">
        <f>IF(A154="","",SUMPRODUCT((المبيعات!$C$2:$C$2000=A154)*(المبيعات!$B$2:$B$2000&lt;&gt;"")/COUNTIFS(المبيعات!$B$2:$B$2000,المبيعات!$B$2:$B$2000&amp;"",المبيعات!$C$2:$C$2000,المبيعات!$C$2:$C$2000&amp;"")))</f>
        <v/>
      </c>
      <c r="D154">
        <f>IF(A154="","",SUMIFS(المبيعات!$H$2:$H$2000,المبيعات!$C$2:$C$2000,A154))</f>
        <v/>
      </c>
      <c r="E154" s="13">
        <f>IF(A154="","",IF(COUNTIF(المبيعات!$C$2:$C$2000,A154)=0,"",_xlfn.MAXIFS(المبيعات!$A$2:$A$2000,المبيعات!$C$2:$C$2000,A154)))</f>
        <v/>
      </c>
      <c r="F154">
        <f>IF(A154="","",SUMIFS(المبيعات!$H$2:$H$2000,المبيعات!$C$2:$C$2000,A154,المبيعات!$J$2:$J$2000,"آجل"))</f>
        <v/>
      </c>
      <c r="G154" s="4" t="n"/>
      <c r="H154">
        <f>IF(A154="","",F154-G154)</f>
        <v/>
      </c>
    </row>
    <row r="155">
      <c r="A155" s="4" t="n"/>
      <c r="B155" s="4" t="n"/>
      <c r="C155">
        <f>IF(A155="","",SUMPRODUCT((المبيعات!$C$2:$C$2000=A155)*(المبيعات!$B$2:$B$2000&lt;&gt;"")/COUNTIFS(المبيعات!$B$2:$B$2000,المبيعات!$B$2:$B$2000&amp;"",المبيعات!$C$2:$C$2000,المبيعات!$C$2:$C$2000&amp;"")))</f>
        <v/>
      </c>
      <c r="D155">
        <f>IF(A155="","",SUMIFS(المبيعات!$H$2:$H$2000,المبيعات!$C$2:$C$2000,A155))</f>
        <v/>
      </c>
      <c r="E155" s="13">
        <f>IF(A155="","",IF(COUNTIF(المبيعات!$C$2:$C$2000,A155)=0,"",_xlfn.MAXIFS(المبيعات!$A$2:$A$2000,المبيعات!$C$2:$C$2000,A155)))</f>
        <v/>
      </c>
      <c r="F155">
        <f>IF(A155="","",SUMIFS(المبيعات!$H$2:$H$2000,المبيعات!$C$2:$C$2000,A155,المبيعات!$J$2:$J$2000,"آجل"))</f>
        <v/>
      </c>
      <c r="G155" s="4" t="n"/>
      <c r="H155">
        <f>IF(A155="","",F155-G155)</f>
        <v/>
      </c>
    </row>
    <row r="156">
      <c r="A156" s="4" t="n"/>
      <c r="B156" s="4" t="n"/>
      <c r="C156">
        <f>IF(A156="","",SUMPRODUCT((المبيعات!$C$2:$C$2000=A156)*(المبيعات!$B$2:$B$2000&lt;&gt;"")/COUNTIFS(المبيعات!$B$2:$B$2000,المبيعات!$B$2:$B$2000&amp;"",المبيعات!$C$2:$C$2000,المبيعات!$C$2:$C$2000&amp;"")))</f>
        <v/>
      </c>
      <c r="D156">
        <f>IF(A156="","",SUMIFS(المبيعات!$H$2:$H$2000,المبيعات!$C$2:$C$2000,A156))</f>
        <v/>
      </c>
      <c r="E156" s="13">
        <f>IF(A156="","",IF(COUNTIF(المبيعات!$C$2:$C$2000,A156)=0,"",_xlfn.MAXIFS(المبيعات!$A$2:$A$2000,المبيعات!$C$2:$C$2000,A156)))</f>
        <v/>
      </c>
      <c r="F156">
        <f>IF(A156="","",SUMIFS(المبيعات!$H$2:$H$2000,المبيعات!$C$2:$C$2000,A156,المبيعات!$J$2:$J$2000,"آجل"))</f>
        <v/>
      </c>
      <c r="G156" s="4" t="n"/>
      <c r="H156">
        <f>IF(A156="","",F156-G156)</f>
        <v/>
      </c>
    </row>
    <row r="157">
      <c r="A157" s="4" t="n"/>
      <c r="B157" s="4" t="n"/>
      <c r="C157">
        <f>IF(A157="","",SUMPRODUCT((المبيعات!$C$2:$C$2000=A157)*(المبيعات!$B$2:$B$2000&lt;&gt;"")/COUNTIFS(المبيعات!$B$2:$B$2000,المبيعات!$B$2:$B$2000&amp;"",المبيعات!$C$2:$C$2000,المبيعات!$C$2:$C$2000&amp;"")))</f>
        <v/>
      </c>
      <c r="D157">
        <f>IF(A157="","",SUMIFS(المبيعات!$H$2:$H$2000,المبيعات!$C$2:$C$2000,A157))</f>
        <v/>
      </c>
      <c r="E157" s="13">
        <f>IF(A157="","",IF(COUNTIF(المبيعات!$C$2:$C$2000,A157)=0,"",_xlfn.MAXIFS(المبيعات!$A$2:$A$2000,المبيعات!$C$2:$C$2000,A157)))</f>
        <v/>
      </c>
      <c r="F157">
        <f>IF(A157="","",SUMIFS(المبيعات!$H$2:$H$2000,المبيعات!$C$2:$C$2000,A157,المبيعات!$J$2:$J$2000,"آجل"))</f>
        <v/>
      </c>
      <c r="G157" s="4" t="n"/>
      <c r="H157">
        <f>IF(A157="","",F157-G157)</f>
        <v/>
      </c>
    </row>
    <row r="158">
      <c r="A158" s="4" t="n"/>
      <c r="B158" s="4" t="n"/>
      <c r="C158">
        <f>IF(A158="","",SUMPRODUCT((المبيعات!$C$2:$C$2000=A158)*(المبيعات!$B$2:$B$2000&lt;&gt;"")/COUNTIFS(المبيعات!$B$2:$B$2000,المبيعات!$B$2:$B$2000&amp;"",المبيعات!$C$2:$C$2000,المبيعات!$C$2:$C$2000&amp;"")))</f>
        <v/>
      </c>
      <c r="D158">
        <f>IF(A158="","",SUMIFS(المبيعات!$H$2:$H$2000,المبيعات!$C$2:$C$2000,A158))</f>
        <v/>
      </c>
      <c r="E158" s="13">
        <f>IF(A158="","",IF(COUNTIF(المبيعات!$C$2:$C$2000,A158)=0,"",_xlfn.MAXIFS(المبيعات!$A$2:$A$2000,المبيعات!$C$2:$C$2000,A158)))</f>
        <v/>
      </c>
      <c r="F158">
        <f>IF(A158="","",SUMIFS(المبيعات!$H$2:$H$2000,المبيعات!$C$2:$C$2000,A158,المبيعات!$J$2:$J$2000,"آجل"))</f>
        <v/>
      </c>
      <c r="G158" s="4" t="n"/>
      <c r="H158">
        <f>IF(A158="","",F158-G158)</f>
        <v/>
      </c>
    </row>
    <row r="159">
      <c r="A159" s="4" t="n"/>
      <c r="B159" s="4" t="n"/>
      <c r="C159">
        <f>IF(A159="","",SUMPRODUCT((المبيعات!$C$2:$C$2000=A159)*(المبيعات!$B$2:$B$2000&lt;&gt;"")/COUNTIFS(المبيعات!$B$2:$B$2000,المبيعات!$B$2:$B$2000&amp;"",المبيعات!$C$2:$C$2000,المبيعات!$C$2:$C$2000&amp;"")))</f>
        <v/>
      </c>
      <c r="D159">
        <f>IF(A159="","",SUMIFS(المبيعات!$H$2:$H$2000,المبيعات!$C$2:$C$2000,A159))</f>
        <v/>
      </c>
      <c r="E159" s="13">
        <f>IF(A159="","",IF(COUNTIF(المبيعات!$C$2:$C$2000,A159)=0,"",_xlfn.MAXIFS(المبيعات!$A$2:$A$2000,المبيعات!$C$2:$C$2000,A159)))</f>
        <v/>
      </c>
      <c r="F159">
        <f>IF(A159="","",SUMIFS(المبيعات!$H$2:$H$2000,المبيعات!$C$2:$C$2000,A159,المبيعات!$J$2:$J$2000,"آجل"))</f>
        <v/>
      </c>
      <c r="G159" s="4" t="n"/>
      <c r="H159">
        <f>IF(A159="","",F159-G159)</f>
        <v/>
      </c>
    </row>
    <row r="160">
      <c r="A160" s="4" t="n"/>
      <c r="B160" s="4" t="n"/>
      <c r="C160">
        <f>IF(A160="","",SUMPRODUCT((المبيعات!$C$2:$C$2000=A160)*(المبيعات!$B$2:$B$2000&lt;&gt;"")/COUNTIFS(المبيعات!$B$2:$B$2000,المبيعات!$B$2:$B$2000&amp;"",المبيعات!$C$2:$C$2000,المبيعات!$C$2:$C$2000&amp;"")))</f>
        <v/>
      </c>
      <c r="D160">
        <f>IF(A160="","",SUMIFS(المبيعات!$H$2:$H$2000,المبيعات!$C$2:$C$2000,A160))</f>
        <v/>
      </c>
      <c r="E160" s="13">
        <f>IF(A160="","",IF(COUNTIF(المبيعات!$C$2:$C$2000,A160)=0,"",_xlfn.MAXIFS(المبيعات!$A$2:$A$2000,المبيعات!$C$2:$C$2000,A160)))</f>
        <v/>
      </c>
      <c r="F160">
        <f>IF(A160="","",SUMIFS(المبيعات!$H$2:$H$2000,المبيعات!$C$2:$C$2000,A160,المبيعات!$J$2:$J$2000,"آجل"))</f>
        <v/>
      </c>
      <c r="G160" s="4" t="n"/>
      <c r="H160">
        <f>IF(A160="","",F160-G160)</f>
        <v/>
      </c>
    </row>
    <row r="161">
      <c r="A161" s="4" t="n"/>
      <c r="B161" s="4" t="n"/>
      <c r="C161">
        <f>IF(A161="","",SUMPRODUCT((المبيعات!$C$2:$C$2000=A161)*(المبيعات!$B$2:$B$2000&lt;&gt;"")/COUNTIFS(المبيعات!$B$2:$B$2000,المبيعات!$B$2:$B$2000&amp;"",المبيعات!$C$2:$C$2000,المبيعات!$C$2:$C$2000&amp;"")))</f>
        <v/>
      </c>
      <c r="D161">
        <f>IF(A161="","",SUMIFS(المبيعات!$H$2:$H$2000,المبيعات!$C$2:$C$2000,A161))</f>
        <v/>
      </c>
      <c r="E161" s="13">
        <f>IF(A161="","",IF(COUNTIF(المبيعات!$C$2:$C$2000,A161)=0,"",_xlfn.MAXIFS(المبيعات!$A$2:$A$2000,المبيعات!$C$2:$C$2000,A161)))</f>
        <v/>
      </c>
      <c r="F161">
        <f>IF(A161="","",SUMIFS(المبيعات!$H$2:$H$2000,المبيعات!$C$2:$C$2000,A161,المبيعات!$J$2:$J$2000,"آجل"))</f>
        <v/>
      </c>
      <c r="G161" s="4" t="n"/>
      <c r="H161">
        <f>IF(A161="","",F161-G161)</f>
        <v/>
      </c>
    </row>
    <row r="162">
      <c r="A162" s="4" t="n"/>
      <c r="B162" s="4" t="n"/>
      <c r="C162">
        <f>IF(A162="","",SUMPRODUCT((المبيعات!$C$2:$C$2000=A162)*(المبيعات!$B$2:$B$2000&lt;&gt;"")/COUNTIFS(المبيعات!$B$2:$B$2000,المبيعات!$B$2:$B$2000&amp;"",المبيعات!$C$2:$C$2000,المبيعات!$C$2:$C$2000&amp;"")))</f>
        <v/>
      </c>
      <c r="D162">
        <f>IF(A162="","",SUMIFS(المبيعات!$H$2:$H$2000,المبيعات!$C$2:$C$2000,A162))</f>
        <v/>
      </c>
      <c r="E162" s="13">
        <f>IF(A162="","",IF(COUNTIF(المبيعات!$C$2:$C$2000,A162)=0,"",_xlfn.MAXIFS(المبيعات!$A$2:$A$2000,المبيعات!$C$2:$C$2000,A162)))</f>
        <v/>
      </c>
      <c r="F162">
        <f>IF(A162="","",SUMIFS(المبيعات!$H$2:$H$2000,المبيعات!$C$2:$C$2000,A162,المبيعات!$J$2:$J$2000,"آجل"))</f>
        <v/>
      </c>
      <c r="G162" s="4" t="n"/>
      <c r="H162">
        <f>IF(A162="","",F162-G162)</f>
        <v/>
      </c>
    </row>
    <row r="163">
      <c r="A163" s="4" t="n"/>
      <c r="B163" s="4" t="n"/>
      <c r="C163">
        <f>IF(A163="","",SUMPRODUCT((المبيعات!$C$2:$C$2000=A163)*(المبيعات!$B$2:$B$2000&lt;&gt;"")/COUNTIFS(المبيعات!$B$2:$B$2000,المبيعات!$B$2:$B$2000&amp;"",المبيعات!$C$2:$C$2000,المبيعات!$C$2:$C$2000&amp;"")))</f>
        <v/>
      </c>
      <c r="D163">
        <f>IF(A163="","",SUMIFS(المبيعات!$H$2:$H$2000,المبيعات!$C$2:$C$2000,A163))</f>
        <v/>
      </c>
      <c r="E163" s="13">
        <f>IF(A163="","",IF(COUNTIF(المبيعات!$C$2:$C$2000,A163)=0,"",_xlfn.MAXIFS(المبيعات!$A$2:$A$2000,المبيعات!$C$2:$C$2000,A163)))</f>
        <v/>
      </c>
      <c r="F163">
        <f>IF(A163="","",SUMIFS(المبيعات!$H$2:$H$2000,المبيعات!$C$2:$C$2000,A163,المبيعات!$J$2:$J$2000,"آجل"))</f>
        <v/>
      </c>
      <c r="G163" s="4" t="n"/>
      <c r="H163">
        <f>IF(A163="","",F163-G163)</f>
        <v/>
      </c>
    </row>
    <row r="164">
      <c r="A164" s="4" t="n"/>
      <c r="B164" s="4" t="n"/>
      <c r="C164">
        <f>IF(A164="","",SUMPRODUCT((المبيعات!$C$2:$C$2000=A164)*(المبيعات!$B$2:$B$2000&lt;&gt;"")/COUNTIFS(المبيعات!$B$2:$B$2000,المبيعات!$B$2:$B$2000&amp;"",المبيعات!$C$2:$C$2000,المبيعات!$C$2:$C$2000&amp;"")))</f>
        <v/>
      </c>
      <c r="D164">
        <f>IF(A164="","",SUMIFS(المبيعات!$H$2:$H$2000,المبيعات!$C$2:$C$2000,A164))</f>
        <v/>
      </c>
      <c r="E164" s="13">
        <f>IF(A164="","",IF(COUNTIF(المبيعات!$C$2:$C$2000,A164)=0,"",_xlfn.MAXIFS(المبيعات!$A$2:$A$2000,المبيعات!$C$2:$C$2000,A164)))</f>
        <v/>
      </c>
      <c r="F164">
        <f>IF(A164="","",SUMIFS(المبيعات!$H$2:$H$2000,المبيعات!$C$2:$C$2000,A164,المبيعات!$J$2:$J$2000,"آجل"))</f>
        <v/>
      </c>
      <c r="G164" s="4" t="n"/>
      <c r="H164">
        <f>IF(A164="","",F164-G164)</f>
        <v/>
      </c>
    </row>
    <row r="165">
      <c r="A165" s="4" t="n"/>
      <c r="B165" s="4" t="n"/>
      <c r="C165">
        <f>IF(A165="","",SUMPRODUCT((المبيعات!$C$2:$C$2000=A165)*(المبيعات!$B$2:$B$2000&lt;&gt;"")/COUNTIFS(المبيعات!$B$2:$B$2000,المبيعات!$B$2:$B$2000&amp;"",المبيعات!$C$2:$C$2000,المبيعات!$C$2:$C$2000&amp;"")))</f>
        <v/>
      </c>
      <c r="D165">
        <f>IF(A165="","",SUMIFS(المبيعات!$H$2:$H$2000,المبيعات!$C$2:$C$2000,A165))</f>
        <v/>
      </c>
      <c r="E165" s="13">
        <f>IF(A165="","",IF(COUNTIF(المبيعات!$C$2:$C$2000,A165)=0,"",_xlfn.MAXIFS(المبيعات!$A$2:$A$2000,المبيعات!$C$2:$C$2000,A165)))</f>
        <v/>
      </c>
      <c r="F165">
        <f>IF(A165="","",SUMIFS(المبيعات!$H$2:$H$2000,المبيعات!$C$2:$C$2000,A165,المبيعات!$J$2:$J$2000,"آجل"))</f>
        <v/>
      </c>
      <c r="G165" s="4" t="n"/>
      <c r="H165">
        <f>IF(A165="","",F165-G165)</f>
        <v/>
      </c>
    </row>
    <row r="166">
      <c r="A166" s="4" t="n"/>
      <c r="B166" s="4" t="n"/>
      <c r="C166">
        <f>IF(A166="","",SUMPRODUCT((المبيعات!$C$2:$C$2000=A166)*(المبيعات!$B$2:$B$2000&lt;&gt;"")/COUNTIFS(المبيعات!$B$2:$B$2000,المبيعات!$B$2:$B$2000&amp;"",المبيعات!$C$2:$C$2000,المبيعات!$C$2:$C$2000&amp;"")))</f>
        <v/>
      </c>
      <c r="D166">
        <f>IF(A166="","",SUMIFS(المبيعات!$H$2:$H$2000,المبيعات!$C$2:$C$2000,A166))</f>
        <v/>
      </c>
      <c r="E166" s="13">
        <f>IF(A166="","",IF(COUNTIF(المبيعات!$C$2:$C$2000,A166)=0,"",_xlfn.MAXIFS(المبيعات!$A$2:$A$2000,المبيعات!$C$2:$C$2000,A166)))</f>
        <v/>
      </c>
      <c r="F166">
        <f>IF(A166="","",SUMIFS(المبيعات!$H$2:$H$2000,المبيعات!$C$2:$C$2000,A166,المبيعات!$J$2:$J$2000,"آجل"))</f>
        <v/>
      </c>
      <c r="G166" s="4" t="n"/>
      <c r="H166">
        <f>IF(A166="","",F166-G166)</f>
        <v/>
      </c>
    </row>
    <row r="167">
      <c r="A167" s="4" t="n"/>
      <c r="B167" s="4" t="n"/>
      <c r="C167">
        <f>IF(A167="","",SUMPRODUCT((المبيعات!$C$2:$C$2000=A167)*(المبيعات!$B$2:$B$2000&lt;&gt;"")/COUNTIFS(المبيعات!$B$2:$B$2000,المبيعات!$B$2:$B$2000&amp;"",المبيعات!$C$2:$C$2000,المبيعات!$C$2:$C$2000&amp;"")))</f>
        <v/>
      </c>
      <c r="D167">
        <f>IF(A167="","",SUMIFS(المبيعات!$H$2:$H$2000,المبيعات!$C$2:$C$2000,A167))</f>
        <v/>
      </c>
      <c r="E167" s="13">
        <f>IF(A167="","",IF(COUNTIF(المبيعات!$C$2:$C$2000,A167)=0,"",_xlfn.MAXIFS(المبيعات!$A$2:$A$2000,المبيعات!$C$2:$C$2000,A167)))</f>
        <v/>
      </c>
      <c r="F167">
        <f>IF(A167="","",SUMIFS(المبيعات!$H$2:$H$2000,المبيعات!$C$2:$C$2000,A167,المبيعات!$J$2:$J$2000,"آجل"))</f>
        <v/>
      </c>
      <c r="G167" s="4" t="n"/>
      <c r="H167">
        <f>IF(A167="","",F167-G167)</f>
        <v/>
      </c>
    </row>
    <row r="168">
      <c r="A168" s="4" t="n"/>
      <c r="B168" s="4" t="n"/>
      <c r="C168">
        <f>IF(A168="","",SUMPRODUCT((المبيعات!$C$2:$C$2000=A168)*(المبيعات!$B$2:$B$2000&lt;&gt;"")/COUNTIFS(المبيعات!$B$2:$B$2000,المبيعات!$B$2:$B$2000&amp;"",المبيعات!$C$2:$C$2000,المبيعات!$C$2:$C$2000&amp;"")))</f>
        <v/>
      </c>
      <c r="D168">
        <f>IF(A168="","",SUMIFS(المبيعات!$H$2:$H$2000,المبيعات!$C$2:$C$2000,A168))</f>
        <v/>
      </c>
      <c r="E168" s="13">
        <f>IF(A168="","",IF(COUNTIF(المبيعات!$C$2:$C$2000,A168)=0,"",_xlfn.MAXIFS(المبيعات!$A$2:$A$2000,المبيعات!$C$2:$C$2000,A168)))</f>
        <v/>
      </c>
      <c r="F168">
        <f>IF(A168="","",SUMIFS(المبيعات!$H$2:$H$2000,المبيعات!$C$2:$C$2000,A168,المبيعات!$J$2:$J$2000,"آجل"))</f>
        <v/>
      </c>
      <c r="G168" s="4" t="n"/>
      <c r="H168">
        <f>IF(A168="","",F168-G168)</f>
        <v/>
      </c>
    </row>
    <row r="169">
      <c r="A169" s="4" t="n"/>
      <c r="B169" s="4" t="n"/>
      <c r="C169">
        <f>IF(A169="","",SUMPRODUCT((المبيعات!$C$2:$C$2000=A169)*(المبيعات!$B$2:$B$2000&lt;&gt;"")/COUNTIFS(المبيعات!$B$2:$B$2000,المبيعات!$B$2:$B$2000&amp;"",المبيعات!$C$2:$C$2000,المبيعات!$C$2:$C$2000&amp;"")))</f>
        <v/>
      </c>
      <c r="D169">
        <f>IF(A169="","",SUMIFS(المبيعات!$H$2:$H$2000,المبيعات!$C$2:$C$2000,A169))</f>
        <v/>
      </c>
      <c r="E169" s="13">
        <f>IF(A169="","",IF(COUNTIF(المبيعات!$C$2:$C$2000,A169)=0,"",_xlfn.MAXIFS(المبيعات!$A$2:$A$2000,المبيعات!$C$2:$C$2000,A169)))</f>
        <v/>
      </c>
      <c r="F169">
        <f>IF(A169="","",SUMIFS(المبيعات!$H$2:$H$2000,المبيعات!$C$2:$C$2000,A169,المبيعات!$J$2:$J$2000,"آجل"))</f>
        <v/>
      </c>
      <c r="G169" s="4" t="n"/>
      <c r="H169">
        <f>IF(A169="","",F169-G169)</f>
        <v/>
      </c>
    </row>
    <row r="170">
      <c r="A170" s="4" t="n"/>
      <c r="B170" s="4" t="n"/>
      <c r="C170">
        <f>IF(A170="","",SUMPRODUCT((المبيعات!$C$2:$C$2000=A170)*(المبيعات!$B$2:$B$2000&lt;&gt;"")/COUNTIFS(المبيعات!$B$2:$B$2000,المبيعات!$B$2:$B$2000&amp;"",المبيعات!$C$2:$C$2000,المبيعات!$C$2:$C$2000&amp;"")))</f>
        <v/>
      </c>
      <c r="D170">
        <f>IF(A170="","",SUMIFS(المبيعات!$H$2:$H$2000,المبيعات!$C$2:$C$2000,A170))</f>
        <v/>
      </c>
      <c r="E170" s="13">
        <f>IF(A170="","",IF(COUNTIF(المبيعات!$C$2:$C$2000,A170)=0,"",_xlfn.MAXIFS(المبيعات!$A$2:$A$2000,المبيعات!$C$2:$C$2000,A170)))</f>
        <v/>
      </c>
      <c r="F170">
        <f>IF(A170="","",SUMIFS(المبيعات!$H$2:$H$2000,المبيعات!$C$2:$C$2000,A170,المبيعات!$J$2:$J$2000,"آجل"))</f>
        <v/>
      </c>
      <c r="G170" s="4" t="n"/>
      <c r="H170">
        <f>IF(A170="","",F170-G170)</f>
        <v/>
      </c>
    </row>
    <row r="171">
      <c r="A171" s="4" t="n"/>
      <c r="B171" s="4" t="n"/>
      <c r="C171">
        <f>IF(A171="","",SUMPRODUCT((المبيعات!$C$2:$C$2000=A171)*(المبيعات!$B$2:$B$2000&lt;&gt;"")/COUNTIFS(المبيعات!$B$2:$B$2000,المبيعات!$B$2:$B$2000&amp;"",المبيعات!$C$2:$C$2000,المبيعات!$C$2:$C$2000&amp;"")))</f>
        <v/>
      </c>
      <c r="D171">
        <f>IF(A171="","",SUMIFS(المبيعات!$H$2:$H$2000,المبيعات!$C$2:$C$2000,A171))</f>
        <v/>
      </c>
      <c r="E171" s="13">
        <f>IF(A171="","",IF(COUNTIF(المبيعات!$C$2:$C$2000,A171)=0,"",_xlfn.MAXIFS(المبيعات!$A$2:$A$2000,المبيعات!$C$2:$C$2000,A171)))</f>
        <v/>
      </c>
      <c r="F171">
        <f>IF(A171="","",SUMIFS(المبيعات!$H$2:$H$2000,المبيعات!$C$2:$C$2000,A171,المبيعات!$J$2:$J$2000,"آجل"))</f>
        <v/>
      </c>
      <c r="G171" s="4" t="n"/>
      <c r="H171">
        <f>IF(A171="","",F171-G171)</f>
        <v/>
      </c>
    </row>
    <row r="172">
      <c r="A172" s="4" t="n"/>
      <c r="B172" s="4" t="n"/>
      <c r="C172">
        <f>IF(A172="","",SUMPRODUCT((المبيعات!$C$2:$C$2000=A172)*(المبيعات!$B$2:$B$2000&lt;&gt;"")/COUNTIFS(المبيعات!$B$2:$B$2000,المبيعات!$B$2:$B$2000&amp;"",المبيعات!$C$2:$C$2000,المبيعات!$C$2:$C$2000&amp;"")))</f>
        <v/>
      </c>
      <c r="D172">
        <f>IF(A172="","",SUMIFS(المبيعات!$H$2:$H$2000,المبيعات!$C$2:$C$2000,A172))</f>
        <v/>
      </c>
      <c r="E172" s="13">
        <f>IF(A172="","",IF(COUNTIF(المبيعات!$C$2:$C$2000,A172)=0,"",_xlfn.MAXIFS(المبيعات!$A$2:$A$2000,المبيعات!$C$2:$C$2000,A172)))</f>
        <v/>
      </c>
      <c r="F172">
        <f>IF(A172="","",SUMIFS(المبيعات!$H$2:$H$2000,المبيعات!$C$2:$C$2000,A172,المبيعات!$J$2:$J$2000,"آجل"))</f>
        <v/>
      </c>
      <c r="G172" s="4" t="n"/>
      <c r="H172">
        <f>IF(A172="","",F172-G172)</f>
        <v/>
      </c>
    </row>
    <row r="173">
      <c r="A173" s="4" t="n"/>
      <c r="B173" s="4" t="n"/>
      <c r="C173">
        <f>IF(A173="","",SUMPRODUCT((المبيعات!$C$2:$C$2000=A173)*(المبيعات!$B$2:$B$2000&lt;&gt;"")/COUNTIFS(المبيعات!$B$2:$B$2000,المبيعات!$B$2:$B$2000&amp;"",المبيعات!$C$2:$C$2000,المبيعات!$C$2:$C$2000&amp;"")))</f>
        <v/>
      </c>
      <c r="D173">
        <f>IF(A173="","",SUMIFS(المبيعات!$H$2:$H$2000,المبيعات!$C$2:$C$2000,A173))</f>
        <v/>
      </c>
      <c r="E173" s="13">
        <f>IF(A173="","",IF(COUNTIF(المبيعات!$C$2:$C$2000,A173)=0,"",_xlfn.MAXIFS(المبيعات!$A$2:$A$2000,المبيعات!$C$2:$C$2000,A173)))</f>
        <v/>
      </c>
      <c r="F173">
        <f>IF(A173="","",SUMIFS(المبيعات!$H$2:$H$2000,المبيعات!$C$2:$C$2000,A173,المبيعات!$J$2:$J$2000,"آجل"))</f>
        <v/>
      </c>
      <c r="G173" s="4" t="n"/>
      <c r="H173">
        <f>IF(A173="","",F173-G173)</f>
        <v/>
      </c>
    </row>
    <row r="174">
      <c r="A174" s="4" t="n"/>
      <c r="B174" s="4" t="n"/>
      <c r="C174">
        <f>IF(A174="","",SUMPRODUCT((المبيعات!$C$2:$C$2000=A174)*(المبيعات!$B$2:$B$2000&lt;&gt;"")/COUNTIFS(المبيعات!$B$2:$B$2000,المبيعات!$B$2:$B$2000&amp;"",المبيعات!$C$2:$C$2000,المبيعات!$C$2:$C$2000&amp;"")))</f>
        <v/>
      </c>
      <c r="D174">
        <f>IF(A174="","",SUMIFS(المبيعات!$H$2:$H$2000,المبيعات!$C$2:$C$2000,A174))</f>
        <v/>
      </c>
      <c r="E174" s="13">
        <f>IF(A174="","",IF(COUNTIF(المبيعات!$C$2:$C$2000,A174)=0,"",_xlfn.MAXIFS(المبيعات!$A$2:$A$2000,المبيعات!$C$2:$C$2000,A174)))</f>
        <v/>
      </c>
      <c r="F174">
        <f>IF(A174="","",SUMIFS(المبيعات!$H$2:$H$2000,المبيعات!$C$2:$C$2000,A174,المبيعات!$J$2:$J$2000,"آجل"))</f>
        <v/>
      </c>
      <c r="G174" s="4" t="n"/>
      <c r="H174">
        <f>IF(A174="","",F174-G174)</f>
        <v/>
      </c>
    </row>
    <row r="175">
      <c r="A175" s="4" t="n"/>
      <c r="B175" s="4" t="n"/>
      <c r="C175">
        <f>IF(A175="","",SUMPRODUCT((المبيعات!$C$2:$C$2000=A175)*(المبيعات!$B$2:$B$2000&lt;&gt;"")/COUNTIFS(المبيعات!$B$2:$B$2000,المبيعات!$B$2:$B$2000&amp;"",المبيعات!$C$2:$C$2000,المبيعات!$C$2:$C$2000&amp;"")))</f>
        <v/>
      </c>
      <c r="D175">
        <f>IF(A175="","",SUMIFS(المبيعات!$H$2:$H$2000,المبيعات!$C$2:$C$2000,A175))</f>
        <v/>
      </c>
      <c r="E175" s="13">
        <f>IF(A175="","",IF(COUNTIF(المبيعات!$C$2:$C$2000,A175)=0,"",_xlfn.MAXIFS(المبيعات!$A$2:$A$2000,المبيعات!$C$2:$C$2000,A175)))</f>
        <v/>
      </c>
      <c r="F175">
        <f>IF(A175="","",SUMIFS(المبيعات!$H$2:$H$2000,المبيعات!$C$2:$C$2000,A175,المبيعات!$J$2:$J$2000,"آجل"))</f>
        <v/>
      </c>
      <c r="G175" s="4" t="n"/>
      <c r="H175">
        <f>IF(A175="","",F175-G175)</f>
        <v/>
      </c>
    </row>
    <row r="176">
      <c r="A176" s="4" t="n"/>
      <c r="B176" s="4" t="n"/>
      <c r="C176">
        <f>IF(A176="","",SUMPRODUCT((المبيعات!$C$2:$C$2000=A176)*(المبيعات!$B$2:$B$2000&lt;&gt;"")/COUNTIFS(المبيعات!$B$2:$B$2000,المبيعات!$B$2:$B$2000&amp;"",المبيعات!$C$2:$C$2000,المبيعات!$C$2:$C$2000&amp;"")))</f>
        <v/>
      </c>
      <c r="D176">
        <f>IF(A176="","",SUMIFS(المبيعات!$H$2:$H$2000,المبيعات!$C$2:$C$2000,A176))</f>
        <v/>
      </c>
      <c r="E176" s="13">
        <f>IF(A176="","",IF(COUNTIF(المبيعات!$C$2:$C$2000,A176)=0,"",_xlfn.MAXIFS(المبيعات!$A$2:$A$2000,المبيعات!$C$2:$C$2000,A176)))</f>
        <v/>
      </c>
      <c r="F176">
        <f>IF(A176="","",SUMIFS(المبيعات!$H$2:$H$2000,المبيعات!$C$2:$C$2000,A176,المبيعات!$J$2:$J$2000,"آجل"))</f>
        <v/>
      </c>
      <c r="G176" s="4" t="n"/>
      <c r="H176">
        <f>IF(A176="","",F176-G176)</f>
        <v/>
      </c>
    </row>
    <row r="177">
      <c r="A177" s="4" t="n"/>
      <c r="B177" s="4" t="n"/>
      <c r="C177">
        <f>IF(A177="","",SUMPRODUCT((المبيعات!$C$2:$C$2000=A177)*(المبيعات!$B$2:$B$2000&lt;&gt;"")/COUNTIFS(المبيعات!$B$2:$B$2000,المبيعات!$B$2:$B$2000&amp;"",المبيعات!$C$2:$C$2000,المبيعات!$C$2:$C$2000&amp;"")))</f>
        <v/>
      </c>
      <c r="D177">
        <f>IF(A177="","",SUMIFS(المبيعات!$H$2:$H$2000,المبيعات!$C$2:$C$2000,A177))</f>
        <v/>
      </c>
      <c r="E177" s="13">
        <f>IF(A177="","",IF(COUNTIF(المبيعات!$C$2:$C$2000,A177)=0,"",_xlfn.MAXIFS(المبيعات!$A$2:$A$2000,المبيعات!$C$2:$C$2000,A177)))</f>
        <v/>
      </c>
      <c r="F177">
        <f>IF(A177="","",SUMIFS(المبيعات!$H$2:$H$2000,المبيعات!$C$2:$C$2000,A177,المبيعات!$J$2:$J$2000,"آجل"))</f>
        <v/>
      </c>
      <c r="G177" s="4" t="n"/>
      <c r="H177">
        <f>IF(A177="","",F177-G177)</f>
        <v/>
      </c>
    </row>
    <row r="178">
      <c r="A178" s="4" t="n"/>
      <c r="B178" s="4" t="n"/>
      <c r="C178">
        <f>IF(A178="","",SUMPRODUCT((المبيعات!$C$2:$C$2000=A178)*(المبيعات!$B$2:$B$2000&lt;&gt;"")/COUNTIFS(المبيعات!$B$2:$B$2000,المبيعات!$B$2:$B$2000&amp;"",المبيعات!$C$2:$C$2000,المبيعات!$C$2:$C$2000&amp;"")))</f>
        <v/>
      </c>
      <c r="D178">
        <f>IF(A178="","",SUMIFS(المبيعات!$H$2:$H$2000,المبيعات!$C$2:$C$2000,A178))</f>
        <v/>
      </c>
      <c r="E178" s="13">
        <f>IF(A178="","",IF(COUNTIF(المبيعات!$C$2:$C$2000,A178)=0,"",_xlfn.MAXIFS(المبيعات!$A$2:$A$2000,المبيعات!$C$2:$C$2000,A178)))</f>
        <v/>
      </c>
      <c r="F178">
        <f>IF(A178="","",SUMIFS(المبيعات!$H$2:$H$2000,المبيعات!$C$2:$C$2000,A178,المبيعات!$J$2:$J$2000,"آجل"))</f>
        <v/>
      </c>
      <c r="G178" s="4" t="n"/>
      <c r="H178">
        <f>IF(A178="","",F178-G178)</f>
        <v/>
      </c>
    </row>
    <row r="179">
      <c r="A179" s="4" t="n"/>
      <c r="B179" s="4" t="n"/>
      <c r="C179">
        <f>IF(A179="","",SUMPRODUCT((المبيعات!$C$2:$C$2000=A179)*(المبيعات!$B$2:$B$2000&lt;&gt;"")/COUNTIFS(المبيعات!$B$2:$B$2000,المبيعات!$B$2:$B$2000&amp;"",المبيعات!$C$2:$C$2000,المبيعات!$C$2:$C$2000&amp;"")))</f>
        <v/>
      </c>
      <c r="D179">
        <f>IF(A179="","",SUMIFS(المبيعات!$H$2:$H$2000,المبيعات!$C$2:$C$2000,A179))</f>
        <v/>
      </c>
      <c r="E179" s="13">
        <f>IF(A179="","",IF(COUNTIF(المبيعات!$C$2:$C$2000,A179)=0,"",_xlfn.MAXIFS(المبيعات!$A$2:$A$2000,المبيعات!$C$2:$C$2000,A179)))</f>
        <v/>
      </c>
      <c r="F179">
        <f>IF(A179="","",SUMIFS(المبيعات!$H$2:$H$2000,المبيعات!$C$2:$C$2000,A179,المبيعات!$J$2:$J$2000,"آجل"))</f>
        <v/>
      </c>
      <c r="G179" s="4" t="n"/>
      <c r="H179">
        <f>IF(A179="","",F179-G179)</f>
        <v/>
      </c>
    </row>
    <row r="180">
      <c r="A180" s="4" t="n"/>
      <c r="B180" s="4" t="n"/>
      <c r="C180">
        <f>IF(A180="","",SUMPRODUCT((المبيعات!$C$2:$C$2000=A180)*(المبيعات!$B$2:$B$2000&lt;&gt;"")/COUNTIFS(المبيعات!$B$2:$B$2000,المبيعات!$B$2:$B$2000&amp;"",المبيعات!$C$2:$C$2000,المبيعات!$C$2:$C$2000&amp;"")))</f>
        <v/>
      </c>
      <c r="D180">
        <f>IF(A180="","",SUMIFS(المبيعات!$H$2:$H$2000,المبيعات!$C$2:$C$2000,A180))</f>
        <v/>
      </c>
      <c r="E180" s="13">
        <f>IF(A180="","",IF(COUNTIF(المبيعات!$C$2:$C$2000,A180)=0,"",_xlfn.MAXIFS(المبيعات!$A$2:$A$2000,المبيعات!$C$2:$C$2000,A180)))</f>
        <v/>
      </c>
      <c r="F180">
        <f>IF(A180="","",SUMIFS(المبيعات!$H$2:$H$2000,المبيعات!$C$2:$C$2000,A180,المبيعات!$J$2:$J$2000,"آجل"))</f>
        <v/>
      </c>
      <c r="G180" s="4" t="n"/>
      <c r="H180">
        <f>IF(A180="","",F180-G180)</f>
        <v/>
      </c>
    </row>
    <row r="181">
      <c r="A181" s="4" t="n"/>
      <c r="B181" s="4" t="n"/>
      <c r="C181">
        <f>IF(A181="","",SUMPRODUCT((المبيعات!$C$2:$C$2000=A181)*(المبيعات!$B$2:$B$2000&lt;&gt;"")/COUNTIFS(المبيعات!$B$2:$B$2000,المبيعات!$B$2:$B$2000&amp;"",المبيعات!$C$2:$C$2000,المبيعات!$C$2:$C$2000&amp;"")))</f>
        <v/>
      </c>
      <c r="D181">
        <f>IF(A181="","",SUMIFS(المبيعات!$H$2:$H$2000,المبيعات!$C$2:$C$2000,A181))</f>
        <v/>
      </c>
      <c r="E181" s="13">
        <f>IF(A181="","",IF(COUNTIF(المبيعات!$C$2:$C$2000,A181)=0,"",_xlfn.MAXIFS(المبيعات!$A$2:$A$2000,المبيعات!$C$2:$C$2000,A181)))</f>
        <v/>
      </c>
      <c r="F181">
        <f>IF(A181="","",SUMIFS(المبيعات!$H$2:$H$2000,المبيعات!$C$2:$C$2000,A181,المبيعات!$J$2:$J$2000,"آجل"))</f>
        <v/>
      </c>
      <c r="G181" s="4" t="n"/>
      <c r="H181">
        <f>IF(A181="","",F181-G181)</f>
        <v/>
      </c>
    </row>
    <row r="182">
      <c r="A182" s="4" t="n"/>
      <c r="B182" s="4" t="n"/>
      <c r="C182">
        <f>IF(A182="","",SUMPRODUCT((المبيعات!$C$2:$C$2000=A182)*(المبيعات!$B$2:$B$2000&lt;&gt;"")/COUNTIFS(المبيعات!$B$2:$B$2000,المبيعات!$B$2:$B$2000&amp;"",المبيعات!$C$2:$C$2000,المبيعات!$C$2:$C$2000&amp;"")))</f>
        <v/>
      </c>
      <c r="D182">
        <f>IF(A182="","",SUMIFS(المبيعات!$H$2:$H$2000,المبيعات!$C$2:$C$2000,A182))</f>
        <v/>
      </c>
      <c r="E182" s="13">
        <f>IF(A182="","",IF(COUNTIF(المبيعات!$C$2:$C$2000,A182)=0,"",_xlfn.MAXIFS(المبيعات!$A$2:$A$2000,المبيعات!$C$2:$C$2000,A182)))</f>
        <v/>
      </c>
      <c r="F182">
        <f>IF(A182="","",SUMIFS(المبيعات!$H$2:$H$2000,المبيعات!$C$2:$C$2000,A182,المبيعات!$J$2:$J$2000,"آجل"))</f>
        <v/>
      </c>
      <c r="G182" s="4" t="n"/>
      <c r="H182">
        <f>IF(A182="","",F182-G182)</f>
        <v/>
      </c>
    </row>
    <row r="183">
      <c r="A183" s="4" t="n"/>
      <c r="B183" s="4" t="n"/>
      <c r="C183">
        <f>IF(A183="","",SUMPRODUCT((المبيعات!$C$2:$C$2000=A183)*(المبيعات!$B$2:$B$2000&lt;&gt;"")/COUNTIFS(المبيعات!$B$2:$B$2000,المبيعات!$B$2:$B$2000&amp;"",المبيعات!$C$2:$C$2000,المبيعات!$C$2:$C$2000&amp;"")))</f>
        <v/>
      </c>
      <c r="D183">
        <f>IF(A183="","",SUMIFS(المبيعات!$H$2:$H$2000,المبيعات!$C$2:$C$2000,A183))</f>
        <v/>
      </c>
      <c r="E183" s="13">
        <f>IF(A183="","",IF(COUNTIF(المبيعات!$C$2:$C$2000,A183)=0,"",_xlfn.MAXIFS(المبيعات!$A$2:$A$2000,المبيعات!$C$2:$C$2000,A183)))</f>
        <v/>
      </c>
      <c r="F183">
        <f>IF(A183="","",SUMIFS(المبيعات!$H$2:$H$2000,المبيعات!$C$2:$C$2000,A183,المبيعات!$J$2:$J$2000,"آجل"))</f>
        <v/>
      </c>
      <c r="G183" s="4" t="n"/>
      <c r="H183">
        <f>IF(A183="","",F183-G183)</f>
        <v/>
      </c>
    </row>
    <row r="184">
      <c r="A184" s="4" t="n"/>
      <c r="B184" s="4" t="n"/>
      <c r="C184">
        <f>IF(A184="","",SUMPRODUCT((المبيعات!$C$2:$C$2000=A184)*(المبيعات!$B$2:$B$2000&lt;&gt;"")/COUNTIFS(المبيعات!$B$2:$B$2000,المبيعات!$B$2:$B$2000&amp;"",المبيعات!$C$2:$C$2000,المبيعات!$C$2:$C$2000&amp;"")))</f>
        <v/>
      </c>
      <c r="D184">
        <f>IF(A184="","",SUMIFS(المبيعات!$H$2:$H$2000,المبيعات!$C$2:$C$2000,A184))</f>
        <v/>
      </c>
      <c r="E184" s="13">
        <f>IF(A184="","",IF(COUNTIF(المبيعات!$C$2:$C$2000,A184)=0,"",_xlfn.MAXIFS(المبيعات!$A$2:$A$2000,المبيعات!$C$2:$C$2000,A184)))</f>
        <v/>
      </c>
      <c r="F184">
        <f>IF(A184="","",SUMIFS(المبيعات!$H$2:$H$2000,المبيعات!$C$2:$C$2000,A184,المبيعات!$J$2:$J$2000,"آجل"))</f>
        <v/>
      </c>
      <c r="G184" s="4" t="n"/>
      <c r="H184">
        <f>IF(A184="","",F184-G184)</f>
        <v/>
      </c>
    </row>
    <row r="185">
      <c r="A185" s="4" t="n"/>
      <c r="B185" s="4" t="n"/>
      <c r="C185">
        <f>IF(A185="","",SUMPRODUCT((المبيعات!$C$2:$C$2000=A185)*(المبيعات!$B$2:$B$2000&lt;&gt;"")/COUNTIFS(المبيعات!$B$2:$B$2000,المبيعات!$B$2:$B$2000&amp;"",المبيعات!$C$2:$C$2000,المبيعات!$C$2:$C$2000&amp;"")))</f>
        <v/>
      </c>
      <c r="D185">
        <f>IF(A185="","",SUMIFS(المبيعات!$H$2:$H$2000,المبيعات!$C$2:$C$2000,A185))</f>
        <v/>
      </c>
      <c r="E185" s="13">
        <f>IF(A185="","",IF(COUNTIF(المبيعات!$C$2:$C$2000,A185)=0,"",_xlfn.MAXIFS(المبيعات!$A$2:$A$2000,المبيعات!$C$2:$C$2000,A185)))</f>
        <v/>
      </c>
      <c r="F185">
        <f>IF(A185="","",SUMIFS(المبيعات!$H$2:$H$2000,المبيعات!$C$2:$C$2000,A185,المبيعات!$J$2:$J$2000,"آجل"))</f>
        <v/>
      </c>
      <c r="G185" s="4" t="n"/>
      <c r="H185">
        <f>IF(A185="","",F185-G185)</f>
        <v/>
      </c>
    </row>
    <row r="186">
      <c r="A186" s="4" t="n"/>
      <c r="B186" s="4" t="n"/>
      <c r="C186">
        <f>IF(A186="","",SUMPRODUCT((المبيعات!$C$2:$C$2000=A186)*(المبيعات!$B$2:$B$2000&lt;&gt;"")/COUNTIFS(المبيعات!$B$2:$B$2000,المبيعات!$B$2:$B$2000&amp;"",المبيعات!$C$2:$C$2000,المبيعات!$C$2:$C$2000&amp;"")))</f>
        <v/>
      </c>
      <c r="D186">
        <f>IF(A186="","",SUMIFS(المبيعات!$H$2:$H$2000,المبيعات!$C$2:$C$2000,A186))</f>
        <v/>
      </c>
      <c r="E186" s="13">
        <f>IF(A186="","",IF(COUNTIF(المبيعات!$C$2:$C$2000,A186)=0,"",_xlfn.MAXIFS(المبيعات!$A$2:$A$2000,المبيعات!$C$2:$C$2000,A186)))</f>
        <v/>
      </c>
      <c r="F186">
        <f>IF(A186="","",SUMIFS(المبيعات!$H$2:$H$2000,المبيعات!$C$2:$C$2000,A186,المبيعات!$J$2:$J$2000,"آجل"))</f>
        <v/>
      </c>
      <c r="G186" s="4" t="n"/>
      <c r="H186">
        <f>IF(A186="","",F186-G186)</f>
        <v/>
      </c>
    </row>
    <row r="187">
      <c r="A187" s="4" t="n"/>
      <c r="B187" s="4" t="n"/>
      <c r="C187">
        <f>IF(A187="","",SUMPRODUCT((المبيعات!$C$2:$C$2000=A187)*(المبيعات!$B$2:$B$2000&lt;&gt;"")/COUNTIFS(المبيعات!$B$2:$B$2000,المبيعات!$B$2:$B$2000&amp;"",المبيعات!$C$2:$C$2000,المبيعات!$C$2:$C$2000&amp;"")))</f>
        <v/>
      </c>
      <c r="D187">
        <f>IF(A187="","",SUMIFS(المبيعات!$H$2:$H$2000,المبيعات!$C$2:$C$2000,A187))</f>
        <v/>
      </c>
      <c r="E187" s="13">
        <f>IF(A187="","",IF(COUNTIF(المبيعات!$C$2:$C$2000,A187)=0,"",_xlfn.MAXIFS(المبيعات!$A$2:$A$2000,المبيعات!$C$2:$C$2000,A187)))</f>
        <v/>
      </c>
      <c r="F187">
        <f>IF(A187="","",SUMIFS(المبيعات!$H$2:$H$2000,المبيعات!$C$2:$C$2000,A187,المبيعات!$J$2:$J$2000,"آجل"))</f>
        <v/>
      </c>
      <c r="G187" s="4" t="n"/>
      <c r="H187">
        <f>IF(A187="","",F187-G187)</f>
        <v/>
      </c>
    </row>
    <row r="188">
      <c r="A188" s="4" t="n"/>
      <c r="B188" s="4" t="n"/>
      <c r="C188">
        <f>IF(A188="","",SUMPRODUCT((المبيعات!$C$2:$C$2000=A188)*(المبيعات!$B$2:$B$2000&lt;&gt;"")/COUNTIFS(المبيعات!$B$2:$B$2000,المبيعات!$B$2:$B$2000&amp;"",المبيعات!$C$2:$C$2000,المبيعات!$C$2:$C$2000&amp;"")))</f>
        <v/>
      </c>
      <c r="D188">
        <f>IF(A188="","",SUMIFS(المبيعات!$H$2:$H$2000,المبيعات!$C$2:$C$2000,A188))</f>
        <v/>
      </c>
      <c r="E188" s="13">
        <f>IF(A188="","",IF(COUNTIF(المبيعات!$C$2:$C$2000,A188)=0,"",_xlfn.MAXIFS(المبيعات!$A$2:$A$2000,المبيعات!$C$2:$C$2000,A188)))</f>
        <v/>
      </c>
      <c r="F188">
        <f>IF(A188="","",SUMIFS(المبيعات!$H$2:$H$2000,المبيعات!$C$2:$C$2000,A188,المبيعات!$J$2:$J$2000,"آجل"))</f>
        <v/>
      </c>
      <c r="G188" s="4" t="n"/>
      <c r="H188">
        <f>IF(A188="","",F188-G188)</f>
        <v/>
      </c>
    </row>
    <row r="189">
      <c r="A189" s="4" t="n"/>
      <c r="B189" s="4" t="n"/>
      <c r="C189">
        <f>IF(A189="","",SUMPRODUCT((المبيعات!$C$2:$C$2000=A189)*(المبيعات!$B$2:$B$2000&lt;&gt;"")/COUNTIFS(المبيعات!$B$2:$B$2000,المبيعات!$B$2:$B$2000&amp;"",المبيعات!$C$2:$C$2000,المبيعات!$C$2:$C$2000&amp;"")))</f>
        <v/>
      </c>
      <c r="D189">
        <f>IF(A189="","",SUMIFS(المبيعات!$H$2:$H$2000,المبيعات!$C$2:$C$2000,A189))</f>
        <v/>
      </c>
      <c r="E189" s="13">
        <f>IF(A189="","",IF(COUNTIF(المبيعات!$C$2:$C$2000,A189)=0,"",_xlfn.MAXIFS(المبيعات!$A$2:$A$2000,المبيعات!$C$2:$C$2000,A189)))</f>
        <v/>
      </c>
      <c r="F189">
        <f>IF(A189="","",SUMIFS(المبيعات!$H$2:$H$2000,المبيعات!$C$2:$C$2000,A189,المبيعات!$J$2:$J$2000,"آجل"))</f>
        <v/>
      </c>
      <c r="G189" s="4" t="n"/>
      <c r="H189">
        <f>IF(A189="","",F189-G189)</f>
        <v/>
      </c>
    </row>
    <row r="190">
      <c r="A190" s="4" t="n"/>
      <c r="B190" s="4" t="n"/>
      <c r="C190">
        <f>IF(A190="","",SUMPRODUCT((المبيعات!$C$2:$C$2000=A190)*(المبيعات!$B$2:$B$2000&lt;&gt;"")/COUNTIFS(المبيعات!$B$2:$B$2000,المبيعات!$B$2:$B$2000&amp;"",المبيعات!$C$2:$C$2000,المبيعات!$C$2:$C$2000&amp;"")))</f>
        <v/>
      </c>
      <c r="D190">
        <f>IF(A190="","",SUMIFS(المبيعات!$H$2:$H$2000,المبيعات!$C$2:$C$2000,A190))</f>
        <v/>
      </c>
      <c r="E190" s="13">
        <f>IF(A190="","",IF(COUNTIF(المبيعات!$C$2:$C$2000,A190)=0,"",_xlfn.MAXIFS(المبيعات!$A$2:$A$2000,المبيعات!$C$2:$C$2000,A190)))</f>
        <v/>
      </c>
      <c r="F190">
        <f>IF(A190="","",SUMIFS(المبيعات!$H$2:$H$2000,المبيعات!$C$2:$C$2000,A190,المبيعات!$J$2:$J$2000,"آجل"))</f>
        <v/>
      </c>
      <c r="G190" s="4" t="n"/>
      <c r="H190">
        <f>IF(A190="","",F190-G190)</f>
        <v/>
      </c>
    </row>
    <row r="191">
      <c r="A191" s="4" t="n"/>
      <c r="B191" s="4" t="n"/>
      <c r="C191">
        <f>IF(A191="","",SUMPRODUCT((المبيعات!$C$2:$C$2000=A191)*(المبيعات!$B$2:$B$2000&lt;&gt;"")/COUNTIFS(المبيعات!$B$2:$B$2000,المبيعات!$B$2:$B$2000&amp;"",المبيعات!$C$2:$C$2000,المبيعات!$C$2:$C$2000&amp;"")))</f>
        <v/>
      </c>
      <c r="D191">
        <f>IF(A191="","",SUMIFS(المبيعات!$H$2:$H$2000,المبيعات!$C$2:$C$2000,A191))</f>
        <v/>
      </c>
      <c r="E191" s="13">
        <f>IF(A191="","",IF(COUNTIF(المبيعات!$C$2:$C$2000,A191)=0,"",_xlfn.MAXIFS(المبيعات!$A$2:$A$2000,المبيعات!$C$2:$C$2000,A191)))</f>
        <v/>
      </c>
      <c r="F191">
        <f>IF(A191="","",SUMIFS(المبيعات!$H$2:$H$2000,المبيعات!$C$2:$C$2000,A191,المبيعات!$J$2:$J$2000,"آجل"))</f>
        <v/>
      </c>
      <c r="G191" s="4" t="n"/>
      <c r="H191">
        <f>IF(A191="","",F191-G191)</f>
        <v/>
      </c>
    </row>
    <row r="192">
      <c r="A192" s="4" t="n"/>
      <c r="B192" s="4" t="n"/>
      <c r="C192">
        <f>IF(A192="","",SUMPRODUCT((المبيعات!$C$2:$C$2000=A192)*(المبيعات!$B$2:$B$2000&lt;&gt;"")/COUNTIFS(المبيعات!$B$2:$B$2000,المبيعات!$B$2:$B$2000&amp;"",المبيعات!$C$2:$C$2000,المبيعات!$C$2:$C$2000&amp;"")))</f>
        <v/>
      </c>
      <c r="D192">
        <f>IF(A192="","",SUMIFS(المبيعات!$H$2:$H$2000,المبيعات!$C$2:$C$2000,A192))</f>
        <v/>
      </c>
      <c r="E192" s="13">
        <f>IF(A192="","",IF(COUNTIF(المبيعات!$C$2:$C$2000,A192)=0,"",_xlfn.MAXIFS(المبيعات!$A$2:$A$2000,المبيعات!$C$2:$C$2000,A192)))</f>
        <v/>
      </c>
      <c r="F192">
        <f>IF(A192="","",SUMIFS(المبيعات!$H$2:$H$2000,المبيعات!$C$2:$C$2000,A192,المبيعات!$J$2:$J$2000,"آجل"))</f>
        <v/>
      </c>
      <c r="G192" s="4" t="n"/>
      <c r="H192">
        <f>IF(A192="","",F192-G192)</f>
        <v/>
      </c>
    </row>
    <row r="193">
      <c r="A193" s="4" t="n"/>
      <c r="B193" s="4" t="n"/>
      <c r="C193">
        <f>IF(A193="","",SUMPRODUCT((المبيعات!$C$2:$C$2000=A193)*(المبيعات!$B$2:$B$2000&lt;&gt;"")/COUNTIFS(المبيعات!$B$2:$B$2000,المبيعات!$B$2:$B$2000&amp;"",المبيعات!$C$2:$C$2000,المبيعات!$C$2:$C$2000&amp;"")))</f>
        <v/>
      </c>
      <c r="D193">
        <f>IF(A193="","",SUMIFS(المبيعات!$H$2:$H$2000,المبيعات!$C$2:$C$2000,A193))</f>
        <v/>
      </c>
      <c r="E193" s="13">
        <f>IF(A193="","",IF(COUNTIF(المبيعات!$C$2:$C$2000,A193)=0,"",_xlfn.MAXIFS(المبيعات!$A$2:$A$2000,المبيعات!$C$2:$C$2000,A193)))</f>
        <v/>
      </c>
      <c r="F193">
        <f>IF(A193="","",SUMIFS(المبيعات!$H$2:$H$2000,المبيعات!$C$2:$C$2000,A193,المبيعات!$J$2:$J$2000,"آجل"))</f>
        <v/>
      </c>
      <c r="G193" s="4" t="n"/>
      <c r="H193">
        <f>IF(A193="","",F193-G193)</f>
        <v/>
      </c>
    </row>
    <row r="194">
      <c r="A194" s="4" t="n"/>
      <c r="B194" s="4" t="n"/>
      <c r="C194">
        <f>IF(A194="","",SUMPRODUCT((المبيعات!$C$2:$C$2000=A194)*(المبيعات!$B$2:$B$2000&lt;&gt;"")/COUNTIFS(المبيعات!$B$2:$B$2000,المبيعات!$B$2:$B$2000&amp;"",المبيعات!$C$2:$C$2000,المبيعات!$C$2:$C$2000&amp;"")))</f>
        <v/>
      </c>
      <c r="D194">
        <f>IF(A194="","",SUMIFS(المبيعات!$H$2:$H$2000,المبيعات!$C$2:$C$2000,A194))</f>
        <v/>
      </c>
      <c r="E194" s="13">
        <f>IF(A194="","",IF(COUNTIF(المبيعات!$C$2:$C$2000,A194)=0,"",_xlfn.MAXIFS(المبيعات!$A$2:$A$2000,المبيعات!$C$2:$C$2000,A194)))</f>
        <v/>
      </c>
      <c r="F194">
        <f>IF(A194="","",SUMIFS(المبيعات!$H$2:$H$2000,المبيعات!$C$2:$C$2000,A194,المبيعات!$J$2:$J$2000,"آجل"))</f>
        <v/>
      </c>
      <c r="G194" s="4" t="n"/>
      <c r="H194">
        <f>IF(A194="","",F194-G194)</f>
        <v/>
      </c>
    </row>
    <row r="195">
      <c r="A195" s="4" t="n"/>
      <c r="B195" s="4" t="n"/>
      <c r="C195">
        <f>IF(A195="","",SUMPRODUCT((المبيعات!$C$2:$C$2000=A195)*(المبيعات!$B$2:$B$2000&lt;&gt;"")/COUNTIFS(المبيعات!$B$2:$B$2000,المبيعات!$B$2:$B$2000&amp;"",المبيعات!$C$2:$C$2000,المبيعات!$C$2:$C$2000&amp;"")))</f>
        <v/>
      </c>
      <c r="D195">
        <f>IF(A195="","",SUMIFS(المبيعات!$H$2:$H$2000,المبيعات!$C$2:$C$2000,A195))</f>
        <v/>
      </c>
      <c r="E195" s="13">
        <f>IF(A195="","",IF(COUNTIF(المبيعات!$C$2:$C$2000,A195)=0,"",_xlfn.MAXIFS(المبيعات!$A$2:$A$2000,المبيعات!$C$2:$C$2000,A195)))</f>
        <v/>
      </c>
      <c r="F195">
        <f>IF(A195="","",SUMIFS(المبيعات!$H$2:$H$2000,المبيعات!$C$2:$C$2000,A195,المبيعات!$J$2:$J$2000,"آجل"))</f>
        <v/>
      </c>
      <c r="G195" s="4" t="n"/>
      <c r="H195">
        <f>IF(A195="","",F195-G195)</f>
        <v/>
      </c>
    </row>
    <row r="196">
      <c r="A196" s="4" t="n"/>
      <c r="B196" s="4" t="n"/>
      <c r="C196">
        <f>IF(A196="","",SUMPRODUCT((المبيعات!$C$2:$C$2000=A196)*(المبيعات!$B$2:$B$2000&lt;&gt;"")/COUNTIFS(المبيعات!$B$2:$B$2000,المبيعات!$B$2:$B$2000&amp;"",المبيعات!$C$2:$C$2000,المبيعات!$C$2:$C$2000&amp;"")))</f>
        <v/>
      </c>
      <c r="D196">
        <f>IF(A196="","",SUMIFS(المبيعات!$H$2:$H$2000,المبيعات!$C$2:$C$2000,A196))</f>
        <v/>
      </c>
      <c r="E196" s="13">
        <f>IF(A196="","",IF(COUNTIF(المبيعات!$C$2:$C$2000,A196)=0,"",_xlfn.MAXIFS(المبيعات!$A$2:$A$2000,المبيعات!$C$2:$C$2000,A196)))</f>
        <v/>
      </c>
      <c r="F196">
        <f>IF(A196="","",SUMIFS(المبيعات!$H$2:$H$2000,المبيعات!$C$2:$C$2000,A196,المبيعات!$J$2:$J$2000,"آجل"))</f>
        <v/>
      </c>
      <c r="G196" s="4" t="n"/>
      <c r="H196">
        <f>IF(A196="","",F196-G196)</f>
        <v/>
      </c>
    </row>
    <row r="197">
      <c r="A197" s="4" t="n"/>
      <c r="B197" s="4" t="n"/>
      <c r="C197">
        <f>IF(A197="","",SUMPRODUCT((المبيعات!$C$2:$C$2000=A197)*(المبيعات!$B$2:$B$2000&lt;&gt;"")/COUNTIFS(المبيعات!$B$2:$B$2000,المبيعات!$B$2:$B$2000&amp;"",المبيعات!$C$2:$C$2000,المبيعات!$C$2:$C$2000&amp;"")))</f>
        <v/>
      </c>
      <c r="D197">
        <f>IF(A197="","",SUMIFS(المبيعات!$H$2:$H$2000,المبيعات!$C$2:$C$2000,A197))</f>
        <v/>
      </c>
      <c r="E197" s="13">
        <f>IF(A197="","",IF(COUNTIF(المبيعات!$C$2:$C$2000,A197)=0,"",_xlfn.MAXIFS(المبيعات!$A$2:$A$2000,المبيعات!$C$2:$C$2000,A197)))</f>
        <v/>
      </c>
      <c r="F197">
        <f>IF(A197="","",SUMIFS(المبيعات!$H$2:$H$2000,المبيعات!$C$2:$C$2000,A197,المبيعات!$J$2:$J$2000,"آجل"))</f>
        <v/>
      </c>
      <c r="G197" s="4" t="n"/>
      <c r="H197">
        <f>IF(A197="","",F197-G197)</f>
        <v/>
      </c>
    </row>
    <row r="198">
      <c r="A198" s="4" t="n"/>
      <c r="B198" s="4" t="n"/>
      <c r="C198">
        <f>IF(A198="","",SUMPRODUCT((المبيعات!$C$2:$C$2000=A198)*(المبيعات!$B$2:$B$2000&lt;&gt;"")/COUNTIFS(المبيعات!$B$2:$B$2000,المبيعات!$B$2:$B$2000&amp;"",المبيعات!$C$2:$C$2000,المبيعات!$C$2:$C$2000&amp;"")))</f>
        <v/>
      </c>
      <c r="D198">
        <f>IF(A198="","",SUMIFS(المبيعات!$H$2:$H$2000,المبيعات!$C$2:$C$2000,A198))</f>
        <v/>
      </c>
      <c r="E198" s="13">
        <f>IF(A198="","",IF(COUNTIF(المبيعات!$C$2:$C$2000,A198)=0,"",_xlfn.MAXIFS(المبيعات!$A$2:$A$2000,المبيعات!$C$2:$C$2000,A198)))</f>
        <v/>
      </c>
      <c r="F198">
        <f>IF(A198="","",SUMIFS(المبيعات!$H$2:$H$2000,المبيعات!$C$2:$C$2000,A198,المبيعات!$J$2:$J$2000,"آجل"))</f>
        <v/>
      </c>
      <c r="G198" s="4" t="n"/>
      <c r="H198">
        <f>IF(A198="","",F198-G198)</f>
        <v/>
      </c>
    </row>
    <row r="199">
      <c r="A199" s="4" t="n"/>
      <c r="B199" s="4" t="n"/>
      <c r="C199">
        <f>IF(A199="","",SUMPRODUCT((المبيعات!$C$2:$C$2000=A199)*(المبيعات!$B$2:$B$2000&lt;&gt;"")/COUNTIFS(المبيعات!$B$2:$B$2000,المبيعات!$B$2:$B$2000&amp;"",المبيعات!$C$2:$C$2000,المبيعات!$C$2:$C$2000&amp;"")))</f>
        <v/>
      </c>
      <c r="D199">
        <f>IF(A199="","",SUMIFS(المبيعات!$H$2:$H$2000,المبيعات!$C$2:$C$2000,A199))</f>
        <v/>
      </c>
      <c r="E199" s="13">
        <f>IF(A199="","",IF(COUNTIF(المبيعات!$C$2:$C$2000,A199)=0,"",_xlfn.MAXIFS(المبيعات!$A$2:$A$2000,المبيعات!$C$2:$C$2000,A199)))</f>
        <v/>
      </c>
      <c r="F199">
        <f>IF(A199="","",SUMIFS(المبيعات!$H$2:$H$2000,المبيعات!$C$2:$C$2000,A199,المبيعات!$J$2:$J$2000,"آجل"))</f>
        <v/>
      </c>
      <c r="G199" s="4" t="n"/>
      <c r="H199">
        <f>IF(A199="","",F199-G199)</f>
        <v/>
      </c>
    </row>
    <row r="200">
      <c r="A200" s="4" t="n"/>
      <c r="B200" s="4" t="n"/>
      <c r="C200">
        <f>IF(A200="","",SUMPRODUCT((المبيعات!$C$2:$C$2000=A200)*(المبيعات!$B$2:$B$2000&lt;&gt;"")/COUNTIFS(المبيعات!$B$2:$B$2000,المبيعات!$B$2:$B$2000&amp;"",المبيعات!$C$2:$C$2000,المبيعات!$C$2:$C$2000&amp;"")))</f>
        <v/>
      </c>
      <c r="D200">
        <f>IF(A200="","",SUMIFS(المبيعات!$H$2:$H$2000,المبيعات!$C$2:$C$2000,A200))</f>
        <v/>
      </c>
      <c r="E200" s="13">
        <f>IF(A200="","",IF(COUNTIF(المبيعات!$C$2:$C$2000,A200)=0,"",_xlfn.MAXIFS(المبيعات!$A$2:$A$2000,المبيعات!$C$2:$C$2000,A200)))</f>
        <v/>
      </c>
      <c r="F200">
        <f>IF(A200="","",SUMIFS(المبيعات!$H$2:$H$2000,المبيعات!$C$2:$C$2000,A200,المبيعات!$J$2:$J$2000,"آجل"))</f>
        <v/>
      </c>
      <c r="G200" s="4" t="n"/>
      <c r="H200">
        <f>IF(A200="","",F200-G200)</f>
        <v/>
      </c>
    </row>
    <row r="201">
      <c r="A201" s="4" t="n"/>
      <c r="B201" s="4" t="n"/>
      <c r="C201">
        <f>IF(A201="","",SUMPRODUCT((المبيعات!$C$2:$C$2000=A201)*(المبيعات!$B$2:$B$2000&lt;&gt;"")/COUNTIFS(المبيعات!$B$2:$B$2000,المبيعات!$B$2:$B$2000&amp;"",المبيعات!$C$2:$C$2000,المبيعات!$C$2:$C$2000&amp;"")))</f>
        <v/>
      </c>
      <c r="D201">
        <f>IF(A201="","",SUMIFS(المبيعات!$H$2:$H$2000,المبيعات!$C$2:$C$2000,A201))</f>
        <v/>
      </c>
      <c r="E201" s="13">
        <f>IF(A201="","",IF(COUNTIF(المبيعات!$C$2:$C$2000,A201)=0,"",_xlfn.MAXIFS(المبيعات!$A$2:$A$2000,المبيعات!$C$2:$C$2000,A201)))</f>
        <v/>
      </c>
      <c r="F201">
        <f>IF(A201="","",SUMIFS(المبيعات!$H$2:$H$2000,المبيعات!$C$2:$C$2000,A201,المبيعات!$J$2:$J$2000,"آجل"))</f>
        <v/>
      </c>
      <c r="G201" s="4" t="n"/>
      <c r="H201">
        <f>IF(A201="","",F201-G201)</f>
        <v/>
      </c>
    </row>
    <row r="202">
      <c r="A202" s="4" t="n"/>
      <c r="B202" s="4" t="n"/>
      <c r="C202">
        <f>IF(A202="","",SUMPRODUCT((المبيعات!$C$2:$C$2000=A202)*(المبيعات!$B$2:$B$2000&lt;&gt;"")/COUNTIFS(المبيعات!$B$2:$B$2000,المبيعات!$B$2:$B$2000&amp;"",المبيعات!$C$2:$C$2000,المبيعات!$C$2:$C$2000&amp;"")))</f>
        <v/>
      </c>
      <c r="D202">
        <f>IF(A202="","",SUMIFS(المبيعات!$H$2:$H$2000,المبيعات!$C$2:$C$2000,A202))</f>
        <v/>
      </c>
      <c r="E202" s="13">
        <f>IF(A202="","",IF(COUNTIF(المبيعات!$C$2:$C$2000,A202)=0,"",_xlfn.MAXIFS(المبيعات!$A$2:$A$2000,المبيعات!$C$2:$C$2000,A202)))</f>
        <v/>
      </c>
      <c r="F202">
        <f>IF(A202="","",SUMIFS(المبيعات!$H$2:$H$2000,المبيعات!$C$2:$C$2000,A202,المبيعات!$J$2:$J$2000,"آجل"))</f>
        <v/>
      </c>
      <c r="G202" s="4" t="n"/>
      <c r="H202">
        <f>IF(A202="","",F202-G202)</f>
        <v/>
      </c>
    </row>
    <row r="203">
      <c r="A203" s="4" t="n"/>
      <c r="B203" s="4" t="n"/>
      <c r="C203">
        <f>IF(A203="","",SUMPRODUCT((المبيعات!$C$2:$C$2000=A203)*(المبيعات!$B$2:$B$2000&lt;&gt;"")/COUNTIFS(المبيعات!$B$2:$B$2000,المبيعات!$B$2:$B$2000&amp;"",المبيعات!$C$2:$C$2000,المبيعات!$C$2:$C$2000&amp;"")))</f>
        <v/>
      </c>
      <c r="D203">
        <f>IF(A203="","",SUMIFS(المبيعات!$H$2:$H$2000,المبيعات!$C$2:$C$2000,A203))</f>
        <v/>
      </c>
      <c r="E203" s="13">
        <f>IF(A203="","",IF(COUNTIF(المبيعات!$C$2:$C$2000,A203)=0,"",_xlfn.MAXIFS(المبيعات!$A$2:$A$2000,المبيعات!$C$2:$C$2000,A203)))</f>
        <v/>
      </c>
      <c r="F203">
        <f>IF(A203="","",SUMIFS(المبيعات!$H$2:$H$2000,المبيعات!$C$2:$C$2000,A203,المبيعات!$J$2:$J$2000,"آجل"))</f>
        <v/>
      </c>
      <c r="G203" s="4" t="n"/>
      <c r="H203">
        <f>IF(A203="","",F203-G203)</f>
        <v/>
      </c>
    </row>
    <row r="204">
      <c r="A204" s="4" t="n"/>
      <c r="B204" s="4" t="n"/>
      <c r="C204">
        <f>IF(A204="","",SUMPRODUCT((المبيعات!$C$2:$C$2000=A204)*(المبيعات!$B$2:$B$2000&lt;&gt;"")/COUNTIFS(المبيعات!$B$2:$B$2000,المبيعات!$B$2:$B$2000&amp;"",المبيعات!$C$2:$C$2000,المبيعات!$C$2:$C$2000&amp;"")))</f>
        <v/>
      </c>
      <c r="D204">
        <f>IF(A204="","",SUMIFS(المبيعات!$H$2:$H$2000,المبيعات!$C$2:$C$2000,A204))</f>
        <v/>
      </c>
      <c r="E204" s="13">
        <f>IF(A204="","",IF(COUNTIF(المبيعات!$C$2:$C$2000,A204)=0,"",_xlfn.MAXIFS(المبيعات!$A$2:$A$2000,المبيعات!$C$2:$C$2000,A204)))</f>
        <v/>
      </c>
      <c r="F204">
        <f>IF(A204="","",SUMIFS(المبيعات!$H$2:$H$2000,المبيعات!$C$2:$C$2000,A204,المبيعات!$J$2:$J$2000,"آجل"))</f>
        <v/>
      </c>
      <c r="G204" s="4" t="n"/>
      <c r="H204">
        <f>IF(A204="","",F204-G204)</f>
        <v/>
      </c>
    </row>
    <row r="205">
      <c r="A205" s="4" t="n"/>
      <c r="B205" s="4" t="n"/>
      <c r="C205">
        <f>IF(A205="","",SUMPRODUCT((المبيعات!$C$2:$C$2000=A205)*(المبيعات!$B$2:$B$2000&lt;&gt;"")/COUNTIFS(المبيعات!$B$2:$B$2000,المبيعات!$B$2:$B$2000&amp;"",المبيعات!$C$2:$C$2000,المبيعات!$C$2:$C$2000&amp;"")))</f>
        <v/>
      </c>
      <c r="D205">
        <f>IF(A205="","",SUMIFS(المبيعات!$H$2:$H$2000,المبيعات!$C$2:$C$2000,A205))</f>
        <v/>
      </c>
      <c r="E205" s="13">
        <f>IF(A205="","",IF(COUNTIF(المبيعات!$C$2:$C$2000,A205)=0,"",_xlfn.MAXIFS(المبيعات!$A$2:$A$2000,المبيعات!$C$2:$C$2000,A205)))</f>
        <v/>
      </c>
      <c r="F205">
        <f>IF(A205="","",SUMIFS(المبيعات!$H$2:$H$2000,المبيعات!$C$2:$C$2000,A205,المبيعات!$J$2:$J$2000,"آجل"))</f>
        <v/>
      </c>
      <c r="G205" s="4" t="n"/>
      <c r="H205">
        <f>IF(A205="","",F205-G205)</f>
        <v/>
      </c>
    </row>
    <row r="206">
      <c r="A206" s="4" t="n"/>
      <c r="B206" s="4" t="n"/>
      <c r="C206">
        <f>IF(A206="","",SUMPRODUCT((المبيعات!$C$2:$C$2000=A206)*(المبيعات!$B$2:$B$2000&lt;&gt;"")/COUNTIFS(المبيعات!$B$2:$B$2000,المبيعات!$B$2:$B$2000&amp;"",المبيعات!$C$2:$C$2000,المبيعات!$C$2:$C$2000&amp;"")))</f>
        <v/>
      </c>
      <c r="D206">
        <f>IF(A206="","",SUMIFS(المبيعات!$H$2:$H$2000,المبيعات!$C$2:$C$2000,A206))</f>
        <v/>
      </c>
      <c r="E206" s="13">
        <f>IF(A206="","",IF(COUNTIF(المبيعات!$C$2:$C$2000,A206)=0,"",_xlfn.MAXIFS(المبيعات!$A$2:$A$2000,المبيعات!$C$2:$C$2000,A206)))</f>
        <v/>
      </c>
      <c r="F206">
        <f>IF(A206="","",SUMIFS(المبيعات!$H$2:$H$2000,المبيعات!$C$2:$C$2000,A206,المبيعات!$J$2:$J$2000,"آجل"))</f>
        <v/>
      </c>
      <c r="G206" s="4" t="n"/>
      <c r="H206">
        <f>IF(A206="","",F206-G206)</f>
        <v/>
      </c>
    </row>
    <row r="207">
      <c r="A207" s="4" t="n"/>
      <c r="B207" s="4" t="n"/>
      <c r="C207">
        <f>IF(A207="","",SUMPRODUCT((المبيعات!$C$2:$C$2000=A207)*(المبيعات!$B$2:$B$2000&lt;&gt;"")/COUNTIFS(المبيعات!$B$2:$B$2000,المبيعات!$B$2:$B$2000&amp;"",المبيعات!$C$2:$C$2000,المبيعات!$C$2:$C$2000&amp;"")))</f>
        <v/>
      </c>
      <c r="D207">
        <f>IF(A207="","",SUMIFS(المبيعات!$H$2:$H$2000,المبيعات!$C$2:$C$2000,A207))</f>
        <v/>
      </c>
      <c r="E207" s="13">
        <f>IF(A207="","",IF(COUNTIF(المبيعات!$C$2:$C$2000,A207)=0,"",_xlfn.MAXIFS(المبيعات!$A$2:$A$2000,المبيعات!$C$2:$C$2000,A207)))</f>
        <v/>
      </c>
      <c r="F207">
        <f>IF(A207="","",SUMIFS(المبيعات!$H$2:$H$2000,المبيعات!$C$2:$C$2000,A207,المبيعات!$J$2:$J$2000,"آجل"))</f>
        <v/>
      </c>
      <c r="G207" s="4" t="n"/>
      <c r="H207">
        <f>IF(A207="","",F207-G207)</f>
        <v/>
      </c>
    </row>
    <row r="208">
      <c r="A208" s="4" t="n"/>
      <c r="B208" s="4" t="n"/>
      <c r="C208">
        <f>IF(A208="","",SUMPRODUCT((المبيعات!$C$2:$C$2000=A208)*(المبيعات!$B$2:$B$2000&lt;&gt;"")/COUNTIFS(المبيعات!$B$2:$B$2000,المبيعات!$B$2:$B$2000&amp;"",المبيعات!$C$2:$C$2000,المبيعات!$C$2:$C$2000&amp;"")))</f>
        <v/>
      </c>
      <c r="D208">
        <f>IF(A208="","",SUMIFS(المبيعات!$H$2:$H$2000,المبيعات!$C$2:$C$2000,A208))</f>
        <v/>
      </c>
      <c r="E208" s="13">
        <f>IF(A208="","",IF(COUNTIF(المبيعات!$C$2:$C$2000,A208)=0,"",_xlfn.MAXIFS(المبيعات!$A$2:$A$2000,المبيعات!$C$2:$C$2000,A208)))</f>
        <v/>
      </c>
      <c r="F208">
        <f>IF(A208="","",SUMIFS(المبيعات!$H$2:$H$2000,المبيعات!$C$2:$C$2000,A208,المبيعات!$J$2:$J$2000,"آجل"))</f>
        <v/>
      </c>
      <c r="G208" s="4" t="n"/>
      <c r="H208">
        <f>IF(A208="","",F208-G208)</f>
        <v/>
      </c>
    </row>
    <row r="209">
      <c r="A209" s="4" t="n"/>
      <c r="B209" s="4" t="n"/>
      <c r="C209">
        <f>IF(A209="","",SUMPRODUCT((المبيعات!$C$2:$C$2000=A209)*(المبيعات!$B$2:$B$2000&lt;&gt;"")/COUNTIFS(المبيعات!$B$2:$B$2000,المبيعات!$B$2:$B$2000&amp;"",المبيعات!$C$2:$C$2000,المبيعات!$C$2:$C$2000&amp;"")))</f>
        <v/>
      </c>
      <c r="D209">
        <f>IF(A209="","",SUMIFS(المبيعات!$H$2:$H$2000,المبيعات!$C$2:$C$2000,A209))</f>
        <v/>
      </c>
      <c r="E209" s="13">
        <f>IF(A209="","",IF(COUNTIF(المبيعات!$C$2:$C$2000,A209)=0,"",_xlfn.MAXIFS(المبيعات!$A$2:$A$2000,المبيعات!$C$2:$C$2000,A209)))</f>
        <v/>
      </c>
      <c r="F209">
        <f>IF(A209="","",SUMIFS(المبيعات!$H$2:$H$2000,المبيعات!$C$2:$C$2000,A209,المبيعات!$J$2:$J$2000,"آجل"))</f>
        <v/>
      </c>
      <c r="G209" s="4" t="n"/>
      <c r="H209">
        <f>IF(A209="","",F209-G209)</f>
        <v/>
      </c>
    </row>
    <row r="210">
      <c r="A210" s="4" t="n"/>
      <c r="B210" s="4" t="n"/>
      <c r="C210">
        <f>IF(A210="","",SUMPRODUCT((المبيعات!$C$2:$C$2000=A210)*(المبيعات!$B$2:$B$2000&lt;&gt;"")/COUNTIFS(المبيعات!$B$2:$B$2000,المبيعات!$B$2:$B$2000&amp;"",المبيعات!$C$2:$C$2000,المبيعات!$C$2:$C$2000&amp;"")))</f>
        <v/>
      </c>
      <c r="D210">
        <f>IF(A210="","",SUMIFS(المبيعات!$H$2:$H$2000,المبيعات!$C$2:$C$2000,A210))</f>
        <v/>
      </c>
      <c r="E210" s="13">
        <f>IF(A210="","",IF(COUNTIF(المبيعات!$C$2:$C$2000,A210)=0,"",_xlfn.MAXIFS(المبيعات!$A$2:$A$2000,المبيعات!$C$2:$C$2000,A210)))</f>
        <v/>
      </c>
      <c r="F210">
        <f>IF(A210="","",SUMIFS(المبيعات!$H$2:$H$2000,المبيعات!$C$2:$C$2000,A210,المبيعات!$J$2:$J$2000,"آجل"))</f>
        <v/>
      </c>
      <c r="G210" s="4" t="n"/>
      <c r="H210">
        <f>IF(A210="","",F210-G210)</f>
        <v/>
      </c>
    </row>
    <row r="211">
      <c r="A211" s="4" t="n"/>
      <c r="B211" s="4" t="n"/>
      <c r="C211">
        <f>IF(A211="","",SUMPRODUCT((المبيعات!$C$2:$C$2000=A211)*(المبيعات!$B$2:$B$2000&lt;&gt;"")/COUNTIFS(المبيعات!$B$2:$B$2000,المبيعات!$B$2:$B$2000&amp;"",المبيعات!$C$2:$C$2000,المبيعات!$C$2:$C$2000&amp;"")))</f>
        <v/>
      </c>
      <c r="D211">
        <f>IF(A211="","",SUMIFS(المبيعات!$H$2:$H$2000,المبيعات!$C$2:$C$2000,A211))</f>
        <v/>
      </c>
      <c r="E211" s="13">
        <f>IF(A211="","",IF(COUNTIF(المبيعات!$C$2:$C$2000,A211)=0,"",_xlfn.MAXIFS(المبيعات!$A$2:$A$2000,المبيعات!$C$2:$C$2000,A211)))</f>
        <v/>
      </c>
      <c r="F211">
        <f>IF(A211="","",SUMIFS(المبيعات!$H$2:$H$2000,المبيعات!$C$2:$C$2000,A211,المبيعات!$J$2:$J$2000,"آجل"))</f>
        <v/>
      </c>
      <c r="G211" s="4" t="n"/>
      <c r="H211">
        <f>IF(A211="","",F211-G211)</f>
        <v/>
      </c>
    </row>
    <row r="212">
      <c r="A212" s="4" t="n"/>
      <c r="B212" s="4" t="n"/>
      <c r="C212">
        <f>IF(A212="","",SUMPRODUCT((المبيعات!$C$2:$C$2000=A212)*(المبيعات!$B$2:$B$2000&lt;&gt;"")/COUNTIFS(المبيعات!$B$2:$B$2000,المبيعات!$B$2:$B$2000&amp;"",المبيعات!$C$2:$C$2000,المبيعات!$C$2:$C$2000&amp;"")))</f>
        <v/>
      </c>
      <c r="D212">
        <f>IF(A212="","",SUMIFS(المبيعات!$H$2:$H$2000,المبيعات!$C$2:$C$2000,A212))</f>
        <v/>
      </c>
      <c r="E212" s="13">
        <f>IF(A212="","",IF(COUNTIF(المبيعات!$C$2:$C$2000,A212)=0,"",_xlfn.MAXIFS(المبيعات!$A$2:$A$2000,المبيعات!$C$2:$C$2000,A212)))</f>
        <v/>
      </c>
      <c r="F212">
        <f>IF(A212="","",SUMIFS(المبيعات!$H$2:$H$2000,المبيعات!$C$2:$C$2000,A212,المبيعات!$J$2:$J$2000,"آجل"))</f>
        <v/>
      </c>
      <c r="G212" s="4" t="n"/>
      <c r="H212">
        <f>IF(A212="","",F212-G212)</f>
        <v/>
      </c>
    </row>
    <row r="213">
      <c r="A213" s="4" t="n"/>
      <c r="B213" s="4" t="n"/>
      <c r="C213">
        <f>IF(A213="","",SUMPRODUCT((المبيعات!$C$2:$C$2000=A213)*(المبيعات!$B$2:$B$2000&lt;&gt;"")/COUNTIFS(المبيعات!$B$2:$B$2000,المبيعات!$B$2:$B$2000&amp;"",المبيعات!$C$2:$C$2000,المبيعات!$C$2:$C$2000&amp;"")))</f>
        <v/>
      </c>
      <c r="D213">
        <f>IF(A213="","",SUMIFS(المبيعات!$H$2:$H$2000,المبيعات!$C$2:$C$2000,A213))</f>
        <v/>
      </c>
      <c r="E213" s="13">
        <f>IF(A213="","",IF(COUNTIF(المبيعات!$C$2:$C$2000,A213)=0,"",_xlfn.MAXIFS(المبيعات!$A$2:$A$2000,المبيعات!$C$2:$C$2000,A213)))</f>
        <v/>
      </c>
      <c r="F213">
        <f>IF(A213="","",SUMIFS(المبيعات!$H$2:$H$2000,المبيعات!$C$2:$C$2000,A213,المبيعات!$J$2:$J$2000,"آجل"))</f>
        <v/>
      </c>
      <c r="G213" s="4" t="n"/>
      <c r="H213">
        <f>IF(A213="","",F213-G213)</f>
        <v/>
      </c>
    </row>
    <row r="214">
      <c r="A214" s="4" t="n"/>
      <c r="B214" s="4" t="n"/>
      <c r="C214">
        <f>IF(A214="","",SUMPRODUCT((المبيعات!$C$2:$C$2000=A214)*(المبيعات!$B$2:$B$2000&lt;&gt;"")/COUNTIFS(المبيعات!$B$2:$B$2000,المبيعات!$B$2:$B$2000&amp;"",المبيعات!$C$2:$C$2000,المبيعات!$C$2:$C$2000&amp;"")))</f>
        <v/>
      </c>
      <c r="D214">
        <f>IF(A214="","",SUMIFS(المبيعات!$H$2:$H$2000,المبيعات!$C$2:$C$2000,A214))</f>
        <v/>
      </c>
      <c r="E214" s="13">
        <f>IF(A214="","",IF(COUNTIF(المبيعات!$C$2:$C$2000,A214)=0,"",_xlfn.MAXIFS(المبيعات!$A$2:$A$2000,المبيعات!$C$2:$C$2000,A214)))</f>
        <v/>
      </c>
      <c r="F214">
        <f>IF(A214="","",SUMIFS(المبيعات!$H$2:$H$2000,المبيعات!$C$2:$C$2000,A214,المبيعات!$J$2:$J$2000,"آجل"))</f>
        <v/>
      </c>
      <c r="G214" s="4" t="n"/>
      <c r="H214">
        <f>IF(A214="","",F214-G214)</f>
        <v/>
      </c>
    </row>
    <row r="215">
      <c r="A215" s="4" t="n"/>
      <c r="B215" s="4" t="n"/>
      <c r="C215">
        <f>IF(A215="","",SUMPRODUCT((المبيعات!$C$2:$C$2000=A215)*(المبيعات!$B$2:$B$2000&lt;&gt;"")/COUNTIFS(المبيعات!$B$2:$B$2000,المبيعات!$B$2:$B$2000&amp;"",المبيعات!$C$2:$C$2000,المبيعات!$C$2:$C$2000&amp;"")))</f>
        <v/>
      </c>
      <c r="D215">
        <f>IF(A215="","",SUMIFS(المبيعات!$H$2:$H$2000,المبيعات!$C$2:$C$2000,A215))</f>
        <v/>
      </c>
      <c r="E215" s="13">
        <f>IF(A215="","",IF(COUNTIF(المبيعات!$C$2:$C$2000,A215)=0,"",_xlfn.MAXIFS(المبيعات!$A$2:$A$2000,المبيعات!$C$2:$C$2000,A215)))</f>
        <v/>
      </c>
      <c r="F215">
        <f>IF(A215="","",SUMIFS(المبيعات!$H$2:$H$2000,المبيعات!$C$2:$C$2000,A215,المبيعات!$J$2:$J$2000,"آجل"))</f>
        <v/>
      </c>
      <c r="G215" s="4" t="n"/>
      <c r="H215">
        <f>IF(A215="","",F215-G215)</f>
        <v/>
      </c>
    </row>
    <row r="216">
      <c r="A216" s="4" t="n"/>
      <c r="B216" s="4" t="n"/>
      <c r="C216">
        <f>IF(A216="","",SUMPRODUCT((المبيعات!$C$2:$C$2000=A216)*(المبيعات!$B$2:$B$2000&lt;&gt;"")/COUNTIFS(المبيعات!$B$2:$B$2000,المبيعات!$B$2:$B$2000&amp;"",المبيعات!$C$2:$C$2000,المبيعات!$C$2:$C$2000&amp;"")))</f>
        <v/>
      </c>
      <c r="D216">
        <f>IF(A216="","",SUMIFS(المبيعات!$H$2:$H$2000,المبيعات!$C$2:$C$2000,A216))</f>
        <v/>
      </c>
      <c r="E216" s="13">
        <f>IF(A216="","",IF(COUNTIF(المبيعات!$C$2:$C$2000,A216)=0,"",_xlfn.MAXIFS(المبيعات!$A$2:$A$2000,المبيعات!$C$2:$C$2000,A216)))</f>
        <v/>
      </c>
      <c r="F216">
        <f>IF(A216="","",SUMIFS(المبيعات!$H$2:$H$2000,المبيعات!$C$2:$C$2000,A216,المبيعات!$J$2:$J$2000,"آجل"))</f>
        <v/>
      </c>
      <c r="G216" s="4" t="n"/>
      <c r="H216">
        <f>IF(A216="","",F216-G216)</f>
        <v/>
      </c>
    </row>
    <row r="217">
      <c r="A217" s="4" t="n"/>
      <c r="B217" s="4" t="n"/>
      <c r="C217">
        <f>IF(A217="","",SUMPRODUCT((المبيعات!$C$2:$C$2000=A217)*(المبيعات!$B$2:$B$2000&lt;&gt;"")/COUNTIFS(المبيعات!$B$2:$B$2000,المبيعات!$B$2:$B$2000&amp;"",المبيعات!$C$2:$C$2000,المبيعات!$C$2:$C$2000&amp;"")))</f>
        <v/>
      </c>
      <c r="D217">
        <f>IF(A217="","",SUMIFS(المبيعات!$H$2:$H$2000,المبيعات!$C$2:$C$2000,A217))</f>
        <v/>
      </c>
      <c r="E217" s="13">
        <f>IF(A217="","",IF(COUNTIF(المبيعات!$C$2:$C$2000,A217)=0,"",_xlfn.MAXIFS(المبيعات!$A$2:$A$2000,المبيعات!$C$2:$C$2000,A217)))</f>
        <v/>
      </c>
      <c r="F217">
        <f>IF(A217="","",SUMIFS(المبيعات!$H$2:$H$2000,المبيعات!$C$2:$C$2000,A217,المبيعات!$J$2:$J$2000,"آجل"))</f>
        <v/>
      </c>
      <c r="G217" s="4" t="n"/>
      <c r="H217">
        <f>IF(A217="","",F217-G217)</f>
        <v/>
      </c>
    </row>
    <row r="218">
      <c r="A218" s="4" t="n"/>
      <c r="B218" s="4" t="n"/>
      <c r="C218">
        <f>IF(A218="","",SUMPRODUCT((المبيعات!$C$2:$C$2000=A218)*(المبيعات!$B$2:$B$2000&lt;&gt;"")/COUNTIFS(المبيعات!$B$2:$B$2000,المبيعات!$B$2:$B$2000&amp;"",المبيعات!$C$2:$C$2000,المبيعات!$C$2:$C$2000&amp;"")))</f>
        <v/>
      </c>
      <c r="D218">
        <f>IF(A218="","",SUMIFS(المبيعات!$H$2:$H$2000,المبيعات!$C$2:$C$2000,A218))</f>
        <v/>
      </c>
      <c r="E218" s="13">
        <f>IF(A218="","",IF(COUNTIF(المبيعات!$C$2:$C$2000,A218)=0,"",_xlfn.MAXIFS(المبيعات!$A$2:$A$2000,المبيعات!$C$2:$C$2000,A218)))</f>
        <v/>
      </c>
      <c r="F218">
        <f>IF(A218="","",SUMIFS(المبيعات!$H$2:$H$2000,المبيعات!$C$2:$C$2000,A218,المبيعات!$J$2:$J$2000,"آجل"))</f>
        <v/>
      </c>
      <c r="G218" s="4" t="n"/>
      <c r="H218">
        <f>IF(A218="","",F218-G218)</f>
        <v/>
      </c>
    </row>
    <row r="219">
      <c r="A219" s="4" t="n"/>
      <c r="B219" s="4" t="n"/>
      <c r="C219">
        <f>IF(A219="","",SUMPRODUCT((المبيعات!$C$2:$C$2000=A219)*(المبيعات!$B$2:$B$2000&lt;&gt;"")/COUNTIFS(المبيعات!$B$2:$B$2000,المبيعات!$B$2:$B$2000&amp;"",المبيعات!$C$2:$C$2000,المبيعات!$C$2:$C$2000&amp;"")))</f>
        <v/>
      </c>
      <c r="D219">
        <f>IF(A219="","",SUMIFS(المبيعات!$H$2:$H$2000,المبيعات!$C$2:$C$2000,A219))</f>
        <v/>
      </c>
      <c r="E219" s="13">
        <f>IF(A219="","",IF(COUNTIF(المبيعات!$C$2:$C$2000,A219)=0,"",_xlfn.MAXIFS(المبيعات!$A$2:$A$2000,المبيعات!$C$2:$C$2000,A219)))</f>
        <v/>
      </c>
      <c r="F219">
        <f>IF(A219="","",SUMIFS(المبيعات!$H$2:$H$2000,المبيعات!$C$2:$C$2000,A219,المبيعات!$J$2:$J$2000,"آجل"))</f>
        <v/>
      </c>
      <c r="G219" s="4" t="n"/>
      <c r="H219">
        <f>IF(A219="","",F219-G219)</f>
        <v/>
      </c>
    </row>
    <row r="220">
      <c r="A220" s="4" t="n"/>
      <c r="B220" s="4" t="n"/>
      <c r="C220">
        <f>IF(A220="","",SUMPRODUCT((المبيعات!$C$2:$C$2000=A220)*(المبيعات!$B$2:$B$2000&lt;&gt;"")/COUNTIFS(المبيعات!$B$2:$B$2000,المبيعات!$B$2:$B$2000&amp;"",المبيعات!$C$2:$C$2000,المبيعات!$C$2:$C$2000&amp;"")))</f>
        <v/>
      </c>
      <c r="D220">
        <f>IF(A220="","",SUMIFS(المبيعات!$H$2:$H$2000,المبيعات!$C$2:$C$2000,A220))</f>
        <v/>
      </c>
      <c r="E220" s="13">
        <f>IF(A220="","",IF(COUNTIF(المبيعات!$C$2:$C$2000,A220)=0,"",_xlfn.MAXIFS(المبيعات!$A$2:$A$2000,المبيعات!$C$2:$C$2000,A220)))</f>
        <v/>
      </c>
      <c r="F220">
        <f>IF(A220="","",SUMIFS(المبيعات!$H$2:$H$2000,المبيعات!$C$2:$C$2000,A220,المبيعات!$J$2:$J$2000,"آجل"))</f>
        <v/>
      </c>
      <c r="G220" s="4" t="n"/>
      <c r="H220">
        <f>IF(A220="","",F220-G220)</f>
        <v/>
      </c>
    </row>
    <row r="221">
      <c r="A221" s="4" t="n"/>
      <c r="B221" s="4" t="n"/>
      <c r="C221">
        <f>IF(A221="","",SUMPRODUCT((المبيعات!$C$2:$C$2000=A221)*(المبيعات!$B$2:$B$2000&lt;&gt;"")/COUNTIFS(المبيعات!$B$2:$B$2000,المبيعات!$B$2:$B$2000&amp;"",المبيعات!$C$2:$C$2000,المبيعات!$C$2:$C$2000&amp;"")))</f>
        <v/>
      </c>
      <c r="D221">
        <f>IF(A221="","",SUMIFS(المبيعات!$H$2:$H$2000,المبيعات!$C$2:$C$2000,A221))</f>
        <v/>
      </c>
      <c r="E221" s="13">
        <f>IF(A221="","",IF(COUNTIF(المبيعات!$C$2:$C$2000,A221)=0,"",_xlfn.MAXIFS(المبيعات!$A$2:$A$2000,المبيعات!$C$2:$C$2000,A221)))</f>
        <v/>
      </c>
      <c r="F221">
        <f>IF(A221="","",SUMIFS(المبيعات!$H$2:$H$2000,المبيعات!$C$2:$C$2000,A221,المبيعات!$J$2:$J$2000,"آجل"))</f>
        <v/>
      </c>
      <c r="G221" s="4" t="n"/>
      <c r="H221">
        <f>IF(A221="","",F221-G221)</f>
        <v/>
      </c>
    </row>
    <row r="222">
      <c r="A222" s="4" t="n"/>
      <c r="B222" s="4" t="n"/>
      <c r="C222">
        <f>IF(A222="","",SUMPRODUCT((المبيعات!$C$2:$C$2000=A222)*(المبيعات!$B$2:$B$2000&lt;&gt;"")/COUNTIFS(المبيعات!$B$2:$B$2000,المبيعات!$B$2:$B$2000&amp;"",المبيعات!$C$2:$C$2000,المبيعات!$C$2:$C$2000&amp;"")))</f>
        <v/>
      </c>
      <c r="D222">
        <f>IF(A222="","",SUMIFS(المبيعات!$H$2:$H$2000,المبيعات!$C$2:$C$2000,A222))</f>
        <v/>
      </c>
      <c r="E222" s="13">
        <f>IF(A222="","",IF(COUNTIF(المبيعات!$C$2:$C$2000,A222)=0,"",_xlfn.MAXIFS(المبيعات!$A$2:$A$2000,المبيعات!$C$2:$C$2000,A222)))</f>
        <v/>
      </c>
      <c r="F222">
        <f>IF(A222="","",SUMIFS(المبيعات!$H$2:$H$2000,المبيعات!$C$2:$C$2000,A222,المبيعات!$J$2:$J$2000,"آجل"))</f>
        <v/>
      </c>
      <c r="G222" s="4" t="n"/>
      <c r="H222">
        <f>IF(A222="","",F222-G222)</f>
        <v/>
      </c>
    </row>
    <row r="223">
      <c r="A223" s="4" t="n"/>
      <c r="B223" s="4" t="n"/>
      <c r="C223">
        <f>IF(A223="","",SUMPRODUCT((المبيعات!$C$2:$C$2000=A223)*(المبيعات!$B$2:$B$2000&lt;&gt;"")/COUNTIFS(المبيعات!$B$2:$B$2000,المبيعات!$B$2:$B$2000&amp;"",المبيعات!$C$2:$C$2000,المبيعات!$C$2:$C$2000&amp;"")))</f>
        <v/>
      </c>
      <c r="D223">
        <f>IF(A223="","",SUMIFS(المبيعات!$H$2:$H$2000,المبيعات!$C$2:$C$2000,A223))</f>
        <v/>
      </c>
      <c r="E223" s="13">
        <f>IF(A223="","",IF(COUNTIF(المبيعات!$C$2:$C$2000,A223)=0,"",_xlfn.MAXIFS(المبيعات!$A$2:$A$2000,المبيعات!$C$2:$C$2000,A223)))</f>
        <v/>
      </c>
      <c r="F223">
        <f>IF(A223="","",SUMIFS(المبيعات!$H$2:$H$2000,المبيعات!$C$2:$C$2000,A223,المبيعات!$J$2:$J$2000,"آجل"))</f>
        <v/>
      </c>
      <c r="G223" s="4" t="n"/>
      <c r="H223">
        <f>IF(A223="","",F223-G223)</f>
        <v/>
      </c>
    </row>
    <row r="224">
      <c r="A224" s="4" t="n"/>
      <c r="B224" s="4" t="n"/>
      <c r="C224">
        <f>IF(A224="","",SUMPRODUCT((المبيعات!$C$2:$C$2000=A224)*(المبيعات!$B$2:$B$2000&lt;&gt;"")/COUNTIFS(المبيعات!$B$2:$B$2000,المبيعات!$B$2:$B$2000&amp;"",المبيعات!$C$2:$C$2000,المبيعات!$C$2:$C$2000&amp;"")))</f>
        <v/>
      </c>
      <c r="D224">
        <f>IF(A224="","",SUMIFS(المبيعات!$H$2:$H$2000,المبيعات!$C$2:$C$2000,A224))</f>
        <v/>
      </c>
      <c r="E224" s="13">
        <f>IF(A224="","",IF(COUNTIF(المبيعات!$C$2:$C$2000,A224)=0,"",_xlfn.MAXIFS(المبيعات!$A$2:$A$2000,المبيعات!$C$2:$C$2000,A224)))</f>
        <v/>
      </c>
      <c r="F224">
        <f>IF(A224="","",SUMIFS(المبيعات!$H$2:$H$2000,المبيعات!$C$2:$C$2000,A224,المبيعات!$J$2:$J$2000,"آجل"))</f>
        <v/>
      </c>
      <c r="G224" s="4" t="n"/>
      <c r="H224">
        <f>IF(A224="","",F224-G224)</f>
        <v/>
      </c>
    </row>
    <row r="225">
      <c r="A225" s="4" t="n"/>
      <c r="B225" s="4" t="n"/>
      <c r="C225">
        <f>IF(A225="","",SUMPRODUCT((المبيعات!$C$2:$C$2000=A225)*(المبيعات!$B$2:$B$2000&lt;&gt;"")/COUNTIFS(المبيعات!$B$2:$B$2000,المبيعات!$B$2:$B$2000&amp;"",المبيعات!$C$2:$C$2000,المبيعات!$C$2:$C$2000&amp;"")))</f>
        <v/>
      </c>
      <c r="D225">
        <f>IF(A225="","",SUMIFS(المبيعات!$H$2:$H$2000,المبيعات!$C$2:$C$2000,A225))</f>
        <v/>
      </c>
      <c r="E225" s="13">
        <f>IF(A225="","",IF(COUNTIF(المبيعات!$C$2:$C$2000,A225)=0,"",_xlfn.MAXIFS(المبيعات!$A$2:$A$2000,المبيعات!$C$2:$C$2000,A225)))</f>
        <v/>
      </c>
      <c r="F225">
        <f>IF(A225="","",SUMIFS(المبيعات!$H$2:$H$2000,المبيعات!$C$2:$C$2000,A225,المبيعات!$J$2:$J$2000,"آجل"))</f>
        <v/>
      </c>
      <c r="G225" s="4" t="n"/>
      <c r="H225">
        <f>IF(A225="","",F225-G225)</f>
        <v/>
      </c>
    </row>
    <row r="226">
      <c r="A226" s="4" t="n"/>
      <c r="B226" s="4" t="n"/>
      <c r="C226">
        <f>IF(A226="","",SUMPRODUCT((المبيعات!$C$2:$C$2000=A226)*(المبيعات!$B$2:$B$2000&lt;&gt;"")/COUNTIFS(المبيعات!$B$2:$B$2000,المبيعات!$B$2:$B$2000&amp;"",المبيعات!$C$2:$C$2000,المبيعات!$C$2:$C$2000&amp;"")))</f>
        <v/>
      </c>
      <c r="D226">
        <f>IF(A226="","",SUMIFS(المبيعات!$H$2:$H$2000,المبيعات!$C$2:$C$2000,A226))</f>
        <v/>
      </c>
      <c r="E226" s="13">
        <f>IF(A226="","",IF(COUNTIF(المبيعات!$C$2:$C$2000,A226)=0,"",_xlfn.MAXIFS(المبيعات!$A$2:$A$2000,المبيعات!$C$2:$C$2000,A226)))</f>
        <v/>
      </c>
      <c r="F226">
        <f>IF(A226="","",SUMIFS(المبيعات!$H$2:$H$2000,المبيعات!$C$2:$C$2000,A226,المبيعات!$J$2:$J$2000,"آجل"))</f>
        <v/>
      </c>
      <c r="G226" s="4" t="n"/>
      <c r="H226">
        <f>IF(A226="","",F226-G226)</f>
        <v/>
      </c>
    </row>
    <row r="227">
      <c r="A227" s="4" t="n"/>
      <c r="B227" s="4" t="n"/>
      <c r="C227">
        <f>IF(A227="","",SUMPRODUCT((المبيعات!$C$2:$C$2000=A227)*(المبيعات!$B$2:$B$2000&lt;&gt;"")/COUNTIFS(المبيعات!$B$2:$B$2000,المبيعات!$B$2:$B$2000&amp;"",المبيعات!$C$2:$C$2000,المبيعات!$C$2:$C$2000&amp;"")))</f>
        <v/>
      </c>
      <c r="D227">
        <f>IF(A227="","",SUMIFS(المبيعات!$H$2:$H$2000,المبيعات!$C$2:$C$2000,A227))</f>
        <v/>
      </c>
      <c r="E227" s="13">
        <f>IF(A227="","",IF(COUNTIF(المبيعات!$C$2:$C$2000,A227)=0,"",_xlfn.MAXIFS(المبيعات!$A$2:$A$2000,المبيعات!$C$2:$C$2000,A227)))</f>
        <v/>
      </c>
      <c r="F227">
        <f>IF(A227="","",SUMIFS(المبيعات!$H$2:$H$2000,المبيعات!$C$2:$C$2000,A227,المبيعات!$J$2:$J$2000,"آجل"))</f>
        <v/>
      </c>
      <c r="G227" s="4" t="n"/>
      <c r="H227">
        <f>IF(A227="","",F227-G227)</f>
        <v/>
      </c>
    </row>
    <row r="228">
      <c r="A228" s="4" t="n"/>
      <c r="B228" s="4" t="n"/>
      <c r="C228">
        <f>IF(A228="","",SUMPRODUCT((المبيعات!$C$2:$C$2000=A228)*(المبيعات!$B$2:$B$2000&lt;&gt;"")/COUNTIFS(المبيعات!$B$2:$B$2000,المبيعات!$B$2:$B$2000&amp;"",المبيعات!$C$2:$C$2000,المبيعات!$C$2:$C$2000&amp;"")))</f>
        <v/>
      </c>
      <c r="D228">
        <f>IF(A228="","",SUMIFS(المبيعات!$H$2:$H$2000,المبيعات!$C$2:$C$2000,A228))</f>
        <v/>
      </c>
      <c r="E228" s="13">
        <f>IF(A228="","",IF(COUNTIF(المبيعات!$C$2:$C$2000,A228)=0,"",_xlfn.MAXIFS(المبيعات!$A$2:$A$2000,المبيعات!$C$2:$C$2000,A228)))</f>
        <v/>
      </c>
      <c r="F228">
        <f>IF(A228="","",SUMIFS(المبيعات!$H$2:$H$2000,المبيعات!$C$2:$C$2000,A228,المبيعات!$J$2:$J$2000,"آجل"))</f>
        <v/>
      </c>
      <c r="G228" s="4" t="n"/>
      <c r="H228">
        <f>IF(A228="","",F228-G228)</f>
        <v/>
      </c>
    </row>
    <row r="229">
      <c r="A229" s="4" t="n"/>
      <c r="B229" s="4" t="n"/>
      <c r="C229">
        <f>IF(A229="","",SUMPRODUCT((المبيعات!$C$2:$C$2000=A229)*(المبيعات!$B$2:$B$2000&lt;&gt;"")/COUNTIFS(المبيعات!$B$2:$B$2000,المبيعات!$B$2:$B$2000&amp;"",المبيعات!$C$2:$C$2000,المبيعات!$C$2:$C$2000&amp;"")))</f>
        <v/>
      </c>
      <c r="D229">
        <f>IF(A229="","",SUMIFS(المبيعات!$H$2:$H$2000,المبيعات!$C$2:$C$2000,A229))</f>
        <v/>
      </c>
      <c r="E229" s="13">
        <f>IF(A229="","",IF(COUNTIF(المبيعات!$C$2:$C$2000,A229)=0,"",_xlfn.MAXIFS(المبيعات!$A$2:$A$2000,المبيعات!$C$2:$C$2000,A229)))</f>
        <v/>
      </c>
      <c r="F229">
        <f>IF(A229="","",SUMIFS(المبيعات!$H$2:$H$2000,المبيعات!$C$2:$C$2000,A229,المبيعات!$J$2:$J$2000,"آجل"))</f>
        <v/>
      </c>
      <c r="G229" s="4" t="n"/>
      <c r="H229">
        <f>IF(A229="","",F229-G229)</f>
        <v/>
      </c>
    </row>
    <row r="230">
      <c r="A230" s="4" t="n"/>
      <c r="B230" s="4" t="n"/>
      <c r="C230">
        <f>IF(A230="","",SUMPRODUCT((المبيعات!$C$2:$C$2000=A230)*(المبيعات!$B$2:$B$2000&lt;&gt;"")/COUNTIFS(المبيعات!$B$2:$B$2000,المبيعات!$B$2:$B$2000&amp;"",المبيعات!$C$2:$C$2000,المبيعات!$C$2:$C$2000&amp;"")))</f>
        <v/>
      </c>
      <c r="D230">
        <f>IF(A230="","",SUMIFS(المبيعات!$H$2:$H$2000,المبيعات!$C$2:$C$2000,A230))</f>
        <v/>
      </c>
      <c r="E230" s="13">
        <f>IF(A230="","",IF(COUNTIF(المبيعات!$C$2:$C$2000,A230)=0,"",_xlfn.MAXIFS(المبيعات!$A$2:$A$2000,المبيعات!$C$2:$C$2000,A230)))</f>
        <v/>
      </c>
      <c r="F230">
        <f>IF(A230="","",SUMIFS(المبيعات!$H$2:$H$2000,المبيعات!$C$2:$C$2000,A230,المبيعات!$J$2:$J$2000,"آجل"))</f>
        <v/>
      </c>
      <c r="G230" s="4" t="n"/>
      <c r="H230">
        <f>IF(A230="","",F230-G230)</f>
        <v/>
      </c>
    </row>
    <row r="231">
      <c r="A231" s="4" t="n"/>
      <c r="B231" s="4" t="n"/>
      <c r="C231">
        <f>IF(A231="","",SUMPRODUCT((المبيعات!$C$2:$C$2000=A231)*(المبيعات!$B$2:$B$2000&lt;&gt;"")/COUNTIFS(المبيعات!$B$2:$B$2000,المبيعات!$B$2:$B$2000&amp;"",المبيعات!$C$2:$C$2000,المبيعات!$C$2:$C$2000&amp;"")))</f>
        <v/>
      </c>
      <c r="D231">
        <f>IF(A231="","",SUMIFS(المبيعات!$H$2:$H$2000,المبيعات!$C$2:$C$2000,A231))</f>
        <v/>
      </c>
      <c r="E231" s="13">
        <f>IF(A231="","",IF(COUNTIF(المبيعات!$C$2:$C$2000,A231)=0,"",_xlfn.MAXIFS(المبيعات!$A$2:$A$2000,المبيعات!$C$2:$C$2000,A231)))</f>
        <v/>
      </c>
      <c r="F231">
        <f>IF(A231="","",SUMIFS(المبيعات!$H$2:$H$2000,المبيعات!$C$2:$C$2000,A231,المبيعات!$J$2:$J$2000,"آجل"))</f>
        <v/>
      </c>
      <c r="G231" s="4" t="n"/>
      <c r="H231">
        <f>IF(A231="","",F231-G231)</f>
        <v/>
      </c>
    </row>
    <row r="232">
      <c r="A232" s="4" t="n"/>
      <c r="B232" s="4" t="n"/>
      <c r="C232">
        <f>IF(A232="","",SUMPRODUCT((المبيعات!$C$2:$C$2000=A232)*(المبيعات!$B$2:$B$2000&lt;&gt;"")/COUNTIFS(المبيعات!$B$2:$B$2000,المبيعات!$B$2:$B$2000&amp;"",المبيعات!$C$2:$C$2000,المبيعات!$C$2:$C$2000&amp;"")))</f>
        <v/>
      </c>
      <c r="D232">
        <f>IF(A232="","",SUMIFS(المبيعات!$H$2:$H$2000,المبيعات!$C$2:$C$2000,A232))</f>
        <v/>
      </c>
      <c r="E232" s="13">
        <f>IF(A232="","",IF(COUNTIF(المبيعات!$C$2:$C$2000,A232)=0,"",_xlfn.MAXIFS(المبيعات!$A$2:$A$2000,المبيعات!$C$2:$C$2000,A232)))</f>
        <v/>
      </c>
      <c r="F232">
        <f>IF(A232="","",SUMIFS(المبيعات!$H$2:$H$2000,المبيعات!$C$2:$C$2000,A232,المبيعات!$J$2:$J$2000,"آجل"))</f>
        <v/>
      </c>
      <c r="G232" s="4" t="n"/>
      <c r="H232">
        <f>IF(A232="","",F232-G232)</f>
        <v/>
      </c>
    </row>
    <row r="233">
      <c r="A233" s="4" t="n"/>
      <c r="B233" s="4" t="n"/>
      <c r="C233">
        <f>IF(A233="","",SUMPRODUCT((المبيعات!$C$2:$C$2000=A233)*(المبيعات!$B$2:$B$2000&lt;&gt;"")/COUNTIFS(المبيعات!$B$2:$B$2000,المبيعات!$B$2:$B$2000&amp;"",المبيعات!$C$2:$C$2000,المبيعات!$C$2:$C$2000&amp;"")))</f>
        <v/>
      </c>
      <c r="D233">
        <f>IF(A233="","",SUMIFS(المبيعات!$H$2:$H$2000,المبيعات!$C$2:$C$2000,A233))</f>
        <v/>
      </c>
      <c r="E233" s="13">
        <f>IF(A233="","",IF(COUNTIF(المبيعات!$C$2:$C$2000,A233)=0,"",_xlfn.MAXIFS(المبيعات!$A$2:$A$2000,المبيعات!$C$2:$C$2000,A233)))</f>
        <v/>
      </c>
      <c r="F233">
        <f>IF(A233="","",SUMIFS(المبيعات!$H$2:$H$2000,المبيعات!$C$2:$C$2000,A233,المبيعات!$J$2:$J$2000,"آجل"))</f>
        <v/>
      </c>
      <c r="G233" s="4" t="n"/>
      <c r="H233">
        <f>IF(A233="","",F233-G233)</f>
        <v/>
      </c>
    </row>
    <row r="234">
      <c r="A234" s="4" t="n"/>
      <c r="B234" s="4" t="n"/>
      <c r="C234">
        <f>IF(A234="","",SUMPRODUCT((المبيعات!$C$2:$C$2000=A234)*(المبيعات!$B$2:$B$2000&lt;&gt;"")/COUNTIFS(المبيعات!$B$2:$B$2000,المبيعات!$B$2:$B$2000&amp;"",المبيعات!$C$2:$C$2000,المبيعات!$C$2:$C$2000&amp;"")))</f>
        <v/>
      </c>
      <c r="D234">
        <f>IF(A234="","",SUMIFS(المبيعات!$H$2:$H$2000,المبيعات!$C$2:$C$2000,A234))</f>
        <v/>
      </c>
      <c r="E234" s="13">
        <f>IF(A234="","",IF(COUNTIF(المبيعات!$C$2:$C$2000,A234)=0,"",_xlfn.MAXIFS(المبيعات!$A$2:$A$2000,المبيعات!$C$2:$C$2000,A234)))</f>
        <v/>
      </c>
      <c r="F234">
        <f>IF(A234="","",SUMIFS(المبيعات!$H$2:$H$2000,المبيعات!$C$2:$C$2000,A234,المبيعات!$J$2:$J$2000,"آجل"))</f>
        <v/>
      </c>
      <c r="G234" s="4" t="n"/>
      <c r="H234">
        <f>IF(A234="","",F234-G234)</f>
        <v/>
      </c>
    </row>
    <row r="235">
      <c r="A235" s="4" t="n"/>
      <c r="B235" s="4" t="n"/>
      <c r="C235">
        <f>IF(A235="","",SUMPRODUCT((المبيعات!$C$2:$C$2000=A235)*(المبيعات!$B$2:$B$2000&lt;&gt;"")/COUNTIFS(المبيعات!$B$2:$B$2000,المبيعات!$B$2:$B$2000&amp;"",المبيعات!$C$2:$C$2000,المبيعات!$C$2:$C$2000&amp;"")))</f>
        <v/>
      </c>
      <c r="D235">
        <f>IF(A235="","",SUMIFS(المبيعات!$H$2:$H$2000,المبيعات!$C$2:$C$2000,A235))</f>
        <v/>
      </c>
      <c r="E235" s="13">
        <f>IF(A235="","",IF(COUNTIF(المبيعات!$C$2:$C$2000,A235)=0,"",_xlfn.MAXIFS(المبيعات!$A$2:$A$2000,المبيعات!$C$2:$C$2000,A235)))</f>
        <v/>
      </c>
      <c r="F235">
        <f>IF(A235="","",SUMIFS(المبيعات!$H$2:$H$2000,المبيعات!$C$2:$C$2000,A235,المبيعات!$J$2:$J$2000,"آجل"))</f>
        <v/>
      </c>
      <c r="G235" s="4" t="n"/>
      <c r="H235">
        <f>IF(A235="","",F235-G235)</f>
        <v/>
      </c>
    </row>
    <row r="236">
      <c r="A236" s="4" t="n"/>
      <c r="B236" s="4" t="n"/>
      <c r="C236">
        <f>IF(A236="","",SUMPRODUCT((المبيعات!$C$2:$C$2000=A236)*(المبيعات!$B$2:$B$2000&lt;&gt;"")/COUNTIFS(المبيعات!$B$2:$B$2000,المبيعات!$B$2:$B$2000&amp;"",المبيعات!$C$2:$C$2000,المبيعات!$C$2:$C$2000&amp;"")))</f>
        <v/>
      </c>
      <c r="D236">
        <f>IF(A236="","",SUMIFS(المبيعات!$H$2:$H$2000,المبيعات!$C$2:$C$2000,A236))</f>
        <v/>
      </c>
      <c r="E236" s="13">
        <f>IF(A236="","",IF(COUNTIF(المبيعات!$C$2:$C$2000,A236)=0,"",_xlfn.MAXIFS(المبيعات!$A$2:$A$2000,المبيعات!$C$2:$C$2000,A236)))</f>
        <v/>
      </c>
      <c r="F236">
        <f>IF(A236="","",SUMIFS(المبيعات!$H$2:$H$2000,المبيعات!$C$2:$C$2000,A236,المبيعات!$J$2:$J$2000,"آجل"))</f>
        <v/>
      </c>
      <c r="G236" s="4" t="n"/>
      <c r="H236">
        <f>IF(A236="","",F236-G236)</f>
        <v/>
      </c>
    </row>
    <row r="237">
      <c r="A237" s="4" t="n"/>
      <c r="B237" s="4" t="n"/>
      <c r="C237">
        <f>IF(A237="","",SUMPRODUCT((المبيعات!$C$2:$C$2000=A237)*(المبيعات!$B$2:$B$2000&lt;&gt;"")/COUNTIFS(المبيعات!$B$2:$B$2000,المبيعات!$B$2:$B$2000&amp;"",المبيعات!$C$2:$C$2000,المبيعات!$C$2:$C$2000&amp;"")))</f>
        <v/>
      </c>
      <c r="D237">
        <f>IF(A237="","",SUMIFS(المبيعات!$H$2:$H$2000,المبيعات!$C$2:$C$2000,A237))</f>
        <v/>
      </c>
      <c r="E237" s="13">
        <f>IF(A237="","",IF(COUNTIF(المبيعات!$C$2:$C$2000,A237)=0,"",_xlfn.MAXIFS(المبيعات!$A$2:$A$2000,المبيعات!$C$2:$C$2000,A237)))</f>
        <v/>
      </c>
      <c r="F237">
        <f>IF(A237="","",SUMIFS(المبيعات!$H$2:$H$2000,المبيعات!$C$2:$C$2000,A237,المبيعات!$J$2:$J$2000,"آجل"))</f>
        <v/>
      </c>
      <c r="G237" s="4" t="n"/>
      <c r="H237">
        <f>IF(A237="","",F237-G237)</f>
        <v/>
      </c>
    </row>
    <row r="238">
      <c r="A238" s="4" t="n"/>
      <c r="B238" s="4" t="n"/>
      <c r="C238">
        <f>IF(A238="","",SUMPRODUCT((المبيعات!$C$2:$C$2000=A238)*(المبيعات!$B$2:$B$2000&lt;&gt;"")/COUNTIFS(المبيعات!$B$2:$B$2000,المبيعات!$B$2:$B$2000&amp;"",المبيعات!$C$2:$C$2000,المبيعات!$C$2:$C$2000&amp;"")))</f>
        <v/>
      </c>
      <c r="D238">
        <f>IF(A238="","",SUMIFS(المبيعات!$H$2:$H$2000,المبيعات!$C$2:$C$2000,A238))</f>
        <v/>
      </c>
      <c r="E238" s="13">
        <f>IF(A238="","",IF(COUNTIF(المبيعات!$C$2:$C$2000,A238)=0,"",_xlfn.MAXIFS(المبيعات!$A$2:$A$2000,المبيعات!$C$2:$C$2000,A238)))</f>
        <v/>
      </c>
      <c r="F238">
        <f>IF(A238="","",SUMIFS(المبيعات!$H$2:$H$2000,المبيعات!$C$2:$C$2000,A238,المبيعات!$J$2:$J$2000,"آجل"))</f>
        <v/>
      </c>
      <c r="G238" s="4" t="n"/>
      <c r="H238">
        <f>IF(A238="","",F238-G238)</f>
        <v/>
      </c>
    </row>
    <row r="239">
      <c r="A239" s="4" t="n"/>
      <c r="B239" s="4" t="n"/>
      <c r="C239">
        <f>IF(A239="","",SUMPRODUCT((المبيعات!$C$2:$C$2000=A239)*(المبيعات!$B$2:$B$2000&lt;&gt;"")/COUNTIFS(المبيعات!$B$2:$B$2000,المبيعات!$B$2:$B$2000&amp;"",المبيعات!$C$2:$C$2000,المبيعات!$C$2:$C$2000&amp;"")))</f>
        <v/>
      </c>
      <c r="D239">
        <f>IF(A239="","",SUMIFS(المبيعات!$H$2:$H$2000,المبيعات!$C$2:$C$2000,A239))</f>
        <v/>
      </c>
      <c r="E239" s="13">
        <f>IF(A239="","",IF(COUNTIF(المبيعات!$C$2:$C$2000,A239)=0,"",_xlfn.MAXIFS(المبيعات!$A$2:$A$2000,المبيعات!$C$2:$C$2000,A239)))</f>
        <v/>
      </c>
      <c r="F239">
        <f>IF(A239="","",SUMIFS(المبيعات!$H$2:$H$2000,المبيعات!$C$2:$C$2000,A239,المبيعات!$J$2:$J$2000,"آجل"))</f>
        <v/>
      </c>
      <c r="G239" s="4" t="n"/>
      <c r="H239">
        <f>IF(A239="","",F239-G239)</f>
        <v/>
      </c>
    </row>
    <row r="240">
      <c r="A240" s="4" t="n"/>
      <c r="B240" s="4" t="n"/>
      <c r="C240">
        <f>IF(A240="","",SUMPRODUCT((المبيعات!$C$2:$C$2000=A240)*(المبيعات!$B$2:$B$2000&lt;&gt;"")/COUNTIFS(المبيعات!$B$2:$B$2000,المبيعات!$B$2:$B$2000&amp;"",المبيعات!$C$2:$C$2000,المبيعات!$C$2:$C$2000&amp;"")))</f>
        <v/>
      </c>
      <c r="D240">
        <f>IF(A240="","",SUMIFS(المبيعات!$H$2:$H$2000,المبيعات!$C$2:$C$2000,A240))</f>
        <v/>
      </c>
      <c r="E240" s="13">
        <f>IF(A240="","",IF(COUNTIF(المبيعات!$C$2:$C$2000,A240)=0,"",_xlfn.MAXIFS(المبيعات!$A$2:$A$2000,المبيعات!$C$2:$C$2000,A240)))</f>
        <v/>
      </c>
      <c r="F240">
        <f>IF(A240="","",SUMIFS(المبيعات!$H$2:$H$2000,المبيعات!$C$2:$C$2000,A240,المبيعات!$J$2:$J$2000,"آجل"))</f>
        <v/>
      </c>
      <c r="G240" s="4" t="n"/>
      <c r="H240">
        <f>IF(A240="","",F240-G240)</f>
        <v/>
      </c>
    </row>
    <row r="241">
      <c r="A241" s="4" t="n"/>
      <c r="B241" s="4" t="n"/>
      <c r="C241">
        <f>IF(A241="","",SUMPRODUCT((المبيعات!$C$2:$C$2000=A241)*(المبيعات!$B$2:$B$2000&lt;&gt;"")/COUNTIFS(المبيعات!$B$2:$B$2000,المبيعات!$B$2:$B$2000&amp;"",المبيعات!$C$2:$C$2000,المبيعات!$C$2:$C$2000&amp;"")))</f>
        <v/>
      </c>
      <c r="D241">
        <f>IF(A241="","",SUMIFS(المبيعات!$H$2:$H$2000,المبيعات!$C$2:$C$2000,A241))</f>
        <v/>
      </c>
      <c r="E241" s="13">
        <f>IF(A241="","",IF(COUNTIF(المبيعات!$C$2:$C$2000,A241)=0,"",_xlfn.MAXIFS(المبيعات!$A$2:$A$2000,المبيعات!$C$2:$C$2000,A241)))</f>
        <v/>
      </c>
      <c r="F241">
        <f>IF(A241="","",SUMIFS(المبيعات!$H$2:$H$2000,المبيعات!$C$2:$C$2000,A241,المبيعات!$J$2:$J$2000,"آجل"))</f>
        <v/>
      </c>
      <c r="G241" s="4" t="n"/>
      <c r="H241">
        <f>IF(A241="","",F241-G241)</f>
        <v/>
      </c>
    </row>
    <row r="242">
      <c r="A242" s="4" t="n"/>
      <c r="B242" s="4" t="n"/>
      <c r="C242">
        <f>IF(A242="","",SUMPRODUCT((المبيعات!$C$2:$C$2000=A242)*(المبيعات!$B$2:$B$2000&lt;&gt;"")/COUNTIFS(المبيعات!$B$2:$B$2000,المبيعات!$B$2:$B$2000&amp;"",المبيعات!$C$2:$C$2000,المبيعات!$C$2:$C$2000&amp;"")))</f>
        <v/>
      </c>
      <c r="D242">
        <f>IF(A242="","",SUMIFS(المبيعات!$H$2:$H$2000,المبيعات!$C$2:$C$2000,A242))</f>
        <v/>
      </c>
      <c r="E242" s="13">
        <f>IF(A242="","",IF(COUNTIF(المبيعات!$C$2:$C$2000,A242)=0,"",_xlfn.MAXIFS(المبيعات!$A$2:$A$2000,المبيعات!$C$2:$C$2000,A242)))</f>
        <v/>
      </c>
      <c r="F242">
        <f>IF(A242="","",SUMIFS(المبيعات!$H$2:$H$2000,المبيعات!$C$2:$C$2000,A242,المبيعات!$J$2:$J$2000,"آجل"))</f>
        <v/>
      </c>
      <c r="G242" s="4" t="n"/>
      <c r="H242">
        <f>IF(A242="","",F242-G242)</f>
        <v/>
      </c>
    </row>
    <row r="243">
      <c r="A243" s="4" t="n"/>
      <c r="B243" s="4" t="n"/>
      <c r="C243">
        <f>IF(A243="","",SUMPRODUCT((المبيعات!$C$2:$C$2000=A243)*(المبيعات!$B$2:$B$2000&lt;&gt;"")/COUNTIFS(المبيعات!$B$2:$B$2000,المبيعات!$B$2:$B$2000&amp;"",المبيعات!$C$2:$C$2000,المبيعات!$C$2:$C$2000&amp;"")))</f>
        <v/>
      </c>
      <c r="D243">
        <f>IF(A243="","",SUMIFS(المبيعات!$H$2:$H$2000,المبيعات!$C$2:$C$2000,A243))</f>
        <v/>
      </c>
      <c r="E243" s="13">
        <f>IF(A243="","",IF(COUNTIF(المبيعات!$C$2:$C$2000,A243)=0,"",_xlfn.MAXIFS(المبيعات!$A$2:$A$2000,المبيعات!$C$2:$C$2000,A243)))</f>
        <v/>
      </c>
      <c r="F243">
        <f>IF(A243="","",SUMIFS(المبيعات!$H$2:$H$2000,المبيعات!$C$2:$C$2000,A243,المبيعات!$J$2:$J$2000,"آجل"))</f>
        <v/>
      </c>
      <c r="G243" s="4" t="n"/>
      <c r="H243">
        <f>IF(A243="","",F243-G243)</f>
        <v/>
      </c>
    </row>
    <row r="244">
      <c r="A244" s="4" t="n"/>
      <c r="B244" s="4" t="n"/>
      <c r="C244">
        <f>IF(A244="","",SUMPRODUCT((المبيعات!$C$2:$C$2000=A244)*(المبيعات!$B$2:$B$2000&lt;&gt;"")/COUNTIFS(المبيعات!$B$2:$B$2000,المبيعات!$B$2:$B$2000&amp;"",المبيعات!$C$2:$C$2000,المبيعات!$C$2:$C$2000&amp;"")))</f>
        <v/>
      </c>
      <c r="D244">
        <f>IF(A244="","",SUMIFS(المبيعات!$H$2:$H$2000,المبيعات!$C$2:$C$2000,A244))</f>
        <v/>
      </c>
      <c r="E244" s="13">
        <f>IF(A244="","",IF(COUNTIF(المبيعات!$C$2:$C$2000,A244)=0,"",_xlfn.MAXIFS(المبيعات!$A$2:$A$2000,المبيعات!$C$2:$C$2000,A244)))</f>
        <v/>
      </c>
      <c r="F244">
        <f>IF(A244="","",SUMIFS(المبيعات!$H$2:$H$2000,المبيعات!$C$2:$C$2000,A244,المبيعات!$J$2:$J$2000,"آجل"))</f>
        <v/>
      </c>
      <c r="G244" s="4" t="n"/>
      <c r="H244">
        <f>IF(A244="","",F244-G244)</f>
        <v/>
      </c>
    </row>
    <row r="245">
      <c r="A245" s="4" t="n"/>
      <c r="B245" s="4" t="n"/>
      <c r="C245">
        <f>IF(A245="","",SUMPRODUCT((المبيعات!$C$2:$C$2000=A245)*(المبيعات!$B$2:$B$2000&lt;&gt;"")/COUNTIFS(المبيعات!$B$2:$B$2000,المبيعات!$B$2:$B$2000&amp;"",المبيعات!$C$2:$C$2000,المبيعات!$C$2:$C$2000&amp;"")))</f>
        <v/>
      </c>
      <c r="D245">
        <f>IF(A245="","",SUMIFS(المبيعات!$H$2:$H$2000,المبيعات!$C$2:$C$2000,A245))</f>
        <v/>
      </c>
      <c r="E245" s="13">
        <f>IF(A245="","",IF(COUNTIF(المبيعات!$C$2:$C$2000,A245)=0,"",_xlfn.MAXIFS(المبيعات!$A$2:$A$2000,المبيعات!$C$2:$C$2000,A245)))</f>
        <v/>
      </c>
      <c r="F245">
        <f>IF(A245="","",SUMIFS(المبيعات!$H$2:$H$2000,المبيعات!$C$2:$C$2000,A245,المبيعات!$J$2:$J$2000,"آجل"))</f>
        <v/>
      </c>
      <c r="G245" s="4" t="n"/>
      <c r="H245">
        <f>IF(A245="","",F245-G245)</f>
        <v/>
      </c>
    </row>
    <row r="246">
      <c r="A246" s="4" t="n"/>
      <c r="B246" s="4" t="n"/>
      <c r="C246">
        <f>IF(A246="","",SUMPRODUCT((المبيعات!$C$2:$C$2000=A246)*(المبيعات!$B$2:$B$2000&lt;&gt;"")/COUNTIFS(المبيعات!$B$2:$B$2000,المبيعات!$B$2:$B$2000&amp;"",المبيعات!$C$2:$C$2000,المبيعات!$C$2:$C$2000&amp;"")))</f>
        <v/>
      </c>
      <c r="D246">
        <f>IF(A246="","",SUMIFS(المبيعات!$H$2:$H$2000,المبيعات!$C$2:$C$2000,A246))</f>
        <v/>
      </c>
      <c r="E246" s="13">
        <f>IF(A246="","",IF(COUNTIF(المبيعات!$C$2:$C$2000,A246)=0,"",_xlfn.MAXIFS(المبيعات!$A$2:$A$2000,المبيعات!$C$2:$C$2000,A246)))</f>
        <v/>
      </c>
      <c r="F246">
        <f>IF(A246="","",SUMIFS(المبيعات!$H$2:$H$2000,المبيعات!$C$2:$C$2000,A246,المبيعات!$J$2:$J$2000,"آجل"))</f>
        <v/>
      </c>
      <c r="G246" s="4" t="n"/>
      <c r="H246">
        <f>IF(A246="","",F246-G246)</f>
        <v/>
      </c>
    </row>
    <row r="247">
      <c r="A247" s="4" t="n"/>
      <c r="B247" s="4" t="n"/>
      <c r="C247">
        <f>IF(A247="","",SUMPRODUCT((المبيعات!$C$2:$C$2000=A247)*(المبيعات!$B$2:$B$2000&lt;&gt;"")/COUNTIFS(المبيعات!$B$2:$B$2000,المبيعات!$B$2:$B$2000&amp;"",المبيعات!$C$2:$C$2000,المبيعات!$C$2:$C$2000&amp;"")))</f>
        <v/>
      </c>
      <c r="D247">
        <f>IF(A247="","",SUMIFS(المبيعات!$H$2:$H$2000,المبيعات!$C$2:$C$2000,A247))</f>
        <v/>
      </c>
      <c r="E247" s="13">
        <f>IF(A247="","",IF(COUNTIF(المبيعات!$C$2:$C$2000,A247)=0,"",_xlfn.MAXIFS(المبيعات!$A$2:$A$2000,المبيعات!$C$2:$C$2000,A247)))</f>
        <v/>
      </c>
      <c r="F247">
        <f>IF(A247="","",SUMIFS(المبيعات!$H$2:$H$2000,المبيعات!$C$2:$C$2000,A247,المبيعات!$J$2:$J$2000,"آجل"))</f>
        <v/>
      </c>
      <c r="G247" s="4" t="n"/>
      <c r="H247">
        <f>IF(A247="","",F247-G247)</f>
        <v/>
      </c>
    </row>
    <row r="248">
      <c r="A248" s="4" t="n"/>
      <c r="B248" s="4" t="n"/>
      <c r="C248">
        <f>IF(A248="","",SUMPRODUCT((المبيعات!$C$2:$C$2000=A248)*(المبيعات!$B$2:$B$2000&lt;&gt;"")/COUNTIFS(المبيعات!$B$2:$B$2000,المبيعات!$B$2:$B$2000&amp;"",المبيعات!$C$2:$C$2000,المبيعات!$C$2:$C$2000&amp;"")))</f>
        <v/>
      </c>
      <c r="D248">
        <f>IF(A248="","",SUMIFS(المبيعات!$H$2:$H$2000,المبيعات!$C$2:$C$2000,A248))</f>
        <v/>
      </c>
      <c r="E248" s="13">
        <f>IF(A248="","",IF(COUNTIF(المبيعات!$C$2:$C$2000,A248)=0,"",_xlfn.MAXIFS(المبيعات!$A$2:$A$2000,المبيعات!$C$2:$C$2000,A248)))</f>
        <v/>
      </c>
      <c r="F248">
        <f>IF(A248="","",SUMIFS(المبيعات!$H$2:$H$2000,المبيعات!$C$2:$C$2000,A248,المبيعات!$J$2:$J$2000,"آجل"))</f>
        <v/>
      </c>
      <c r="G248" s="4" t="n"/>
      <c r="H248">
        <f>IF(A248="","",F248-G248)</f>
        <v/>
      </c>
    </row>
    <row r="249">
      <c r="A249" s="4" t="n"/>
      <c r="B249" s="4" t="n"/>
      <c r="C249">
        <f>IF(A249="","",SUMPRODUCT((المبيعات!$C$2:$C$2000=A249)*(المبيعات!$B$2:$B$2000&lt;&gt;"")/COUNTIFS(المبيعات!$B$2:$B$2000,المبيعات!$B$2:$B$2000&amp;"",المبيعات!$C$2:$C$2000,المبيعات!$C$2:$C$2000&amp;"")))</f>
        <v/>
      </c>
      <c r="D249">
        <f>IF(A249="","",SUMIFS(المبيعات!$H$2:$H$2000,المبيعات!$C$2:$C$2000,A249))</f>
        <v/>
      </c>
      <c r="E249" s="13">
        <f>IF(A249="","",IF(COUNTIF(المبيعات!$C$2:$C$2000,A249)=0,"",_xlfn.MAXIFS(المبيعات!$A$2:$A$2000,المبيعات!$C$2:$C$2000,A249)))</f>
        <v/>
      </c>
      <c r="F249">
        <f>IF(A249="","",SUMIFS(المبيعات!$H$2:$H$2000,المبيعات!$C$2:$C$2000,A249,المبيعات!$J$2:$J$2000,"آجل"))</f>
        <v/>
      </c>
      <c r="G249" s="4" t="n"/>
      <c r="H249">
        <f>IF(A249="","",F249-G249)</f>
        <v/>
      </c>
    </row>
    <row r="250">
      <c r="A250" s="4" t="n"/>
      <c r="B250" s="4" t="n"/>
      <c r="C250">
        <f>IF(A250="","",SUMPRODUCT((المبيعات!$C$2:$C$2000=A250)*(المبيعات!$B$2:$B$2000&lt;&gt;"")/COUNTIFS(المبيعات!$B$2:$B$2000,المبيعات!$B$2:$B$2000&amp;"",المبيعات!$C$2:$C$2000,المبيعات!$C$2:$C$2000&amp;"")))</f>
        <v/>
      </c>
      <c r="D250">
        <f>IF(A250="","",SUMIFS(المبيعات!$H$2:$H$2000,المبيعات!$C$2:$C$2000,A250))</f>
        <v/>
      </c>
      <c r="E250" s="13">
        <f>IF(A250="","",IF(COUNTIF(المبيعات!$C$2:$C$2000,A250)=0,"",_xlfn.MAXIFS(المبيعات!$A$2:$A$2000,المبيعات!$C$2:$C$2000,A250)))</f>
        <v/>
      </c>
      <c r="F250">
        <f>IF(A250="","",SUMIFS(المبيعات!$H$2:$H$2000,المبيعات!$C$2:$C$2000,A250,المبيعات!$J$2:$J$2000,"آجل"))</f>
        <v/>
      </c>
      <c r="G250" s="4" t="n"/>
      <c r="H250">
        <f>IF(A250="","",F250-G250)</f>
        <v/>
      </c>
    </row>
    <row r="251">
      <c r="A251" s="4" t="n"/>
      <c r="B251" s="4" t="n"/>
      <c r="C251">
        <f>IF(A251="","",SUMPRODUCT((المبيعات!$C$2:$C$2000=A251)*(المبيعات!$B$2:$B$2000&lt;&gt;"")/COUNTIFS(المبيعات!$B$2:$B$2000,المبيعات!$B$2:$B$2000&amp;"",المبيعات!$C$2:$C$2000,المبيعات!$C$2:$C$2000&amp;"")))</f>
        <v/>
      </c>
      <c r="D251">
        <f>IF(A251="","",SUMIFS(المبيعات!$H$2:$H$2000,المبيعات!$C$2:$C$2000,A251))</f>
        <v/>
      </c>
      <c r="E251" s="13">
        <f>IF(A251="","",IF(COUNTIF(المبيعات!$C$2:$C$2000,A251)=0,"",_xlfn.MAXIFS(المبيعات!$A$2:$A$2000,المبيعات!$C$2:$C$2000,A251)))</f>
        <v/>
      </c>
      <c r="F251">
        <f>IF(A251="","",SUMIFS(المبيعات!$H$2:$H$2000,المبيعات!$C$2:$C$2000,A251,المبيعات!$J$2:$J$2000,"آجل"))</f>
        <v/>
      </c>
      <c r="G251" s="4" t="n"/>
      <c r="H251">
        <f>IF(A251="","",F251-G251)</f>
        <v/>
      </c>
    </row>
    <row r="252">
      <c r="A252" s="4" t="n"/>
      <c r="B252" s="4" t="n"/>
      <c r="C252">
        <f>IF(A252="","",SUMPRODUCT((المبيعات!$C$2:$C$2000=A252)*(المبيعات!$B$2:$B$2000&lt;&gt;"")/COUNTIFS(المبيعات!$B$2:$B$2000,المبيعات!$B$2:$B$2000&amp;"",المبيعات!$C$2:$C$2000,المبيعات!$C$2:$C$2000&amp;"")))</f>
        <v/>
      </c>
      <c r="D252">
        <f>IF(A252="","",SUMIFS(المبيعات!$H$2:$H$2000,المبيعات!$C$2:$C$2000,A252))</f>
        <v/>
      </c>
      <c r="E252" s="13">
        <f>IF(A252="","",IF(COUNTIF(المبيعات!$C$2:$C$2000,A252)=0,"",_xlfn.MAXIFS(المبيعات!$A$2:$A$2000,المبيعات!$C$2:$C$2000,A252)))</f>
        <v/>
      </c>
      <c r="F252">
        <f>IF(A252="","",SUMIFS(المبيعات!$H$2:$H$2000,المبيعات!$C$2:$C$2000,A252,المبيعات!$J$2:$J$2000,"آجل"))</f>
        <v/>
      </c>
      <c r="G252" s="4" t="n"/>
      <c r="H252">
        <f>IF(A252="","",F252-G252)</f>
        <v/>
      </c>
    </row>
    <row r="253">
      <c r="A253" s="4" t="n"/>
      <c r="B253" s="4" t="n"/>
      <c r="C253">
        <f>IF(A253="","",SUMPRODUCT((المبيعات!$C$2:$C$2000=A253)*(المبيعات!$B$2:$B$2000&lt;&gt;"")/COUNTIFS(المبيعات!$B$2:$B$2000,المبيعات!$B$2:$B$2000&amp;"",المبيعات!$C$2:$C$2000,المبيعات!$C$2:$C$2000&amp;"")))</f>
        <v/>
      </c>
      <c r="D253">
        <f>IF(A253="","",SUMIFS(المبيعات!$H$2:$H$2000,المبيعات!$C$2:$C$2000,A253))</f>
        <v/>
      </c>
      <c r="E253" s="13">
        <f>IF(A253="","",IF(COUNTIF(المبيعات!$C$2:$C$2000,A253)=0,"",_xlfn.MAXIFS(المبيعات!$A$2:$A$2000,المبيعات!$C$2:$C$2000,A253)))</f>
        <v/>
      </c>
      <c r="F253">
        <f>IF(A253="","",SUMIFS(المبيعات!$H$2:$H$2000,المبيعات!$C$2:$C$2000,A253,المبيعات!$J$2:$J$2000,"آجل"))</f>
        <v/>
      </c>
      <c r="G253" s="4" t="n"/>
      <c r="H253">
        <f>IF(A253="","",F253-G253)</f>
        <v/>
      </c>
    </row>
    <row r="254">
      <c r="A254" s="4" t="n"/>
      <c r="B254" s="4" t="n"/>
      <c r="C254">
        <f>IF(A254="","",SUMPRODUCT((المبيعات!$C$2:$C$2000=A254)*(المبيعات!$B$2:$B$2000&lt;&gt;"")/COUNTIFS(المبيعات!$B$2:$B$2000,المبيعات!$B$2:$B$2000&amp;"",المبيعات!$C$2:$C$2000,المبيعات!$C$2:$C$2000&amp;"")))</f>
        <v/>
      </c>
      <c r="D254">
        <f>IF(A254="","",SUMIFS(المبيعات!$H$2:$H$2000,المبيعات!$C$2:$C$2000,A254))</f>
        <v/>
      </c>
      <c r="E254" s="13">
        <f>IF(A254="","",IF(COUNTIF(المبيعات!$C$2:$C$2000,A254)=0,"",_xlfn.MAXIFS(المبيعات!$A$2:$A$2000,المبيعات!$C$2:$C$2000,A254)))</f>
        <v/>
      </c>
      <c r="F254">
        <f>IF(A254="","",SUMIFS(المبيعات!$H$2:$H$2000,المبيعات!$C$2:$C$2000,A254,المبيعات!$J$2:$J$2000,"آجل"))</f>
        <v/>
      </c>
      <c r="G254" s="4" t="n"/>
      <c r="H254">
        <f>IF(A254="","",F254-G254)</f>
        <v/>
      </c>
    </row>
    <row r="255">
      <c r="A255" s="4" t="n"/>
      <c r="B255" s="4" t="n"/>
      <c r="C255">
        <f>IF(A255="","",SUMPRODUCT((المبيعات!$C$2:$C$2000=A255)*(المبيعات!$B$2:$B$2000&lt;&gt;"")/COUNTIFS(المبيعات!$B$2:$B$2000,المبيعات!$B$2:$B$2000&amp;"",المبيعات!$C$2:$C$2000,المبيعات!$C$2:$C$2000&amp;"")))</f>
        <v/>
      </c>
      <c r="D255">
        <f>IF(A255="","",SUMIFS(المبيعات!$H$2:$H$2000,المبيعات!$C$2:$C$2000,A255))</f>
        <v/>
      </c>
      <c r="E255" s="13">
        <f>IF(A255="","",IF(COUNTIF(المبيعات!$C$2:$C$2000,A255)=0,"",_xlfn.MAXIFS(المبيعات!$A$2:$A$2000,المبيعات!$C$2:$C$2000,A255)))</f>
        <v/>
      </c>
      <c r="F255">
        <f>IF(A255="","",SUMIFS(المبيعات!$H$2:$H$2000,المبيعات!$C$2:$C$2000,A255,المبيعات!$J$2:$J$2000,"آجل"))</f>
        <v/>
      </c>
      <c r="G255" s="4" t="n"/>
      <c r="H255">
        <f>IF(A255="","",F255-G255)</f>
        <v/>
      </c>
    </row>
    <row r="256">
      <c r="A256" s="4" t="n"/>
      <c r="B256" s="4" t="n"/>
      <c r="C256">
        <f>IF(A256="","",SUMPRODUCT((المبيعات!$C$2:$C$2000=A256)*(المبيعات!$B$2:$B$2000&lt;&gt;"")/COUNTIFS(المبيعات!$B$2:$B$2000,المبيعات!$B$2:$B$2000&amp;"",المبيعات!$C$2:$C$2000,المبيعات!$C$2:$C$2000&amp;"")))</f>
        <v/>
      </c>
      <c r="D256">
        <f>IF(A256="","",SUMIFS(المبيعات!$H$2:$H$2000,المبيعات!$C$2:$C$2000,A256))</f>
        <v/>
      </c>
      <c r="E256" s="13">
        <f>IF(A256="","",IF(COUNTIF(المبيعات!$C$2:$C$2000,A256)=0,"",_xlfn.MAXIFS(المبيعات!$A$2:$A$2000,المبيعات!$C$2:$C$2000,A256)))</f>
        <v/>
      </c>
      <c r="F256">
        <f>IF(A256="","",SUMIFS(المبيعات!$H$2:$H$2000,المبيعات!$C$2:$C$2000,A256,المبيعات!$J$2:$J$2000,"آجل"))</f>
        <v/>
      </c>
      <c r="G256" s="4" t="n"/>
      <c r="H256">
        <f>IF(A256="","",F256-G256)</f>
        <v/>
      </c>
    </row>
    <row r="257">
      <c r="A257" s="4" t="n"/>
      <c r="B257" s="4" t="n"/>
      <c r="C257">
        <f>IF(A257="","",SUMPRODUCT((المبيعات!$C$2:$C$2000=A257)*(المبيعات!$B$2:$B$2000&lt;&gt;"")/COUNTIFS(المبيعات!$B$2:$B$2000,المبيعات!$B$2:$B$2000&amp;"",المبيعات!$C$2:$C$2000,المبيعات!$C$2:$C$2000&amp;"")))</f>
        <v/>
      </c>
      <c r="D257">
        <f>IF(A257="","",SUMIFS(المبيعات!$H$2:$H$2000,المبيعات!$C$2:$C$2000,A257))</f>
        <v/>
      </c>
      <c r="E257" s="13">
        <f>IF(A257="","",IF(COUNTIF(المبيعات!$C$2:$C$2000,A257)=0,"",_xlfn.MAXIFS(المبيعات!$A$2:$A$2000,المبيعات!$C$2:$C$2000,A257)))</f>
        <v/>
      </c>
      <c r="F257">
        <f>IF(A257="","",SUMIFS(المبيعات!$H$2:$H$2000,المبيعات!$C$2:$C$2000,A257,المبيعات!$J$2:$J$2000,"آجل"))</f>
        <v/>
      </c>
      <c r="G257" s="4" t="n"/>
      <c r="H257">
        <f>IF(A257="","",F257-G257)</f>
        <v/>
      </c>
    </row>
    <row r="258">
      <c r="A258" s="4" t="n"/>
      <c r="B258" s="4" t="n"/>
      <c r="C258">
        <f>IF(A258="","",SUMPRODUCT((المبيعات!$C$2:$C$2000=A258)*(المبيعات!$B$2:$B$2000&lt;&gt;"")/COUNTIFS(المبيعات!$B$2:$B$2000,المبيعات!$B$2:$B$2000&amp;"",المبيعات!$C$2:$C$2000,المبيعات!$C$2:$C$2000&amp;"")))</f>
        <v/>
      </c>
      <c r="D258">
        <f>IF(A258="","",SUMIFS(المبيعات!$H$2:$H$2000,المبيعات!$C$2:$C$2000,A258))</f>
        <v/>
      </c>
      <c r="E258" s="13">
        <f>IF(A258="","",IF(COUNTIF(المبيعات!$C$2:$C$2000,A258)=0,"",_xlfn.MAXIFS(المبيعات!$A$2:$A$2000,المبيعات!$C$2:$C$2000,A258)))</f>
        <v/>
      </c>
      <c r="F258">
        <f>IF(A258="","",SUMIFS(المبيعات!$H$2:$H$2000,المبيعات!$C$2:$C$2000,A258,المبيعات!$J$2:$J$2000,"آجل"))</f>
        <v/>
      </c>
      <c r="G258" s="4" t="n"/>
      <c r="H258">
        <f>IF(A258="","",F258-G258)</f>
        <v/>
      </c>
    </row>
    <row r="259">
      <c r="A259" s="4" t="n"/>
      <c r="B259" s="4" t="n"/>
      <c r="C259">
        <f>IF(A259="","",SUMPRODUCT((المبيعات!$C$2:$C$2000=A259)*(المبيعات!$B$2:$B$2000&lt;&gt;"")/COUNTIFS(المبيعات!$B$2:$B$2000,المبيعات!$B$2:$B$2000&amp;"",المبيعات!$C$2:$C$2000,المبيعات!$C$2:$C$2000&amp;"")))</f>
        <v/>
      </c>
      <c r="D259">
        <f>IF(A259="","",SUMIFS(المبيعات!$H$2:$H$2000,المبيعات!$C$2:$C$2000,A259))</f>
        <v/>
      </c>
      <c r="E259" s="13">
        <f>IF(A259="","",IF(COUNTIF(المبيعات!$C$2:$C$2000,A259)=0,"",_xlfn.MAXIFS(المبيعات!$A$2:$A$2000,المبيعات!$C$2:$C$2000,A259)))</f>
        <v/>
      </c>
      <c r="F259">
        <f>IF(A259="","",SUMIFS(المبيعات!$H$2:$H$2000,المبيعات!$C$2:$C$2000,A259,المبيعات!$J$2:$J$2000,"آجل"))</f>
        <v/>
      </c>
      <c r="G259" s="4" t="n"/>
      <c r="H259">
        <f>IF(A259="","",F259-G259)</f>
        <v/>
      </c>
    </row>
    <row r="260">
      <c r="A260" s="4" t="n"/>
      <c r="B260" s="4" t="n"/>
      <c r="C260">
        <f>IF(A260="","",SUMPRODUCT((المبيعات!$C$2:$C$2000=A260)*(المبيعات!$B$2:$B$2000&lt;&gt;"")/COUNTIFS(المبيعات!$B$2:$B$2000,المبيعات!$B$2:$B$2000&amp;"",المبيعات!$C$2:$C$2000,المبيعات!$C$2:$C$2000&amp;"")))</f>
        <v/>
      </c>
      <c r="D260">
        <f>IF(A260="","",SUMIFS(المبيعات!$H$2:$H$2000,المبيعات!$C$2:$C$2000,A260))</f>
        <v/>
      </c>
      <c r="E260" s="13">
        <f>IF(A260="","",IF(COUNTIF(المبيعات!$C$2:$C$2000,A260)=0,"",_xlfn.MAXIFS(المبيعات!$A$2:$A$2000,المبيعات!$C$2:$C$2000,A260)))</f>
        <v/>
      </c>
      <c r="F260">
        <f>IF(A260="","",SUMIFS(المبيعات!$H$2:$H$2000,المبيعات!$C$2:$C$2000,A260,المبيعات!$J$2:$J$2000,"آجل"))</f>
        <v/>
      </c>
      <c r="G260" s="4" t="n"/>
      <c r="H260">
        <f>IF(A260="","",F260-G260)</f>
        <v/>
      </c>
    </row>
    <row r="261">
      <c r="A261" s="4" t="n"/>
      <c r="B261" s="4" t="n"/>
      <c r="C261">
        <f>IF(A261="","",SUMPRODUCT((المبيعات!$C$2:$C$2000=A261)*(المبيعات!$B$2:$B$2000&lt;&gt;"")/COUNTIFS(المبيعات!$B$2:$B$2000,المبيعات!$B$2:$B$2000&amp;"",المبيعات!$C$2:$C$2000,المبيعات!$C$2:$C$2000&amp;"")))</f>
        <v/>
      </c>
      <c r="D261">
        <f>IF(A261="","",SUMIFS(المبيعات!$H$2:$H$2000,المبيعات!$C$2:$C$2000,A261))</f>
        <v/>
      </c>
      <c r="E261" s="13">
        <f>IF(A261="","",IF(COUNTIF(المبيعات!$C$2:$C$2000,A261)=0,"",_xlfn.MAXIFS(المبيعات!$A$2:$A$2000,المبيعات!$C$2:$C$2000,A261)))</f>
        <v/>
      </c>
      <c r="F261">
        <f>IF(A261="","",SUMIFS(المبيعات!$H$2:$H$2000,المبيعات!$C$2:$C$2000,A261,المبيعات!$J$2:$J$2000,"آجل"))</f>
        <v/>
      </c>
      <c r="G261" s="4" t="n"/>
      <c r="H261">
        <f>IF(A261="","",F261-G261)</f>
        <v/>
      </c>
    </row>
    <row r="262">
      <c r="A262" s="4" t="n"/>
      <c r="B262" s="4" t="n"/>
      <c r="C262">
        <f>IF(A262="","",SUMPRODUCT((المبيعات!$C$2:$C$2000=A262)*(المبيعات!$B$2:$B$2000&lt;&gt;"")/COUNTIFS(المبيعات!$B$2:$B$2000,المبيعات!$B$2:$B$2000&amp;"",المبيعات!$C$2:$C$2000,المبيعات!$C$2:$C$2000&amp;"")))</f>
        <v/>
      </c>
      <c r="D262">
        <f>IF(A262="","",SUMIFS(المبيعات!$H$2:$H$2000,المبيعات!$C$2:$C$2000,A262))</f>
        <v/>
      </c>
      <c r="E262" s="13">
        <f>IF(A262="","",IF(COUNTIF(المبيعات!$C$2:$C$2000,A262)=0,"",_xlfn.MAXIFS(المبيعات!$A$2:$A$2000,المبيعات!$C$2:$C$2000,A262)))</f>
        <v/>
      </c>
      <c r="F262">
        <f>IF(A262="","",SUMIFS(المبيعات!$H$2:$H$2000,المبيعات!$C$2:$C$2000,A262,المبيعات!$J$2:$J$2000,"آجل"))</f>
        <v/>
      </c>
      <c r="G262" s="4" t="n"/>
      <c r="H262">
        <f>IF(A262="","",F262-G262)</f>
        <v/>
      </c>
    </row>
    <row r="263">
      <c r="A263" s="4" t="n"/>
      <c r="B263" s="4" t="n"/>
      <c r="C263">
        <f>IF(A263="","",SUMPRODUCT((المبيعات!$C$2:$C$2000=A263)*(المبيعات!$B$2:$B$2000&lt;&gt;"")/COUNTIFS(المبيعات!$B$2:$B$2000,المبيعات!$B$2:$B$2000&amp;"",المبيعات!$C$2:$C$2000,المبيعات!$C$2:$C$2000&amp;"")))</f>
        <v/>
      </c>
      <c r="D263">
        <f>IF(A263="","",SUMIFS(المبيعات!$H$2:$H$2000,المبيعات!$C$2:$C$2000,A263))</f>
        <v/>
      </c>
      <c r="E263" s="13">
        <f>IF(A263="","",IF(COUNTIF(المبيعات!$C$2:$C$2000,A263)=0,"",_xlfn.MAXIFS(المبيعات!$A$2:$A$2000,المبيعات!$C$2:$C$2000,A263)))</f>
        <v/>
      </c>
      <c r="F263">
        <f>IF(A263="","",SUMIFS(المبيعات!$H$2:$H$2000,المبيعات!$C$2:$C$2000,A263,المبيعات!$J$2:$J$2000,"آجل"))</f>
        <v/>
      </c>
      <c r="G263" s="4" t="n"/>
      <c r="H263">
        <f>IF(A263="","",F263-G263)</f>
        <v/>
      </c>
    </row>
    <row r="264">
      <c r="A264" s="4" t="n"/>
      <c r="B264" s="4" t="n"/>
      <c r="C264">
        <f>IF(A264="","",SUMPRODUCT((المبيعات!$C$2:$C$2000=A264)*(المبيعات!$B$2:$B$2000&lt;&gt;"")/COUNTIFS(المبيعات!$B$2:$B$2000,المبيعات!$B$2:$B$2000&amp;"",المبيعات!$C$2:$C$2000,المبيعات!$C$2:$C$2000&amp;"")))</f>
        <v/>
      </c>
      <c r="D264">
        <f>IF(A264="","",SUMIFS(المبيعات!$H$2:$H$2000,المبيعات!$C$2:$C$2000,A264))</f>
        <v/>
      </c>
      <c r="E264" s="13">
        <f>IF(A264="","",IF(COUNTIF(المبيعات!$C$2:$C$2000,A264)=0,"",_xlfn.MAXIFS(المبيعات!$A$2:$A$2000,المبيعات!$C$2:$C$2000,A264)))</f>
        <v/>
      </c>
      <c r="F264">
        <f>IF(A264="","",SUMIFS(المبيعات!$H$2:$H$2000,المبيعات!$C$2:$C$2000,A264,المبيعات!$J$2:$J$2000,"آجل"))</f>
        <v/>
      </c>
      <c r="G264" s="4" t="n"/>
      <c r="H264">
        <f>IF(A264="","",F264-G264)</f>
        <v/>
      </c>
    </row>
    <row r="265">
      <c r="A265" s="4" t="n"/>
      <c r="B265" s="4" t="n"/>
      <c r="C265">
        <f>IF(A265="","",SUMPRODUCT((المبيعات!$C$2:$C$2000=A265)*(المبيعات!$B$2:$B$2000&lt;&gt;"")/COUNTIFS(المبيعات!$B$2:$B$2000,المبيعات!$B$2:$B$2000&amp;"",المبيعات!$C$2:$C$2000,المبيعات!$C$2:$C$2000&amp;"")))</f>
        <v/>
      </c>
      <c r="D265">
        <f>IF(A265="","",SUMIFS(المبيعات!$H$2:$H$2000,المبيعات!$C$2:$C$2000,A265))</f>
        <v/>
      </c>
      <c r="E265" s="13">
        <f>IF(A265="","",IF(COUNTIF(المبيعات!$C$2:$C$2000,A265)=0,"",_xlfn.MAXIFS(المبيعات!$A$2:$A$2000,المبيعات!$C$2:$C$2000,A265)))</f>
        <v/>
      </c>
      <c r="F265">
        <f>IF(A265="","",SUMIFS(المبيعات!$H$2:$H$2000,المبيعات!$C$2:$C$2000,A265,المبيعات!$J$2:$J$2000,"آجل"))</f>
        <v/>
      </c>
      <c r="G265" s="4" t="n"/>
      <c r="H265">
        <f>IF(A265="","",F265-G265)</f>
        <v/>
      </c>
    </row>
    <row r="266">
      <c r="A266" s="4" t="n"/>
      <c r="B266" s="4" t="n"/>
      <c r="C266">
        <f>IF(A266="","",SUMPRODUCT((المبيعات!$C$2:$C$2000=A266)*(المبيعات!$B$2:$B$2000&lt;&gt;"")/COUNTIFS(المبيعات!$B$2:$B$2000,المبيعات!$B$2:$B$2000&amp;"",المبيعات!$C$2:$C$2000,المبيعات!$C$2:$C$2000&amp;"")))</f>
        <v/>
      </c>
      <c r="D266">
        <f>IF(A266="","",SUMIFS(المبيعات!$H$2:$H$2000,المبيعات!$C$2:$C$2000,A266))</f>
        <v/>
      </c>
      <c r="E266" s="13">
        <f>IF(A266="","",IF(COUNTIF(المبيعات!$C$2:$C$2000,A266)=0,"",_xlfn.MAXIFS(المبيعات!$A$2:$A$2000,المبيعات!$C$2:$C$2000,A266)))</f>
        <v/>
      </c>
      <c r="F266">
        <f>IF(A266="","",SUMIFS(المبيعات!$H$2:$H$2000,المبيعات!$C$2:$C$2000,A266,المبيعات!$J$2:$J$2000,"آجل"))</f>
        <v/>
      </c>
      <c r="G266" s="4" t="n"/>
      <c r="H266">
        <f>IF(A266="","",F266-G266)</f>
        <v/>
      </c>
    </row>
    <row r="267">
      <c r="A267" s="4" t="n"/>
      <c r="B267" s="4" t="n"/>
      <c r="C267">
        <f>IF(A267="","",SUMPRODUCT((المبيعات!$C$2:$C$2000=A267)*(المبيعات!$B$2:$B$2000&lt;&gt;"")/COUNTIFS(المبيعات!$B$2:$B$2000,المبيعات!$B$2:$B$2000&amp;"",المبيعات!$C$2:$C$2000,المبيعات!$C$2:$C$2000&amp;"")))</f>
        <v/>
      </c>
      <c r="D267">
        <f>IF(A267="","",SUMIFS(المبيعات!$H$2:$H$2000,المبيعات!$C$2:$C$2000,A267))</f>
        <v/>
      </c>
      <c r="E267" s="13">
        <f>IF(A267="","",IF(COUNTIF(المبيعات!$C$2:$C$2000,A267)=0,"",_xlfn.MAXIFS(المبيعات!$A$2:$A$2000,المبيعات!$C$2:$C$2000,A267)))</f>
        <v/>
      </c>
      <c r="F267">
        <f>IF(A267="","",SUMIFS(المبيعات!$H$2:$H$2000,المبيعات!$C$2:$C$2000,A267,المبيعات!$J$2:$J$2000,"آجل"))</f>
        <v/>
      </c>
      <c r="G267" s="4" t="n"/>
      <c r="H267">
        <f>IF(A267="","",F267-G267)</f>
        <v/>
      </c>
    </row>
    <row r="268">
      <c r="A268" s="4" t="n"/>
      <c r="B268" s="4" t="n"/>
      <c r="C268">
        <f>IF(A268="","",SUMPRODUCT((المبيعات!$C$2:$C$2000=A268)*(المبيعات!$B$2:$B$2000&lt;&gt;"")/COUNTIFS(المبيعات!$B$2:$B$2000,المبيعات!$B$2:$B$2000&amp;"",المبيعات!$C$2:$C$2000,المبيعات!$C$2:$C$2000&amp;"")))</f>
        <v/>
      </c>
      <c r="D268">
        <f>IF(A268="","",SUMIFS(المبيعات!$H$2:$H$2000,المبيعات!$C$2:$C$2000,A268))</f>
        <v/>
      </c>
      <c r="E268" s="13">
        <f>IF(A268="","",IF(COUNTIF(المبيعات!$C$2:$C$2000,A268)=0,"",_xlfn.MAXIFS(المبيعات!$A$2:$A$2000,المبيعات!$C$2:$C$2000,A268)))</f>
        <v/>
      </c>
      <c r="F268">
        <f>IF(A268="","",SUMIFS(المبيعات!$H$2:$H$2000,المبيعات!$C$2:$C$2000,A268,المبيعات!$J$2:$J$2000,"آجل"))</f>
        <v/>
      </c>
      <c r="G268" s="4" t="n"/>
      <c r="H268">
        <f>IF(A268="","",F268-G268)</f>
        <v/>
      </c>
    </row>
    <row r="269">
      <c r="A269" s="4" t="n"/>
      <c r="B269" s="4" t="n"/>
      <c r="C269">
        <f>IF(A269="","",SUMPRODUCT((المبيعات!$C$2:$C$2000=A269)*(المبيعات!$B$2:$B$2000&lt;&gt;"")/COUNTIFS(المبيعات!$B$2:$B$2000,المبيعات!$B$2:$B$2000&amp;"",المبيعات!$C$2:$C$2000,المبيعات!$C$2:$C$2000&amp;"")))</f>
        <v/>
      </c>
      <c r="D269">
        <f>IF(A269="","",SUMIFS(المبيعات!$H$2:$H$2000,المبيعات!$C$2:$C$2000,A269))</f>
        <v/>
      </c>
      <c r="E269" s="13">
        <f>IF(A269="","",IF(COUNTIF(المبيعات!$C$2:$C$2000,A269)=0,"",_xlfn.MAXIFS(المبيعات!$A$2:$A$2000,المبيعات!$C$2:$C$2000,A269)))</f>
        <v/>
      </c>
      <c r="F269">
        <f>IF(A269="","",SUMIFS(المبيعات!$H$2:$H$2000,المبيعات!$C$2:$C$2000,A269,المبيعات!$J$2:$J$2000,"آجل"))</f>
        <v/>
      </c>
      <c r="G269" s="4" t="n"/>
      <c r="H269">
        <f>IF(A269="","",F269-G269)</f>
        <v/>
      </c>
    </row>
    <row r="270">
      <c r="A270" s="4" t="n"/>
      <c r="B270" s="4" t="n"/>
      <c r="C270">
        <f>IF(A270="","",SUMPRODUCT((المبيعات!$C$2:$C$2000=A270)*(المبيعات!$B$2:$B$2000&lt;&gt;"")/COUNTIFS(المبيعات!$B$2:$B$2000,المبيعات!$B$2:$B$2000&amp;"",المبيعات!$C$2:$C$2000,المبيعات!$C$2:$C$2000&amp;"")))</f>
        <v/>
      </c>
      <c r="D270">
        <f>IF(A270="","",SUMIFS(المبيعات!$H$2:$H$2000,المبيعات!$C$2:$C$2000,A270))</f>
        <v/>
      </c>
      <c r="E270" s="13">
        <f>IF(A270="","",IF(COUNTIF(المبيعات!$C$2:$C$2000,A270)=0,"",_xlfn.MAXIFS(المبيعات!$A$2:$A$2000,المبيعات!$C$2:$C$2000,A270)))</f>
        <v/>
      </c>
      <c r="F270">
        <f>IF(A270="","",SUMIFS(المبيعات!$H$2:$H$2000,المبيعات!$C$2:$C$2000,A270,المبيعات!$J$2:$J$2000,"آجل"))</f>
        <v/>
      </c>
      <c r="G270" s="4" t="n"/>
      <c r="H270">
        <f>IF(A270="","",F270-G270)</f>
        <v/>
      </c>
    </row>
    <row r="271">
      <c r="A271" s="4" t="n"/>
      <c r="B271" s="4" t="n"/>
      <c r="C271">
        <f>IF(A271="","",SUMPRODUCT((المبيعات!$C$2:$C$2000=A271)*(المبيعات!$B$2:$B$2000&lt;&gt;"")/COUNTIFS(المبيعات!$B$2:$B$2000,المبيعات!$B$2:$B$2000&amp;"",المبيعات!$C$2:$C$2000,المبيعات!$C$2:$C$2000&amp;"")))</f>
        <v/>
      </c>
      <c r="D271">
        <f>IF(A271="","",SUMIFS(المبيعات!$H$2:$H$2000,المبيعات!$C$2:$C$2000,A271))</f>
        <v/>
      </c>
      <c r="E271" s="13">
        <f>IF(A271="","",IF(COUNTIF(المبيعات!$C$2:$C$2000,A271)=0,"",_xlfn.MAXIFS(المبيعات!$A$2:$A$2000,المبيعات!$C$2:$C$2000,A271)))</f>
        <v/>
      </c>
      <c r="F271">
        <f>IF(A271="","",SUMIFS(المبيعات!$H$2:$H$2000,المبيعات!$C$2:$C$2000,A271,المبيعات!$J$2:$J$2000,"آجل"))</f>
        <v/>
      </c>
      <c r="G271" s="4" t="n"/>
      <c r="H271">
        <f>IF(A271="","",F271-G271)</f>
        <v/>
      </c>
    </row>
    <row r="272">
      <c r="A272" s="4" t="n"/>
      <c r="B272" s="4" t="n"/>
      <c r="C272">
        <f>IF(A272="","",SUMPRODUCT((المبيعات!$C$2:$C$2000=A272)*(المبيعات!$B$2:$B$2000&lt;&gt;"")/COUNTIFS(المبيعات!$B$2:$B$2000,المبيعات!$B$2:$B$2000&amp;"",المبيعات!$C$2:$C$2000,المبيعات!$C$2:$C$2000&amp;"")))</f>
        <v/>
      </c>
      <c r="D272">
        <f>IF(A272="","",SUMIFS(المبيعات!$H$2:$H$2000,المبيعات!$C$2:$C$2000,A272))</f>
        <v/>
      </c>
      <c r="E272" s="13">
        <f>IF(A272="","",IF(COUNTIF(المبيعات!$C$2:$C$2000,A272)=0,"",_xlfn.MAXIFS(المبيعات!$A$2:$A$2000,المبيعات!$C$2:$C$2000,A272)))</f>
        <v/>
      </c>
      <c r="F272">
        <f>IF(A272="","",SUMIFS(المبيعات!$H$2:$H$2000,المبيعات!$C$2:$C$2000,A272,المبيعات!$J$2:$J$2000,"آجل"))</f>
        <v/>
      </c>
      <c r="G272" s="4" t="n"/>
      <c r="H272">
        <f>IF(A272="","",F272-G272)</f>
        <v/>
      </c>
    </row>
    <row r="273">
      <c r="A273" s="4" t="n"/>
      <c r="B273" s="4" t="n"/>
      <c r="C273">
        <f>IF(A273="","",SUMPRODUCT((المبيعات!$C$2:$C$2000=A273)*(المبيعات!$B$2:$B$2000&lt;&gt;"")/COUNTIFS(المبيعات!$B$2:$B$2000,المبيعات!$B$2:$B$2000&amp;"",المبيعات!$C$2:$C$2000,المبيعات!$C$2:$C$2000&amp;"")))</f>
        <v/>
      </c>
      <c r="D273">
        <f>IF(A273="","",SUMIFS(المبيعات!$H$2:$H$2000,المبيعات!$C$2:$C$2000,A273))</f>
        <v/>
      </c>
      <c r="E273" s="13">
        <f>IF(A273="","",IF(COUNTIF(المبيعات!$C$2:$C$2000,A273)=0,"",_xlfn.MAXIFS(المبيعات!$A$2:$A$2000,المبيعات!$C$2:$C$2000,A273)))</f>
        <v/>
      </c>
      <c r="F273">
        <f>IF(A273="","",SUMIFS(المبيعات!$H$2:$H$2000,المبيعات!$C$2:$C$2000,A273,المبيعات!$J$2:$J$2000,"آجل"))</f>
        <v/>
      </c>
      <c r="G273" s="4" t="n"/>
      <c r="H273">
        <f>IF(A273="","",F273-G273)</f>
        <v/>
      </c>
    </row>
    <row r="274">
      <c r="A274" s="4" t="n"/>
      <c r="B274" s="4" t="n"/>
      <c r="C274">
        <f>IF(A274="","",SUMPRODUCT((المبيعات!$C$2:$C$2000=A274)*(المبيعات!$B$2:$B$2000&lt;&gt;"")/COUNTIFS(المبيعات!$B$2:$B$2000,المبيعات!$B$2:$B$2000&amp;"",المبيعات!$C$2:$C$2000,المبيعات!$C$2:$C$2000&amp;"")))</f>
        <v/>
      </c>
      <c r="D274">
        <f>IF(A274="","",SUMIFS(المبيعات!$H$2:$H$2000,المبيعات!$C$2:$C$2000,A274))</f>
        <v/>
      </c>
      <c r="E274" s="13">
        <f>IF(A274="","",IF(COUNTIF(المبيعات!$C$2:$C$2000,A274)=0,"",_xlfn.MAXIFS(المبيعات!$A$2:$A$2000,المبيعات!$C$2:$C$2000,A274)))</f>
        <v/>
      </c>
      <c r="F274">
        <f>IF(A274="","",SUMIFS(المبيعات!$H$2:$H$2000,المبيعات!$C$2:$C$2000,A274,المبيعات!$J$2:$J$2000,"آجل"))</f>
        <v/>
      </c>
      <c r="G274" s="4" t="n"/>
      <c r="H274">
        <f>IF(A274="","",F274-G274)</f>
        <v/>
      </c>
    </row>
    <row r="275">
      <c r="A275" s="4" t="n"/>
      <c r="B275" s="4" t="n"/>
      <c r="C275">
        <f>IF(A275="","",SUMPRODUCT((المبيعات!$C$2:$C$2000=A275)*(المبيعات!$B$2:$B$2000&lt;&gt;"")/COUNTIFS(المبيعات!$B$2:$B$2000,المبيعات!$B$2:$B$2000&amp;"",المبيعات!$C$2:$C$2000,المبيعات!$C$2:$C$2000&amp;"")))</f>
        <v/>
      </c>
      <c r="D275">
        <f>IF(A275="","",SUMIFS(المبيعات!$H$2:$H$2000,المبيعات!$C$2:$C$2000,A275))</f>
        <v/>
      </c>
      <c r="E275" s="13">
        <f>IF(A275="","",IF(COUNTIF(المبيعات!$C$2:$C$2000,A275)=0,"",_xlfn.MAXIFS(المبيعات!$A$2:$A$2000,المبيعات!$C$2:$C$2000,A275)))</f>
        <v/>
      </c>
      <c r="F275">
        <f>IF(A275="","",SUMIFS(المبيعات!$H$2:$H$2000,المبيعات!$C$2:$C$2000,A275,المبيعات!$J$2:$J$2000,"آجل"))</f>
        <v/>
      </c>
      <c r="G275" s="4" t="n"/>
      <c r="H275">
        <f>IF(A275="","",F275-G275)</f>
        <v/>
      </c>
    </row>
    <row r="276">
      <c r="A276" s="4" t="n"/>
      <c r="B276" s="4" t="n"/>
      <c r="C276">
        <f>IF(A276="","",SUMPRODUCT((المبيعات!$C$2:$C$2000=A276)*(المبيعات!$B$2:$B$2000&lt;&gt;"")/COUNTIFS(المبيعات!$B$2:$B$2000,المبيعات!$B$2:$B$2000&amp;"",المبيعات!$C$2:$C$2000,المبيعات!$C$2:$C$2000&amp;"")))</f>
        <v/>
      </c>
      <c r="D276">
        <f>IF(A276="","",SUMIFS(المبيعات!$H$2:$H$2000,المبيعات!$C$2:$C$2000,A276))</f>
        <v/>
      </c>
      <c r="E276" s="13">
        <f>IF(A276="","",IF(COUNTIF(المبيعات!$C$2:$C$2000,A276)=0,"",_xlfn.MAXIFS(المبيعات!$A$2:$A$2000,المبيعات!$C$2:$C$2000,A276)))</f>
        <v/>
      </c>
      <c r="F276">
        <f>IF(A276="","",SUMIFS(المبيعات!$H$2:$H$2000,المبيعات!$C$2:$C$2000,A276,المبيعات!$J$2:$J$2000,"آجل"))</f>
        <v/>
      </c>
      <c r="G276" s="4" t="n"/>
      <c r="H276">
        <f>IF(A276="","",F276-G276)</f>
        <v/>
      </c>
    </row>
    <row r="277">
      <c r="A277" s="4" t="n"/>
      <c r="B277" s="4" t="n"/>
      <c r="C277">
        <f>IF(A277="","",SUMPRODUCT((المبيعات!$C$2:$C$2000=A277)*(المبيعات!$B$2:$B$2000&lt;&gt;"")/COUNTIFS(المبيعات!$B$2:$B$2000,المبيعات!$B$2:$B$2000&amp;"",المبيعات!$C$2:$C$2000,المبيعات!$C$2:$C$2000&amp;"")))</f>
        <v/>
      </c>
      <c r="D277">
        <f>IF(A277="","",SUMIFS(المبيعات!$H$2:$H$2000,المبيعات!$C$2:$C$2000,A277))</f>
        <v/>
      </c>
      <c r="E277" s="13">
        <f>IF(A277="","",IF(COUNTIF(المبيعات!$C$2:$C$2000,A277)=0,"",_xlfn.MAXIFS(المبيعات!$A$2:$A$2000,المبيعات!$C$2:$C$2000,A277)))</f>
        <v/>
      </c>
      <c r="F277">
        <f>IF(A277="","",SUMIFS(المبيعات!$H$2:$H$2000,المبيعات!$C$2:$C$2000,A277,المبيعات!$J$2:$J$2000,"آجل"))</f>
        <v/>
      </c>
      <c r="G277" s="4" t="n"/>
      <c r="H277">
        <f>IF(A277="","",F277-G277)</f>
        <v/>
      </c>
    </row>
    <row r="278">
      <c r="A278" s="4" t="n"/>
      <c r="B278" s="4" t="n"/>
      <c r="C278">
        <f>IF(A278="","",SUMPRODUCT((المبيعات!$C$2:$C$2000=A278)*(المبيعات!$B$2:$B$2000&lt;&gt;"")/COUNTIFS(المبيعات!$B$2:$B$2000,المبيعات!$B$2:$B$2000&amp;"",المبيعات!$C$2:$C$2000,المبيعات!$C$2:$C$2000&amp;"")))</f>
        <v/>
      </c>
      <c r="D278">
        <f>IF(A278="","",SUMIFS(المبيعات!$H$2:$H$2000,المبيعات!$C$2:$C$2000,A278))</f>
        <v/>
      </c>
      <c r="E278" s="13">
        <f>IF(A278="","",IF(COUNTIF(المبيعات!$C$2:$C$2000,A278)=0,"",_xlfn.MAXIFS(المبيعات!$A$2:$A$2000,المبيعات!$C$2:$C$2000,A278)))</f>
        <v/>
      </c>
      <c r="F278">
        <f>IF(A278="","",SUMIFS(المبيعات!$H$2:$H$2000,المبيعات!$C$2:$C$2000,A278,المبيعات!$J$2:$J$2000,"آجل"))</f>
        <v/>
      </c>
      <c r="G278" s="4" t="n"/>
      <c r="H278">
        <f>IF(A278="","",F278-G278)</f>
        <v/>
      </c>
    </row>
    <row r="279">
      <c r="A279" s="4" t="n"/>
      <c r="B279" s="4" t="n"/>
      <c r="C279">
        <f>IF(A279="","",SUMPRODUCT((المبيعات!$C$2:$C$2000=A279)*(المبيعات!$B$2:$B$2000&lt;&gt;"")/COUNTIFS(المبيعات!$B$2:$B$2000,المبيعات!$B$2:$B$2000&amp;"",المبيعات!$C$2:$C$2000,المبيعات!$C$2:$C$2000&amp;"")))</f>
        <v/>
      </c>
      <c r="D279">
        <f>IF(A279="","",SUMIFS(المبيعات!$H$2:$H$2000,المبيعات!$C$2:$C$2000,A279))</f>
        <v/>
      </c>
      <c r="E279" s="13">
        <f>IF(A279="","",IF(COUNTIF(المبيعات!$C$2:$C$2000,A279)=0,"",_xlfn.MAXIFS(المبيعات!$A$2:$A$2000,المبيعات!$C$2:$C$2000,A279)))</f>
        <v/>
      </c>
      <c r="F279">
        <f>IF(A279="","",SUMIFS(المبيعات!$H$2:$H$2000,المبيعات!$C$2:$C$2000,A279,المبيعات!$J$2:$J$2000,"آجل"))</f>
        <v/>
      </c>
      <c r="G279" s="4" t="n"/>
      <c r="H279">
        <f>IF(A279="","",F279-G279)</f>
        <v/>
      </c>
    </row>
    <row r="280">
      <c r="A280" s="4" t="n"/>
      <c r="B280" s="4" t="n"/>
      <c r="C280">
        <f>IF(A280="","",SUMPRODUCT((المبيعات!$C$2:$C$2000=A280)*(المبيعات!$B$2:$B$2000&lt;&gt;"")/COUNTIFS(المبيعات!$B$2:$B$2000,المبيعات!$B$2:$B$2000&amp;"",المبيعات!$C$2:$C$2000,المبيعات!$C$2:$C$2000&amp;"")))</f>
        <v/>
      </c>
      <c r="D280">
        <f>IF(A280="","",SUMIFS(المبيعات!$H$2:$H$2000,المبيعات!$C$2:$C$2000,A280))</f>
        <v/>
      </c>
      <c r="E280" s="13">
        <f>IF(A280="","",IF(COUNTIF(المبيعات!$C$2:$C$2000,A280)=0,"",_xlfn.MAXIFS(المبيعات!$A$2:$A$2000,المبيعات!$C$2:$C$2000,A280)))</f>
        <v/>
      </c>
      <c r="F280">
        <f>IF(A280="","",SUMIFS(المبيعات!$H$2:$H$2000,المبيعات!$C$2:$C$2000,A280,المبيعات!$J$2:$J$2000,"آجل"))</f>
        <v/>
      </c>
      <c r="G280" s="4" t="n"/>
      <c r="H280">
        <f>IF(A280="","",F280-G280)</f>
        <v/>
      </c>
    </row>
    <row r="281">
      <c r="A281" s="4" t="n"/>
      <c r="B281" s="4" t="n"/>
      <c r="C281">
        <f>IF(A281="","",SUMPRODUCT((المبيعات!$C$2:$C$2000=A281)*(المبيعات!$B$2:$B$2000&lt;&gt;"")/COUNTIFS(المبيعات!$B$2:$B$2000,المبيعات!$B$2:$B$2000&amp;"",المبيعات!$C$2:$C$2000,المبيعات!$C$2:$C$2000&amp;"")))</f>
        <v/>
      </c>
      <c r="D281">
        <f>IF(A281="","",SUMIFS(المبيعات!$H$2:$H$2000,المبيعات!$C$2:$C$2000,A281))</f>
        <v/>
      </c>
      <c r="E281" s="13">
        <f>IF(A281="","",IF(COUNTIF(المبيعات!$C$2:$C$2000,A281)=0,"",_xlfn.MAXIFS(المبيعات!$A$2:$A$2000,المبيعات!$C$2:$C$2000,A281)))</f>
        <v/>
      </c>
      <c r="F281">
        <f>IF(A281="","",SUMIFS(المبيعات!$H$2:$H$2000,المبيعات!$C$2:$C$2000,A281,المبيعات!$J$2:$J$2000,"آجل"))</f>
        <v/>
      </c>
      <c r="G281" s="4" t="n"/>
      <c r="H281">
        <f>IF(A281="","",F281-G281)</f>
        <v/>
      </c>
    </row>
    <row r="282">
      <c r="A282" s="4" t="n"/>
      <c r="B282" s="4" t="n"/>
      <c r="C282">
        <f>IF(A282="","",SUMPRODUCT((المبيعات!$C$2:$C$2000=A282)*(المبيعات!$B$2:$B$2000&lt;&gt;"")/COUNTIFS(المبيعات!$B$2:$B$2000,المبيعات!$B$2:$B$2000&amp;"",المبيعات!$C$2:$C$2000,المبيعات!$C$2:$C$2000&amp;"")))</f>
        <v/>
      </c>
      <c r="D282">
        <f>IF(A282="","",SUMIFS(المبيعات!$H$2:$H$2000,المبيعات!$C$2:$C$2000,A282))</f>
        <v/>
      </c>
      <c r="E282" s="13">
        <f>IF(A282="","",IF(COUNTIF(المبيعات!$C$2:$C$2000,A282)=0,"",_xlfn.MAXIFS(المبيعات!$A$2:$A$2000,المبيعات!$C$2:$C$2000,A282)))</f>
        <v/>
      </c>
      <c r="F282">
        <f>IF(A282="","",SUMIFS(المبيعات!$H$2:$H$2000,المبيعات!$C$2:$C$2000,A282,المبيعات!$J$2:$J$2000,"آجل"))</f>
        <v/>
      </c>
      <c r="G282" s="4" t="n"/>
      <c r="H282">
        <f>IF(A282="","",F282-G282)</f>
        <v/>
      </c>
    </row>
    <row r="283">
      <c r="A283" s="4" t="n"/>
      <c r="B283" s="4" t="n"/>
      <c r="C283">
        <f>IF(A283="","",SUMPRODUCT((المبيعات!$C$2:$C$2000=A283)*(المبيعات!$B$2:$B$2000&lt;&gt;"")/COUNTIFS(المبيعات!$B$2:$B$2000,المبيعات!$B$2:$B$2000&amp;"",المبيعات!$C$2:$C$2000,المبيعات!$C$2:$C$2000&amp;"")))</f>
        <v/>
      </c>
      <c r="D283">
        <f>IF(A283="","",SUMIFS(المبيعات!$H$2:$H$2000,المبيعات!$C$2:$C$2000,A283))</f>
        <v/>
      </c>
      <c r="E283" s="13">
        <f>IF(A283="","",IF(COUNTIF(المبيعات!$C$2:$C$2000,A283)=0,"",_xlfn.MAXIFS(المبيعات!$A$2:$A$2000,المبيعات!$C$2:$C$2000,A283)))</f>
        <v/>
      </c>
      <c r="F283">
        <f>IF(A283="","",SUMIFS(المبيعات!$H$2:$H$2000,المبيعات!$C$2:$C$2000,A283,المبيعات!$J$2:$J$2000,"آجل"))</f>
        <v/>
      </c>
      <c r="G283" s="4" t="n"/>
      <c r="H283">
        <f>IF(A283="","",F283-G283)</f>
        <v/>
      </c>
    </row>
    <row r="284">
      <c r="A284" s="4" t="n"/>
      <c r="B284" s="4" t="n"/>
      <c r="C284">
        <f>IF(A284="","",SUMPRODUCT((المبيعات!$C$2:$C$2000=A284)*(المبيعات!$B$2:$B$2000&lt;&gt;"")/COUNTIFS(المبيعات!$B$2:$B$2000,المبيعات!$B$2:$B$2000&amp;"",المبيعات!$C$2:$C$2000,المبيعات!$C$2:$C$2000&amp;"")))</f>
        <v/>
      </c>
      <c r="D284">
        <f>IF(A284="","",SUMIFS(المبيعات!$H$2:$H$2000,المبيعات!$C$2:$C$2000,A284))</f>
        <v/>
      </c>
      <c r="E284" s="13">
        <f>IF(A284="","",IF(COUNTIF(المبيعات!$C$2:$C$2000,A284)=0,"",_xlfn.MAXIFS(المبيعات!$A$2:$A$2000,المبيعات!$C$2:$C$2000,A284)))</f>
        <v/>
      </c>
      <c r="F284">
        <f>IF(A284="","",SUMIFS(المبيعات!$H$2:$H$2000,المبيعات!$C$2:$C$2000,A284,المبيعات!$J$2:$J$2000,"آجل"))</f>
        <v/>
      </c>
      <c r="G284" s="4" t="n"/>
      <c r="H284">
        <f>IF(A284="","",F284-G284)</f>
        <v/>
      </c>
    </row>
    <row r="285">
      <c r="A285" s="4" t="n"/>
      <c r="B285" s="4" t="n"/>
      <c r="C285">
        <f>IF(A285="","",SUMPRODUCT((المبيعات!$C$2:$C$2000=A285)*(المبيعات!$B$2:$B$2000&lt;&gt;"")/COUNTIFS(المبيعات!$B$2:$B$2000,المبيعات!$B$2:$B$2000&amp;"",المبيعات!$C$2:$C$2000,المبيعات!$C$2:$C$2000&amp;"")))</f>
        <v/>
      </c>
      <c r="D285">
        <f>IF(A285="","",SUMIFS(المبيعات!$H$2:$H$2000,المبيعات!$C$2:$C$2000,A285))</f>
        <v/>
      </c>
      <c r="E285" s="13">
        <f>IF(A285="","",IF(COUNTIF(المبيعات!$C$2:$C$2000,A285)=0,"",_xlfn.MAXIFS(المبيعات!$A$2:$A$2000,المبيعات!$C$2:$C$2000,A285)))</f>
        <v/>
      </c>
      <c r="F285">
        <f>IF(A285="","",SUMIFS(المبيعات!$H$2:$H$2000,المبيعات!$C$2:$C$2000,A285,المبيعات!$J$2:$J$2000,"آجل"))</f>
        <v/>
      </c>
      <c r="G285" s="4" t="n"/>
      <c r="H285">
        <f>IF(A285="","",F285-G285)</f>
        <v/>
      </c>
    </row>
    <row r="286">
      <c r="A286" s="4" t="n"/>
      <c r="B286" s="4" t="n"/>
      <c r="C286">
        <f>IF(A286="","",SUMPRODUCT((المبيعات!$C$2:$C$2000=A286)*(المبيعات!$B$2:$B$2000&lt;&gt;"")/COUNTIFS(المبيعات!$B$2:$B$2000,المبيعات!$B$2:$B$2000&amp;"",المبيعات!$C$2:$C$2000,المبيعات!$C$2:$C$2000&amp;"")))</f>
        <v/>
      </c>
      <c r="D286">
        <f>IF(A286="","",SUMIFS(المبيعات!$H$2:$H$2000,المبيعات!$C$2:$C$2000,A286))</f>
        <v/>
      </c>
      <c r="E286" s="13">
        <f>IF(A286="","",IF(COUNTIF(المبيعات!$C$2:$C$2000,A286)=0,"",_xlfn.MAXIFS(المبيعات!$A$2:$A$2000,المبيعات!$C$2:$C$2000,A286)))</f>
        <v/>
      </c>
      <c r="F286">
        <f>IF(A286="","",SUMIFS(المبيعات!$H$2:$H$2000,المبيعات!$C$2:$C$2000,A286,المبيعات!$J$2:$J$2000,"آجل"))</f>
        <v/>
      </c>
      <c r="G286" s="4" t="n"/>
      <c r="H286">
        <f>IF(A286="","",F286-G286)</f>
        <v/>
      </c>
    </row>
    <row r="287">
      <c r="A287" s="4" t="n"/>
      <c r="B287" s="4" t="n"/>
      <c r="C287">
        <f>IF(A287="","",SUMPRODUCT((المبيعات!$C$2:$C$2000=A287)*(المبيعات!$B$2:$B$2000&lt;&gt;"")/COUNTIFS(المبيعات!$B$2:$B$2000,المبيعات!$B$2:$B$2000&amp;"",المبيعات!$C$2:$C$2000,المبيعات!$C$2:$C$2000&amp;"")))</f>
        <v/>
      </c>
      <c r="D287">
        <f>IF(A287="","",SUMIFS(المبيعات!$H$2:$H$2000,المبيعات!$C$2:$C$2000,A287))</f>
        <v/>
      </c>
      <c r="E287" s="13">
        <f>IF(A287="","",IF(COUNTIF(المبيعات!$C$2:$C$2000,A287)=0,"",_xlfn.MAXIFS(المبيعات!$A$2:$A$2000,المبيعات!$C$2:$C$2000,A287)))</f>
        <v/>
      </c>
      <c r="F287">
        <f>IF(A287="","",SUMIFS(المبيعات!$H$2:$H$2000,المبيعات!$C$2:$C$2000,A287,المبيعات!$J$2:$J$2000,"آجل"))</f>
        <v/>
      </c>
      <c r="G287" s="4" t="n"/>
      <c r="H287">
        <f>IF(A287="","",F287-G287)</f>
        <v/>
      </c>
    </row>
    <row r="288">
      <c r="A288" s="4" t="n"/>
      <c r="B288" s="4" t="n"/>
      <c r="C288">
        <f>IF(A288="","",SUMPRODUCT((المبيعات!$C$2:$C$2000=A288)*(المبيعات!$B$2:$B$2000&lt;&gt;"")/COUNTIFS(المبيعات!$B$2:$B$2000,المبيعات!$B$2:$B$2000&amp;"",المبيعات!$C$2:$C$2000,المبيعات!$C$2:$C$2000&amp;"")))</f>
        <v/>
      </c>
      <c r="D288">
        <f>IF(A288="","",SUMIFS(المبيعات!$H$2:$H$2000,المبيعات!$C$2:$C$2000,A288))</f>
        <v/>
      </c>
      <c r="E288" s="13">
        <f>IF(A288="","",IF(COUNTIF(المبيعات!$C$2:$C$2000,A288)=0,"",_xlfn.MAXIFS(المبيعات!$A$2:$A$2000,المبيعات!$C$2:$C$2000,A288)))</f>
        <v/>
      </c>
      <c r="F288">
        <f>IF(A288="","",SUMIFS(المبيعات!$H$2:$H$2000,المبيعات!$C$2:$C$2000,A288,المبيعات!$J$2:$J$2000,"آجل"))</f>
        <v/>
      </c>
      <c r="G288" s="4" t="n"/>
      <c r="H288">
        <f>IF(A288="","",F288-G288)</f>
        <v/>
      </c>
    </row>
    <row r="289">
      <c r="A289" s="4" t="n"/>
      <c r="B289" s="4" t="n"/>
      <c r="C289">
        <f>IF(A289="","",SUMPRODUCT((المبيعات!$C$2:$C$2000=A289)*(المبيعات!$B$2:$B$2000&lt;&gt;"")/COUNTIFS(المبيعات!$B$2:$B$2000,المبيعات!$B$2:$B$2000&amp;"",المبيعات!$C$2:$C$2000,المبيعات!$C$2:$C$2000&amp;"")))</f>
        <v/>
      </c>
      <c r="D289">
        <f>IF(A289="","",SUMIFS(المبيعات!$H$2:$H$2000,المبيعات!$C$2:$C$2000,A289))</f>
        <v/>
      </c>
      <c r="E289" s="13">
        <f>IF(A289="","",IF(COUNTIF(المبيعات!$C$2:$C$2000,A289)=0,"",_xlfn.MAXIFS(المبيعات!$A$2:$A$2000,المبيعات!$C$2:$C$2000,A289)))</f>
        <v/>
      </c>
      <c r="F289">
        <f>IF(A289="","",SUMIFS(المبيعات!$H$2:$H$2000,المبيعات!$C$2:$C$2000,A289,المبيعات!$J$2:$J$2000,"آجل"))</f>
        <v/>
      </c>
      <c r="G289" s="4" t="n"/>
      <c r="H289">
        <f>IF(A289="","",F289-G289)</f>
        <v/>
      </c>
    </row>
    <row r="290">
      <c r="A290" s="4" t="n"/>
      <c r="B290" s="4" t="n"/>
      <c r="C290">
        <f>IF(A290="","",SUMPRODUCT((المبيعات!$C$2:$C$2000=A290)*(المبيعات!$B$2:$B$2000&lt;&gt;"")/COUNTIFS(المبيعات!$B$2:$B$2000,المبيعات!$B$2:$B$2000&amp;"",المبيعات!$C$2:$C$2000,المبيعات!$C$2:$C$2000&amp;"")))</f>
        <v/>
      </c>
      <c r="D290">
        <f>IF(A290="","",SUMIFS(المبيعات!$H$2:$H$2000,المبيعات!$C$2:$C$2000,A290))</f>
        <v/>
      </c>
      <c r="E290" s="13">
        <f>IF(A290="","",IF(COUNTIF(المبيعات!$C$2:$C$2000,A290)=0,"",_xlfn.MAXIFS(المبيعات!$A$2:$A$2000,المبيعات!$C$2:$C$2000,A290)))</f>
        <v/>
      </c>
      <c r="F290">
        <f>IF(A290="","",SUMIFS(المبيعات!$H$2:$H$2000,المبيعات!$C$2:$C$2000,A290,المبيعات!$J$2:$J$2000,"آجل"))</f>
        <v/>
      </c>
      <c r="G290" s="4" t="n"/>
      <c r="H290">
        <f>IF(A290="","",F290-G290)</f>
        <v/>
      </c>
    </row>
    <row r="291">
      <c r="A291" s="4" t="n"/>
      <c r="B291" s="4" t="n"/>
      <c r="C291">
        <f>IF(A291="","",SUMPRODUCT((المبيعات!$C$2:$C$2000=A291)*(المبيعات!$B$2:$B$2000&lt;&gt;"")/COUNTIFS(المبيعات!$B$2:$B$2000,المبيعات!$B$2:$B$2000&amp;"",المبيعات!$C$2:$C$2000,المبيعات!$C$2:$C$2000&amp;"")))</f>
        <v/>
      </c>
      <c r="D291">
        <f>IF(A291="","",SUMIFS(المبيعات!$H$2:$H$2000,المبيعات!$C$2:$C$2000,A291))</f>
        <v/>
      </c>
      <c r="E291" s="13">
        <f>IF(A291="","",IF(COUNTIF(المبيعات!$C$2:$C$2000,A291)=0,"",_xlfn.MAXIFS(المبيعات!$A$2:$A$2000,المبيعات!$C$2:$C$2000,A291)))</f>
        <v/>
      </c>
      <c r="F291">
        <f>IF(A291="","",SUMIFS(المبيعات!$H$2:$H$2000,المبيعات!$C$2:$C$2000,A291,المبيعات!$J$2:$J$2000,"آجل"))</f>
        <v/>
      </c>
      <c r="G291" s="4" t="n"/>
      <c r="H291">
        <f>IF(A291="","",F291-G291)</f>
        <v/>
      </c>
    </row>
    <row r="292">
      <c r="A292" s="4" t="n"/>
      <c r="B292" s="4" t="n"/>
      <c r="C292">
        <f>IF(A292="","",SUMPRODUCT((المبيعات!$C$2:$C$2000=A292)*(المبيعات!$B$2:$B$2000&lt;&gt;"")/COUNTIFS(المبيعات!$B$2:$B$2000,المبيعات!$B$2:$B$2000&amp;"",المبيعات!$C$2:$C$2000,المبيعات!$C$2:$C$2000&amp;"")))</f>
        <v/>
      </c>
      <c r="D292">
        <f>IF(A292="","",SUMIFS(المبيعات!$H$2:$H$2000,المبيعات!$C$2:$C$2000,A292))</f>
        <v/>
      </c>
      <c r="E292" s="13">
        <f>IF(A292="","",IF(COUNTIF(المبيعات!$C$2:$C$2000,A292)=0,"",_xlfn.MAXIFS(المبيعات!$A$2:$A$2000,المبيعات!$C$2:$C$2000,A292)))</f>
        <v/>
      </c>
      <c r="F292">
        <f>IF(A292="","",SUMIFS(المبيعات!$H$2:$H$2000,المبيعات!$C$2:$C$2000,A292,المبيعات!$J$2:$J$2000,"آجل"))</f>
        <v/>
      </c>
      <c r="G292" s="4" t="n"/>
      <c r="H292">
        <f>IF(A292="","",F292-G292)</f>
        <v/>
      </c>
    </row>
    <row r="293">
      <c r="A293" s="4" t="n"/>
      <c r="B293" s="4" t="n"/>
      <c r="C293">
        <f>IF(A293="","",SUMPRODUCT((المبيعات!$C$2:$C$2000=A293)*(المبيعات!$B$2:$B$2000&lt;&gt;"")/COUNTIFS(المبيعات!$B$2:$B$2000,المبيعات!$B$2:$B$2000&amp;"",المبيعات!$C$2:$C$2000,المبيعات!$C$2:$C$2000&amp;"")))</f>
        <v/>
      </c>
      <c r="D293">
        <f>IF(A293="","",SUMIFS(المبيعات!$H$2:$H$2000,المبيعات!$C$2:$C$2000,A293))</f>
        <v/>
      </c>
      <c r="E293" s="13">
        <f>IF(A293="","",IF(COUNTIF(المبيعات!$C$2:$C$2000,A293)=0,"",_xlfn.MAXIFS(المبيعات!$A$2:$A$2000,المبيعات!$C$2:$C$2000,A293)))</f>
        <v/>
      </c>
      <c r="F293">
        <f>IF(A293="","",SUMIFS(المبيعات!$H$2:$H$2000,المبيعات!$C$2:$C$2000,A293,المبيعات!$J$2:$J$2000,"آجل"))</f>
        <v/>
      </c>
      <c r="G293" s="4" t="n"/>
      <c r="H293">
        <f>IF(A293="","",F293-G293)</f>
        <v/>
      </c>
    </row>
    <row r="294">
      <c r="A294" s="4" t="n"/>
      <c r="B294" s="4" t="n"/>
      <c r="C294">
        <f>IF(A294="","",SUMPRODUCT((المبيعات!$C$2:$C$2000=A294)*(المبيعات!$B$2:$B$2000&lt;&gt;"")/COUNTIFS(المبيعات!$B$2:$B$2000,المبيعات!$B$2:$B$2000&amp;"",المبيعات!$C$2:$C$2000,المبيعات!$C$2:$C$2000&amp;"")))</f>
        <v/>
      </c>
      <c r="D294">
        <f>IF(A294="","",SUMIFS(المبيعات!$H$2:$H$2000,المبيعات!$C$2:$C$2000,A294))</f>
        <v/>
      </c>
      <c r="E294" s="13">
        <f>IF(A294="","",IF(COUNTIF(المبيعات!$C$2:$C$2000,A294)=0,"",_xlfn.MAXIFS(المبيعات!$A$2:$A$2000,المبيعات!$C$2:$C$2000,A294)))</f>
        <v/>
      </c>
      <c r="F294">
        <f>IF(A294="","",SUMIFS(المبيعات!$H$2:$H$2000,المبيعات!$C$2:$C$2000,A294,المبيعات!$J$2:$J$2000,"آجل"))</f>
        <v/>
      </c>
      <c r="G294" s="4" t="n"/>
      <c r="H294">
        <f>IF(A294="","",F294-G294)</f>
        <v/>
      </c>
    </row>
    <row r="295">
      <c r="A295" s="4" t="n"/>
      <c r="B295" s="4" t="n"/>
      <c r="C295">
        <f>IF(A295="","",SUMPRODUCT((المبيعات!$C$2:$C$2000=A295)*(المبيعات!$B$2:$B$2000&lt;&gt;"")/COUNTIFS(المبيعات!$B$2:$B$2000,المبيعات!$B$2:$B$2000&amp;"",المبيعات!$C$2:$C$2000,المبيعات!$C$2:$C$2000&amp;"")))</f>
        <v/>
      </c>
      <c r="D295">
        <f>IF(A295="","",SUMIFS(المبيعات!$H$2:$H$2000,المبيعات!$C$2:$C$2000,A295))</f>
        <v/>
      </c>
      <c r="E295" s="13">
        <f>IF(A295="","",IF(COUNTIF(المبيعات!$C$2:$C$2000,A295)=0,"",_xlfn.MAXIFS(المبيعات!$A$2:$A$2000,المبيعات!$C$2:$C$2000,A295)))</f>
        <v/>
      </c>
      <c r="F295">
        <f>IF(A295="","",SUMIFS(المبيعات!$H$2:$H$2000,المبيعات!$C$2:$C$2000,A295,المبيعات!$J$2:$J$2000,"آجل"))</f>
        <v/>
      </c>
      <c r="G295" s="4" t="n"/>
      <c r="H295">
        <f>IF(A295="","",F295-G295)</f>
        <v/>
      </c>
    </row>
    <row r="296">
      <c r="A296" s="4" t="n"/>
      <c r="B296" s="4" t="n"/>
      <c r="C296">
        <f>IF(A296="","",SUMPRODUCT((المبيعات!$C$2:$C$2000=A296)*(المبيعات!$B$2:$B$2000&lt;&gt;"")/COUNTIFS(المبيعات!$B$2:$B$2000,المبيعات!$B$2:$B$2000&amp;"",المبيعات!$C$2:$C$2000,المبيعات!$C$2:$C$2000&amp;"")))</f>
        <v/>
      </c>
      <c r="D296">
        <f>IF(A296="","",SUMIFS(المبيعات!$H$2:$H$2000,المبيعات!$C$2:$C$2000,A296))</f>
        <v/>
      </c>
      <c r="E296" s="13">
        <f>IF(A296="","",IF(COUNTIF(المبيعات!$C$2:$C$2000,A296)=0,"",_xlfn.MAXIFS(المبيعات!$A$2:$A$2000,المبيعات!$C$2:$C$2000,A296)))</f>
        <v/>
      </c>
      <c r="F296">
        <f>IF(A296="","",SUMIFS(المبيعات!$H$2:$H$2000,المبيعات!$C$2:$C$2000,A296,المبيعات!$J$2:$J$2000,"آجل"))</f>
        <v/>
      </c>
      <c r="G296" s="4" t="n"/>
      <c r="H296">
        <f>IF(A296="","",F296-G296)</f>
        <v/>
      </c>
    </row>
    <row r="297">
      <c r="A297" s="4" t="n"/>
      <c r="B297" s="4" t="n"/>
      <c r="C297">
        <f>IF(A297="","",SUMPRODUCT((المبيعات!$C$2:$C$2000=A297)*(المبيعات!$B$2:$B$2000&lt;&gt;"")/COUNTIFS(المبيعات!$B$2:$B$2000,المبيعات!$B$2:$B$2000&amp;"",المبيعات!$C$2:$C$2000,المبيعات!$C$2:$C$2000&amp;"")))</f>
        <v/>
      </c>
      <c r="D297">
        <f>IF(A297="","",SUMIFS(المبيعات!$H$2:$H$2000,المبيعات!$C$2:$C$2000,A297))</f>
        <v/>
      </c>
      <c r="E297" s="13">
        <f>IF(A297="","",IF(COUNTIF(المبيعات!$C$2:$C$2000,A297)=0,"",_xlfn.MAXIFS(المبيعات!$A$2:$A$2000,المبيعات!$C$2:$C$2000,A297)))</f>
        <v/>
      </c>
      <c r="F297">
        <f>IF(A297="","",SUMIFS(المبيعات!$H$2:$H$2000,المبيعات!$C$2:$C$2000,A297,المبيعات!$J$2:$J$2000,"آجل"))</f>
        <v/>
      </c>
      <c r="G297" s="4" t="n"/>
      <c r="H297">
        <f>IF(A297="","",F297-G297)</f>
        <v/>
      </c>
    </row>
    <row r="298">
      <c r="A298" s="4" t="n"/>
      <c r="B298" s="4" t="n"/>
      <c r="C298">
        <f>IF(A298="","",SUMPRODUCT((المبيعات!$C$2:$C$2000=A298)*(المبيعات!$B$2:$B$2000&lt;&gt;"")/COUNTIFS(المبيعات!$B$2:$B$2000,المبيعات!$B$2:$B$2000&amp;"",المبيعات!$C$2:$C$2000,المبيعات!$C$2:$C$2000&amp;"")))</f>
        <v/>
      </c>
      <c r="D298">
        <f>IF(A298="","",SUMIFS(المبيعات!$H$2:$H$2000,المبيعات!$C$2:$C$2000,A298))</f>
        <v/>
      </c>
      <c r="E298" s="13">
        <f>IF(A298="","",IF(COUNTIF(المبيعات!$C$2:$C$2000,A298)=0,"",_xlfn.MAXIFS(المبيعات!$A$2:$A$2000,المبيعات!$C$2:$C$2000,A298)))</f>
        <v/>
      </c>
      <c r="F298">
        <f>IF(A298="","",SUMIFS(المبيعات!$H$2:$H$2000,المبيعات!$C$2:$C$2000,A298,المبيعات!$J$2:$J$2000,"آجل"))</f>
        <v/>
      </c>
      <c r="G298" s="4" t="n"/>
      <c r="H298">
        <f>IF(A298="","",F298-G298)</f>
        <v/>
      </c>
    </row>
    <row r="299">
      <c r="A299" s="4" t="n"/>
      <c r="B299" s="4" t="n"/>
      <c r="C299">
        <f>IF(A299="","",SUMPRODUCT((المبيعات!$C$2:$C$2000=A299)*(المبيعات!$B$2:$B$2000&lt;&gt;"")/COUNTIFS(المبيعات!$B$2:$B$2000,المبيعات!$B$2:$B$2000&amp;"",المبيعات!$C$2:$C$2000,المبيعات!$C$2:$C$2000&amp;"")))</f>
        <v/>
      </c>
      <c r="D299">
        <f>IF(A299="","",SUMIFS(المبيعات!$H$2:$H$2000,المبيعات!$C$2:$C$2000,A299))</f>
        <v/>
      </c>
      <c r="E299" s="13">
        <f>IF(A299="","",IF(COUNTIF(المبيعات!$C$2:$C$2000,A299)=0,"",_xlfn.MAXIFS(المبيعات!$A$2:$A$2000,المبيعات!$C$2:$C$2000,A299)))</f>
        <v/>
      </c>
      <c r="F299">
        <f>IF(A299="","",SUMIFS(المبيعات!$H$2:$H$2000,المبيعات!$C$2:$C$2000,A299,المبيعات!$J$2:$J$2000,"آجل"))</f>
        <v/>
      </c>
      <c r="G299" s="4" t="n"/>
      <c r="H299">
        <f>IF(A299="","",F299-G299)</f>
        <v/>
      </c>
    </row>
    <row r="300">
      <c r="A300" s="4" t="n"/>
      <c r="B300" s="4" t="n"/>
      <c r="C300">
        <f>IF(A300="","",SUMPRODUCT((المبيعات!$C$2:$C$2000=A300)*(المبيعات!$B$2:$B$2000&lt;&gt;"")/COUNTIFS(المبيعات!$B$2:$B$2000,المبيعات!$B$2:$B$2000&amp;"",المبيعات!$C$2:$C$2000,المبيعات!$C$2:$C$2000&amp;"")))</f>
        <v/>
      </c>
      <c r="D300">
        <f>IF(A300="","",SUMIFS(المبيعات!$H$2:$H$2000,المبيعات!$C$2:$C$2000,A300))</f>
        <v/>
      </c>
      <c r="E300" s="13">
        <f>IF(A300="","",IF(COUNTIF(المبيعات!$C$2:$C$2000,A300)=0,"",_xlfn.MAXIFS(المبيعات!$A$2:$A$2000,المبيعات!$C$2:$C$2000,A300)))</f>
        <v/>
      </c>
      <c r="F300">
        <f>IF(A300="","",SUMIFS(المبيعات!$H$2:$H$2000,المبيعات!$C$2:$C$2000,A300,المبيعات!$J$2:$J$2000,"آجل"))</f>
        <v/>
      </c>
      <c r="G300" s="4" t="n"/>
      <c r="H300">
        <f>IF(A300="","",F300-G300)</f>
        <v/>
      </c>
    </row>
    <row r="301">
      <c r="A301" s="4" t="n"/>
      <c r="B301" s="4" t="n"/>
      <c r="C301">
        <f>IF(A301="","",SUMPRODUCT((المبيعات!$C$2:$C$2000=A301)*(المبيعات!$B$2:$B$2000&lt;&gt;"")/COUNTIFS(المبيعات!$B$2:$B$2000,المبيعات!$B$2:$B$2000&amp;"",المبيعات!$C$2:$C$2000,المبيعات!$C$2:$C$2000&amp;"")))</f>
        <v/>
      </c>
      <c r="D301">
        <f>IF(A301="","",SUMIFS(المبيعات!$H$2:$H$2000,المبيعات!$C$2:$C$2000,A301))</f>
        <v/>
      </c>
      <c r="E301" s="13">
        <f>IF(A301="","",IF(COUNTIF(المبيعات!$C$2:$C$2000,A301)=0,"",_xlfn.MAXIFS(المبيعات!$A$2:$A$2000,المبيعات!$C$2:$C$2000,A301)))</f>
        <v/>
      </c>
      <c r="F301">
        <f>IF(A301="","",SUMIFS(المبيعات!$H$2:$H$2000,المبيعات!$C$2:$C$2000,A301,المبيعات!$J$2:$J$2000,"آجل"))</f>
        <v/>
      </c>
      <c r="G301" s="4" t="n"/>
      <c r="H301">
        <f>IF(A301="","",F301-G301)</f>
        <v/>
      </c>
    </row>
    <row r="302">
      <c r="A302" s="4" t="n"/>
      <c r="B302" s="4" t="n"/>
      <c r="C302">
        <f>IF(A302="","",SUMPRODUCT((المبيعات!$C$2:$C$2000=A302)*(المبيعات!$B$2:$B$2000&lt;&gt;"")/COUNTIFS(المبيعات!$B$2:$B$2000,المبيعات!$B$2:$B$2000&amp;"",المبيعات!$C$2:$C$2000,المبيعات!$C$2:$C$2000&amp;"")))</f>
        <v/>
      </c>
      <c r="D302">
        <f>IF(A302="","",SUMIFS(المبيعات!$H$2:$H$2000,المبيعات!$C$2:$C$2000,A302))</f>
        <v/>
      </c>
      <c r="E302" s="13">
        <f>IF(A302="","",IF(COUNTIF(المبيعات!$C$2:$C$2000,A302)=0,"",_xlfn.MAXIFS(المبيعات!$A$2:$A$2000,المبيعات!$C$2:$C$2000,A302)))</f>
        <v/>
      </c>
      <c r="F302">
        <f>IF(A302="","",SUMIFS(المبيعات!$H$2:$H$2000,المبيعات!$C$2:$C$2000,A302,المبيعات!$J$2:$J$2000,"آجل"))</f>
        <v/>
      </c>
      <c r="G302" s="4" t="n"/>
      <c r="H302">
        <f>IF(A302="","",F302-G302)</f>
        <v/>
      </c>
    </row>
    <row r="303">
      <c r="A303" s="4" t="n"/>
      <c r="B303" s="4" t="n"/>
      <c r="C303">
        <f>IF(A303="","",SUMPRODUCT((المبيعات!$C$2:$C$2000=A303)*(المبيعات!$B$2:$B$2000&lt;&gt;"")/COUNTIFS(المبيعات!$B$2:$B$2000,المبيعات!$B$2:$B$2000&amp;"",المبيعات!$C$2:$C$2000,المبيعات!$C$2:$C$2000&amp;"")))</f>
        <v/>
      </c>
      <c r="D303">
        <f>IF(A303="","",SUMIFS(المبيعات!$H$2:$H$2000,المبيعات!$C$2:$C$2000,A303))</f>
        <v/>
      </c>
      <c r="E303" s="13">
        <f>IF(A303="","",IF(COUNTIF(المبيعات!$C$2:$C$2000,A303)=0,"",_xlfn.MAXIFS(المبيعات!$A$2:$A$2000,المبيعات!$C$2:$C$2000,A303)))</f>
        <v/>
      </c>
      <c r="F303">
        <f>IF(A303="","",SUMIFS(المبيعات!$H$2:$H$2000,المبيعات!$C$2:$C$2000,A303,المبيعات!$J$2:$J$2000,"آجل"))</f>
        <v/>
      </c>
      <c r="G303" s="4" t="n"/>
      <c r="H303">
        <f>IF(A303="","",F303-G303)</f>
        <v/>
      </c>
    </row>
    <row r="304">
      <c r="A304" s="4" t="n"/>
      <c r="B304" s="4" t="n"/>
      <c r="C304">
        <f>IF(A304="","",SUMPRODUCT((المبيعات!$C$2:$C$2000=A304)*(المبيعات!$B$2:$B$2000&lt;&gt;"")/COUNTIFS(المبيعات!$B$2:$B$2000,المبيعات!$B$2:$B$2000&amp;"",المبيعات!$C$2:$C$2000,المبيعات!$C$2:$C$2000&amp;"")))</f>
        <v/>
      </c>
      <c r="D304">
        <f>IF(A304="","",SUMIFS(المبيعات!$H$2:$H$2000,المبيعات!$C$2:$C$2000,A304))</f>
        <v/>
      </c>
      <c r="E304" s="13">
        <f>IF(A304="","",IF(COUNTIF(المبيعات!$C$2:$C$2000,A304)=0,"",_xlfn.MAXIFS(المبيعات!$A$2:$A$2000,المبيعات!$C$2:$C$2000,A304)))</f>
        <v/>
      </c>
      <c r="F304">
        <f>IF(A304="","",SUMIFS(المبيعات!$H$2:$H$2000,المبيعات!$C$2:$C$2000,A304,المبيعات!$J$2:$J$2000,"آجل"))</f>
        <v/>
      </c>
      <c r="G304" s="4" t="n"/>
      <c r="H304">
        <f>IF(A304="","",F304-G304)</f>
        <v/>
      </c>
    </row>
    <row r="305">
      <c r="A305" s="4" t="n"/>
      <c r="B305" s="4" t="n"/>
      <c r="C305">
        <f>IF(A305="","",SUMPRODUCT((المبيعات!$C$2:$C$2000=A305)*(المبيعات!$B$2:$B$2000&lt;&gt;"")/COUNTIFS(المبيعات!$B$2:$B$2000,المبيعات!$B$2:$B$2000&amp;"",المبيعات!$C$2:$C$2000,المبيعات!$C$2:$C$2000&amp;"")))</f>
        <v/>
      </c>
      <c r="D305">
        <f>IF(A305="","",SUMIFS(المبيعات!$H$2:$H$2000,المبيعات!$C$2:$C$2000,A305))</f>
        <v/>
      </c>
      <c r="E305" s="13">
        <f>IF(A305="","",IF(COUNTIF(المبيعات!$C$2:$C$2000,A305)=0,"",_xlfn.MAXIFS(المبيعات!$A$2:$A$2000,المبيعات!$C$2:$C$2000,A305)))</f>
        <v/>
      </c>
      <c r="F305">
        <f>IF(A305="","",SUMIFS(المبيعات!$H$2:$H$2000,المبيعات!$C$2:$C$2000,A305,المبيعات!$J$2:$J$2000,"آجل"))</f>
        <v/>
      </c>
      <c r="G305" s="4" t="n"/>
      <c r="H305">
        <f>IF(A305="","",F305-G305)</f>
        <v/>
      </c>
    </row>
    <row r="306">
      <c r="A306" s="4" t="n"/>
      <c r="B306" s="4" t="n"/>
      <c r="C306">
        <f>IF(A306="","",SUMPRODUCT((المبيعات!$C$2:$C$2000=A306)*(المبيعات!$B$2:$B$2000&lt;&gt;"")/COUNTIFS(المبيعات!$B$2:$B$2000,المبيعات!$B$2:$B$2000&amp;"",المبيعات!$C$2:$C$2000,المبيعات!$C$2:$C$2000&amp;"")))</f>
        <v/>
      </c>
      <c r="D306">
        <f>IF(A306="","",SUMIFS(المبيعات!$H$2:$H$2000,المبيعات!$C$2:$C$2000,A306))</f>
        <v/>
      </c>
      <c r="E306" s="13">
        <f>IF(A306="","",IF(COUNTIF(المبيعات!$C$2:$C$2000,A306)=0,"",_xlfn.MAXIFS(المبيعات!$A$2:$A$2000,المبيعات!$C$2:$C$2000,A306)))</f>
        <v/>
      </c>
      <c r="F306">
        <f>IF(A306="","",SUMIFS(المبيعات!$H$2:$H$2000,المبيعات!$C$2:$C$2000,A306,المبيعات!$J$2:$J$2000,"آجل"))</f>
        <v/>
      </c>
      <c r="G306" s="4" t="n"/>
      <c r="H306">
        <f>IF(A306="","",F306-G306)</f>
        <v/>
      </c>
    </row>
    <row r="307">
      <c r="A307" s="4" t="n"/>
      <c r="B307" s="4" t="n"/>
      <c r="C307">
        <f>IF(A307="","",SUMPRODUCT((المبيعات!$C$2:$C$2000=A307)*(المبيعات!$B$2:$B$2000&lt;&gt;"")/COUNTIFS(المبيعات!$B$2:$B$2000,المبيعات!$B$2:$B$2000&amp;"",المبيعات!$C$2:$C$2000,المبيعات!$C$2:$C$2000&amp;"")))</f>
        <v/>
      </c>
      <c r="D307">
        <f>IF(A307="","",SUMIFS(المبيعات!$H$2:$H$2000,المبيعات!$C$2:$C$2000,A307))</f>
        <v/>
      </c>
      <c r="E307" s="13">
        <f>IF(A307="","",IF(COUNTIF(المبيعات!$C$2:$C$2000,A307)=0,"",_xlfn.MAXIFS(المبيعات!$A$2:$A$2000,المبيعات!$C$2:$C$2000,A307)))</f>
        <v/>
      </c>
      <c r="F307">
        <f>IF(A307="","",SUMIFS(المبيعات!$H$2:$H$2000,المبيعات!$C$2:$C$2000,A307,المبيعات!$J$2:$J$2000,"آجل"))</f>
        <v/>
      </c>
      <c r="G307" s="4" t="n"/>
      <c r="H307">
        <f>IF(A307="","",F307-G307)</f>
        <v/>
      </c>
    </row>
    <row r="308">
      <c r="A308" s="4" t="n"/>
      <c r="B308" s="4" t="n"/>
      <c r="C308">
        <f>IF(A308="","",SUMPRODUCT((المبيعات!$C$2:$C$2000=A308)*(المبيعات!$B$2:$B$2000&lt;&gt;"")/COUNTIFS(المبيعات!$B$2:$B$2000,المبيعات!$B$2:$B$2000&amp;"",المبيعات!$C$2:$C$2000,المبيعات!$C$2:$C$2000&amp;"")))</f>
        <v/>
      </c>
      <c r="D308">
        <f>IF(A308="","",SUMIFS(المبيعات!$H$2:$H$2000,المبيعات!$C$2:$C$2000,A308))</f>
        <v/>
      </c>
      <c r="E308" s="13">
        <f>IF(A308="","",IF(COUNTIF(المبيعات!$C$2:$C$2000,A308)=0,"",_xlfn.MAXIFS(المبيعات!$A$2:$A$2000,المبيعات!$C$2:$C$2000,A308)))</f>
        <v/>
      </c>
      <c r="F308">
        <f>IF(A308="","",SUMIFS(المبيعات!$H$2:$H$2000,المبيعات!$C$2:$C$2000,A308,المبيعات!$J$2:$J$2000,"آجل"))</f>
        <v/>
      </c>
      <c r="G308" s="4" t="n"/>
      <c r="H308">
        <f>IF(A308="","",F308-G308)</f>
        <v/>
      </c>
    </row>
    <row r="309">
      <c r="A309" s="4" t="n"/>
      <c r="B309" s="4" t="n"/>
      <c r="C309">
        <f>IF(A309="","",SUMPRODUCT((المبيعات!$C$2:$C$2000=A309)*(المبيعات!$B$2:$B$2000&lt;&gt;"")/COUNTIFS(المبيعات!$B$2:$B$2000,المبيعات!$B$2:$B$2000&amp;"",المبيعات!$C$2:$C$2000,المبيعات!$C$2:$C$2000&amp;"")))</f>
        <v/>
      </c>
      <c r="D309">
        <f>IF(A309="","",SUMIFS(المبيعات!$H$2:$H$2000,المبيعات!$C$2:$C$2000,A309))</f>
        <v/>
      </c>
      <c r="E309" s="13">
        <f>IF(A309="","",IF(COUNTIF(المبيعات!$C$2:$C$2000,A309)=0,"",_xlfn.MAXIFS(المبيعات!$A$2:$A$2000,المبيعات!$C$2:$C$2000,A309)))</f>
        <v/>
      </c>
      <c r="F309">
        <f>IF(A309="","",SUMIFS(المبيعات!$H$2:$H$2000,المبيعات!$C$2:$C$2000,A309,المبيعات!$J$2:$J$2000,"آجل"))</f>
        <v/>
      </c>
      <c r="G309" s="4" t="n"/>
      <c r="H309">
        <f>IF(A309="","",F309-G309)</f>
        <v/>
      </c>
    </row>
    <row r="310">
      <c r="A310" s="4" t="n"/>
      <c r="B310" s="4" t="n"/>
      <c r="C310">
        <f>IF(A310="","",SUMPRODUCT((المبيعات!$C$2:$C$2000=A310)*(المبيعات!$B$2:$B$2000&lt;&gt;"")/COUNTIFS(المبيعات!$B$2:$B$2000,المبيعات!$B$2:$B$2000&amp;"",المبيعات!$C$2:$C$2000,المبيعات!$C$2:$C$2000&amp;"")))</f>
        <v/>
      </c>
      <c r="D310">
        <f>IF(A310="","",SUMIFS(المبيعات!$H$2:$H$2000,المبيعات!$C$2:$C$2000,A310))</f>
        <v/>
      </c>
      <c r="E310" s="13">
        <f>IF(A310="","",IF(COUNTIF(المبيعات!$C$2:$C$2000,A310)=0,"",_xlfn.MAXIFS(المبيعات!$A$2:$A$2000,المبيعات!$C$2:$C$2000,A310)))</f>
        <v/>
      </c>
      <c r="F310">
        <f>IF(A310="","",SUMIFS(المبيعات!$H$2:$H$2000,المبيعات!$C$2:$C$2000,A310,المبيعات!$J$2:$J$2000,"آجل"))</f>
        <v/>
      </c>
      <c r="G310" s="4" t="n"/>
      <c r="H310">
        <f>IF(A310="","",F310-G310)</f>
        <v/>
      </c>
    </row>
    <row r="311">
      <c r="A311" s="4" t="n"/>
      <c r="B311" s="4" t="n"/>
      <c r="C311">
        <f>IF(A311="","",SUMPRODUCT((المبيعات!$C$2:$C$2000=A311)*(المبيعات!$B$2:$B$2000&lt;&gt;"")/COUNTIFS(المبيعات!$B$2:$B$2000,المبيعات!$B$2:$B$2000&amp;"",المبيعات!$C$2:$C$2000,المبيعات!$C$2:$C$2000&amp;"")))</f>
        <v/>
      </c>
      <c r="D311">
        <f>IF(A311="","",SUMIFS(المبيعات!$H$2:$H$2000,المبيعات!$C$2:$C$2000,A311))</f>
        <v/>
      </c>
      <c r="E311" s="13">
        <f>IF(A311="","",IF(COUNTIF(المبيعات!$C$2:$C$2000,A311)=0,"",_xlfn.MAXIFS(المبيعات!$A$2:$A$2000,المبيعات!$C$2:$C$2000,A311)))</f>
        <v/>
      </c>
      <c r="F311">
        <f>IF(A311="","",SUMIFS(المبيعات!$H$2:$H$2000,المبيعات!$C$2:$C$2000,A311,المبيعات!$J$2:$J$2000,"آجل"))</f>
        <v/>
      </c>
      <c r="G311" s="4" t="n"/>
      <c r="H311">
        <f>IF(A311="","",F311-G311)</f>
        <v/>
      </c>
    </row>
    <row r="312">
      <c r="A312" s="4" t="n"/>
      <c r="B312" s="4" t="n"/>
      <c r="C312">
        <f>IF(A312="","",SUMPRODUCT((المبيعات!$C$2:$C$2000=A312)*(المبيعات!$B$2:$B$2000&lt;&gt;"")/COUNTIFS(المبيعات!$B$2:$B$2000,المبيعات!$B$2:$B$2000&amp;"",المبيعات!$C$2:$C$2000,المبيعات!$C$2:$C$2000&amp;"")))</f>
        <v/>
      </c>
      <c r="D312">
        <f>IF(A312="","",SUMIFS(المبيعات!$H$2:$H$2000,المبيعات!$C$2:$C$2000,A312))</f>
        <v/>
      </c>
      <c r="E312" s="13">
        <f>IF(A312="","",IF(COUNTIF(المبيعات!$C$2:$C$2000,A312)=0,"",_xlfn.MAXIFS(المبيعات!$A$2:$A$2000,المبيعات!$C$2:$C$2000,A312)))</f>
        <v/>
      </c>
      <c r="F312">
        <f>IF(A312="","",SUMIFS(المبيعات!$H$2:$H$2000,المبيعات!$C$2:$C$2000,A312,المبيعات!$J$2:$J$2000,"آجل"))</f>
        <v/>
      </c>
      <c r="G312" s="4" t="n"/>
      <c r="H312">
        <f>IF(A312="","",F312-G312)</f>
        <v/>
      </c>
    </row>
    <row r="313">
      <c r="A313" s="4" t="n"/>
      <c r="B313" s="4" t="n"/>
      <c r="C313">
        <f>IF(A313="","",SUMPRODUCT((المبيعات!$C$2:$C$2000=A313)*(المبيعات!$B$2:$B$2000&lt;&gt;"")/COUNTIFS(المبيعات!$B$2:$B$2000,المبيعات!$B$2:$B$2000&amp;"",المبيعات!$C$2:$C$2000,المبيعات!$C$2:$C$2000&amp;"")))</f>
        <v/>
      </c>
      <c r="D313">
        <f>IF(A313="","",SUMIFS(المبيعات!$H$2:$H$2000,المبيعات!$C$2:$C$2000,A313))</f>
        <v/>
      </c>
      <c r="E313" s="13">
        <f>IF(A313="","",IF(COUNTIF(المبيعات!$C$2:$C$2000,A313)=0,"",_xlfn.MAXIFS(المبيعات!$A$2:$A$2000,المبيعات!$C$2:$C$2000,A313)))</f>
        <v/>
      </c>
      <c r="F313">
        <f>IF(A313="","",SUMIFS(المبيعات!$H$2:$H$2000,المبيعات!$C$2:$C$2000,A313,المبيعات!$J$2:$J$2000,"آجل"))</f>
        <v/>
      </c>
      <c r="G313" s="4" t="n"/>
      <c r="H313">
        <f>IF(A313="","",F313-G313)</f>
        <v/>
      </c>
    </row>
    <row r="314">
      <c r="A314" s="4" t="n"/>
      <c r="B314" s="4" t="n"/>
      <c r="C314">
        <f>IF(A314="","",SUMPRODUCT((المبيعات!$C$2:$C$2000=A314)*(المبيعات!$B$2:$B$2000&lt;&gt;"")/COUNTIFS(المبيعات!$B$2:$B$2000,المبيعات!$B$2:$B$2000&amp;"",المبيعات!$C$2:$C$2000,المبيعات!$C$2:$C$2000&amp;"")))</f>
        <v/>
      </c>
      <c r="D314">
        <f>IF(A314="","",SUMIFS(المبيعات!$H$2:$H$2000,المبيعات!$C$2:$C$2000,A314))</f>
        <v/>
      </c>
      <c r="E314" s="13">
        <f>IF(A314="","",IF(COUNTIF(المبيعات!$C$2:$C$2000,A314)=0,"",_xlfn.MAXIFS(المبيعات!$A$2:$A$2000,المبيعات!$C$2:$C$2000,A314)))</f>
        <v/>
      </c>
      <c r="F314">
        <f>IF(A314="","",SUMIFS(المبيعات!$H$2:$H$2000,المبيعات!$C$2:$C$2000,A314,المبيعات!$J$2:$J$2000,"آجل"))</f>
        <v/>
      </c>
      <c r="G314" s="4" t="n"/>
      <c r="H314">
        <f>IF(A314="","",F314-G314)</f>
        <v/>
      </c>
    </row>
    <row r="315">
      <c r="A315" s="4" t="n"/>
      <c r="B315" s="4" t="n"/>
      <c r="C315">
        <f>IF(A315="","",SUMPRODUCT((المبيعات!$C$2:$C$2000=A315)*(المبيعات!$B$2:$B$2000&lt;&gt;"")/COUNTIFS(المبيعات!$B$2:$B$2000,المبيعات!$B$2:$B$2000&amp;"",المبيعات!$C$2:$C$2000,المبيعات!$C$2:$C$2000&amp;"")))</f>
        <v/>
      </c>
      <c r="D315">
        <f>IF(A315="","",SUMIFS(المبيعات!$H$2:$H$2000,المبيعات!$C$2:$C$2000,A315))</f>
        <v/>
      </c>
      <c r="E315" s="13">
        <f>IF(A315="","",IF(COUNTIF(المبيعات!$C$2:$C$2000,A315)=0,"",_xlfn.MAXIFS(المبيعات!$A$2:$A$2000,المبيعات!$C$2:$C$2000,A315)))</f>
        <v/>
      </c>
      <c r="F315">
        <f>IF(A315="","",SUMIFS(المبيعات!$H$2:$H$2000,المبيعات!$C$2:$C$2000,A315,المبيعات!$J$2:$J$2000,"آجل"))</f>
        <v/>
      </c>
      <c r="G315" s="4" t="n"/>
      <c r="H315">
        <f>IF(A315="","",F315-G315)</f>
        <v/>
      </c>
    </row>
    <row r="316">
      <c r="A316" s="4" t="n"/>
      <c r="B316" s="4" t="n"/>
      <c r="C316">
        <f>IF(A316="","",SUMPRODUCT((المبيعات!$C$2:$C$2000=A316)*(المبيعات!$B$2:$B$2000&lt;&gt;"")/COUNTIFS(المبيعات!$B$2:$B$2000,المبيعات!$B$2:$B$2000&amp;"",المبيعات!$C$2:$C$2000,المبيعات!$C$2:$C$2000&amp;"")))</f>
        <v/>
      </c>
      <c r="D316">
        <f>IF(A316="","",SUMIFS(المبيعات!$H$2:$H$2000,المبيعات!$C$2:$C$2000,A316))</f>
        <v/>
      </c>
      <c r="E316" s="13">
        <f>IF(A316="","",IF(COUNTIF(المبيعات!$C$2:$C$2000,A316)=0,"",_xlfn.MAXIFS(المبيعات!$A$2:$A$2000,المبيعات!$C$2:$C$2000,A316)))</f>
        <v/>
      </c>
      <c r="F316">
        <f>IF(A316="","",SUMIFS(المبيعات!$H$2:$H$2000,المبيعات!$C$2:$C$2000,A316,المبيعات!$J$2:$J$2000,"آجل"))</f>
        <v/>
      </c>
      <c r="G316" s="4" t="n"/>
      <c r="H316">
        <f>IF(A316="","",F316-G316)</f>
        <v/>
      </c>
    </row>
    <row r="317">
      <c r="A317" s="4" t="n"/>
      <c r="B317" s="4" t="n"/>
      <c r="C317">
        <f>IF(A317="","",SUMPRODUCT((المبيعات!$C$2:$C$2000=A317)*(المبيعات!$B$2:$B$2000&lt;&gt;"")/COUNTIFS(المبيعات!$B$2:$B$2000,المبيعات!$B$2:$B$2000&amp;"",المبيعات!$C$2:$C$2000,المبيعات!$C$2:$C$2000&amp;"")))</f>
        <v/>
      </c>
      <c r="D317">
        <f>IF(A317="","",SUMIFS(المبيعات!$H$2:$H$2000,المبيعات!$C$2:$C$2000,A317))</f>
        <v/>
      </c>
      <c r="E317" s="13">
        <f>IF(A317="","",IF(COUNTIF(المبيعات!$C$2:$C$2000,A317)=0,"",_xlfn.MAXIFS(المبيعات!$A$2:$A$2000,المبيعات!$C$2:$C$2000,A317)))</f>
        <v/>
      </c>
      <c r="F317">
        <f>IF(A317="","",SUMIFS(المبيعات!$H$2:$H$2000,المبيعات!$C$2:$C$2000,A317,المبيعات!$J$2:$J$2000,"آجل"))</f>
        <v/>
      </c>
      <c r="G317" s="4" t="n"/>
      <c r="H317">
        <f>IF(A317="","",F317-G317)</f>
        <v/>
      </c>
    </row>
    <row r="318">
      <c r="A318" s="4" t="n"/>
      <c r="B318" s="4" t="n"/>
      <c r="C318">
        <f>IF(A318="","",SUMPRODUCT((المبيعات!$C$2:$C$2000=A318)*(المبيعات!$B$2:$B$2000&lt;&gt;"")/COUNTIFS(المبيعات!$B$2:$B$2000,المبيعات!$B$2:$B$2000&amp;"",المبيعات!$C$2:$C$2000,المبيعات!$C$2:$C$2000&amp;"")))</f>
        <v/>
      </c>
      <c r="D318">
        <f>IF(A318="","",SUMIFS(المبيعات!$H$2:$H$2000,المبيعات!$C$2:$C$2000,A318))</f>
        <v/>
      </c>
      <c r="E318" s="13">
        <f>IF(A318="","",IF(COUNTIF(المبيعات!$C$2:$C$2000,A318)=0,"",_xlfn.MAXIFS(المبيعات!$A$2:$A$2000,المبيعات!$C$2:$C$2000,A318)))</f>
        <v/>
      </c>
      <c r="F318">
        <f>IF(A318="","",SUMIFS(المبيعات!$H$2:$H$2000,المبيعات!$C$2:$C$2000,A318,المبيعات!$J$2:$J$2000,"آجل"))</f>
        <v/>
      </c>
      <c r="G318" s="4" t="n"/>
      <c r="H318">
        <f>IF(A318="","",F318-G318)</f>
        <v/>
      </c>
    </row>
    <row r="319">
      <c r="A319" s="4" t="n"/>
      <c r="B319" s="4" t="n"/>
      <c r="C319">
        <f>IF(A319="","",SUMPRODUCT((المبيعات!$C$2:$C$2000=A319)*(المبيعات!$B$2:$B$2000&lt;&gt;"")/COUNTIFS(المبيعات!$B$2:$B$2000,المبيعات!$B$2:$B$2000&amp;"",المبيعات!$C$2:$C$2000,المبيعات!$C$2:$C$2000&amp;"")))</f>
        <v/>
      </c>
      <c r="D319">
        <f>IF(A319="","",SUMIFS(المبيعات!$H$2:$H$2000,المبيعات!$C$2:$C$2000,A319))</f>
        <v/>
      </c>
      <c r="E319" s="13">
        <f>IF(A319="","",IF(COUNTIF(المبيعات!$C$2:$C$2000,A319)=0,"",_xlfn.MAXIFS(المبيعات!$A$2:$A$2000,المبيعات!$C$2:$C$2000,A319)))</f>
        <v/>
      </c>
      <c r="F319">
        <f>IF(A319="","",SUMIFS(المبيعات!$H$2:$H$2000,المبيعات!$C$2:$C$2000,A319,المبيعات!$J$2:$J$2000,"آجل"))</f>
        <v/>
      </c>
      <c r="G319" s="4" t="n"/>
      <c r="H319">
        <f>IF(A319="","",F319-G319)</f>
        <v/>
      </c>
    </row>
    <row r="320">
      <c r="A320" s="4" t="n"/>
      <c r="B320" s="4" t="n"/>
      <c r="C320">
        <f>IF(A320="","",SUMPRODUCT((المبيعات!$C$2:$C$2000=A320)*(المبيعات!$B$2:$B$2000&lt;&gt;"")/COUNTIFS(المبيعات!$B$2:$B$2000,المبيعات!$B$2:$B$2000&amp;"",المبيعات!$C$2:$C$2000,المبيعات!$C$2:$C$2000&amp;"")))</f>
        <v/>
      </c>
      <c r="D320">
        <f>IF(A320="","",SUMIFS(المبيعات!$H$2:$H$2000,المبيعات!$C$2:$C$2000,A320))</f>
        <v/>
      </c>
      <c r="E320" s="13">
        <f>IF(A320="","",IF(COUNTIF(المبيعات!$C$2:$C$2000,A320)=0,"",_xlfn.MAXIFS(المبيعات!$A$2:$A$2000,المبيعات!$C$2:$C$2000,A320)))</f>
        <v/>
      </c>
      <c r="F320">
        <f>IF(A320="","",SUMIFS(المبيعات!$H$2:$H$2000,المبيعات!$C$2:$C$2000,A320,المبيعات!$J$2:$J$2000,"آجل"))</f>
        <v/>
      </c>
      <c r="G320" s="4" t="n"/>
      <c r="H320">
        <f>IF(A320="","",F320-G320)</f>
        <v/>
      </c>
    </row>
    <row r="321">
      <c r="A321" s="4" t="n"/>
      <c r="B321" s="4" t="n"/>
      <c r="C321">
        <f>IF(A321="","",SUMPRODUCT((المبيعات!$C$2:$C$2000=A321)*(المبيعات!$B$2:$B$2000&lt;&gt;"")/COUNTIFS(المبيعات!$B$2:$B$2000,المبيعات!$B$2:$B$2000&amp;"",المبيعات!$C$2:$C$2000,المبيعات!$C$2:$C$2000&amp;"")))</f>
        <v/>
      </c>
      <c r="D321">
        <f>IF(A321="","",SUMIFS(المبيعات!$H$2:$H$2000,المبيعات!$C$2:$C$2000,A321))</f>
        <v/>
      </c>
      <c r="E321" s="13">
        <f>IF(A321="","",IF(COUNTIF(المبيعات!$C$2:$C$2000,A321)=0,"",_xlfn.MAXIFS(المبيعات!$A$2:$A$2000,المبيعات!$C$2:$C$2000,A321)))</f>
        <v/>
      </c>
      <c r="F321">
        <f>IF(A321="","",SUMIFS(المبيعات!$H$2:$H$2000,المبيعات!$C$2:$C$2000,A321,المبيعات!$J$2:$J$2000,"آجل"))</f>
        <v/>
      </c>
      <c r="G321" s="4" t="n"/>
      <c r="H321">
        <f>IF(A321="","",F321-G321)</f>
        <v/>
      </c>
    </row>
    <row r="322">
      <c r="A322" s="4" t="n"/>
      <c r="B322" s="4" t="n"/>
      <c r="C322">
        <f>IF(A322="","",SUMPRODUCT((المبيعات!$C$2:$C$2000=A322)*(المبيعات!$B$2:$B$2000&lt;&gt;"")/COUNTIFS(المبيعات!$B$2:$B$2000,المبيعات!$B$2:$B$2000&amp;"",المبيعات!$C$2:$C$2000,المبيعات!$C$2:$C$2000&amp;"")))</f>
        <v/>
      </c>
      <c r="D322">
        <f>IF(A322="","",SUMIFS(المبيعات!$H$2:$H$2000,المبيعات!$C$2:$C$2000,A322))</f>
        <v/>
      </c>
      <c r="E322" s="13">
        <f>IF(A322="","",IF(COUNTIF(المبيعات!$C$2:$C$2000,A322)=0,"",_xlfn.MAXIFS(المبيعات!$A$2:$A$2000,المبيعات!$C$2:$C$2000,A322)))</f>
        <v/>
      </c>
      <c r="F322">
        <f>IF(A322="","",SUMIFS(المبيعات!$H$2:$H$2000,المبيعات!$C$2:$C$2000,A322,المبيعات!$J$2:$J$2000,"آجل"))</f>
        <v/>
      </c>
      <c r="G322" s="4" t="n"/>
      <c r="H322">
        <f>IF(A322="","",F322-G322)</f>
        <v/>
      </c>
    </row>
    <row r="323">
      <c r="A323" s="4" t="n"/>
      <c r="B323" s="4" t="n"/>
      <c r="C323">
        <f>IF(A323="","",SUMPRODUCT((المبيعات!$C$2:$C$2000=A323)*(المبيعات!$B$2:$B$2000&lt;&gt;"")/COUNTIFS(المبيعات!$B$2:$B$2000,المبيعات!$B$2:$B$2000&amp;"",المبيعات!$C$2:$C$2000,المبيعات!$C$2:$C$2000&amp;"")))</f>
        <v/>
      </c>
      <c r="D323">
        <f>IF(A323="","",SUMIFS(المبيعات!$H$2:$H$2000,المبيعات!$C$2:$C$2000,A323))</f>
        <v/>
      </c>
      <c r="E323" s="13">
        <f>IF(A323="","",IF(COUNTIF(المبيعات!$C$2:$C$2000,A323)=0,"",_xlfn.MAXIFS(المبيعات!$A$2:$A$2000,المبيعات!$C$2:$C$2000,A323)))</f>
        <v/>
      </c>
      <c r="F323">
        <f>IF(A323="","",SUMIFS(المبيعات!$H$2:$H$2000,المبيعات!$C$2:$C$2000,A323,المبيعات!$J$2:$J$2000,"آجل"))</f>
        <v/>
      </c>
      <c r="G323" s="4" t="n"/>
      <c r="H323">
        <f>IF(A323="","",F323-G323)</f>
        <v/>
      </c>
    </row>
    <row r="324">
      <c r="A324" s="4" t="n"/>
      <c r="B324" s="4" t="n"/>
      <c r="C324">
        <f>IF(A324="","",SUMPRODUCT((المبيعات!$C$2:$C$2000=A324)*(المبيعات!$B$2:$B$2000&lt;&gt;"")/COUNTIFS(المبيعات!$B$2:$B$2000,المبيعات!$B$2:$B$2000&amp;"",المبيعات!$C$2:$C$2000,المبيعات!$C$2:$C$2000&amp;"")))</f>
        <v/>
      </c>
      <c r="D324">
        <f>IF(A324="","",SUMIFS(المبيعات!$H$2:$H$2000,المبيعات!$C$2:$C$2000,A324))</f>
        <v/>
      </c>
      <c r="E324" s="13">
        <f>IF(A324="","",IF(COUNTIF(المبيعات!$C$2:$C$2000,A324)=0,"",_xlfn.MAXIFS(المبيعات!$A$2:$A$2000,المبيعات!$C$2:$C$2000,A324)))</f>
        <v/>
      </c>
      <c r="F324">
        <f>IF(A324="","",SUMIFS(المبيعات!$H$2:$H$2000,المبيعات!$C$2:$C$2000,A324,المبيعات!$J$2:$J$2000,"آجل"))</f>
        <v/>
      </c>
      <c r="G324" s="4" t="n"/>
      <c r="H324">
        <f>IF(A324="","",F324-G324)</f>
        <v/>
      </c>
    </row>
    <row r="325">
      <c r="A325" s="4" t="n"/>
      <c r="B325" s="4" t="n"/>
      <c r="C325">
        <f>IF(A325="","",SUMPRODUCT((المبيعات!$C$2:$C$2000=A325)*(المبيعات!$B$2:$B$2000&lt;&gt;"")/COUNTIFS(المبيعات!$B$2:$B$2000,المبيعات!$B$2:$B$2000&amp;"",المبيعات!$C$2:$C$2000,المبيعات!$C$2:$C$2000&amp;"")))</f>
        <v/>
      </c>
      <c r="D325">
        <f>IF(A325="","",SUMIFS(المبيعات!$H$2:$H$2000,المبيعات!$C$2:$C$2000,A325))</f>
        <v/>
      </c>
      <c r="E325" s="13">
        <f>IF(A325="","",IF(COUNTIF(المبيعات!$C$2:$C$2000,A325)=0,"",_xlfn.MAXIFS(المبيعات!$A$2:$A$2000,المبيعات!$C$2:$C$2000,A325)))</f>
        <v/>
      </c>
      <c r="F325">
        <f>IF(A325="","",SUMIFS(المبيعات!$H$2:$H$2000,المبيعات!$C$2:$C$2000,A325,المبيعات!$J$2:$J$2000,"آجل"))</f>
        <v/>
      </c>
      <c r="G325" s="4" t="n"/>
      <c r="H325">
        <f>IF(A325="","",F325-G325)</f>
        <v/>
      </c>
    </row>
    <row r="326">
      <c r="A326" s="4" t="n"/>
      <c r="B326" s="4" t="n"/>
      <c r="C326">
        <f>IF(A326="","",SUMPRODUCT((المبيعات!$C$2:$C$2000=A326)*(المبيعات!$B$2:$B$2000&lt;&gt;"")/COUNTIFS(المبيعات!$B$2:$B$2000,المبيعات!$B$2:$B$2000&amp;"",المبيعات!$C$2:$C$2000,المبيعات!$C$2:$C$2000&amp;"")))</f>
        <v/>
      </c>
      <c r="D326">
        <f>IF(A326="","",SUMIFS(المبيعات!$H$2:$H$2000,المبيعات!$C$2:$C$2000,A326))</f>
        <v/>
      </c>
      <c r="E326" s="13">
        <f>IF(A326="","",IF(COUNTIF(المبيعات!$C$2:$C$2000,A326)=0,"",_xlfn.MAXIFS(المبيعات!$A$2:$A$2000,المبيعات!$C$2:$C$2000,A326)))</f>
        <v/>
      </c>
      <c r="F326">
        <f>IF(A326="","",SUMIFS(المبيعات!$H$2:$H$2000,المبيعات!$C$2:$C$2000,A326,المبيعات!$J$2:$J$2000,"آجل"))</f>
        <v/>
      </c>
      <c r="G326" s="4" t="n"/>
      <c r="H326">
        <f>IF(A326="","",F326-G326)</f>
        <v/>
      </c>
    </row>
    <row r="327">
      <c r="A327" s="4" t="n"/>
      <c r="B327" s="4" t="n"/>
      <c r="C327">
        <f>IF(A327="","",SUMPRODUCT((المبيعات!$C$2:$C$2000=A327)*(المبيعات!$B$2:$B$2000&lt;&gt;"")/COUNTIFS(المبيعات!$B$2:$B$2000,المبيعات!$B$2:$B$2000&amp;"",المبيعات!$C$2:$C$2000,المبيعات!$C$2:$C$2000&amp;"")))</f>
        <v/>
      </c>
      <c r="D327">
        <f>IF(A327="","",SUMIFS(المبيعات!$H$2:$H$2000,المبيعات!$C$2:$C$2000,A327))</f>
        <v/>
      </c>
      <c r="E327" s="13">
        <f>IF(A327="","",IF(COUNTIF(المبيعات!$C$2:$C$2000,A327)=0,"",_xlfn.MAXIFS(المبيعات!$A$2:$A$2000,المبيعات!$C$2:$C$2000,A327)))</f>
        <v/>
      </c>
      <c r="F327">
        <f>IF(A327="","",SUMIFS(المبيعات!$H$2:$H$2000,المبيعات!$C$2:$C$2000,A327,المبيعات!$J$2:$J$2000,"آجل"))</f>
        <v/>
      </c>
      <c r="G327" s="4" t="n"/>
      <c r="H327">
        <f>IF(A327="","",F327-G327)</f>
        <v/>
      </c>
    </row>
    <row r="328">
      <c r="A328" s="4" t="n"/>
      <c r="B328" s="4" t="n"/>
      <c r="C328">
        <f>IF(A328="","",SUMPRODUCT((المبيعات!$C$2:$C$2000=A328)*(المبيعات!$B$2:$B$2000&lt;&gt;"")/COUNTIFS(المبيعات!$B$2:$B$2000,المبيعات!$B$2:$B$2000&amp;"",المبيعات!$C$2:$C$2000,المبيعات!$C$2:$C$2000&amp;"")))</f>
        <v/>
      </c>
      <c r="D328">
        <f>IF(A328="","",SUMIFS(المبيعات!$H$2:$H$2000,المبيعات!$C$2:$C$2000,A328))</f>
        <v/>
      </c>
      <c r="E328" s="13">
        <f>IF(A328="","",IF(COUNTIF(المبيعات!$C$2:$C$2000,A328)=0,"",_xlfn.MAXIFS(المبيعات!$A$2:$A$2000,المبيعات!$C$2:$C$2000,A328)))</f>
        <v/>
      </c>
      <c r="F328">
        <f>IF(A328="","",SUMIFS(المبيعات!$H$2:$H$2000,المبيعات!$C$2:$C$2000,A328,المبيعات!$J$2:$J$2000,"آجل"))</f>
        <v/>
      </c>
      <c r="G328" s="4" t="n"/>
      <c r="H328">
        <f>IF(A328="","",F328-G328)</f>
        <v/>
      </c>
    </row>
    <row r="329">
      <c r="A329" s="4" t="n"/>
      <c r="B329" s="4" t="n"/>
      <c r="C329">
        <f>IF(A329="","",SUMPRODUCT((المبيعات!$C$2:$C$2000=A329)*(المبيعات!$B$2:$B$2000&lt;&gt;"")/COUNTIFS(المبيعات!$B$2:$B$2000,المبيعات!$B$2:$B$2000&amp;"",المبيعات!$C$2:$C$2000,المبيعات!$C$2:$C$2000&amp;"")))</f>
        <v/>
      </c>
      <c r="D329">
        <f>IF(A329="","",SUMIFS(المبيعات!$H$2:$H$2000,المبيعات!$C$2:$C$2000,A329))</f>
        <v/>
      </c>
      <c r="E329" s="13">
        <f>IF(A329="","",IF(COUNTIF(المبيعات!$C$2:$C$2000,A329)=0,"",_xlfn.MAXIFS(المبيعات!$A$2:$A$2000,المبيعات!$C$2:$C$2000,A329)))</f>
        <v/>
      </c>
      <c r="F329">
        <f>IF(A329="","",SUMIFS(المبيعات!$H$2:$H$2000,المبيعات!$C$2:$C$2000,A329,المبيعات!$J$2:$J$2000,"آجل"))</f>
        <v/>
      </c>
      <c r="G329" s="4" t="n"/>
      <c r="H329">
        <f>IF(A329="","",F329-G329)</f>
        <v/>
      </c>
    </row>
    <row r="330">
      <c r="A330" s="4" t="n"/>
      <c r="B330" s="4" t="n"/>
      <c r="C330">
        <f>IF(A330="","",SUMPRODUCT((المبيعات!$C$2:$C$2000=A330)*(المبيعات!$B$2:$B$2000&lt;&gt;"")/COUNTIFS(المبيعات!$B$2:$B$2000,المبيعات!$B$2:$B$2000&amp;"",المبيعات!$C$2:$C$2000,المبيعات!$C$2:$C$2000&amp;"")))</f>
        <v/>
      </c>
      <c r="D330">
        <f>IF(A330="","",SUMIFS(المبيعات!$H$2:$H$2000,المبيعات!$C$2:$C$2000,A330))</f>
        <v/>
      </c>
      <c r="E330" s="13">
        <f>IF(A330="","",IF(COUNTIF(المبيعات!$C$2:$C$2000,A330)=0,"",_xlfn.MAXIFS(المبيعات!$A$2:$A$2000,المبيعات!$C$2:$C$2000,A330)))</f>
        <v/>
      </c>
      <c r="F330">
        <f>IF(A330="","",SUMIFS(المبيعات!$H$2:$H$2000,المبيعات!$C$2:$C$2000,A330,المبيعات!$J$2:$J$2000,"آجل"))</f>
        <v/>
      </c>
      <c r="G330" s="4" t="n"/>
      <c r="H330">
        <f>IF(A330="","",F330-G330)</f>
        <v/>
      </c>
    </row>
    <row r="331">
      <c r="A331" s="4" t="n"/>
      <c r="B331" s="4" t="n"/>
      <c r="C331">
        <f>IF(A331="","",SUMPRODUCT((المبيعات!$C$2:$C$2000=A331)*(المبيعات!$B$2:$B$2000&lt;&gt;"")/COUNTIFS(المبيعات!$B$2:$B$2000,المبيعات!$B$2:$B$2000&amp;"",المبيعات!$C$2:$C$2000,المبيعات!$C$2:$C$2000&amp;"")))</f>
        <v/>
      </c>
      <c r="D331">
        <f>IF(A331="","",SUMIFS(المبيعات!$H$2:$H$2000,المبيعات!$C$2:$C$2000,A331))</f>
        <v/>
      </c>
      <c r="E331" s="13">
        <f>IF(A331="","",IF(COUNTIF(المبيعات!$C$2:$C$2000,A331)=0,"",_xlfn.MAXIFS(المبيعات!$A$2:$A$2000,المبيعات!$C$2:$C$2000,A331)))</f>
        <v/>
      </c>
      <c r="F331">
        <f>IF(A331="","",SUMIFS(المبيعات!$H$2:$H$2000,المبيعات!$C$2:$C$2000,A331,المبيعات!$J$2:$J$2000,"آجل"))</f>
        <v/>
      </c>
      <c r="G331" s="4" t="n"/>
      <c r="H331">
        <f>IF(A331="","",F331-G331)</f>
        <v/>
      </c>
    </row>
    <row r="332">
      <c r="A332" s="4" t="n"/>
      <c r="B332" s="4" t="n"/>
      <c r="C332">
        <f>IF(A332="","",SUMPRODUCT((المبيعات!$C$2:$C$2000=A332)*(المبيعات!$B$2:$B$2000&lt;&gt;"")/COUNTIFS(المبيعات!$B$2:$B$2000,المبيعات!$B$2:$B$2000&amp;"",المبيعات!$C$2:$C$2000,المبيعات!$C$2:$C$2000&amp;"")))</f>
        <v/>
      </c>
      <c r="D332">
        <f>IF(A332="","",SUMIFS(المبيعات!$H$2:$H$2000,المبيعات!$C$2:$C$2000,A332))</f>
        <v/>
      </c>
      <c r="E332" s="13">
        <f>IF(A332="","",IF(COUNTIF(المبيعات!$C$2:$C$2000,A332)=0,"",_xlfn.MAXIFS(المبيعات!$A$2:$A$2000,المبيعات!$C$2:$C$2000,A332)))</f>
        <v/>
      </c>
      <c r="F332">
        <f>IF(A332="","",SUMIFS(المبيعات!$H$2:$H$2000,المبيعات!$C$2:$C$2000,A332,المبيعات!$J$2:$J$2000,"آجل"))</f>
        <v/>
      </c>
      <c r="G332" s="4" t="n"/>
      <c r="H332">
        <f>IF(A332="","",F332-G332)</f>
        <v/>
      </c>
    </row>
    <row r="333">
      <c r="A333" s="4" t="n"/>
      <c r="B333" s="4" t="n"/>
      <c r="C333">
        <f>IF(A333="","",SUMPRODUCT((المبيعات!$C$2:$C$2000=A333)*(المبيعات!$B$2:$B$2000&lt;&gt;"")/COUNTIFS(المبيعات!$B$2:$B$2000,المبيعات!$B$2:$B$2000&amp;"",المبيعات!$C$2:$C$2000,المبيعات!$C$2:$C$2000&amp;"")))</f>
        <v/>
      </c>
      <c r="D333">
        <f>IF(A333="","",SUMIFS(المبيعات!$H$2:$H$2000,المبيعات!$C$2:$C$2000,A333))</f>
        <v/>
      </c>
      <c r="E333" s="13">
        <f>IF(A333="","",IF(COUNTIF(المبيعات!$C$2:$C$2000,A333)=0,"",_xlfn.MAXIFS(المبيعات!$A$2:$A$2000,المبيعات!$C$2:$C$2000,A333)))</f>
        <v/>
      </c>
      <c r="F333">
        <f>IF(A333="","",SUMIFS(المبيعات!$H$2:$H$2000,المبيعات!$C$2:$C$2000,A333,المبيعات!$J$2:$J$2000,"آجل"))</f>
        <v/>
      </c>
      <c r="G333" s="4" t="n"/>
      <c r="H333">
        <f>IF(A333="","",F333-G333)</f>
        <v/>
      </c>
    </row>
    <row r="334">
      <c r="A334" s="4" t="n"/>
      <c r="B334" s="4" t="n"/>
      <c r="C334">
        <f>IF(A334="","",SUMPRODUCT((المبيعات!$C$2:$C$2000=A334)*(المبيعات!$B$2:$B$2000&lt;&gt;"")/COUNTIFS(المبيعات!$B$2:$B$2000,المبيعات!$B$2:$B$2000&amp;"",المبيعات!$C$2:$C$2000,المبيعات!$C$2:$C$2000&amp;"")))</f>
        <v/>
      </c>
      <c r="D334">
        <f>IF(A334="","",SUMIFS(المبيعات!$H$2:$H$2000,المبيعات!$C$2:$C$2000,A334))</f>
        <v/>
      </c>
      <c r="E334" s="13">
        <f>IF(A334="","",IF(COUNTIF(المبيعات!$C$2:$C$2000,A334)=0,"",_xlfn.MAXIFS(المبيعات!$A$2:$A$2000,المبيعات!$C$2:$C$2000,A334)))</f>
        <v/>
      </c>
      <c r="F334">
        <f>IF(A334="","",SUMIFS(المبيعات!$H$2:$H$2000,المبيعات!$C$2:$C$2000,A334,المبيعات!$J$2:$J$2000,"آجل"))</f>
        <v/>
      </c>
      <c r="G334" s="4" t="n"/>
      <c r="H334">
        <f>IF(A334="","",F334-G334)</f>
        <v/>
      </c>
    </row>
    <row r="335">
      <c r="A335" s="4" t="n"/>
      <c r="B335" s="4" t="n"/>
      <c r="C335">
        <f>IF(A335="","",SUMPRODUCT((المبيعات!$C$2:$C$2000=A335)*(المبيعات!$B$2:$B$2000&lt;&gt;"")/COUNTIFS(المبيعات!$B$2:$B$2000,المبيعات!$B$2:$B$2000&amp;"",المبيعات!$C$2:$C$2000,المبيعات!$C$2:$C$2000&amp;"")))</f>
        <v/>
      </c>
      <c r="D335">
        <f>IF(A335="","",SUMIFS(المبيعات!$H$2:$H$2000,المبيعات!$C$2:$C$2000,A335))</f>
        <v/>
      </c>
      <c r="E335" s="13">
        <f>IF(A335="","",IF(COUNTIF(المبيعات!$C$2:$C$2000,A335)=0,"",_xlfn.MAXIFS(المبيعات!$A$2:$A$2000,المبيعات!$C$2:$C$2000,A335)))</f>
        <v/>
      </c>
      <c r="F335">
        <f>IF(A335="","",SUMIFS(المبيعات!$H$2:$H$2000,المبيعات!$C$2:$C$2000,A335,المبيعات!$J$2:$J$2000,"آجل"))</f>
        <v/>
      </c>
      <c r="G335" s="4" t="n"/>
      <c r="H335">
        <f>IF(A335="","",F335-G335)</f>
        <v/>
      </c>
    </row>
    <row r="336">
      <c r="A336" s="4" t="n"/>
      <c r="B336" s="4" t="n"/>
      <c r="C336">
        <f>IF(A336="","",SUMPRODUCT((المبيعات!$C$2:$C$2000=A336)*(المبيعات!$B$2:$B$2000&lt;&gt;"")/COUNTIFS(المبيعات!$B$2:$B$2000,المبيعات!$B$2:$B$2000&amp;"",المبيعات!$C$2:$C$2000,المبيعات!$C$2:$C$2000&amp;"")))</f>
        <v/>
      </c>
      <c r="D336">
        <f>IF(A336="","",SUMIFS(المبيعات!$H$2:$H$2000,المبيعات!$C$2:$C$2000,A336))</f>
        <v/>
      </c>
      <c r="E336" s="13">
        <f>IF(A336="","",IF(COUNTIF(المبيعات!$C$2:$C$2000,A336)=0,"",_xlfn.MAXIFS(المبيعات!$A$2:$A$2000,المبيعات!$C$2:$C$2000,A336)))</f>
        <v/>
      </c>
      <c r="F336">
        <f>IF(A336="","",SUMIFS(المبيعات!$H$2:$H$2000,المبيعات!$C$2:$C$2000,A336,المبيعات!$J$2:$J$2000,"آجل"))</f>
        <v/>
      </c>
      <c r="G336" s="4" t="n"/>
      <c r="H336">
        <f>IF(A336="","",F336-G336)</f>
        <v/>
      </c>
    </row>
    <row r="337">
      <c r="A337" s="4" t="n"/>
      <c r="B337" s="4" t="n"/>
      <c r="C337">
        <f>IF(A337="","",SUMPRODUCT((المبيعات!$C$2:$C$2000=A337)*(المبيعات!$B$2:$B$2000&lt;&gt;"")/COUNTIFS(المبيعات!$B$2:$B$2000,المبيعات!$B$2:$B$2000&amp;"",المبيعات!$C$2:$C$2000,المبيعات!$C$2:$C$2000&amp;"")))</f>
        <v/>
      </c>
      <c r="D337">
        <f>IF(A337="","",SUMIFS(المبيعات!$H$2:$H$2000,المبيعات!$C$2:$C$2000,A337))</f>
        <v/>
      </c>
      <c r="E337" s="13">
        <f>IF(A337="","",IF(COUNTIF(المبيعات!$C$2:$C$2000,A337)=0,"",_xlfn.MAXIFS(المبيعات!$A$2:$A$2000,المبيعات!$C$2:$C$2000,A337)))</f>
        <v/>
      </c>
      <c r="F337">
        <f>IF(A337="","",SUMIFS(المبيعات!$H$2:$H$2000,المبيعات!$C$2:$C$2000,A337,المبيعات!$J$2:$J$2000,"آجل"))</f>
        <v/>
      </c>
      <c r="G337" s="4" t="n"/>
      <c r="H337">
        <f>IF(A337="","",F337-G337)</f>
        <v/>
      </c>
    </row>
    <row r="338">
      <c r="A338" s="4" t="n"/>
      <c r="B338" s="4" t="n"/>
      <c r="C338">
        <f>IF(A338="","",SUMPRODUCT((المبيعات!$C$2:$C$2000=A338)*(المبيعات!$B$2:$B$2000&lt;&gt;"")/COUNTIFS(المبيعات!$B$2:$B$2000,المبيعات!$B$2:$B$2000&amp;"",المبيعات!$C$2:$C$2000,المبيعات!$C$2:$C$2000&amp;"")))</f>
        <v/>
      </c>
      <c r="D338">
        <f>IF(A338="","",SUMIFS(المبيعات!$H$2:$H$2000,المبيعات!$C$2:$C$2000,A338))</f>
        <v/>
      </c>
      <c r="E338" s="13">
        <f>IF(A338="","",IF(COUNTIF(المبيعات!$C$2:$C$2000,A338)=0,"",_xlfn.MAXIFS(المبيعات!$A$2:$A$2000,المبيعات!$C$2:$C$2000,A338)))</f>
        <v/>
      </c>
      <c r="F338">
        <f>IF(A338="","",SUMIFS(المبيعات!$H$2:$H$2000,المبيعات!$C$2:$C$2000,A338,المبيعات!$J$2:$J$2000,"آجل"))</f>
        <v/>
      </c>
      <c r="G338" s="4" t="n"/>
      <c r="H338">
        <f>IF(A338="","",F338-G338)</f>
        <v/>
      </c>
    </row>
    <row r="339">
      <c r="A339" s="4" t="n"/>
      <c r="B339" s="4" t="n"/>
      <c r="C339">
        <f>IF(A339="","",SUMPRODUCT((المبيعات!$C$2:$C$2000=A339)*(المبيعات!$B$2:$B$2000&lt;&gt;"")/COUNTIFS(المبيعات!$B$2:$B$2000,المبيعات!$B$2:$B$2000&amp;"",المبيعات!$C$2:$C$2000,المبيعات!$C$2:$C$2000&amp;"")))</f>
        <v/>
      </c>
      <c r="D339">
        <f>IF(A339="","",SUMIFS(المبيعات!$H$2:$H$2000,المبيعات!$C$2:$C$2000,A339))</f>
        <v/>
      </c>
      <c r="E339" s="13">
        <f>IF(A339="","",IF(COUNTIF(المبيعات!$C$2:$C$2000,A339)=0,"",_xlfn.MAXIFS(المبيعات!$A$2:$A$2000,المبيعات!$C$2:$C$2000,A339)))</f>
        <v/>
      </c>
      <c r="F339">
        <f>IF(A339="","",SUMIFS(المبيعات!$H$2:$H$2000,المبيعات!$C$2:$C$2000,A339,المبيعات!$J$2:$J$2000,"آجل"))</f>
        <v/>
      </c>
      <c r="G339" s="4" t="n"/>
      <c r="H339">
        <f>IF(A339="","",F339-G339)</f>
        <v/>
      </c>
    </row>
    <row r="340">
      <c r="A340" s="4" t="n"/>
      <c r="B340" s="4" t="n"/>
      <c r="C340">
        <f>IF(A340="","",SUMPRODUCT((المبيعات!$C$2:$C$2000=A340)*(المبيعات!$B$2:$B$2000&lt;&gt;"")/COUNTIFS(المبيعات!$B$2:$B$2000,المبيعات!$B$2:$B$2000&amp;"",المبيعات!$C$2:$C$2000,المبيعات!$C$2:$C$2000&amp;"")))</f>
        <v/>
      </c>
      <c r="D340">
        <f>IF(A340="","",SUMIFS(المبيعات!$H$2:$H$2000,المبيعات!$C$2:$C$2000,A340))</f>
        <v/>
      </c>
      <c r="E340" s="13">
        <f>IF(A340="","",IF(COUNTIF(المبيعات!$C$2:$C$2000,A340)=0,"",_xlfn.MAXIFS(المبيعات!$A$2:$A$2000,المبيعات!$C$2:$C$2000,A340)))</f>
        <v/>
      </c>
      <c r="F340">
        <f>IF(A340="","",SUMIFS(المبيعات!$H$2:$H$2000,المبيعات!$C$2:$C$2000,A340,المبيعات!$J$2:$J$2000,"آجل"))</f>
        <v/>
      </c>
      <c r="G340" s="4" t="n"/>
      <c r="H340">
        <f>IF(A340="","",F340-G340)</f>
        <v/>
      </c>
    </row>
    <row r="341">
      <c r="A341" s="4" t="n"/>
      <c r="B341" s="4" t="n"/>
      <c r="C341">
        <f>IF(A341="","",SUMPRODUCT((المبيعات!$C$2:$C$2000=A341)*(المبيعات!$B$2:$B$2000&lt;&gt;"")/COUNTIFS(المبيعات!$B$2:$B$2000,المبيعات!$B$2:$B$2000&amp;"",المبيعات!$C$2:$C$2000,المبيعات!$C$2:$C$2000&amp;"")))</f>
        <v/>
      </c>
      <c r="D341">
        <f>IF(A341="","",SUMIFS(المبيعات!$H$2:$H$2000,المبيعات!$C$2:$C$2000,A341))</f>
        <v/>
      </c>
      <c r="E341" s="13">
        <f>IF(A341="","",IF(COUNTIF(المبيعات!$C$2:$C$2000,A341)=0,"",_xlfn.MAXIFS(المبيعات!$A$2:$A$2000,المبيعات!$C$2:$C$2000,A341)))</f>
        <v/>
      </c>
      <c r="F341">
        <f>IF(A341="","",SUMIFS(المبيعات!$H$2:$H$2000,المبيعات!$C$2:$C$2000,A341,المبيعات!$J$2:$J$2000,"آجل"))</f>
        <v/>
      </c>
      <c r="G341" s="4" t="n"/>
      <c r="H341">
        <f>IF(A341="","",F341-G341)</f>
        <v/>
      </c>
    </row>
    <row r="342">
      <c r="A342" s="4" t="n"/>
      <c r="B342" s="4" t="n"/>
      <c r="C342">
        <f>IF(A342="","",SUMPRODUCT((المبيعات!$C$2:$C$2000=A342)*(المبيعات!$B$2:$B$2000&lt;&gt;"")/COUNTIFS(المبيعات!$B$2:$B$2000,المبيعات!$B$2:$B$2000&amp;"",المبيعات!$C$2:$C$2000,المبيعات!$C$2:$C$2000&amp;"")))</f>
        <v/>
      </c>
      <c r="D342">
        <f>IF(A342="","",SUMIFS(المبيعات!$H$2:$H$2000,المبيعات!$C$2:$C$2000,A342))</f>
        <v/>
      </c>
      <c r="E342" s="13">
        <f>IF(A342="","",IF(COUNTIF(المبيعات!$C$2:$C$2000,A342)=0,"",_xlfn.MAXIFS(المبيعات!$A$2:$A$2000,المبيعات!$C$2:$C$2000,A342)))</f>
        <v/>
      </c>
      <c r="F342">
        <f>IF(A342="","",SUMIFS(المبيعات!$H$2:$H$2000,المبيعات!$C$2:$C$2000,A342,المبيعات!$J$2:$J$2000,"آجل"))</f>
        <v/>
      </c>
      <c r="G342" s="4" t="n"/>
      <c r="H342">
        <f>IF(A342="","",F342-G342)</f>
        <v/>
      </c>
    </row>
    <row r="343">
      <c r="A343" s="4" t="n"/>
      <c r="B343" s="4" t="n"/>
      <c r="C343">
        <f>IF(A343="","",SUMPRODUCT((المبيعات!$C$2:$C$2000=A343)*(المبيعات!$B$2:$B$2000&lt;&gt;"")/COUNTIFS(المبيعات!$B$2:$B$2000,المبيعات!$B$2:$B$2000&amp;"",المبيعات!$C$2:$C$2000,المبيعات!$C$2:$C$2000&amp;"")))</f>
        <v/>
      </c>
      <c r="D343">
        <f>IF(A343="","",SUMIFS(المبيعات!$H$2:$H$2000,المبيعات!$C$2:$C$2000,A343))</f>
        <v/>
      </c>
      <c r="E343" s="13">
        <f>IF(A343="","",IF(COUNTIF(المبيعات!$C$2:$C$2000,A343)=0,"",_xlfn.MAXIFS(المبيعات!$A$2:$A$2000,المبيعات!$C$2:$C$2000,A343)))</f>
        <v/>
      </c>
      <c r="F343">
        <f>IF(A343="","",SUMIFS(المبيعات!$H$2:$H$2000,المبيعات!$C$2:$C$2000,A343,المبيعات!$J$2:$J$2000,"آجل"))</f>
        <v/>
      </c>
      <c r="G343" s="4" t="n"/>
      <c r="H343">
        <f>IF(A343="","",F343-G343)</f>
        <v/>
      </c>
    </row>
    <row r="344">
      <c r="A344" s="4" t="n"/>
      <c r="B344" s="4" t="n"/>
      <c r="C344">
        <f>IF(A344="","",SUMPRODUCT((المبيعات!$C$2:$C$2000=A344)*(المبيعات!$B$2:$B$2000&lt;&gt;"")/COUNTIFS(المبيعات!$B$2:$B$2000,المبيعات!$B$2:$B$2000&amp;"",المبيعات!$C$2:$C$2000,المبيعات!$C$2:$C$2000&amp;"")))</f>
        <v/>
      </c>
      <c r="D344">
        <f>IF(A344="","",SUMIFS(المبيعات!$H$2:$H$2000,المبيعات!$C$2:$C$2000,A344))</f>
        <v/>
      </c>
      <c r="E344" s="13">
        <f>IF(A344="","",IF(COUNTIF(المبيعات!$C$2:$C$2000,A344)=0,"",_xlfn.MAXIFS(المبيعات!$A$2:$A$2000,المبيعات!$C$2:$C$2000,A344)))</f>
        <v/>
      </c>
      <c r="F344">
        <f>IF(A344="","",SUMIFS(المبيعات!$H$2:$H$2000,المبيعات!$C$2:$C$2000,A344,المبيعات!$J$2:$J$2000,"آجل"))</f>
        <v/>
      </c>
      <c r="G344" s="4" t="n"/>
      <c r="H344">
        <f>IF(A344="","",F344-G344)</f>
        <v/>
      </c>
    </row>
    <row r="345">
      <c r="A345" s="4" t="n"/>
      <c r="B345" s="4" t="n"/>
      <c r="C345">
        <f>IF(A345="","",SUMPRODUCT((المبيعات!$C$2:$C$2000=A345)*(المبيعات!$B$2:$B$2000&lt;&gt;"")/COUNTIFS(المبيعات!$B$2:$B$2000,المبيعات!$B$2:$B$2000&amp;"",المبيعات!$C$2:$C$2000,المبيعات!$C$2:$C$2000&amp;"")))</f>
        <v/>
      </c>
      <c r="D345">
        <f>IF(A345="","",SUMIFS(المبيعات!$H$2:$H$2000,المبيعات!$C$2:$C$2000,A345))</f>
        <v/>
      </c>
      <c r="E345" s="13">
        <f>IF(A345="","",IF(COUNTIF(المبيعات!$C$2:$C$2000,A345)=0,"",_xlfn.MAXIFS(المبيعات!$A$2:$A$2000,المبيعات!$C$2:$C$2000,A345)))</f>
        <v/>
      </c>
      <c r="F345">
        <f>IF(A345="","",SUMIFS(المبيعات!$H$2:$H$2000,المبيعات!$C$2:$C$2000,A345,المبيعات!$J$2:$J$2000,"آجل"))</f>
        <v/>
      </c>
      <c r="G345" s="4" t="n"/>
      <c r="H345">
        <f>IF(A345="","",F345-G345)</f>
        <v/>
      </c>
    </row>
    <row r="346">
      <c r="A346" s="4" t="n"/>
      <c r="B346" s="4" t="n"/>
      <c r="C346">
        <f>IF(A346="","",SUMPRODUCT((المبيعات!$C$2:$C$2000=A346)*(المبيعات!$B$2:$B$2000&lt;&gt;"")/COUNTIFS(المبيعات!$B$2:$B$2000,المبيعات!$B$2:$B$2000&amp;"",المبيعات!$C$2:$C$2000,المبيعات!$C$2:$C$2000&amp;"")))</f>
        <v/>
      </c>
      <c r="D346">
        <f>IF(A346="","",SUMIFS(المبيعات!$H$2:$H$2000,المبيعات!$C$2:$C$2000,A346))</f>
        <v/>
      </c>
      <c r="E346" s="13">
        <f>IF(A346="","",IF(COUNTIF(المبيعات!$C$2:$C$2000,A346)=0,"",_xlfn.MAXIFS(المبيعات!$A$2:$A$2000,المبيعات!$C$2:$C$2000,A346)))</f>
        <v/>
      </c>
      <c r="F346">
        <f>IF(A346="","",SUMIFS(المبيعات!$H$2:$H$2000,المبيعات!$C$2:$C$2000,A346,المبيعات!$J$2:$J$2000,"آجل"))</f>
        <v/>
      </c>
      <c r="G346" s="4" t="n"/>
      <c r="H346">
        <f>IF(A346="","",F346-G346)</f>
        <v/>
      </c>
    </row>
    <row r="347">
      <c r="A347" s="4" t="n"/>
      <c r="B347" s="4" t="n"/>
      <c r="C347">
        <f>IF(A347="","",SUMPRODUCT((المبيعات!$C$2:$C$2000=A347)*(المبيعات!$B$2:$B$2000&lt;&gt;"")/COUNTIFS(المبيعات!$B$2:$B$2000,المبيعات!$B$2:$B$2000&amp;"",المبيعات!$C$2:$C$2000,المبيعات!$C$2:$C$2000&amp;"")))</f>
        <v/>
      </c>
      <c r="D347">
        <f>IF(A347="","",SUMIFS(المبيعات!$H$2:$H$2000,المبيعات!$C$2:$C$2000,A347))</f>
        <v/>
      </c>
      <c r="E347" s="13">
        <f>IF(A347="","",IF(COUNTIF(المبيعات!$C$2:$C$2000,A347)=0,"",_xlfn.MAXIFS(المبيعات!$A$2:$A$2000,المبيعات!$C$2:$C$2000,A347)))</f>
        <v/>
      </c>
      <c r="F347">
        <f>IF(A347="","",SUMIFS(المبيعات!$H$2:$H$2000,المبيعات!$C$2:$C$2000,A347,المبيعات!$J$2:$J$2000,"آجل"))</f>
        <v/>
      </c>
      <c r="G347" s="4" t="n"/>
      <c r="H347">
        <f>IF(A347="","",F347-G347)</f>
        <v/>
      </c>
    </row>
    <row r="348">
      <c r="A348" s="4" t="n"/>
      <c r="B348" s="4" t="n"/>
      <c r="C348">
        <f>IF(A348="","",SUMPRODUCT((المبيعات!$C$2:$C$2000=A348)*(المبيعات!$B$2:$B$2000&lt;&gt;"")/COUNTIFS(المبيعات!$B$2:$B$2000,المبيعات!$B$2:$B$2000&amp;"",المبيعات!$C$2:$C$2000,المبيعات!$C$2:$C$2000&amp;"")))</f>
        <v/>
      </c>
      <c r="D348">
        <f>IF(A348="","",SUMIFS(المبيعات!$H$2:$H$2000,المبيعات!$C$2:$C$2000,A348))</f>
        <v/>
      </c>
      <c r="E348" s="13">
        <f>IF(A348="","",IF(COUNTIF(المبيعات!$C$2:$C$2000,A348)=0,"",_xlfn.MAXIFS(المبيعات!$A$2:$A$2000,المبيعات!$C$2:$C$2000,A348)))</f>
        <v/>
      </c>
      <c r="F348">
        <f>IF(A348="","",SUMIFS(المبيعات!$H$2:$H$2000,المبيعات!$C$2:$C$2000,A348,المبيعات!$J$2:$J$2000,"آجل"))</f>
        <v/>
      </c>
      <c r="G348" s="4" t="n"/>
      <c r="H348">
        <f>IF(A348="","",F348-G348)</f>
        <v/>
      </c>
    </row>
    <row r="349">
      <c r="A349" s="4" t="n"/>
      <c r="B349" s="4" t="n"/>
      <c r="C349">
        <f>IF(A349="","",SUMPRODUCT((المبيعات!$C$2:$C$2000=A349)*(المبيعات!$B$2:$B$2000&lt;&gt;"")/COUNTIFS(المبيعات!$B$2:$B$2000,المبيعات!$B$2:$B$2000&amp;"",المبيعات!$C$2:$C$2000,المبيعات!$C$2:$C$2000&amp;"")))</f>
        <v/>
      </c>
      <c r="D349">
        <f>IF(A349="","",SUMIFS(المبيعات!$H$2:$H$2000,المبيعات!$C$2:$C$2000,A349))</f>
        <v/>
      </c>
      <c r="E349" s="13">
        <f>IF(A349="","",IF(COUNTIF(المبيعات!$C$2:$C$2000,A349)=0,"",_xlfn.MAXIFS(المبيعات!$A$2:$A$2000,المبيعات!$C$2:$C$2000,A349)))</f>
        <v/>
      </c>
      <c r="F349">
        <f>IF(A349="","",SUMIFS(المبيعات!$H$2:$H$2000,المبيعات!$C$2:$C$2000,A349,المبيعات!$J$2:$J$2000,"آجل"))</f>
        <v/>
      </c>
      <c r="G349" s="4" t="n"/>
      <c r="H349">
        <f>IF(A349="","",F349-G349)</f>
        <v/>
      </c>
    </row>
    <row r="350">
      <c r="A350" s="4" t="n"/>
      <c r="B350" s="4" t="n"/>
      <c r="C350">
        <f>IF(A350="","",SUMPRODUCT((المبيعات!$C$2:$C$2000=A350)*(المبيعات!$B$2:$B$2000&lt;&gt;"")/COUNTIFS(المبيعات!$B$2:$B$2000,المبيعات!$B$2:$B$2000&amp;"",المبيعات!$C$2:$C$2000,المبيعات!$C$2:$C$2000&amp;"")))</f>
        <v/>
      </c>
      <c r="D350">
        <f>IF(A350="","",SUMIFS(المبيعات!$H$2:$H$2000,المبيعات!$C$2:$C$2000,A350))</f>
        <v/>
      </c>
      <c r="E350" s="13">
        <f>IF(A350="","",IF(COUNTIF(المبيعات!$C$2:$C$2000,A350)=0,"",_xlfn.MAXIFS(المبيعات!$A$2:$A$2000,المبيعات!$C$2:$C$2000,A350)))</f>
        <v/>
      </c>
      <c r="F350">
        <f>IF(A350="","",SUMIFS(المبيعات!$H$2:$H$2000,المبيعات!$C$2:$C$2000,A350,المبيعات!$J$2:$J$2000,"آجل"))</f>
        <v/>
      </c>
      <c r="G350" s="4" t="n"/>
      <c r="H350">
        <f>IF(A350="","",F350-G350)</f>
        <v/>
      </c>
    </row>
    <row r="351">
      <c r="A351" s="4" t="n"/>
      <c r="B351" s="4" t="n"/>
      <c r="C351">
        <f>IF(A351="","",SUMPRODUCT((المبيعات!$C$2:$C$2000=A351)*(المبيعات!$B$2:$B$2000&lt;&gt;"")/COUNTIFS(المبيعات!$B$2:$B$2000,المبيعات!$B$2:$B$2000&amp;"",المبيعات!$C$2:$C$2000,المبيعات!$C$2:$C$2000&amp;"")))</f>
        <v/>
      </c>
      <c r="D351">
        <f>IF(A351="","",SUMIFS(المبيعات!$H$2:$H$2000,المبيعات!$C$2:$C$2000,A351))</f>
        <v/>
      </c>
      <c r="E351" s="13">
        <f>IF(A351="","",IF(COUNTIF(المبيعات!$C$2:$C$2000,A351)=0,"",_xlfn.MAXIFS(المبيعات!$A$2:$A$2000,المبيعات!$C$2:$C$2000,A351)))</f>
        <v/>
      </c>
      <c r="F351">
        <f>IF(A351="","",SUMIFS(المبيعات!$H$2:$H$2000,المبيعات!$C$2:$C$2000,A351,المبيعات!$J$2:$J$2000,"آجل"))</f>
        <v/>
      </c>
      <c r="G351" s="4" t="n"/>
      <c r="H351">
        <f>IF(A351="","",F351-G351)</f>
        <v/>
      </c>
    </row>
    <row r="352">
      <c r="A352" s="4" t="n"/>
      <c r="B352" s="4" t="n"/>
      <c r="C352">
        <f>IF(A352="","",SUMPRODUCT((المبيعات!$C$2:$C$2000=A352)*(المبيعات!$B$2:$B$2000&lt;&gt;"")/COUNTIFS(المبيعات!$B$2:$B$2000,المبيعات!$B$2:$B$2000&amp;"",المبيعات!$C$2:$C$2000,المبيعات!$C$2:$C$2000&amp;"")))</f>
        <v/>
      </c>
      <c r="D352">
        <f>IF(A352="","",SUMIFS(المبيعات!$H$2:$H$2000,المبيعات!$C$2:$C$2000,A352))</f>
        <v/>
      </c>
      <c r="E352" s="13">
        <f>IF(A352="","",IF(COUNTIF(المبيعات!$C$2:$C$2000,A352)=0,"",_xlfn.MAXIFS(المبيعات!$A$2:$A$2000,المبيعات!$C$2:$C$2000,A352)))</f>
        <v/>
      </c>
      <c r="F352">
        <f>IF(A352="","",SUMIFS(المبيعات!$H$2:$H$2000,المبيعات!$C$2:$C$2000,A352,المبيعات!$J$2:$J$2000,"آجل"))</f>
        <v/>
      </c>
      <c r="G352" s="4" t="n"/>
      <c r="H352">
        <f>IF(A352="","",F352-G352)</f>
        <v/>
      </c>
    </row>
    <row r="353">
      <c r="A353" s="4" t="n"/>
      <c r="B353" s="4" t="n"/>
      <c r="C353">
        <f>IF(A353="","",SUMPRODUCT((المبيعات!$C$2:$C$2000=A353)*(المبيعات!$B$2:$B$2000&lt;&gt;"")/COUNTIFS(المبيعات!$B$2:$B$2000,المبيعات!$B$2:$B$2000&amp;"",المبيعات!$C$2:$C$2000,المبيعات!$C$2:$C$2000&amp;"")))</f>
        <v/>
      </c>
      <c r="D353">
        <f>IF(A353="","",SUMIFS(المبيعات!$H$2:$H$2000,المبيعات!$C$2:$C$2000,A353))</f>
        <v/>
      </c>
      <c r="E353" s="13">
        <f>IF(A353="","",IF(COUNTIF(المبيعات!$C$2:$C$2000,A353)=0,"",_xlfn.MAXIFS(المبيعات!$A$2:$A$2000,المبيعات!$C$2:$C$2000,A353)))</f>
        <v/>
      </c>
      <c r="F353">
        <f>IF(A353="","",SUMIFS(المبيعات!$H$2:$H$2000,المبيعات!$C$2:$C$2000,A353,المبيعات!$J$2:$J$2000,"آجل"))</f>
        <v/>
      </c>
      <c r="G353" s="4" t="n"/>
      <c r="H353">
        <f>IF(A353="","",F353-G353)</f>
        <v/>
      </c>
    </row>
    <row r="354">
      <c r="A354" s="4" t="n"/>
      <c r="B354" s="4" t="n"/>
      <c r="C354">
        <f>IF(A354="","",SUMPRODUCT((المبيعات!$C$2:$C$2000=A354)*(المبيعات!$B$2:$B$2000&lt;&gt;"")/COUNTIFS(المبيعات!$B$2:$B$2000,المبيعات!$B$2:$B$2000&amp;"",المبيعات!$C$2:$C$2000,المبيعات!$C$2:$C$2000&amp;"")))</f>
        <v/>
      </c>
      <c r="D354">
        <f>IF(A354="","",SUMIFS(المبيعات!$H$2:$H$2000,المبيعات!$C$2:$C$2000,A354))</f>
        <v/>
      </c>
      <c r="E354" s="13">
        <f>IF(A354="","",IF(COUNTIF(المبيعات!$C$2:$C$2000,A354)=0,"",_xlfn.MAXIFS(المبيعات!$A$2:$A$2000,المبيعات!$C$2:$C$2000,A354)))</f>
        <v/>
      </c>
      <c r="F354">
        <f>IF(A354="","",SUMIFS(المبيعات!$H$2:$H$2000,المبيعات!$C$2:$C$2000,A354,المبيعات!$J$2:$J$2000,"آجل"))</f>
        <v/>
      </c>
      <c r="G354" s="4" t="n"/>
      <c r="H354">
        <f>IF(A354="","",F354-G354)</f>
        <v/>
      </c>
    </row>
    <row r="355">
      <c r="A355" s="4" t="n"/>
      <c r="B355" s="4" t="n"/>
      <c r="C355">
        <f>IF(A355="","",SUMPRODUCT((المبيعات!$C$2:$C$2000=A355)*(المبيعات!$B$2:$B$2000&lt;&gt;"")/COUNTIFS(المبيعات!$B$2:$B$2000,المبيعات!$B$2:$B$2000&amp;"",المبيعات!$C$2:$C$2000,المبيعات!$C$2:$C$2000&amp;"")))</f>
        <v/>
      </c>
      <c r="D355">
        <f>IF(A355="","",SUMIFS(المبيعات!$H$2:$H$2000,المبيعات!$C$2:$C$2000,A355))</f>
        <v/>
      </c>
      <c r="E355" s="13">
        <f>IF(A355="","",IF(COUNTIF(المبيعات!$C$2:$C$2000,A355)=0,"",_xlfn.MAXIFS(المبيعات!$A$2:$A$2000,المبيعات!$C$2:$C$2000,A355)))</f>
        <v/>
      </c>
      <c r="F355">
        <f>IF(A355="","",SUMIFS(المبيعات!$H$2:$H$2000,المبيعات!$C$2:$C$2000,A355,المبيعات!$J$2:$J$2000,"آجل"))</f>
        <v/>
      </c>
      <c r="G355" s="4" t="n"/>
      <c r="H355">
        <f>IF(A355="","",F355-G355)</f>
        <v/>
      </c>
    </row>
    <row r="356">
      <c r="A356" s="4" t="n"/>
      <c r="B356" s="4" t="n"/>
      <c r="C356">
        <f>IF(A356="","",SUMPRODUCT((المبيعات!$C$2:$C$2000=A356)*(المبيعات!$B$2:$B$2000&lt;&gt;"")/COUNTIFS(المبيعات!$B$2:$B$2000,المبيعات!$B$2:$B$2000&amp;"",المبيعات!$C$2:$C$2000,المبيعات!$C$2:$C$2000&amp;"")))</f>
        <v/>
      </c>
      <c r="D356">
        <f>IF(A356="","",SUMIFS(المبيعات!$H$2:$H$2000,المبيعات!$C$2:$C$2000,A356))</f>
        <v/>
      </c>
      <c r="E356" s="13">
        <f>IF(A356="","",IF(COUNTIF(المبيعات!$C$2:$C$2000,A356)=0,"",_xlfn.MAXIFS(المبيعات!$A$2:$A$2000,المبيعات!$C$2:$C$2000,A356)))</f>
        <v/>
      </c>
      <c r="F356">
        <f>IF(A356="","",SUMIFS(المبيعات!$H$2:$H$2000,المبيعات!$C$2:$C$2000,A356,المبيعات!$J$2:$J$2000,"آجل"))</f>
        <v/>
      </c>
      <c r="G356" s="4" t="n"/>
      <c r="H356">
        <f>IF(A356="","",F356-G356)</f>
        <v/>
      </c>
    </row>
    <row r="357">
      <c r="A357" s="4" t="n"/>
      <c r="B357" s="4" t="n"/>
      <c r="C357">
        <f>IF(A357="","",SUMPRODUCT((المبيعات!$C$2:$C$2000=A357)*(المبيعات!$B$2:$B$2000&lt;&gt;"")/COUNTIFS(المبيعات!$B$2:$B$2000,المبيعات!$B$2:$B$2000&amp;"",المبيعات!$C$2:$C$2000,المبيعات!$C$2:$C$2000&amp;"")))</f>
        <v/>
      </c>
      <c r="D357">
        <f>IF(A357="","",SUMIFS(المبيعات!$H$2:$H$2000,المبيعات!$C$2:$C$2000,A357))</f>
        <v/>
      </c>
      <c r="E357" s="13">
        <f>IF(A357="","",IF(COUNTIF(المبيعات!$C$2:$C$2000,A357)=0,"",_xlfn.MAXIFS(المبيعات!$A$2:$A$2000,المبيعات!$C$2:$C$2000,A357)))</f>
        <v/>
      </c>
      <c r="F357">
        <f>IF(A357="","",SUMIFS(المبيعات!$H$2:$H$2000,المبيعات!$C$2:$C$2000,A357,المبيعات!$J$2:$J$2000,"آجل"))</f>
        <v/>
      </c>
      <c r="G357" s="4" t="n"/>
      <c r="H357">
        <f>IF(A357="","",F357-G357)</f>
        <v/>
      </c>
    </row>
    <row r="358">
      <c r="A358" s="4" t="n"/>
      <c r="B358" s="4" t="n"/>
      <c r="C358">
        <f>IF(A358="","",SUMPRODUCT((المبيعات!$C$2:$C$2000=A358)*(المبيعات!$B$2:$B$2000&lt;&gt;"")/COUNTIFS(المبيعات!$B$2:$B$2000,المبيعات!$B$2:$B$2000&amp;"",المبيعات!$C$2:$C$2000,المبيعات!$C$2:$C$2000&amp;"")))</f>
        <v/>
      </c>
      <c r="D358">
        <f>IF(A358="","",SUMIFS(المبيعات!$H$2:$H$2000,المبيعات!$C$2:$C$2000,A358))</f>
        <v/>
      </c>
      <c r="E358" s="13">
        <f>IF(A358="","",IF(COUNTIF(المبيعات!$C$2:$C$2000,A358)=0,"",_xlfn.MAXIFS(المبيعات!$A$2:$A$2000,المبيعات!$C$2:$C$2000,A358)))</f>
        <v/>
      </c>
      <c r="F358">
        <f>IF(A358="","",SUMIFS(المبيعات!$H$2:$H$2000,المبيعات!$C$2:$C$2000,A358,المبيعات!$J$2:$J$2000,"آجل"))</f>
        <v/>
      </c>
      <c r="G358" s="4" t="n"/>
      <c r="H358">
        <f>IF(A358="","",F358-G358)</f>
        <v/>
      </c>
    </row>
    <row r="359">
      <c r="A359" s="4" t="n"/>
      <c r="B359" s="4" t="n"/>
      <c r="C359">
        <f>IF(A359="","",SUMPRODUCT((المبيعات!$C$2:$C$2000=A359)*(المبيعات!$B$2:$B$2000&lt;&gt;"")/COUNTIFS(المبيعات!$B$2:$B$2000,المبيعات!$B$2:$B$2000&amp;"",المبيعات!$C$2:$C$2000,المبيعات!$C$2:$C$2000&amp;"")))</f>
        <v/>
      </c>
      <c r="D359">
        <f>IF(A359="","",SUMIFS(المبيعات!$H$2:$H$2000,المبيعات!$C$2:$C$2000,A359))</f>
        <v/>
      </c>
      <c r="E359" s="13">
        <f>IF(A359="","",IF(COUNTIF(المبيعات!$C$2:$C$2000,A359)=0,"",_xlfn.MAXIFS(المبيعات!$A$2:$A$2000,المبيعات!$C$2:$C$2000,A359)))</f>
        <v/>
      </c>
      <c r="F359">
        <f>IF(A359="","",SUMIFS(المبيعات!$H$2:$H$2000,المبيعات!$C$2:$C$2000,A359,المبيعات!$J$2:$J$2000,"آجل"))</f>
        <v/>
      </c>
      <c r="G359" s="4" t="n"/>
      <c r="H359">
        <f>IF(A359="","",F359-G359)</f>
        <v/>
      </c>
    </row>
    <row r="360">
      <c r="A360" s="4" t="n"/>
      <c r="B360" s="4" t="n"/>
      <c r="C360">
        <f>IF(A360="","",SUMPRODUCT((المبيعات!$C$2:$C$2000=A360)*(المبيعات!$B$2:$B$2000&lt;&gt;"")/COUNTIFS(المبيعات!$B$2:$B$2000,المبيعات!$B$2:$B$2000&amp;"",المبيعات!$C$2:$C$2000,المبيعات!$C$2:$C$2000&amp;"")))</f>
        <v/>
      </c>
      <c r="D360">
        <f>IF(A360="","",SUMIFS(المبيعات!$H$2:$H$2000,المبيعات!$C$2:$C$2000,A360))</f>
        <v/>
      </c>
      <c r="E360" s="13">
        <f>IF(A360="","",IF(COUNTIF(المبيعات!$C$2:$C$2000,A360)=0,"",_xlfn.MAXIFS(المبيعات!$A$2:$A$2000,المبيعات!$C$2:$C$2000,A360)))</f>
        <v/>
      </c>
      <c r="F360">
        <f>IF(A360="","",SUMIFS(المبيعات!$H$2:$H$2000,المبيعات!$C$2:$C$2000,A360,المبيعات!$J$2:$J$2000,"آجل"))</f>
        <v/>
      </c>
      <c r="G360" s="4" t="n"/>
      <c r="H360">
        <f>IF(A360="","",F360-G360)</f>
        <v/>
      </c>
    </row>
    <row r="361">
      <c r="A361" s="4" t="n"/>
      <c r="B361" s="4" t="n"/>
      <c r="C361">
        <f>IF(A361="","",SUMPRODUCT((المبيعات!$C$2:$C$2000=A361)*(المبيعات!$B$2:$B$2000&lt;&gt;"")/COUNTIFS(المبيعات!$B$2:$B$2000,المبيعات!$B$2:$B$2000&amp;"",المبيعات!$C$2:$C$2000,المبيعات!$C$2:$C$2000&amp;"")))</f>
        <v/>
      </c>
      <c r="D361">
        <f>IF(A361="","",SUMIFS(المبيعات!$H$2:$H$2000,المبيعات!$C$2:$C$2000,A361))</f>
        <v/>
      </c>
      <c r="E361" s="13">
        <f>IF(A361="","",IF(COUNTIF(المبيعات!$C$2:$C$2000,A361)=0,"",_xlfn.MAXIFS(المبيعات!$A$2:$A$2000,المبيعات!$C$2:$C$2000,A361)))</f>
        <v/>
      </c>
      <c r="F361">
        <f>IF(A361="","",SUMIFS(المبيعات!$H$2:$H$2000,المبيعات!$C$2:$C$2000,A361,المبيعات!$J$2:$J$2000,"آجل"))</f>
        <v/>
      </c>
      <c r="G361" s="4" t="n"/>
      <c r="H361">
        <f>IF(A361="","",F361-G361)</f>
        <v/>
      </c>
    </row>
    <row r="362">
      <c r="A362" s="4" t="n"/>
      <c r="B362" s="4" t="n"/>
      <c r="C362">
        <f>IF(A362="","",SUMPRODUCT((المبيعات!$C$2:$C$2000=A362)*(المبيعات!$B$2:$B$2000&lt;&gt;"")/COUNTIFS(المبيعات!$B$2:$B$2000,المبيعات!$B$2:$B$2000&amp;"",المبيعات!$C$2:$C$2000,المبيعات!$C$2:$C$2000&amp;"")))</f>
        <v/>
      </c>
      <c r="D362">
        <f>IF(A362="","",SUMIFS(المبيعات!$H$2:$H$2000,المبيعات!$C$2:$C$2000,A362))</f>
        <v/>
      </c>
      <c r="E362" s="13">
        <f>IF(A362="","",IF(COUNTIF(المبيعات!$C$2:$C$2000,A362)=0,"",_xlfn.MAXIFS(المبيعات!$A$2:$A$2000,المبيعات!$C$2:$C$2000,A362)))</f>
        <v/>
      </c>
      <c r="F362">
        <f>IF(A362="","",SUMIFS(المبيعات!$H$2:$H$2000,المبيعات!$C$2:$C$2000,A362,المبيعات!$J$2:$J$2000,"آجل"))</f>
        <v/>
      </c>
      <c r="G362" s="4" t="n"/>
      <c r="H362">
        <f>IF(A362="","",F362-G362)</f>
        <v/>
      </c>
    </row>
    <row r="363">
      <c r="A363" s="4" t="n"/>
      <c r="B363" s="4" t="n"/>
      <c r="C363">
        <f>IF(A363="","",SUMPRODUCT((المبيعات!$C$2:$C$2000=A363)*(المبيعات!$B$2:$B$2000&lt;&gt;"")/COUNTIFS(المبيعات!$B$2:$B$2000,المبيعات!$B$2:$B$2000&amp;"",المبيعات!$C$2:$C$2000,المبيعات!$C$2:$C$2000&amp;"")))</f>
        <v/>
      </c>
      <c r="D363">
        <f>IF(A363="","",SUMIFS(المبيعات!$H$2:$H$2000,المبيعات!$C$2:$C$2000,A363))</f>
        <v/>
      </c>
      <c r="E363" s="13">
        <f>IF(A363="","",IF(COUNTIF(المبيعات!$C$2:$C$2000,A363)=0,"",_xlfn.MAXIFS(المبيعات!$A$2:$A$2000,المبيعات!$C$2:$C$2000,A363)))</f>
        <v/>
      </c>
      <c r="F363">
        <f>IF(A363="","",SUMIFS(المبيعات!$H$2:$H$2000,المبيعات!$C$2:$C$2000,A363,المبيعات!$J$2:$J$2000,"آجل"))</f>
        <v/>
      </c>
      <c r="G363" s="4" t="n"/>
      <c r="H363">
        <f>IF(A363="","",F363-G363)</f>
        <v/>
      </c>
    </row>
    <row r="364">
      <c r="A364" s="4" t="n"/>
      <c r="B364" s="4" t="n"/>
      <c r="C364">
        <f>IF(A364="","",SUMPRODUCT((المبيعات!$C$2:$C$2000=A364)*(المبيعات!$B$2:$B$2000&lt;&gt;"")/COUNTIFS(المبيعات!$B$2:$B$2000,المبيعات!$B$2:$B$2000&amp;"",المبيعات!$C$2:$C$2000,المبيعات!$C$2:$C$2000&amp;"")))</f>
        <v/>
      </c>
      <c r="D364">
        <f>IF(A364="","",SUMIFS(المبيعات!$H$2:$H$2000,المبيعات!$C$2:$C$2000,A364))</f>
        <v/>
      </c>
      <c r="E364" s="13">
        <f>IF(A364="","",IF(COUNTIF(المبيعات!$C$2:$C$2000,A364)=0,"",_xlfn.MAXIFS(المبيعات!$A$2:$A$2000,المبيعات!$C$2:$C$2000,A364)))</f>
        <v/>
      </c>
      <c r="F364">
        <f>IF(A364="","",SUMIFS(المبيعات!$H$2:$H$2000,المبيعات!$C$2:$C$2000,A364,المبيعات!$J$2:$J$2000,"آجل"))</f>
        <v/>
      </c>
      <c r="G364" s="4" t="n"/>
      <c r="H364">
        <f>IF(A364="","",F364-G364)</f>
        <v/>
      </c>
    </row>
    <row r="365">
      <c r="A365" s="4" t="n"/>
      <c r="B365" s="4" t="n"/>
      <c r="C365">
        <f>IF(A365="","",SUMPRODUCT((المبيعات!$C$2:$C$2000=A365)*(المبيعات!$B$2:$B$2000&lt;&gt;"")/COUNTIFS(المبيعات!$B$2:$B$2000,المبيعات!$B$2:$B$2000&amp;"",المبيعات!$C$2:$C$2000,المبيعات!$C$2:$C$2000&amp;"")))</f>
        <v/>
      </c>
      <c r="D365">
        <f>IF(A365="","",SUMIFS(المبيعات!$H$2:$H$2000,المبيعات!$C$2:$C$2000,A365))</f>
        <v/>
      </c>
      <c r="E365" s="13">
        <f>IF(A365="","",IF(COUNTIF(المبيعات!$C$2:$C$2000,A365)=0,"",_xlfn.MAXIFS(المبيعات!$A$2:$A$2000,المبيعات!$C$2:$C$2000,A365)))</f>
        <v/>
      </c>
      <c r="F365">
        <f>IF(A365="","",SUMIFS(المبيعات!$H$2:$H$2000,المبيعات!$C$2:$C$2000,A365,المبيعات!$J$2:$J$2000,"آجل"))</f>
        <v/>
      </c>
      <c r="G365" s="4" t="n"/>
      <c r="H365">
        <f>IF(A365="","",F365-G365)</f>
        <v/>
      </c>
    </row>
    <row r="366">
      <c r="A366" s="4" t="n"/>
      <c r="B366" s="4" t="n"/>
      <c r="C366">
        <f>IF(A366="","",SUMPRODUCT((المبيعات!$C$2:$C$2000=A366)*(المبيعات!$B$2:$B$2000&lt;&gt;"")/COUNTIFS(المبيعات!$B$2:$B$2000,المبيعات!$B$2:$B$2000&amp;"",المبيعات!$C$2:$C$2000,المبيعات!$C$2:$C$2000&amp;"")))</f>
        <v/>
      </c>
      <c r="D366">
        <f>IF(A366="","",SUMIFS(المبيعات!$H$2:$H$2000,المبيعات!$C$2:$C$2000,A366))</f>
        <v/>
      </c>
      <c r="E366" s="13">
        <f>IF(A366="","",IF(COUNTIF(المبيعات!$C$2:$C$2000,A366)=0,"",_xlfn.MAXIFS(المبيعات!$A$2:$A$2000,المبيعات!$C$2:$C$2000,A366)))</f>
        <v/>
      </c>
      <c r="F366">
        <f>IF(A366="","",SUMIFS(المبيعات!$H$2:$H$2000,المبيعات!$C$2:$C$2000,A366,المبيعات!$J$2:$J$2000,"آجل"))</f>
        <v/>
      </c>
      <c r="G366" s="4" t="n"/>
      <c r="H366">
        <f>IF(A366="","",F366-G366)</f>
        <v/>
      </c>
    </row>
    <row r="367">
      <c r="A367" s="4" t="n"/>
      <c r="B367" s="4" t="n"/>
      <c r="C367">
        <f>IF(A367="","",SUMPRODUCT((المبيعات!$C$2:$C$2000=A367)*(المبيعات!$B$2:$B$2000&lt;&gt;"")/COUNTIFS(المبيعات!$B$2:$B$2000,المبيعات!$B$2:$B$2000&amp;"",المبيعات!$C$2:$C$2000,المبيعات!$C$2:$C$2000&amp;"")))</f>
        <v/>
      </c>
      <c r="D367">
        <f>IF(A367="","",SUMIFS(المبيعات!$H$2:$H$2000,المبيعات!$C$2:$C$2000,A367))</f>
        <v/>
      </c>
      <c r="E367" s="13">
        <f>IF(A367="","",IF(COUNTIF(المبيعات!$C$2:$C$2000,A367)=0,"",_xlfn.MAXIFS(المبيعات!$A$2:$A$2000,المبيعات!$C$2:$C$2000,A367)))</f>
        <v/>
      </c>
      <c r="F367">
        <f>IF(A367="","",SUMIFS(المبيعات!$H$2:$H$2000,المبيعات!$C$2:$C$2000,A367,المبيعات!$J$2:$J$2000,"آجل"))</f>
        <v/>
      </c>
      <c r="G367" s="4" t="n"/>
      <c r="H367">
        <f>IF(A367="","",F367-G367)</f>
        <v/>
      </c>
    </row>
    <row r="368">
      <c r="A368" s="4" t="n"/>
      <c r="B368" s="4" t="n"/>
      <c r="C368">
        <f>IF(A368="","",SUMPRODUCT((المبيعات!$C$2:$C$2000=A368)*(المبيعات!$B$2:$B$2000&lt;&gt;"")/COUNTIFS(المبيعات!$B$2:$B$2000,المبيعات!$B$2:$B$2000&amp;"",المبيعات!$C$2:$C$2000,المبيعات!$C$2:$C$2000&amp;"")))</f>
        <v/>
      </c>
      <c r="D368">
        <f>IF(A368="","",SUMIFS(المبيعات!$H$2:$H$2000,المبيعات!$C$2:$C$2000,A368))</f>
        <v/>
      </c>
      <c r="E368" s="13">
        <f>IF(A368="","",IF(COUNTIF(المبيعات!$C$2:$C$2000,A368)=0,"",_xlfn.MAXIFS(المبيعات!$A$2:$A$2000,المبيعات!$C$2:$C$2000,A368)))</f>
        <v/>
      </c>
      <c r="F368">
        <f>IF(A368="","",SUMIFS(المبيعات!$H$2:$H$2000,المبيعات!$C$2:$C$2000,A368,المبيعات!$J$2:$J$2000,"آجل"))</f>
        <v/>
      </c>
      <c r="G368" s="4" t="n"/>
      <c r="H368">
        <f>IF(A368="","",F368-G368)</f>
        <v/>
      </c>
    </row>
    <row r="369">
      <c r="A369" s="4" t="n"/>
      <c r="B369" s="4" t="n"/>
      <c r="C369">
        <f>IF(A369="","",SUMPRODUCT((المبيعات!$C$2:$C$2000=A369)*(المبيعات!$B$2:$B$2000&lt;&gt;"")/COUNTIFS(المبيعات!$B$2:$B$2000,المبيعات!$B$2:$B$2000&amp;"",المبيعات!$C$2:$C$2000,المبيعات!$C$2:$C$2000&amp;"")))</f>
        <v/>
      </c>
      <c r="D369">
        <f>IF(A369="","",SUMIFS(المبيعات!$H$2:$H$2000,المبيعات!$C$2:$C$2000,A369))</f>
        <v/>
      </c>
      <c r="E369" s="13">
        <f>IF(A369="","",IF(COUNTIF(المبيعات!$C$2:$C$2000,A369)=0,"",_xlfn.MAXIFS(المبيعات!$A$2:$A$2000,المبيعات!$C$2:$C$2000,A369)))</f>
        <v/>
      </c>
      <c r="F369">
        <f>IF(A369="","",SUMIFS(المبيعات!$H$2:$H$2000,المبيعات!$C$2:$C$2000,A369,المبيعات!$J$2:$J$2000,"آجل"))</f>
        <v/>
      </c>
      <c r="G369" s="4" t="n"/>
      <c r="H369">
        <f>IF(A369="","",F369-G369)</f>
        <v/>
      </c>
    </row>
    <row r="370">
      <c r="A370" s="4" t="n"/>
      <c r="B370" s="4" t="n"/>
      <c r="C370">
        <f>IF(A370="","",SUMPRODUCT((المبيعات!$C$2:$C$2000=A370)*(المبيعات!$B$2:$B$2000&lt;&gt;"")/COUNTIFS(المبيعات!$B$2:$B$2000,المبيعات!$B$2:$B$2000&amp;"",المبيعات!$C$2:$C$2000,المبيعات!$C$2:$C$2000&amp;"")))</f>
        <v/>
      </c>
      <c r="D370">
        <f>IF(A370="","",SUMIFS(المبيعات!$H$2:$H$2000,المبيعات!$C$2:$C$2000,A370))</f>
        <v/>
      </c>
      <c r="E370" s="13">
        <f>IF(A370="","",IF(COUNTIF(المبيعات!$C$2:$C$2000,A370)=0,"",_xlfn.MAXIFS(المبيعات!$A$2:$A$2000,المبيعات!$C$2:$C$2000,A370)))</f>
        <v/>
      </c>
      <c r="F370">
        <f>IF(A370="","",SUMIFS(المبيعات!$H$2:$H$2000,المبيعات!$C$2:$C$2000,A370,المبيعات!$J$2:$J$2000,"آجل"))</f>
        <v/>
      </c>
      <c r="G370" s="4" t="n"/>
      <c r="H370">
        <f>IF(A370="","",F370-G370)</f>
        <v/>
      </c>
    </row>
    <row r="371">
      <c r="A371" s="4" t="n"/>
      <c r="B371" s="4" t="n"/>
      <c r="C371">
        <f>IF(A371="","",SUMPRODUCT((المبيعات!$C$2:$C$2000=A371)*(المبيعات!$B$2:$B$2000&lt;&gt;"")/COUNTIFS(المبيعات!$B$2:$B$2000,المبيعات!$B$2:$B$2000&amp;"",المبيعات!$C$2:$C$2000,المبيعات!$C$2:$C$2000&amp;"")))</f>
        <v/>
      </c>
      <c r="D371">
        <f>IF(A371="","",SUMIFS(المبيعات!$H$2:$H$2000,المبيعات!$C$2:$C$2000,A371))</f>
        <v/>
      </c>
      <c r="E371" s="13">
        <f>IF(A371="","",IF(COUNTIF(المبيعات!$C$2:$C$2000,A371)=0,"",_xlfn.MAXIFS(المبيعات!$A$2:$A$2000,المبيعات!$C$2:$C$2000,A371)))</f>
        <v/>
      </c>
      <c r="F371">
        <f>IF(A371="","",SUMIFS(المبيعات!$H$2:$H$2000,المبيعات!$C$2:$C$2000,A371,المبيعات!$J$2:$J$2000,"آجل"))</f>
        <v/>
      </c>
      <c r="G371" s="4" t="n"/>
      <c r="H371">
        <f>IF(A371="","",F371-G371)</f>
        <v/>
      </c>
    </row>
    <row r="372">
      <c r="A372" s="4" t="n"/>
      <c r="B372" s="4" t="n"/>
      <c r="C372">
        <f>IF(A372="","",SUMPRODUCT((المبيعات!$C$2:$C$2000=A372)*(المبيعات!$B$2:$B$2000&lt;&gt;"")/COUNTIFS(المبيعات!$B$2:$B$2000,المبيعات!$B$2:$B$2000&amp;"",المبيعات!$C$2:$C$2000,المبيعات!$C$2:$C$2000&amp;"")))</f>
        <v/>
      </c>
      <c r="D372">
        <f>IF(A372="","",SUMIFS(المبيعات!$H$2:$H$2000,المبيعات!$C$2:$C$2000,A372))</f>
        <v/>
      </c>
      <c r="E372" s="13">
        <f>IF(A372="","",IF(COUNTIF(المبيعات!$C$2:$C$2000,A372)=0,"",_xlfn.MAXIFS(المبيعات!$A$2:$A$2000,المبيعات!$C$2:$C$2000,A372)))</f>
        <v/>
      </c>
      <c r="F372">
        <f>IF(A372="","",SUMIFS(المبيعات!$H$2:$H$2000,المبيعات!$C$2:$C$2000,A372,المبيعات!$J$2:$J$2000,"آجل"))</f>
        <v/>
      </c>
      <c r="G372" s="4" t="n"/>
      <c r="H372">
        <f>IF(A372="","",F372-G372)</f>
        <v/>
      </c>
    </row>
    <row r="373">
      <c r="A373" s="4" t="n"/>
      <c r="B373" s="4" t="n"/>
      <c r="C373">
        <f>IF(A373="","",SUMPRODUCT((المبيعات!$C$2:$C$2000=A373)*(المبيعات!$B$2:$B$2000&lt;&gt;"")/COUNTIFS(المبيعات!$B$2:$B$2000,المبيعات!$B$2:$B$2000&amp;"",المبيعات!$C$2:$C$2000,المبيعات!$C$2:$C$2000&amp;"")))</f>
        <v/>
      </c>
      <c r="D373">
        <f>IF(A373="","",SUMIFS(المبيعات!$H$2:$H$2000,المبيعات!$C$2:$C$2000,A373))</f>
        <v/>
      </c>
      <c r="E373" s="13">
        <f>IF(A373="","",IF(COUNTIF(المبيعات!$C$2:$C$2000,A373)=0,"",_xlfn.MAXIFS(المبيعات!$A$2:$A$2000,المبيعات!$C$2:$C$2000,A373)))</f>
        <v/>
      </c>
      <c r="F373">
        <f>IF(A373="","",SUMIFS(المبيعات!$H$2:$H$2000,المبيعات!$C$2:$C$2000,A373,المبيعات!$J$2:$J$2000,"آجل"))</f>
        <v/>
      </c>
      <c r="G373" s="4" t="n"/>
      <c r="H373">
        <f>IF(A373="","",F373-G373)</f>
        <v/>
      </c>
    </row>
    <row r="374">
      <c r="A374" s="4" t="n"/>
      <c r="B374" s="4" t="n"/>
      <c r="C374">
        <f>IF(A374="","",SUMPRODUCT((المبيعات!$C$2:$C$2000=A374)*(المبيعات!$B$2:$B$2000&lt;&gt;"")/COUNTIFS(المبيعات!$B$2:$B$2000,المبيعات!$B$2:$B$2000&amp;"",المبيعات!$C$2:$C$2000,المبيعات!$C$2:$C$2000&amp;"")))</f>
        <v/>
      </c>
      <c r="D374">
        <f>IF(A374="","",SUMIFS(المبيعات!$H$2:$H$2000,المبيعات!$C$2:$C$2000,A374))</f>
        <v/>
      </c>
      <c r="E374" s="13">
        <f>IF(A374="","",IF(COUNTIF(المبيعات!$C$2:$C$2000,A374)=0,"",_xlfn.MAXIFS(المبيعات!$A$2:$A$2000,المبيعات!$C$2:$C$2000,A374)))</f>
        <v/>
      </c>
      <c r="F374">
        <f>IF(A374="","",SUMIFS(المبيعات!$H$2:$H$2000,المبيعات!$C$2:$C$2000,A374,المبيعات!$J$2:$J$2000,"آجل"))</f>
        <v/>
      </c>
      <c r="G374" s="4" t="n"/>
      <c r="H374">
        <f>IF(A374="","",F374-G374)</f>
        <v/>
      </c>
    </row>
    <row r="375">
      <c r="A375" s="4" t="n"/>
      <c r="B375" s="4" t="n"/>
      <c r="C375">
        <f>IF(A375="","",SUMPRODUCT((المبيعات!$C$2:$C$2000=A375)*(المبيعات!$B$2:$B$2000&lt;&gt;"")/COUNTIFS(المبيعات!$B$2:$B$2000,المبيعات!$B$2:$B$2000&amp;"",المبيعات!$C$2:$C$2000,المبيعات!$C$2:$C$2000&amp;"")))</f>
        <v/>
      </c>
      <c r="D375">
        <f>IF(A375="","",SUMIFS(المبيعات!$H$2:$H$2000,المبيعات!$C$2:$C$2000,A375))</f>
        <v/>
      </c>
      <c r="E375" s="13">
        <f>IF(A375="","",IF(COUNTIF(المبيعات!$C$2:$C$2000,A375)=0,"",_xlfn.MAXIFS(المبيعات!$A$2:$A$2000,المبيعات!$C$2:$C$2000,A375)))</f>
        <v/>
      </c>
      <c r="F375">
        <f>IF(A375="","",SUMIFS(المبيعات!$H$2:$H$2000,المبيعات!$C$2:$C$2000,A375,المبيعات!$J$2:$J$2000,"آجل"))</f>
        <v/>
      </c>
      <c r="G375" s="4" t="n"/>
      <c r="H375">
        <f>IF(A375="","",F375-G375)</f>
        <v/>
      </c>
    </row>
    <row r="376">
      <c r="A376" s="4" t="n"/>
      <c r="B376" s="4" t="n"/>
      <c r="C376">
        <f>IF(A376="","",SUMPRODUCT((المبيعات!$C$2:$C$2000=A376)*(المبيعات!$B$2:$B$2000&lt;&gt;"")/COUNTIFS(المبيعات!$B$2:$B$2000,المبيعات!$B$2:$B$2000&amp;"",المبيعات!$C$2:$C$2000,المبيعات!$C$2:$C$2000&amp;"")))</f>
        <v/>
      </c>
      <c r="D376">
        <f>IF(A376="","",SUMIFS(المبيعات!$H$2:$H$2000,المبيعات!$C$2:$C$2000,A376))</f>
        <v/>
      </c>
      <c r="E376" s="13">
        <f>IF(A376="","",IF(COUNTIF(المبيعات!$C$2:$C$2000,A376)=0,"",_xlfn.MAXIFS(المبيعات!$A$2:$A$2000,المبيعات!$C$2:$C$2000,A376)))</f>
        <v/>
      </c>
      <c r="F376">
        <f>IF(A376="","",SUMIFS(المبيعات!$H$2:$H$2000,المبيعات!$C$2:$C$2000,A376,المبيعات!$J$2:$J$2000,"آجل"))</f>
        <v/>
      </c>
      <c r="G376" s="4" t="n"/>
      <c r="H376">
        <f>IF(A376="","",F376-G376)</f>
        <v/>
      </c>
    </row>
    <row r="377">
      <c r="A377" s="4" t="n"/>
      <c r="B377" s="4" t="n"/>
      <c r="C377">
        <f>IF(A377="","",SUMPRODUCT((المبيعات!$C$2:$C$2000=A377)*(المبيعات!$B$2:$B$2000&lt;&gt;"")/COUNTIFS(المبيعات!$B$2:$B$2000,المبيعات!$B$2:$B$2000&amp;"",المبيعات!$C$2:$C$2000,المبيعات!$C$2:$C$2000&amp;"")))</f>
        <v/>
      </c>
      <c r="D377">
        <f>IF(A377="","",SUMIFS(المبيعات!$H$2:$H$2000,المبيعات!$C$2:$C$2000,A377))</f>
        <v/>
      </c>
      <c r="E377" s="13">
        <f>IF(A377="","",IF(COUNTIF(المبيعات!$C$2:$C$2000,A377)=0,"",_xlfn.MAXIFS(المبيعات!$A$2:$A$2000,المبيعات!$C$2:$C$2000,A377)))</f>
        <v/>
      </c>
      <c r="F377">
        <f>IF(A377="","",SUMIFS(المبيعات!$H$2:$H$2000,المبيعات!$C$2:$C$2000,A377,المبيعات!$J$2:$J$2000,"آجل"))</f>
        <v/>
      </c>
      <c r="G377" s="4" t="n"/>
      <c r="H377">
        <f>IF(A377="","",F377-G377)</f>
        <v/>
      </c>
    </row>
    <row r="378">
      <c r="A378" s="4" t="n"/>
      <c r="B378" s="4" t="n"/>
      <c r="C378">
        <f>IF(A378="","",SUMPRODUCT((المبيعات!$C$2:$C$2000=A378)*(المبيعات!$B$2:$B$2000&lt;&gt;"")/COUNTIFS(المبيعات!$B$2:$B$2000,المبيعات!$B$2:$B$2000&amp;"",المبيعات!$C$2:$C$2000,المبيعات!$C$2:$C$2000&amp;"")))</f>
        <v/>
      </c>
      <c r="D378">
        <f>IF(A378="","",SUMIFS(المبيعات!$H$2:$H$2000,المبيعات!$C$2:$C$2000,A378))</f>
        <v/>
      </c>
      <c r="E378" s="13">
        <f>IF(A378="","",IF(COUNTIF(المبيعات!$C$2:$C$2000,A378)=0,"",_xlfn.MAXIFS(المبيعات!$A$2:$A$2000,المبيعات!$C$2:$C$2000,A378)))</f>
        <v/>
      </c>
      <c r="F378">
        <f>IF(A378="","",SUMIFS(المبيعات!$H$2:$H$2000,المبيعات!$C$2:$C$2000,A378,المبيعات!$J$2:$J$2000,"آجل"))</f>
        <v/>
      </c>
      <c r="G378" s="4" t="n"/>
      <c r="H378">
        <f>IF(A378="","",F378-G378)</f>
        <v/>
      </c>
    </row>
    <row r="379">
      <c r="A379" s="4" t="n"/>
      <c r="B379" s="4" t="n"/>
      <c r="C379">
        <f>IF(A379="","",SUMPRODUCT((المبيعات!$C$2:$C$2000=A379)*(المبيعات!$B$2:$B$2000&lt;&gt;"")/COUNTIFS(المبيعات!$B$2:$B$2000,المبيعات!$B$2:$B$2000&amp;"",المبيعات!$C$2:$C$2000,المبيعات!$C$2:$C$2000&amp;"")))</f>
        <v/>
      </c>
      <c r="D379">
        <f>IF(A379="","",SUMIFS(المبيعات!$H$2:$H$2000,المبيعات!$C$2:$C$2000,A379))</f>
        <v/>
      </c>
      <c r="E379" s="13">
        <f>IF(A379="","",IF(COUNTIF(المبيعات!$C$2:$C$2000,A379)=0,"",_xlfn.MAXIFS(المبيعات!$A$2:$A$2000,المبيعات!$C$2:$C$2000,A379)))</f>
        <v/>
      </c>
      <c r="F379">
        <f>IF(A379="","",SUMIFS(المبيعات!$H$2:$H$2000,المبيعات!$C$2:$C$2000,A379,المبيعات!$J$2:$J$2000,"آجل"))</f>
        <v/>
      </c>
      <c r="G379" s="4" t="n"/>
      <c r="H379">
        <f>IF(A379="","",F379-G379)</f>
        <v/>
      </c>
    </row>
    <row r="380">
      <c r="A380" s="4" t="n"/>
      <c r="B380" s="4" t="n"/>
      <c r="C380">
        <f>IF(A380="","",SUMPRODUCT((المبيعات!$C$2:$C$2000=A380)*(المبيعات!$B$2:$B$2000&lt;&gt;"")/COUNTIFS(المبيعات!$B$2:$B$2000,المبيعات!$B$2:$B$2000&amp;"",المبيعات!$C$2:$C$2000,المبيعات!$C$2:$C$2000&amp;"")))</f>
        <v/>
      </c>
      <c r="D380">
        <f>IF(A380="","",SUMIFS(المبيعات!$H$2:$H$2000,المبيعات!$C$2:$C$2000,A380))</f>
        <v/>
      </c>
      <c r="E380" s="13">
        <f>IF(A380="","",IF(COUNTIF(المبيعات!$C$2:$C$2000,A380)=0,"",_xlfn.MAXIFS(المبيعات!$A$2:$A$2000,المبيعات!$C$2:$C$2000,A380)))</f>
        <v/>
      </c>
      <c r="F380">
        <f>IF(A380="","",SUMIFS(المبيعات!$H$2:$H$2000,المبيعات!$C$2:$C$2000,A380,المبيعات!$J$2:$J$2000,"آجل"))</f>
        <v/>
      </c>
      <c r="G380" s="4" t="n"/>
      <c r="H380">
        <f>IF(A380="","",F380-G380)</f>
        <v/>
      </c>
    </row>
    <row r="381">
      <c r="A381" s="4" t="n"/>
      <c r="B381" s="4" t="n"/>
      <c r="C381">
        <f>IF(A381="","",SUMPRODUCT((المبيعات!$C$2:$C$2000=A381)*(المبيعات!$B$2:$B$2000&lt;&gt;"")/COUNTIFS(المبيعات!$B$2:$B$2000,المبيعات!$B$2:$B$2000&amp;"",المبيعات!$C$2:$C$2000,المبيعات!$C$2:$C$2000&amp;"")))</f>
        <v/>
      </c>
      <c r="D381">
        <f>IF(A381="","",SUMIFS(المبيعات!$H$2:$H$2000,المبيعات!$C$2:$C$2000,A381))</f>
        <v/>
      </c>
      <c r="E381" s="13">
        <f>IF(A381="","",IF(COUNTIF(المبيعات!$C$2:$C$2000,A381)=0,"",_xlfn.MAXIFS(المبيعات!$A$2:$A$2000,المبيعات!$C$2:$C$2000,A381)))</f>
        <v/>
      </c>
      <c r="F381">
        <f>IF(A381="","",SUMIFS(المبيعات!$H$2:$H$2000,المبيعات!$C$2:$C$2000,A381,المبيعات!$J$2:$J$2000,"آجل"))</f>
        <v/>
      </c>
      <c r="G381" s="4" t="n"/>
      <c r="H381">
        <f>IF(A381="","",F381-G381)</f>
        <v/>
      </c>
    </row>
    <row r="382">
      <c r="A382" s="4" t="n"/>
      <c r="B382" s="4" t="n"/>
      <c r="C382">
        <f>IF(A382="","",SUMPRODUCT((المبيعات!$C$2:$C$2000=A382)*(المبيعات!$B$2:$B$2000&lt;&gt;"")/COUNTIFS(المبيعات!$B$2:$B$2000,المبيعات!$B$2:$B$2000&amp;"",المبيعات!$C$2:$C$2000,المبيعات!$C$2:$C$2000&amp;"")))</f>
        <v/>
      </c>
      <c r="D382">
        <f>IF(A382="","",SUMIFS(المبيعات!$H$2:$H$2000,المبيعات!$C$2:$C$2000,A382))</f>
        <v/>
      </c>
      <c r="E382" s="13">
        <f>IF(A382="","",IF(COUNTIF(المبيعات!$C$2:$C$2000,A382)=0,"",_xlfn.MAXIFS(المبيعات!$A$2:$A$2000,المبيعات!$C$2:$C$2000,A382)))</f>
        <v/>
      </c>
      <c r="F382">
        <f>IF(A382="","",SUMIFS(المبيعات!$H$2:$H$2000,المبيعات!$C$2:$C$2000,A382,المبيعات!$J$2:$J$2000,"آجل"))</f>
        <v/>
      </c>
      <c r="G382" s="4" t="n"/>
      <c r="H382">
        <f>IF(A382="","",F382-G382)</f>
        <v/>
      </c>
    </row>
    <row r="383">
      <c r="A383" s="4" t="n"/>
      <c r="B383" s="4" t="n"/>
      <c r="C383">
        <f>IF(A383="","",SUMPRODUCT((المبيعات!$C$2:$C$2000=A383)*(المبيعات!$B$2:$B$2000&lt;&gt;"")/COUNTIFS(المبيعات!$B$2:$B$2000,المبيعات!$B$2:$B$2000&amp;"",المبيعات!$C$2:$C$2000,المبيعات!$C$2:$C$2000&amp;"")))</f>
        <v/>
      </c>
      <c r="D383">
        <f>IF(A383="","",SUMIFS(المبيعات!$H$2:$H$2000,المبيعات!$C$2:$C$2000,A383))</f>
        <v/>
      </c>
      <c r="E383" s="13">
        <f>IF(A383="","",IF(COUNTIF(المبيعات!$C$2:$C$2000,A383)=0,"",_xlfn.MAXIFS(المبيعات!$A$2:$A$2000,المبيعات!$C$2:$C$2000,A383)))</f>
        <v/>
      </c>
      <c r="F383">
        <f>IF(A383="","",SUMIFS(المبيعات!$H$2:$H$2000,المبيعات!$C$2:$C$2000,A383,المبيعات!$J$2:$J$2000,"آجل"))</f>
        <v/>
      </c>
      <c r="G383" s="4" t="n"/>
      <c r="H383">
        <f>IF(A383="","",F383-G383)</f>
        <v/>
      </c>
    </row>
    <row r="384">
      <c r="A384" s="4" t="n"/>
      <c r="B384" s="4" t="n"/>
      <c r="C384">
        <f>IF(A384="","",SUMPRODUCT((المبيعات!$C$2:$C$2000=A384)*(المبيعات!$B$2:$B$2000&lt;&gt;"")/COUNTIFS(المبيعات!$B$2:$B$2000,المبيعات!$B$2:$B$2000&amp;"",المبيعات!$C$2:$C$2000,المبيعات!$C$2:$C$2000&amp;"")))</f>
        <v/>
      </c>
      <c r="D384">
        <f>IF(A384="","",SUMIFS(المبيعات!$H$2:$H$2000,المبيعات!$C$2:$C$2000,A384))</f>
        <v/>
      </c>
      <c r="E384" s="13">
        <f>IF(A384="","",IF(COUNTIF(المبيعات!$C$2:$C$2000,A384)=0,"",_xlfn.MAXIFS(المبيعات!$A$2:$A$2000,المبيعات!$C$2:$C$2000,A384)))</f>
        <v/>
      </c>
      <c r="F384">
        <f>IF(A384="","",SUMIFS(المبيعات!$H$2:$H$2000,المبيعات!$C$2:$C$2000,A384,المبيعات!$J$2:$J$2000,"آجل"))</f>
        <v/>
      </c>
      <c r="G384" s="4" t="n"/>
      <c r="H384">
        <f>IF(A384="","",F384-G384)</f>
        <v/>
      </c>
    </row>
    <row r="385">
      <c r="A385" s="4" t="n"/>
      <c r="B385" s="4" t="n"/>
      <c r="C385">
        <f>IF(A385="","",SUMPRODUCT((المبيعات!$C$2:$C$2000=A385)*(المبيعات!$B$2:$B$2000&lt;&gt;"")/COUNTIFS(المبيعات!$B$2:$B$2000,المبيعات!$B$2:$B$2000&amp;"",المبيعات!$C$2:$C$2000,المبيعات!$C$2:$C$2000&amp;"")))</f>
        <v/>
      </c>
      <c r="D385">
        <f>IF(A385="","",SUMIFS(المبيعات!$H$2:$H$2000,المبيعات!$C$2:$C$2000,A385))</f>
        <v/>
      </c>
      <c r="E385" s="13">
        <f>IF(A385="","",IF(COUNTIF(المبيعات!$C$2:$C$2000,A385)=0,"",_xlfn.MAXIFS(المبيعات!$A$2:$A$2000,المبيعات!$C$2:$C$2000,A385)))</f>
        <v/>
      </c>
      <c r="F385">
        <f>IF(A385="","",SUMIFS(المبيعات!$H$2:$H$2000,المبيعات!$C$2:$C$2000,A385,المبيعات!$J$2:$J$2000,"آجل"))</f>
        <v/>
      </c>
      <c r="G385" s="4" t="n"/>
      <c r="H385">
        <f>IF(A385="","",F385-G385)</f>
        <v/>
      </c>
    </row>
    <row r="386">
      <c r="A386" s="4" t="n"/>
      <c r="B386" s="4" t="n"/>
      <c r="C386">
        <f>IF(A386="","",SUMPRODUCT((المبيعات!$C$2:$C$2000=A386)*(المبيعات!$B$2:$B$2000&lt;&gt;"")/COUNTIFS(المبيعات!$B$2:$B$2000,المبيعات!$B$2:$B$2000&amp;"",المبيعات!$C$2:$C$2000,المبيعات!$C$2:$C$2000&amp;"")))</f>
        <v/>
      </c>
      <c r="D386">
        <f>IF(A386="","",SUMIFS(المبيعات!$H$2:$H$2000,المبيعات!$C$2:$C$2000,A386))</f>
        <v/>
      </c>
      <c r="E386" s="13">
        <f>IF(A386="","",IF(COUNTIF(المبيعات!$C$2:$C$2000,A386)=0,"",_xlfn.MAXIFS(المبيعات!$A$2:$A$2000,المبيعات!$C$2:$C$2000,A386)))</f>
        <v/>
      </c>
      <c r="F386">
        <f>IF(A386="","",SUMIFS(المبيعات!$H$2:$H$2000,المبيعات!$C$2:$C$2000,A386,المبيعات!$J$2:$J$2000,"آجل"))</f>
        <v/>
      </c>
      <c r="G386" s="4" t="n"/>
      <c r="H386">
        <f>IF(A386="","",F386-G386)</f>
        <v/>
      </c>
    </row>
    <row r="387">
      <c r="A387" s="4" t="n"/>
      <c r="B387" s="4" t="n"/>
      <c r="C387">
        <f>IF(A387="","",SUMPRODUCT((المبيعات!$C$2:$C$2000=A387)*(المبيعات!$B$2:$B$2000&lt;&gt;"")/COUNTIFS(المبيعات!$B$2:$B$2000,المبيعات!$B$2:$B$2000&amp;"",المبيعات!$C$2:$C$2000,المبيعات!$C$2:$C$2000&amp;"")))</f>
        <v/>
      </c>
      <c r="D387">
        <f>IF(A387="","",SUMIFS(المبيعات!$H$2:$H$2000,المبيعات!$C$2:$C$2000,A387))</f>
        <v/>
      </c>
      <c r="E387" s="13">
        <f>IF(A387="","",IF(COUNTIF(المبيعات!$C$2:$C$2000,A387)=0,"",_xlfn.MAXIFS(المبيعات!$A$2:$A$2000,المبيعات!$C$2:$C$2000,A387)))</f>
        <v/>
      </c>
      <c r="F387">
        <f>IF(A387="","",SUMIFS(المبيعات!$H$2:$H$2000,المبيعات!$C$2:$C$2000,A387,المبيعات!$J$2:$J$2000,"آجل"))</f>
        <v/>
      </c>
      <c r="G387" s="4" t="n"/>
      <c r="H387">
        <f>IF(A387="","",F387-G387)</f>
        <v/>
      </c>
    </row>
    <row r="388">
      <c r="A388" s="4" t="n"/>
      <c r="B388" s="4" t="n"/>
      <c r="C388">
        <f>IF(A388="","",SUMPRODUCT((المبيعات!$C$2:$C$2000=A388)*(المبيعات!$B$2:$B$2000&lt;&gt;"")/COUNTIFS(المبيعات!$B$2:$B$2000,المبيعات!$B$2:$B$2000&amp;"",المبيعات!$C$2:$C$2000,المبيعات!$C$2:$C$2000&amp;"")))</f>
        <v/>
      </c>
      <c r="D388">
        <f>IF(A388="","",SUMIFS(المبيعات!$H$2:$H$2000,المبيعات!$C$2:$C$2000,A388))</f>
        <v/>
      </c>
      <c r="E388" s="13">
        <f>IF(A388="","",IF(COUNTIF(المبيعات!$C$2:$C$2000,A388)=0,"",_xlfn.MAXIFS(المبيعات!$A$2:$A$2000,المبيعات!$C$2:$C$2000,A388)))</f>
        <v/>
      </c>
      <c r="F388">
        <f>IF(A388="","",SUMIFS(المبيعات!$H$2:$H$2000,المبيعات!$C$2:$C$2000,A388,المبيعات!$J$2:$J$2000,"آجل"))</f>
        <v/>
      </c>
      <c r="G388" s="4" t="n"/>
      <c r="H388">
        <f>IF(A388="","",F388-G388)</f>
        <v/>
      </c>
    </row>
    <row r="389">
      <c r="A389" s="4" t="n"/>
      <c r="B389" s="4" t="n"/>
      <c r="C389">
        <f>IF(A389="","",SUMPRODUCT((المبيعات!$C$2:$C$2000=A389)*(المبيعات!$B$2:$B$2000&lt;&gt;"")/COUNTIFS(المبيعات!$B$2:$B$2000,المبيعات!$B$2:$B$2000&amp;"",المبيعات!$C$2:$C$2000,المبيعات!$C$2:$C$2000&amp;"")))</f>
        <v/>
      </c>
      <c r="D389">
        <f>IF(A389="","",SUMIFS(المبيعات!$H$2:$H$2000,المبيعات!$C$2:$C$2000,A389))</f>
        <v/>
      </c>
      <c r="E389" s="13">
        <f>IF(A389="","",IF(COUNTIF(المبيعات!$C$2:$C$2000,A389)=0,"",_xlfn.MAXIFS(المبيعات!$A$2:$A$2000,المبيعات!$C$2:$C$2000,A389)))</f>
        <v/>
      </c>
      <c r="F389">
        <f>IF(A389="","",SUMIFS(المبيعات!$H$2:$H$2000,المبيعات!$C$2:$C$2000,A389,المبيعات!$J$2:$J$2000,"آجل"))</f>
        <v/>
      </c>
      <c r="G389" s="4" t="n"/>
      <c r="H389">
        <f>IF(A389="","",F389-G389)</f>
        <v/>
      </c>
    </row>
    <row r="390">
      <c r="A390" s="4" t="n"/>
      <c r="B390" s="4" t="n"/>
      <c r="C390">
        <f>IF(A390="","",SUMPRODUCT((المبيعات!$C$2:$C$2000=A390)*(المبيعات!$B$2:$B$2000&lt;&gt;"")/COUNTIFS(المبيعات!$B$2:$B$2000,المبيعات!$B$2:$B$2000&amp;"",المبيعات!$C$2:$C$2000,المبيعات!$C$2:$C$2000&amp;"")))</f>
        <v/>
      </c>
      <c r="D390">
        <f>IF(A390="","",SUMIFS(المبيعات!$H$2:$H$2000,المبيعات!$C$2:$C$2000,A390))</f>
        <v/>
      </c>
      <c r="E390" s="13">
        <f>IF(A390="","",IF(COUNTIF(المبيعات!$C$2:$C$2000,A390)=0,"",_xlfn.MAXIFS(المبيعات!$A$2:$A$2000,المبيعات!$C$2:$C$2000,A390)))</f>
        <v/>
      </c>
      <c r="F390">
        <f>IF(A390="","",SUMIFS(المبيعات!$H$2:$H$2000,المبيعات!$C$2:$C$2000,A390,المبيعات!$J$2:$J$2000,"آجل"))</f>
        <v/>
      </c>
      <c r="G390" s="4" t="n"/>
      <c r="H390">
        <f>IF(A390="","",F390-G390)</f>
        <v/>
      </c>
    </row>
    <row r="391">
      <c r="A391" s="4" t="n"/>
      <c r="B391" s="4" t="n"/>
      <c r="C391">
        <f>IF(A391="","",SUMPRODUCT((المبيعات!$C$2:$C$2000=A391)*(المبيعات!$B$2:$B$2000&lt;&gt;"")/COUNTIFS(المبيعات!$B$2:$B$2000,المبيعات!$B$2:$B$2000&amp;"",المبيعات!$C$2:$C$2000,المبيعات!$C$2:$C$2000&amp;"")))</f>
        <v/>
      </c>
      <c r="D391">
        <f>IF(A391="","",SUMIFS(المبيعات!$H$2:$H$2000,المبيعات!$C$2:$C$2000,A391))</f>
        <v/>
      </c>
      <c r="E391" s="13">
        <f>IF(A391="","",IF(COUNTIF(المبيعات!$C$2:$C$2000,A391)=0,"",_xlfn.MAXIFS(المبيعات!$A$2:$A$2000,المبيعات!$C$2:$C$2000,A391)))</f>
        <v/>
      </c>
      <c r="F391">
        <f>IF(A391="","",SUMIFS(المبيعات!$H$2:$H$2000,المبيعات!$C$2:$C$2000,A391,المبيعات!$J$2:$J$2000,"آجل"))</f>
        <v/>
      </c>
      <c r="G391" s="4" t="n"/>
      <c r="H391">
        <f>IF(A391="","",F391-G391)</f>
        <v/>
      </c>
    </row>
    <row r="392">
      <c r="A392" s="4" t="n"/>
      <c r="B392" s="4" t="n"/>
      <c r="C392">
        <f>IF(A392="","",SUMPRODUCT((المبيعات!$C$2:$C$2000=A392)*(المبيعات!$B$2:$B$2000&lt;&gt;"")/COUNTIFS(المبيعات!$B$2:$B$2000,المبيعات!$B$2:$B$2000&amp;"",المبيعات!$C$2:$C$2000,المبيعات!$C$2:$C$2000&amp;"")))</f>
        <v/>
      </c>
      <c r="D392">
        <f>IF(A392="","",SUMIFS(المبيعات!$H$2:$H$2000,المبيعات!$C$2:$C$2000,A392))</f>
        <v/>
      </c>
      <c r="E392" s="13">
        <f>IF(A392="","",IF(COUNTIF(المبيعات!$C$2:$C$2000,A392)=0,"",_xlfn.MAXIFS(المبيعات!$A$2:$A$2000,المبيعات!$C$2:$C$2000,A392)))</f>
        <v/>
      </c>
      <c r="F392">
        <f>IF(A392="","",SUMIFS(المبيعات!$H$2:$H$2000,المبيعات!$C$2:$C$2000,A392,المبيعات!$J$2:$J$2000,"آجل"))</f>
        <v/>
      </c>
      <c r="G392" s="4" t="n"/>
      <c r="H392">
        <f>IF(A392="","",F392-G392)</f>
        <v/>
      </c>
    </row>
    <row r="393">
      <c r="A393" s="4" t="n"/>
      <c r="B393" s="4" t="n"/>
      <c r="C393">
        <f>IF(A393="","",SUMPRODUCT((المبيعات!$C$2:$C$2000=A393)*(المبيعات!$B$2:$B$2000&lt;&gt;"")/COUNTIFS(المبيعات!$B$2:$B$2000,المبيعات!$B$2:$B$2000&amp;"",المبيعات!$C$2:$C$2000,المبيعات!$C$2:$C$2000&amp;"")))</f>
        <v/>
      </c>
      <c r="D393">
        <f>IF(A393="","",SUMIFS(المبيعات!$H$2:$H$2000,المبيعات!$C$2:$C$2000,A393))</f>
        <v/>
      </c>
      <c r="E393" s="13">
        <f>IF(A393="","",IF(COUNTIF(المبيعات!$C$2:$C$2000,A393)=0,"",_xlfn.MAXIFS(المبيعات!$A$2:$A$2000,المبيعات!$C$2:$C$2000,A393)))</f>
        <v/>
      </c>
      <c r="F393">
        <f>IF(A393="","",SUMIFS(المبيعات!$H$2:$H$2000,المبيعات!$C$2:$C$2000,A393,المبيعات!$J$2:$J$2000,"آجل"))</f>
        <v/>
      </c>
      <c r="G393" s="4" t="n"/>
      <c r="H393">
        <f>IF(A393="","",F393-G393)</f>
        <v/>
      </c>
    </row>
    <row r="394">
      <c r="A394" s="4" t="n"/>
      <c r="B394" s="4" t="n"/>
      <c r="C394">
        <f>IF(A394="","",SUMPRODUCT((المبيعات!$C$2:$C$2000=A394)*(المبيعات!$B$2:$B$2000&lt;&gt;"")/COUNTIFS(المبيعات!$B$2:$B$2000,المبيعات!$B$2:$B$2000&amp;"",المبيعات!$C$2:$C$2000,المبيعات!$C$2:$C$2000&amp;"")))</f>
        <v/>
      </c>
      <c r="D394">
        <f>IF(A394="","",SUMIFS(المبيعات!$H$2:$H$2000,المبيعات!$C$2:$C$2000,A394))</f>
        <v/>
      </c>
      <c r="E394" s="13">
        <f>IF(A394="","",IF(COUNTIF(المبيعات!$C$2:$C$2000,A394)=0,"",_xlfn.MAXIFS(المبيعات!$A$2:$A$2000,المبيعات!$C$2:$C$2000,A394)))</f>
        <v/>
      </c>
      <c r="F394">
        <f>IF(A394="","",SUMIFS(المبيعات!$H$2:$H$2000,المبيعات!$C$2:$C$2000,A394,المبيعات!$J$2:$J$2000,"آجل"))</f>
        <v/>
      </c>
      <c r="G394" s="4" t="n"/>
      <c r="H394">
        <f>IF(A394="","",F394-G394)</f>
        <v/>
      </c>
    </row>
    <row r="395">
      <c r="A395" s="4" t="n"/>
      <c r="B395" s="4" t="n"/>
      <c r="C395">
        <f>IF(A395="","",SUMPRODUCT((المبيعات!$C$2:$C$2000=A395)*(المبيعات!$B$2:$B$2000&lt;&gt;"")/COUNTIFS(المبيعات!$B$2:$B$2000,المبيعات!$B$2:$B$2000&amp;"",المبيعات!$C$2:$C$2000,المبيعات!$C$2:$C$2000&amp;"")))</f>
        <v/>
      </c>
      <c r="D395">
        <f>IF(A395="","",SUMIFS(المبيعات!$H$2:$H$2000,المبيعات!$C$2:$C$2000,A395))</f>
        <v/>
      </c>
      <c r="E395" s="13">
        <f>IF(A395="","",IF(COUNTIF(المبيعات!$C$2:$C$2000,A395)=0,"",_xlfn.MAXIFS(المبيعات!$A$2:$A$2000,المبيعات!$C$2:$C$2000,A395)))</f>
        <v/>
      </c>
      <c r="F395">
        <f>IF(A395="","",SUMIFS(المبيعات!$H$2:$H$2000,المبيعات!$C$2:$C$2000,A395,المبيعات!$J$2:$J$2000,"آجل"))</f>
        <v/>
      </c>
      <c r="G395" s="4" t="n"/>
      <c r="H395">
        <f>IF(A395="","",F395-G395)</f>
        <v/>
      </c>
    </row>
    <row r="396">
      <c r="A396" s="4" t="n"/>
      <c r="B396" s="4" t="n"/>
      <c r="C396">
        <f>IF(A396="","",SUMPRODUCT((المبيعات!$C$2:$C$2000=A396)*(المبيعات!$B$2:$B$2000&lt;&gt;"")/COUNTIFS(المبيعات!$B$2:$B$2000,المبيعات!$B$2:$B$2000&amp;"",المبيعات!$C$2:$C$2000,المبيعات!$C$2:$C$2000&amp;"")))</f>
        <v/>
      </c>
      <c r="D396">
        <f>IF(A396="","",SUMIFS(المبيعات!$H$2:$H$2000,المبيعات!$C$2:$C$2000,A396))</f>
        <v/>
      </c>
      <c r="E396" s="13">
        <f>IF(A396="","",IF(COUNTIF(المبيعات!$C$2:$C$2000,A396)=0,"",_xlfn.MAXIFS(المبيعات!$A$2:$A$2000,المبيعات!$C$2:$C$2000,A396)))</f>
        <v/>
      </c>
      <c r="F396">
        <f>IF(A396="","",SUMIFS(المبيعات!$H$2:$H$2000,المبيعات!$C$2:$C$2000,A396,المبيعات!$J$2:$J$2000,"آجل"))</f>
        <v/>
      </c>
      <c r="G396" s="4" t="n"/>
      <c r="H396">
        <f>IF(A396="","",F396-G396)</f>
        <v/>
      </c>
    </row>
    <row r="397">
      <c r="A397" s="4" t="n"/>
      <c r="B397" s="4" t="n"/>
      <c r="C397">
        <f>IF(A397="","",SUMPRODUCT((المبيعات!$C$2:$C$2000=A397)*(المبيعات!$B$2:$B$2000&lt;&gt;"")/COUNTIFS(المبيعات!$B$2:$B$2000,المبيعات!$B$2:$B$2000&amp;"",المبيعات!$C$2:$C$2000,المبيعات!$C$2:$C$2000&amp;"")))</f>
        <v/>
      </c>
      <c r="D397">
        <f>IF(A397="","",SUMIFS(المبيعات!$H$2:$H$2000,المبيعات!$C$2:$C$2000,A397))</f>
        <v/>
      </c>
      <c r="E397" s="13">
        <f>IF(A397="","",IF(COUNTIF(المبيعات!$C$2:$C$2000,A397)=0,"",_xlfn.MAXIFS(المبيعات!$A$2:$A$2000,المبيعات!$C$2:$C$2000,A397)))</f>
        <v/>
      </c>
      <c r="F397">
        <f>IF(A397="","",SUMIFS(المبيعات!$H$2:$H$2000,المبيعات!$C$2:$C$2000,A397,المبيعات!$J$2:$J$2000,"آجل"))</f>
        <v/>
      </c>
      <c r="G397" s="4" t="n"/>
      <c r="H397">
        <f>IF(A397="","",F397-G397)</f>
        <v/>
      </c>
    </row>
    <row r="398">
      <c r="A398" s="4" t="n"/>
      <c r="B398" s="4" t="n"/>
      <c r="C398">
        <f>IF(A398="","",SUMPRODUCT((المبيعات!$C$2:$C$2000=A398)*(المبيعات!$B$2:$B$2000&lt;&gt;"")/COUNTIFS(المبيعات!$B$2:$B$2000,المبيعات!$B$2:$B$2000&amp;"",المبيعات!$C$2:$C$2000,المبيعات!$C$2:$C$2000&amp;"")))</f>
        <v/>
      </c>
      <c r="D398">
        <f>IF(A398="","",SUMIFS(المبيعات!$H$2:$H$2000,المبيعات!$C$2:$C$2000,A398))</f>
        <v/>
      </c>
      <c r="E398" s="13">
        <f>IF(A398="","",IF(COUNTIF(المبيعات!$C$2:$C$2000,A398)=0,"",_xlfn.MAXIFS(المبيعات!$A$2:$A$2000,المبيعات!$C$2:$C$2000,A398)))</f>
        <v/>
      </c>
      <c r="F398">
        <f>IF(A398="","",SUMIFS(المبيعات!$H$2:$H$2000,المبيعات!$C$2:$C$2000,A398,المبيعات!$J$2:$J$2000,"آجل"))</f>
        <v/>
      </c>
      <c r="G398" s="4" t="n"/>
      <c r="H398">
        <f>IF(A398="","",F398-G398)</f>
        <v/>
      </c>
    </row>
    <row r="399">
      <c r="A399" s="4" t="n"/>
      <c r="B399" s="4" t="n"/>
      <c r="C399">
        <f>IF(A399="","",SUMPRODUCT((المبيعات!$C$2:$C$2000=A399)*(المبيعات!$B$2:$B$2000&lt;&gt;"")/COUNTIFS(المبيعات!$B$2:$B$2000,المبيعات!$B$2:$B$2000&amp;"",المبيعات!$C$2:$C$2000,المبيعات!$C$2:$C$2000&amp;"")))</f>
        <v/>
      </c>
      <c r="D399">
        <f>IF(A399="","",SUMIFS(المبيعات!$H$2:$H$2000,المبيعات!$C$2:$C$2000,A399))</f>
        <v/>
      </c>
      <c r="E399" s="13">
        <f>IF(A399="","",IF(COUNTIF(المبيعات!$C$2:$C$2000,A399)=0,"",_xlfn.MAXIFS(المبيعات!$A$2:$A$2000,المبيعات!$C$2:$C$2000,A399)))</f>
        <v/>
      </c>
      <c r="F399">
        <f>IF(A399="","",SUMIFS(المبيعات!$H$2:$H$2000,المبيعات!$C$2:$C$2000,A399,المبيعات!$J$2:$J$2000,"آجل"))</f>
        <v/>
      </c>
      <c r="G399" s="4" t="n"/>
      <c r="H399">
        <f>IF(A399="","",F399-G399)</f>
        <v/>
      </c>
    </row>
    <row r="400">
      <c r="A400" s="4" t="n"/>
      <c r="B400" s="4" t="n"/>
      <c r="C400">
        <f>IF(A400="","",SUMPRODUCT((المبيعات!$C$2:$C$2000=A400)*(المبيعات!$B$2:$B$2000&lt;&gt;"")/COUNTIFS(المبيعات!$B$2:$B$2000,المبيعات!$B$2:$B$2000&amp;"",المبيعات!$C$2:$C$2000,المبيعات!$C$2:$C$2000&amp;"")))</f>
        <v/>
      </c>
      <c r="D400">
        <f>IF(A400="","",SUMIFS(المبيعات!$H$2:$H$2000,المبيعات!$C$2:$C$2000,A400))</f>
        <v/>
      </c>
      <c r="E400" s="13">
        <f>IF(A400="","",IF(COUNTIF(المبيعات!$C$2:$C$2000,A400)=0,"",_xlfn.MAXIFS(المبيعات!$A$2:$A$2000,المبيعات!$C$2:$C$2000,A400)))</f>
        <v/>
      </c>
      <c r="F400">
        <f>IF(A400="","",SUMIFS(المبيعات!$H$2:$H$2000,المبيعات!$C$2:$C$2000,A400,المبيعات!$J$2:$J$2000,"آجل"))</f>
        <v/>
      </c>
      <c r="G400" s="4" t="n"/>
      <c r="H400">
        <f>IF(A400="","",F400-G400)</f>
        <v/>
      </c>
    </row>
    <row r="401">
      <c r="A401" s="4" t="n"/>
      <c r="B401" s="4" t="n"/>
      <c r="C401">
        <f>IF(A401="","",SUMPRODUCT((المبيعات!$C$2:$C$2000=A401)*(المبيعات!$B$2:$B$2000&lt;&gt;"")/COUNTIFS(المبيعات!$B$2:$B$2000,المبيعات!$B$2:$B$2000&amp;"",المبيعات!$C$2:$C$2000,المبيعات!$C$2:$C$2000&amp;"")))</f>
        <v/>
      </c>
      <c r="D401">
        <f>IF(A401="","",SUMIFS(المبيعات!$H$2:$H$2000,المبيعات!$C$2:$C$2000,A401))</f>
        <v/>
      </c>
      <c r="E401" s="13">
        <f>IF(A401="","",IF(COUNTIF(المبيعات!$C$2:$C$2000,A401)=0,"",_xlfn.MAXIFS(المبيعات!$A$2:$A$2000,المبيعات!$C$2:$C$2000,A401)))</f>
        <v/>
      </c>
      <c r="F401">
        <f>IF(A401="","",SUMIFS(المبيعات!$H$2:$H$2000,المبيعات!$C$2:$C$2000,A401,المبيعات!$J$2:$J$2000,"آجل"))</f>
        <v/>
      </c>
      <c r="G401" s="4" t="n"/>
      <c r="H401">
        <f>IF(A401="","",F401-G401)</f>
        <v/>
      </c>
    </row>
    <row r="402">
      <c r="A402" s="4" t="n"/>
      <c r="B402" s="4" t="n"/>
      <c r="C402">
        <f>IF(A402="","",SUMPRODUCT((المبيعات!$C$2:$C$2000=A402)*(المبيعات!$B$2:$B$2000&lt;&gt;"")/COUNTIFS(المبيعات!$B$2:$B$2000,المبيعات!$B$2:$B$2000&amp;"",المبيعات!$C$2:$C$2000,المبيعات!$C$2:$C$2000&amp;"")))</f>
        <v/>
      </c>
      <c r="D402">
        <f>IF(A402="","",SUMIFS(المبيعات!$H$2:$H$2000,المبيعات!$C$2:$C$2000,A402))</f>
        <v/>
      </c>
      <c r="E402" s="13">
        <f>IF(A402="","",IF(COUNTIF(المبيعات!$C$2:$C$2000,A402)=0,"",_xlfn.MAXIFS(المبيعات!$A$2:$A$2000,المبيعات!$C$2:$C$2000,A402)))</f>
        <v/>
      </c>
      <c r="F402">
        <f>IF(A402="","",SUMIFS(المبيعات!$H$2:$H$2000,المبيعات!$C$2:$C$2000,A402,المبيعات!$J$2:$J$2000,"آجل"))</f>
        <v/>
      </c>
      <c r="G402" s="4" t="n"/>
      <c r="H402">
        <f>IF(A402="","",F402-G402)</f>
        <v/>
      </c>
    </row>
    <row r="403">
      <c r="A403" s="4" t="n"/>
      <c r="B403" s="4" t="n"/>
      <c r="C403">
        <f>IF(A403="","",SUMPRODUCT((المبيعات!$C$2:$C$2000=A403)*(المبيعات!$B$2:$B$2000&lt;&gt;"")/COUNTIFS(المبيعات!$B$2:$B$2000,المبيعات!$B$2:$B$2000&amp;"",المبيعات!$C$2:$C$2000,المبيعات!$C$2:$C$2000&amp;"")))</f>
        <v/>
      </c>
      <c r="D403">
        <f>IF(A403="","",SUMIFS(المبيعات!$H$2:$H$2000,المبيعات!$C$2:$C$2000,A403))</f>
        <v/>
      </c>
      <c r="E403" s="13">
        <f>IF(A403="","",IF(COUNTIF(المبيعات!$C$2:$C$2000,A403)=0,"",_xlfn.MAXIFS(المبيعات!$A$2:$A$2000,المبيعات!$C$2:$C$2000,A403)))</f>
        <v/>
      </c>
      <c r="F403">
        <f>IF(A403="","",SUMIFS(المبيعات!$H$2:$H$2000,المبيعات!$C$2:$C$2000,A403,المبيعات!$J$2:$J$2000,"آجل"))</f>
        <v/>
      </c>
      <c r="G403" s="4" t="n"/>
      <c r="H403">
        <f>IF(A403="","",F403-G403)</f>
        <v/>
      </c>
    </row>
    <row r="404">
      <c r="A404" s="4" t="n"/>
      <c r="B404" s="4" t="n"/>
      <c r="C404">
        <f>IF(A404="","",SUMPRODUCT((المبيعات!$C$2:$C$2000=A404)*(المبيعات!$B$2:$B$2000&lt;&gt;"")/COUNTIFS(المبيعات!$B$2:$B$2000,المبيعات!$B$2:$B$2000&amp;"",المبيعات!$C$2:$C$2000,المبيعات!$C$2:$C$2000&amp;"")))</f>
        <v/>
      </c>
      <c r="D404">
        <f>IF(A404="","",SUMIFS(المبيعات!$H$2:$H$2000,المبيعات!$C$2:$C$2000,A404))</f>
        <v/>
      </c>
      <c r="E404" s="13">
        <f>IF(A404="","",IF(COUNTIF(المبيعات!$C$2:$C$2000,A404)=0,"",_xlfn.MAXIFS(المبيعات!$A$2:$A$2000,المبيعات!$C$2:$C$2000,A404)))</f>
        <v/>
      </c>
      <c r="F404">
        <f>IF(A404="","",SUMIFS(المبيعات!$H$2:$H$2000,المبيعات!$C$2:$C$2000,A404,المبيعات!$J$2:$J$2000,"آجل"))</f>
        <v/>
      </c>
      <c r="G404" s="4" t="n"/>
      <c r="H404">
        <f>IF(A404="","",F404-G404)</f>
        <v/>
      </c>
    </row>
    <row r="405">
      <c r="A405" s="4" t="n"/>
      <c r="B405" s="4" t="n"/>
      <c r="C405">
        <f>IF(A405="","",SUMPRODUCT((المبيعات!$C$2:$C$2000=A405)*(المبيعات!$B$2:$B$2000&lt;&gt;"")/COUNTIFS(المبيعات!$B$2:$B$2000,المبيعات!$B$2:$B$2000&amp;"",المبيعات!$C$2:$C$2000,المبيعات!$C$2:$C$2000&amp;"")))</f>
        <v/>
      </c>
      <c r="D405">
        <f>IF(A405="","",SUMIFS(المبيعات!$H$2:$H$2000,المبيعات!$C$2:$C$2000,A405))</f>
        <v/>
      </c>
      <c r="E405" s="13">
        <f>IF(A405="","",IF(COUNTIF(المبيعات!$C$2:$C$2000,A405)=0,"",_xlfn.MAXIFS(المبيعات!$A$2:$A$2000,المبيعات!$C$2:$C$2000,A405)))</f>
        <v/>
      </c>
      <c r="F405">
        <f>IF(A405="","",SUMIFS(المبيعات!$H$2:$H$2000,المبيعات!$C$2:$C$2000,A405,المبيعات!$J$2:$J$2000,"آجل"))</f>
        <v/>
      </c>
      <c r="G405" s="4" t="n"/>
      <c r="H405">
        <f>IF(A405="","",F405-G405)</f>
        <v/>
      </c>
    </row>
    <row r="406">
      <c r="A406" s="4" t="n"/>
      <c r="B406" s="4" t="n"/>
      <c r="C406">
        <f>IF(A406="","",SUMPRODUCT((المبيعات!$C$2:$C$2000=A406)*(المبيعات!$B$2:$B$2000&lt;&gt;"")/COUNTIFS(المبيعات!$B$2:$B$2000,المبيعات!$B$2:$B$2000&amp;"",المبيعات!$C$2:$C$2000,المبيعات!$C$2:$C$2000&amp;"")))</f>
        <v/>
      </c>
      <c r="D406">
        <f>IF(A406="","",SUMIFS(المبيعات!$H$2:$H$2000,المبيعات!$C$2:$C$2000,A406))</f>
        <v/>
      </c>
      <c r="E406" s="13">
        <f>IF(A406="","",IF(COUNTIF(المبيعات!$C$2:$C$2000,A406)=0,"",_xlfn.MAXIFS(المبيعات!$A$2:$A$2000,المبيعات!$C$2:$C$2000,A406)))</f>
        <v/>
      </c>
      <c r="F406">
        <f>IF(A406="","",SUMIFS(المبيعات!$H$2:$H$2000,المبيعات!$C$2:$C$2000,A406,المبيعات!$J$2:$J$2000,"آجل"))</f>
        <v/>
      </c>
      <c r="G406" s="4" t="n"/>
      <c r="H406">
        <f>IF(A406="","",F406-G406)</f>
        <v/>
      </c>
    </row>
    <row r="407">
      <c r="A407" s="4" t="n"/>
      <c r="B407" s="4" t="n"/>
      <c r="C407">
        <f>IF(A407="","",SUMPRODUCT((المبيعات!$C$2:$C$2000=A407)*(المبيعات!$B$2:$B$2000&lt;&gt;"")/COUNTIFS(المبيعات!$B$2:$B$2000,المبيعات!$B$2:$B$2000&amp;"",المبيعات!$C$2:$C$2000,المبيعات!$C$2:$C$2000&amp;"")))</f>
        <v/>
      </c>
      <c r="D407">
        <f>IF(A407="","",SUMIFS(المبيعات!$H$2:$H$2000,المبيعات!$C$2:$C$2000,A407))</f>
        <v/>
      </c>
      <c r="E407" s="13">
        <f>IF(A407="","",IF(COUNTIF(المبيعات!$C$2:$C$2000,A407)=0,"",_xlfn.MAXIFS(المبيعات!$A$2:$A$2000,المبيعات!$C$2:$C$2000,A407)))</f>
        <v/>
      </c>
      <c r="F407">
        <f>IF(A407="","",SUMIFS(المبيعات!$H$2:$H$2000,المبيعات!$C$2:$C$2000,A407,المبيعات!$J$2:$J$2000,"آجل"))</f>
        <v/>
      </c>
      <c r="G407" s="4" t="n"/>
      <c r="H407">
        <f>IF(A407="","",F407-G407)</f>
        <v/>
      </c>
    </row>
    <row r="408">
      <c r="A408" s="4" t="n"/>
      <c r="B408" s="4" t="n"/>
      <c r="C408">
        <f>IF(A408="","",SUMPRODUCT((المبيعات!$C$2:$C$2000=A408)*(المبيعات!$B$2:$B$2000&lt;&gt;"")/COUNTIFS(المبيعات!$B$2:$B$2000,المبيعات!$B$2:$B$2000&amp;"",المبيعات!$C$2:$C$2000,المبيعات!$C$2:$C$2000&amp;"")))</f>
        <v/>
      </c>
      <c r="D408">
        <f>IF(A408="","",SUMIFS(المبيعات!$H$2:$H$2000,المبيعات!$C$2:$C$2000,A408))</f>
        <v/>
      </c>
      <c r="E408" s="13">
        <f>IF(A408="","",IF(COUNTIF(المبيعات!$C$2:$C$2000,A408)=0,"",_xlfn.MAXIFS(المبيعات!$A$2:$A$2000,المبيعات!$C$2:$C$2000,A408)))</f>
        <v/>
      </c>
      <c r="F408">
        <f>IF(A408="","",SUMIFS(المبيعات!$H$2:$H$2000,المبيعات!$C$2:$C$2000,A408,المبيعات!$J$2:$J$2000,"آجل"))</f>
        <v/>
      </c>
      <c r="G408" s="4" t="n"/>
      <c r="H408">
        <f>IF(A408="","",F408-G408)</f>
        <v/>
      </c>
    </row>
    <row r="409">
      <c r="A409" s="4" t="n"/>
      <c r="B409" s="4" t="n"/>
      <c r="C409">
        <f>IF(A409="","",SUMPRODUCT((المبيعات!$C$2:$C$2000=A409)*(المبيعات!$B$2:$B$2000&lt;&gt;"")/COUNTIFS(المبيعات!$B$2:$B$2000,المبيعات!$B$2:$B$2000&amp;"",المبيعات!$C$2:$C$2000,المبيعات!$C$2:$C$2000&amp;"")))</f>
        <v/>
      </c>
      <c r="D409">
        <f>IF(A409="","",SUMIFS(المبيعات!$H$2:$H$2000,المبيعات!$C$2:$C$2000,A409))</f>
        <v/>
      </c>
      <c r="E409" s="13">
        <f>IF(A409="","",IF(COUNTIF(المبيعات!$C$2:$C$2000,A409)=0,"",_xlfn.MAXIFS(المبيعات!$A$2:$A$2000,المبيعات!$C$2:$C$2000,A409)))</f>
        <v/>
      </c>
      <c r="F409">
        <f>IF(A409="","",SUMIFS(المبيعات!$H$2:$H$2000,المبيعات!$C$2:$C$2000,A409,المبيعات!$J$2:$J$2000,"آجل"))</f>
        <v/>
      </c>
      <c r="G409" s="4" t="n"/>
      <c r="H409">
        <f>IF(A409="","",F409-G409)</f>
        <v/>
      </c>
    </row>
    <row r="410">
      <c r="A410" s="4" t="n"/>
      <c r="B410" s="4" t="n"/>
      <c r="C410">
        <f>IF(A410="","",SUMPRODUCT((المبيعات!$C$2:$C$2000=A410)*(المبيعات!$B$2:$B$2000&lt;&gt;"")/COUNTIFS(المبيعات!$B$2:$B$2000,المبيعات!$B$2:$B$2000&amp;"",المبيعات!$C$2:$C$2000,المبيعات!$C$2:$C$2000&amp;"")))</f>
        <v/>
      </c>
      <c r="D410">
        <f>IF(A410="","",SUMIFS(المبيعات!$H$2:$H$2000,المبيعات!$C$2:$C$2000,A410))</f>
        <v/>
      </c>
      <c r="E410" s="13">
        <f>IF(A410="","",IF(COUNTIF(المبيعات!$C$2:$C$2000,A410)=0,"",_xlfn.MAXIFS(المبيعات!$A$2:$A$2000,المبيعات!$C$2:$C$2000,A410)))</f>
        <v/>
      </c>
      <c r="F410">
        <f>IF(A410="","",SUMIFS(المبيعات!$H$2:$H$2000,المبيعات!$C$2:$C$2000,A410,المبيعات!$J$2:$J$2000,"آجل"))</f>
        <v/>
      </c>
      <c r="G410" s="4" t="n"/>
      <c r="H410">
        <f>IF(A410="","",F410-G410)</f>
        <v/>
      </c>
    </row>
    <row r="411">
      <c r="A411" s="4" t="n"/>
      <c r="B411" s="4" t="n"/>
      <c r="C411">
        <f>IF(A411="","",SUMPRODUCT((المبيعات!$C$2:$C$2000=A411)*(المبيعات!$B$2:$B$2000&lt;&gt;"")/COUNTIFS(المبيعات!$B$2:$B$2000,المبيعات!$B$2:$B$2000&amp;"",المبيعات!$C$2:$C$2000,المبيعات!$C$2:$C$2000&amp;"")))</f>
        <v/>
      </c>
      <c r="D411">
        <f>IF(A411="","",SUMIFS(المبيعات!$H$2:$H$2000,المبيعات!$C$2:$C$2000,A411))</f>
        <v/>
      </c>
      <c r="E411" s="13">
        <f>IF(A411="","",IF(COUNTIF(المبيعات!$C$2:$C$2000,A411)=0,"",_xlfn.MAXIFS(المبيعات!$A$2:$A$2000,المبيعات!$C$2:$C$2000,A411)))</f>
        <v/>
      </c>
      <c r="F411">
        <f>IF(A411="","",SUMIFS(المبيعات!$H$2:$H$2000,المبيعات!$C$2:$C$2000,A411,المبيعات!$J$2:$J$2000,"آجل"))</f>
        <v/>
      </c>
      <c r="G411" s="4" t="n"/>
      <c r="H411">
        <f>IF(A411="","",F411-G411)</f>
        <v/>
      </c>
    </row>
    <row r="412">
      <c r="A412" s="4" t="n"/>
      <c r="B412" s="4" t="n"/>
      <c r="C412">
        <f>IF(A412="","",SUMPRODUCT((المبيعات!$C$2:$C$2000=A412)*(المبيعات!$B$2:$B$2000&lt;&gt;"")/COUNTIFS(المبيعات!$B$2:$B$2000,المبيعات!$B$2:$B$2000&amp;"",المبيعات!$C$2:$C$2000,المبيعات!$C$2:$C$2000&amp;"")))</f>
        <v/>
      </c>
      <c r="D412">
        <f>IF(A412="","",SUMIFS(المبيعات!$H$2:$H$2000,المبيعات!$C$2:$C$2000,A412))</f>
        <v/>
      </c>
      <c r="E412" s="13">
        <f>IF(A412="","",IF(COUNTIF(المبيعات!$C$2:$C$2000,A412)=0,"",_xlfn.MAXIFS(المبيعات!$A$2:$A$2000,المبيعات!$C$2:$C$2000,A412)))</f>
        <v/>
      </c>
      <c r="F412">
        <f>IF(A412="","",SUMIFS(المبيعات!$H$2:$H$2000,المبيعات!$C$2:$C$2000,A412,المبيعات!$J$2:$J$2000,"آجل"))</f>
        <v/>
      </c>
      <c r="G412" s="4" t="n"/>
      <c r="H412">
        <f>IF(A412="","",F412-G412)</f>
        <v/>
      </c>
    </row>
    <row r="413">
      <c r="A413" s="4" t="n"/>
      <c r="B413" s="4" t="n"/>
      <c r="C413">
        <f>IF(A413="","",SUMPRODUCT((المبيعات!$C$2:$C$2000=A413)*(المبيعات!$B$2:$B$2000&lt;&gt;"")/COUNTIFS(المبيعات!$B$2:$B$2000,المبيعات!$B$2:$B$2000&amp;"",المبيعات!$C$2:$C$2000,المبيعات!$C$2:$C$2000&amp;"")))</f>
        <v/>
      </c>
      <c r="D413">
        <f>IF(A413="","",SUMIFS(المبيعات!$H$2:$H$2000,المبيعات!$C$2:$C$2000,A413))</f>
        <v/>
      </c>
      <c r="E413" s="13">
        <f>IF(A413="","",IF(COUNTIF(المبيعات!$C$2:$C$2000,A413)=0,"",_xlfn.MAXIFS(المبيعات!$A$2:$A$2000,المبيعات!$C$2:$C$2000,A413)))</f>
        <v/>
      </c>
      <c r="F413">
        <f>IF(A413="","",SUMIFS(المبيعات!$H$2:$H$2000,المبيعات!$C$2:$C$2000,A413,المبيعات!$J$2:$J$2000,"آجل"))</f>
        <v/>
      </c>
      <c r="G413" s="4" t="n"/>
      <c r="H413">
        <f>IF(A413="","",F413-G413)</f>
        <v/>
      </c>
    </row>
    <row r="414">
      <c r="A414" s="4" t="n"/>
      <c r="B414" s="4" t="n"/>
      <c r="C414">
        <f>IF(A414="","",SUMPRODUCT((المبيعات!$C$2:$C$2000=A414)*(المبيعات!$B$2:$B$2000&lt;&gt;"")/COUNTIFS(المبيعات!$B$2:$B$2000,المبيعات!$B$2:$B$2000&amp;"",المبيعات!$C$2:$C$2000,المبيعات!$C$2:$C$2000&amp;"")))</f>
        <v/>
      </c>
      <c r="D414">
        <f>IF(A414="","",SUMIFS(المبيعات!$H$2:$H$2000,المبيعات!$C$2:$C$2000,A414))</f>
        <v/>
      </c>
      <c r="E414" s="13">
        <f>IF(A414="","",IF(COUNTIF(المبيعات!$C$2:$C$2000,A414)=0,"",_xlfn.MAXIFS(المبيعات!$A$2:$A$2000,المبيعات!$C$2:$C$2000,A414)))</f>
        <v/>
      </c>
      <c r="F414">
        <f>IF(A414="","",SUMIFS(المبيعات!$H$2:$H$2000,المبيعات!$C$2:$C$2000,A414,المبيعات!$J$2:$J$2000,"آجل"))</f>
        <v/>
      </c>
      <c r="G414" s="4" t="n"/>
      <c r="H414">
        <f>IF(A414="","",F414-G414)</f>
        <v/>
      </c>
    </row>
    <row r="415">
      <c r="A415" s="4" t="n"/>
      <c r="B415" s="4" t="n"/>
      <c r="C415">
        <f>IF(A415="","",SUMPRODUCT((المبيعات!$C$2:$C$2000=A415)*(المبيعات!$B$2:$B$2000&lt;&gt;"")/COUNTIFS(المبيعات!$B$2:$B$2000,المبيعات!$B$2:$B$2000&amp;"",المبيعات!$C$2:$C$2000,المبيعات!$C$2:$C$2000&amp;"")))</f>
        <v/>
      </c>
      <c r="D415">
        <f>IF(A415="","",SUMIFS(المبيعات!$H$2:$H$2000,المبيعات!$C$2:$C$2000,A415))</f>
        <v/>
      </c>
      <c r="E415" s="13">
        <f>IF(A415="","",IF(COUNTIF(المبيعات!$C$2:$C$2000,A415)=0,"",_xlfn.MAXIFS(المبيعات!$A$2:$A$2000,المبيعات!$C$2:$C$2000,A415)))</f>
        <v/>
      </c>
      <c r="F415">
        <f>IF(A415="","",SUMIFS(المبيعات!$H$2:$H$2000,المبيعات!$C$2:$C$2000,A415,المبيعات!$J$2:$J$2000,"آجل"))</f>
        <v/>
      </c>
      <c r="G415" s="4" t="n"/>
      <c r="H415">
        <f>IF(A415="","",F415-G415)</f>
        <v/>
      </c>
    </row>
    <row r="416">
      <c r="A416" s="4" t="n"/>
      <c r="B416" s="4" t="n"/>
      <c r="C416">
        <f>IF(A416="","",SUMPRODUCT((المبيعات!$C$2:$C$2000=A416)*(المبيعات!$B$2:$B$2000&lt;&gt;"")/COUNTIFS(المبيعات!$B$2:$B$2000,المبيعات!$B$2:$B$2000&amp;"",المبيعات!$C$2:$C$2000,المبيعات!$C$2:$C$2000&amp;"")))</f>
        <v/>
      </c>
      <c r="D416">
        <f>IF(A416="","",SUMIFS(المبيعات!$H$2:$H$2000,المبيعات!$C$2:$C$2000,A416))</f>
        <v/>
      </c>
      <c r="E416" s="13">
        <f>IF(A416="","",IF(COUNTIF(المبيعات!$C$2:$C$2000,A416)=0,"",_xlfn.MAXIFS(المبيعات!$A$2:$A$2000,المبيعات!$C$2:$C$2000,A416)))</f>
        <v/>
      </c>
      <c r="F416">
        <f>IF(A416="","",SUMIFS(المبيعات!$H$2:$H$2000,المبيعات!$C$2:$C$2000,A416,المبيعات!$J$2:$J$2000,"آجل"))</f>
        <v/>
      </c>
      <c r="G416" s="4" t="n"/>
      <c r="H416">
        <f>IF(A416="","",F416-G416)</f>
        <v/>
      </c>
    </row>
    <row r="417">
      <c r="A417" s="4" t="n"/>
      <c r="B417" s="4" t="n"/>
      <c r="C417">
        <f>IF(A417="","",SUMPRODUCT((المبيعات!$C$2:$C$2000=A417)*(المبيعات!$B$2:$B$2000&lt;&gt;"")/COUNTIFS(المبيعات!$B$2:$B$2000,المبيعات!$B$2:$B$2000&amp;"",المبيعات!$C$2:$C$2000,المبيعات!$C$2:$C$2000&amp;"")))</f>
        <v/>
      </c>
      <c r="D417">
        <f>IF(A417="","",SUMIFS(المبيعات!$H$2:$H$2000,المبيعات!$C$2:$C$2000,A417))</f>
        <v/>
      </c>
      <c r="E417" s="13">
        <f>IF(A417="","",IF(COUNTIF(المبيعات!$C$2:$C$2000,A417)=0,"",_xlfn.MAXIFS(المبيعات!$A$2:$A$2000,المبيعات!$C$2:$C$2000,A417)))</f>
        <v/>
      </c>
      <c r="F417">
        <f>IF(A417="","",SUMIFS(المبيعات!$H$2:$H$2000,المبيعات!$C$2:$C$2000,A417,المبيعات!$J$2:$J$2000,"آجل"))</f>
        <v/>
      </c>
      <c r="G417" s="4" t="n"/>
      <c r="H417">
        <f>IF(A417="","",F417-G417)</f>
        <v/>
      </c>
    </row>
    <row r="418">
      <c r="A418" s="4" t="n"/>
      <c r="B418" s="4" t="n"/>
      <c r="C418">
        <f>IF(A418="","",SUMPRODUCT((المبيعات!$C$2:$C$2000=A418)*(المبيعات!$B$2:$B$2000&lt;&gt;"")/COUNTIFS(المبيعات!$B$2:$B$2000,المبيعات!$B$2:$B$2000&amp;"",المبيعات!$C$2:$C$2000,المبيعات!$C$2:$C$2000&amp;"")))</f>
        <v/>
      </c>
      <c r="D418">
        <f>IF(A418="","",SUMIFS(المبيعات!$H$2:$H$2000,المبيعات!$C$2:$C$2000,A418))</f>
        <v/>
      </c>
      <c r="E418" s="13">
        <f>IF(A418="","",IF(COUNTIF(المبيعات!$C$2:$C$2000,A418)=0,"",_xlfn.MAXIFS(المبيعات!$A$2:$A$2000,المبيعات!$C$2:$C$2000,A418)))</f>
        <v/>
      </c>
      <c r="F418">
        <f>IF(A418="","",SUMIFS(المبيعات!$H$2:$H$2000,المبيعات!$C$2:$C$2000,A418,المبيعات!$J$2:$J$2000,"آجل"))</f>
        <v/>
      </c>
      <c r="G418" s="4" t="n"/>
      <c r="H418">
        <f>IF(A418="","",F418-G418)</f>
        <v/>
      </c>
    </row>
    <row r="419">
      <c r="A419" s="4" t="n"/>
      <c r="B419" s="4" t="n"/>
      <c r="C419">
        <f>IF(A419="","",SUMPRODUCT((المبيعات!$C$2:$C$2000=A419)*(المبيعات!$B$2:$B$2000&lt;&gt;"")/COUNTIFS(المبيعات!$B$2:$B$2000,المبيعات!$B$2:$B$2000&amp;"",المبيعات!$C$2:$C$2000,المبيعات!$C$2:$C$2000&amp;"")))</f>
        <v/>
      </c>
      <c r="D419">
        <f>IF(A419="","",SUMIFS(المبيعات!$H$2:$H$2000,المبيعات!$C$2:$C$2000,A419))</f>
        <v/>
      </c>
      <c r="E419" s="13">
        <f>IF(A419="","",IF(COUNTIF(المبيعات!$C$2:$C$2000,A419)=0,"",_xlfn.MAXIFS(المبيعات!$A$2:$A$2000,المبيعات!$C$2:$C$2000,A419)))</f>
        <v/>
      </c>
      <c r="F419">
        <f>IF(A419="","",SUMIFS(المبيعات!$H$2:$H$2000,المبيعات!$C$2:$C$2000,A419,المبيعات!$J$2:$J$2000,"آجل"))</f>
        <v/>
      </c>
      <c r="G419" s="4" t="n"/>
      <c r="H419">
        <f>IF(A419="","",F419-G419)</f>
        <v/>
      </c>
    </row>
    <row r="420">
      <c r="A420" s="4" t="n"/>
      <c r="B420" s="4" t="n"/>
      <c r="C420">
        <f>IF(A420="","",SUMPRODUCT((المبيعات!$C$2:$C$2000=A420)*(المبيعات!$B$2:$B$2000&lt;&gt;"")/COUNTIFS(المبيعات!$B$2:$B$2000,المبيعات!$B$2:$B$2000&amp;"",المبيعات!$C$2:$C$2000,المبيعات!$C$2:$C$2000&amp;"")))</f>
        <v/>
      </c>
      <c r="D420">
        <f>IF(A420="","",SUMIFS(المبيعات!$H$2:$H$2000,المبيعات!$C$2:$C$2000,A420))</f>
        <v/>
      </c>
      <c r="E420" s="13">
        <f>IF(A420="","",IF(COUNTIF(المبيعات!$C$2:$C$2000,A420)=0,"",_xlfn.MAXIFS(المبيعات!$A$2:$A$2000,المبيعات!$C$2:$C$2000,A420)))</f>
        <v/>
      </c>
      <c r="F420">
        <f>IF(A420="","",SUMIFS(المبيعات!$H$2:$H$2000,المبيعات!$C$2:$C$2000,A420,المبيعات!$J$2:$J$2000,"آجل"))</f>
        <v/>
      </c>
      <c r="G420" s="4" t="n"/>
      <c r="H420">
        <f>IF(A420="","",F420-G420)</f>
        <v/>
      </c>
    </row>
    <row r="421">
      <c r="A421" s="4" t="n"/>
      <c r="B421" s="4" t="n"/>
      <c r="C421">
        <f>IF(A421="","",SUMPRODUCT((المبيعات!$C$2:$C$2000=A421)*(المبيعات!$B$2:$B$2000&lt;&gt;"")/COUNTIFS(المبيعات!$B$2:$B$2000,المبيعات!$B$2:$B$2000&amp;"",المبيعات!$C$2:$C$2000,المبيعات!$C$2:$C$2000&amp;"")))</f>
        <v/>
      </c>
      <c r="D421">
        <f>IF(A421="","",SUMIFS(المبيعات!$H$2:$H$2000,المبيعات!$C$2:$C$2000,A421))</f>
        <v/>
      </c>
      <c r="E421" s="13">
        <f>IF(A421="","",IF(COUNTIF(المبيعات!$C$2:$C$2000,A421)=0,"",_xlfn.MAXIFS(المبيعات!$A$2:$A$2000,المبيعات!$C$2:$C$2000,A421)))</f>
        <v/>
      </c>
      <c r="F421">
        <f>IF(A421="","",SUMIFS(المبيعات!$H$2:$H$2000,المبيعات!$C$2:$C$2000,A421,المبيعات!$J$2:$J$2000,"آجل"))</f>
        <v/>
      </c>
      <c r="G421" s="4" t="n"/>
      <c r="H421">
        <f>IF(A421="","",F421-G421)</f>
        <v/>
      </c>
    </row>
    <row r="422">
      <c r="A422" s="4" t="n"/>
      <c r="B422" s="4" t="n"/>
      <c r="C422">
        <f>IF(A422="","",SUMPRODUCT((المبيعات!$C$2:$C$2000=A422)*(المبيعات!$B$2:$B$2000&lt;&gt;"")/COUNTIFS(المبيعات!$B$2:$B$2000,المبيعات!$B$2:$B$2000&amp;"",المبيعات!$C$2:$C$2000,المبيعات!$C$2:$C$2000&amp;"")))</f>
        <v/>
      </c>
      <c r="D422">
        <f>IF(A422="","",SUMIFS(المبيعات!$H$2:$H$2000,المبيعات!$C$2:$C$2000,A422))</f>
        <v/>
      </c>
      <c r="E422" s="13">
        <f>IF(A422="","",IF(COUNTIF(المبيعات!$C$2:$C$2000,A422)=0,"",_xlfn.MAXIFS(المبيعات!$A$2:$A$2000,المبيعات!$C$2:$C$2000,A422)))</f>
        <v/>
      </c>
      <c r="F422">
        <f>IF(A422="","",SUMIFS(المبيعات!$H$2:$H$2000,المبيعات!$C$2:$C$2000,A422,المبيعات!$J$2:$J$2000,"آجل"))</f>
        <v/>
      </c>
      <c r="G422" s="4" t="n"/>
      <c r="H422">
        <f>IF(A422="","",F422-G422)</f>
        <v/>
      </c>
    </row>
    <row r="423">
      <c r="A423" s="4" t="n"/>
      <c r="B423" s="4" t="n"/>
      <c r="C423">
        <f>IF(A423="","",SUMPRODUCT((المبيعات!$C$2:$C$2000=A423)*(المبيعات!$B$2:$B$2000&lt;&gt;"")/COUNTIFS(المبيعات!$B$2:$B$2000,المبيعات!$B$2:$B$2000&amp;"",المبيعات!$C$2:$C$2000,المبيعات!$C$2:$C$2000&amp;"")))</f>
        <v/>
      </c>
      <c r="D423">
        <f>IF(A423="","",SUMIFS(المبيعات!$H$2:$H$2000,المبيعات!$C$2:$C$2000,A423))</f>
        <v/>
      </c>
      <c r="E423" s="13">
        <f>IF(A423="","",IF(COUNTIF(المبيعات!$C$2:$C$2000,A423)=0,"",_xlfn.MAXIFS(المبيعات!$A$2:$A$2000,المبيعات!$C$2:$C$2000,A423)))</f>
        <v/>
      </c>
      <c r="F423">
        <f>IF(A423="","",SUMIFS(المبيعات!$H$2:$H$2000,المبيعات!$C$2:$C$2000,A423,المبيعات!$J$2:$J$2000,"آجل"))</f>
        <v/>
      </c>
      <c r="G423" s="4" t="n"/>
      <c r="H423">
        <f>IF(A423="","",F423-G423)</f>
        <v/>
      </c>
    </row>
    <row r="424">
      <c r="A424" s="4" t="n"/>
      <c r="B424" s="4" t="n"/>
      <c r="C424">
        <f>IF(A424="","",SUMPRODUCT((المبيعات!$C$2:$C$2000=A424)*(المبيعات!$B$2:$B$2000&lt;&gt;"")/COUNTIFS(المبيعات!$B$2:$B$2000,المبيعات!$B$2:$B$2000&amp;"",المبيعات!$C$2:$C$2000,المبيعات!$C$2:$C$2000&amp;"")))</f>
        <v/>
      </c>
      <c r="D424">
        <f>IF(A424="","",SUMIFS(المبيعات!$H$2:$H$2000,المبيعات!$C$2:$C$2000,A424))</f>
        <v/>
      </c>
      <c r="E424" s="13">
        <f>IF(A424="","",IF(COUNTIF(المبيعات!$C$2:$C$2000,A424)=0,"",_xlfn.MAXIFS(المبيعات!$A$2:$A$2000,المبيعات!$C$2:$C$2000,A424)))</f>
        <v/>
      </c>
      <c r="F424">
        <f>IF(A424="","",SUMIFS(المبيعات!$H$2:$H$2000,المبيعات!$C$2:$C$2000,A424,المبيعات!$J$2:$J$2000,"آجل"))</f>
        <v/>
      </c>
      <c r="G424" s="4" t="n"/>
      <c r="H424">
        <f>IF(A424="","",F424-G424)</f>
        <v/>
      </c>
    </row>
    <row r="425">
      <c r="A425" s="4" t="n"/>
      <c r="B425" s="4" t="n"/>
      <c r="C425">
        <f>IF(A425="","",SUMPRODUCT((المبيعات!$C$2:$C$2000=A425)*(المبيعات!$B$2:$B$2000&lt;&gt;"")/COUNTIFS(المبيعات!$B$2:$B$2000,المبيعات!$B$2:$B$2000&amp;"",المبيعات!$C$2:$C$2000,المبيعات!$C$2:$C$2000&amp;"")))</f>
        <v/>
      </c>
      <c r="D425">
        <f>IF(A425="","",SUMIFS(المبيعات!$H$2:$H$2000,المبيعات!$C$2:$C$2000,A425))</f>
        <v/>
      </c>
      <c r="E425" s="13">
        <f>IF(A425="","",IF(COUNTIF(المبيعات!$C$2:$C$2000,A425)=0,"",_xlfn.MAXIFS(المبيعات!$A$2:$A$2000,المبيعات!$C$2:$C$2000,A425)))</f>
        <v/>
      </c>
      <c r="F425">
        <f>IF(A425="","",SUMIFS(المبيعات!$H$2:$H$2000,المبيعات!$C$2:$C$2000,A425,المبيعات!$J$2:$J$2000,"آجل"))</f>
        <v/>
      </c>
      <c r="G425" s="4" t="n"/>
      <c r="H425">
        <f>IF(A425="","",F425-G425)</f>
        <v/>
      </c>
    </row>
    <row r="426">
      <c r="A426" s="4" t="n"/>
      <c r="B426" s="4" t="n"/>
      <c r="C426">
        <f>IF(A426="","",SUMPRODUCT((المبيعات!$C$2:$C$2000=A426)*(المبيعات!$B$2:$B$2000&lt;&gt;"")/COUNTIFS(المبيعات!$B$2:$B$2000,المبيعات!$B$2:$B$2000&amp;"",المبيعات!$C$2:$C$2000,المبيعات!$C$2:$C$2000&amp;"")))</f>
        <v/>
      </c>
      <c r="D426">
        <f>IF(A426="","",SUMIFS(المبيعات!$H$2:$H$2000,المبيعات!$C$2:$C$2000,A426))</f>
        <v/>
      </c>
      <c r="E426" s="13">
        <f>IF(A426="","",IF(COUNTIF(المبيعات!$C$2:$C$2000,A426)=0,"",_xlfn.MAXIFS(المبيعات!$A$2:$A$2000,المبيعات!$C$2:$C$2000,A426)))</f>
        <v/>
      </c>
      <c r="F426">
        <f>IF(A426="","",SUMIFS(المبيعات!$H$2:$H$2000,المبيعات!$C$2:$C$2000,A426,المبيعات!$J$2:$J$2000,"آجل"))</f>
        <v/>
      </c>
      <c r="G426" s="4" t="n"/>
      <c r="H426">
        <f>IF(A426="","",F426-G426)</f>
        <v/>
      </c>
    </row>
    <row r="427">
      <c r="A427" s="4" t="n"/>
      <c r="B427" s="4" t="n"/>
      <c r="C427">
        <f>IF(A427="","",SUMPRODUCT((المبيعات!$C$2:$C$2000=A427)*(المبيعات!$B$2:$B$2000&lt;&gt;"")/COUNTIFS(المبيعات!$B$2:$B$2000,المبيعات!$B$2:$B$2000&amp;"",المبيعات!$C$2:$C$2000,المبيعات!$C$2:$C$2000&amp;"")))</f>
        <v/>
      </c>
      <c r="D427">
        <f>IF(A427="","",SUMIFS(المبيعات!$H$2:$H$2000,المبيعات!$C$2:$C$2000,A427))</f>
        <v/>
      </c>
      <c r="E427" s="13">
        <f>IF(A427="","",IF(COUNTIF(المبيعات!$C$2:$C$2000,A427)=0,"",_xlfn.MAXIFS(المبيعات!$A$2:$A$2000,المبيعات!$C$2:$C$2000,A427)))</f>
        <v/>
      </c>
      <c r="F427">
        <f>IF(A427="","",SUMIFS(المبيعات!$H$2:$H$2000,المبيعات!$C$2:$C$2000,A427,المبيعات!$J$2:$J$2000,"آجل"))</f>
        <v/>
      </c>
      <c r="G427" s="4" t="n"/>
      <c r="H427">
        <f>IF(A427="","",F427-G427)</f>
        <v/>
      </c>
    </row>
    <row r="428">
      <c r="A428" s="4" t="n"/>
      <c r="B428" s="4" t="n"/>
      <c r="C428">
        <f>IF(A428="","",SUMPRODUCT((المبيعات!$C$2:$C$2000=A428)*(المبيعات!$B$2:$B$2000&lt;&gt;"")/COUNTIFS(المبيعات!$B$2:$B$2000,المبيعات!$B$2:$B$2000&amp;"",المبيعات!$C$2:$C$2000,المبيعات!$C$2:$C$2000&amp;"")))</f>
        <v/>
      </c>
      <c r="D428">
        <f>IF(A428="","",SUMIFS(المبيعات!$H$2:$H$2000,المبيعات!$C$2:$C$2000,A428))</f>
        <v/>
      </c>
      <c r="E428" s="13">
        <f>IF(A428="","",IF(COUNTIF(المبيعات!$C$2:$C$2000,A428)=0,"",_xlfn.MAXIFS(المبيعات!$A$2:$A$2000,المبيعات!$C$2:$C$2000,A428)))</f>
        <v/>
      </c>
      <c r="F428">
        <f>IF(A428="","",SUMIFS(المبيعات!$H$2:$H$2000,المبيعات!$C$2:$C$2000,A428,المبيعات!$J$2:$J$2000,"آجل"))</f>
        <v/>
      </c>
      <c r="G428" s="4" t="n"/>
      <c r="H428">
        <f>IF(A428="","",F428-G428)</f>
        <v/>
      </c>
    </row>
    <row r="429">
      <c r="A429" s="4" t="n"/>
      <c r="B429" s="4" t="n"/>
      <c r="C429">
        <f>IF(A429="","",SUMPRODUCT((المبيعات!$C$2:$C$2000=A429)*(المبيعات!$B$2:$B$2000&lt;&gt;"")/COUNTIFS(المبيعات!$B$2:$B$2000,المبيعات!$B$2:$B$2000&amp;"",المبيعات!$C$2:$C$2000,المبيعات!$C$2:$C$2000&amp;"")))</f>
        <v/>
      </c>
      <c r="D429">
        <f>IF(A429="","",SUMIFS(المبيعات!$H$2:$H$2000,المبيعات!$C$2:$C$2000,A429))</f>
        <v/>
      </c>
      <c r="E429" s="13">
        <f>IF(A429="","",IF(COUNTIF(المبيعات!$C$2:$C$2000,A429)=0,"",_xlfn.MAXIFS(المبيعات!$A$2:$A$2000,المبيعات!$C$2:$C$2000,A429)))</f>
        <v/>
      </c>
      <c r="F429">
        <f>IF(A429="","",SUMIFS(المبيعات!$H$2:$H$2000,المبيعات!$C$2:$C$2000,A429,المبيعات!$J$2:$J$2000,"آجل"))</f>
        <v/>
      </c>
      <c r="G429" s="4" t="n"/>
      <c r="H429">
        <f>IF(A429="","",F429-G429)</f>
        <v/>
      </c>
    </row>
    <row r="430">
      <c r="A430" s="4" t="n"/>
      <c r="B430" s="4" t="n"/>
      <c r="C430">
        <f>IF(A430="","",SUMPRODUCT((المبيعات!$C$2:$C$2000=A430)*(المبيعات!$B$2:$B$2000&lt;&gt;"")/COUNTIFS(المبيعات!$B$2:$B$2000,المبيعات!$B$2:$B$2000&amp;"",المبيعات!$C$2:$C$2000,المبيعات!$C$2:$C$2000&amp;"")))</f>
        <v/>
      </c>
      <c r="D430">
        <f>IF(A430="","",SUMIFS(المبيعات!$H$2:$H$2000,المبيعات!$C$2:$C$2000,A430))</f>
        <v/>
      </c>
      <c r="E430" s="13">
        <f>IF(A430="","",IF(COUNTIF(المبيعات!$C$2:$C$2000,A430)=0,"",_xlfn.MAXIFS(المبيعات!$A$2:$A$2000,المبيعات!$C$2:$C$2000,A430)))</f>
        <v/>
      </c>
      <c r="F430">
        <f>IF(A430="","",SUMIFS(المبيعات!$H$2:$H$2000,المبيعات!$C$2:$C$2000,A430,المبيعات!$J$2:$J$2000,"آجل"))</f>
        <v/>
      </c>
      <c r="G430" s="4" t="n"/>
      <c r="H430">
        <f>IF(A430="","",F430-G430)</f>
        <v/>
      </c>
    </row>
    <row r="431">
      <c r="A431" s="4" t="n"/>
      <c r="B431" s="4" t="n"/>
      <c r="C431">
        <f>IF(A431="","",SUMPRODUCT((المبيعات!$C$2:$C$2000=A431)*(المبيعات!$B$2:$B$2000&lt;&gt;"")/COUNTIFS(المبيعات!$B$2:$B$2000,المبيعات!$B$2:$B$2000&amp;"",المبيعات!$C$2:$C$2000,المبيعات!$C$2:$C$2000&amp;"")))</f>
        <v/>
      </c>
      <c r="D431">
        <f>IF(A431="","",SUMIFS(المبيعات!$H$2:$H$2000,المبيعات!$C$2:$C$2000,A431))</f>
        <v/>
      </c>
      <c r="E431" s="13">
        <f>IF(A431="","",IF(COUNTIF(المبيعات!$C$2:$C$2000,A431)=0,"",_xlfn.MAXIFS(المبيعات!$A$2:$A$2000,المبيعات!$C$2:$C$2000,A431)))</f>
        <v/>
      </c>
      <c r="F431">
        <f>IF(A431="","",SUMIFS(المبيعات!$H$2:$H$2000,المبيعات!$C$2:$C$2000,A431,المبيعات!$J$2:$J$2000,"آجل"))</f>
        <v/>
      </c>
      <c r="G431" s="4" t="n"/>
      <c r="H431">
        <f>IF(A431="","",F431-G431)</f>
        <v/>
      </c>
    </row>
    <row r="432">
      <c r="A432" s="4" t="n"/>
      <c r="B432" s="4" t="n"/>
      <c r="C432">
        <f>IF(A432="","",SUMPRODUCT((المبيعات!$C$2:$C$2000=A432)*(المبيعات!$B$2:$B$2000&lt;&gt;"")/COUNTIFS(المبيعات!$B$2:$B$2000,المبيعات!$B$2:$B$2000&amp;"",المبيعات!$C$2:$C$2000,المبيعات!$C$2:$C$2000&amp;"")))</f>
        <v/>
      </c>
      <c r="D432">
        <f>IF(A432="","",SUMIFS(المبيعات!$H$2:$H$2000,المبيعات!$C$2:$C$2000,A432))</f>
        <v/>
      </c>
      <c r="E432" s="13">
        <f>IF(A432="","",IF(COUNTIF(المبيعات!$C$2:$C$2000,A432)=0,"",_xlfn.MAXIFS(المبيعات!$A$2:$A$2000,المبيعات!$C$2:$C$2000,A432)))</f>
        <v/>
      </c>
      <c r="F432">
        <f>IF(A432="","",SUMIFS(المبيعات!$H$2:$H$2000,المبيعات!$C$2:$C$2000,A432,المبيعات!$J$2:$J$2000,"آجل"))</f>
        <v/>
      </c>
      <c r="G432" s="4" t="n"/>
      <c r="H432">
        <f>IF(A432="","",F432-G432)</f>
        <v/>
      </c>
    </row>
    <row r="433">
      <c r="A433" s="4" t="n"/>
      <c r="B433" s="4" t="n"/>
      <c r="C433">
        <f>IF(A433="","",SUMPRODUCT((المبيعات!$C$2:$C$2000=A433)*(المبيعات!$B$2:$B$2000&lt;&gt;"")/COUNTIFS(المبيعات!$B$2:$B$2000,المبيعات!$B$2:$B$2000&amp;"",المبيعات!$C$2:$C$2000,المبيعات!$C$2:$C$2000&amp;"")))</f>
        <v/>
      </c>
      <c r="D433">
        <f>IF(A433="","",SUMIFS(المبيعات!$H$2:$H$2000,المبيعات!$C$2:$C$2000,A433))</f>
        <v/>
      </c>
      <c r="E433" s="13">
        <f>IF(A433="","",IF(COUNTIF(المبيعات!$C$2:$C$2000,A433)=0,"",_xlfn.MAXIFS(المبيعات!$A$2:$A$2000,المبيعات!$C$2:$C$2000,A433)))</f>
        <v/>
      </c>
      <c r="F433">
        <f>IF(A433="","",SUMIFS(المبيعات!$H$2:$H$2000,المبيعات!$C$2:$C$2000,A433,المبيعات!$J$2:$J$2000,"آجل"))</f>
        <v/>
      </c>
      <c r="G433" s="4" t="n"/>
      <c r="H433">
        <f>IF(A433="","",F433-G433)</f>
        <v/>
      </c>
    </row>
    <row r="434">
      <c r="A434" s="4" t="n"/>
      <c r="B434" s="4" t="n"/>
      <c r="C434">
        <f>IF(A434="","",SUMPRODUCT((المبيعات!$C$2:$C$2000=A434)*(المبيعات!$B$2:$B$2000&lt;&gt;"")/COUNTIFS(المبيعات!$B$2:$B$2000,المبيعات!$B$2:$B$2000&amp;"",المبيعات!$C$2:$C$2000,المبيعات!$C$2:$C$2000&amp;"")))</f>
        <v/>
      </c>
      <c r="D434">
        <f>IF(A434="","",SUMIFS(المبيعات!$H$2:$H$2000,المبيعات!$C$2:$C$2000,A434))</f>
        <v/>
      </c>
      <c r="E434" s="13">
        <f>IF(A434="","",IF(COUNTIF(المبيعات!$C$2:$C$2000,A434)=0,"",_xlfn.MAXIFS(المبيعات!$A$2:$A$2000,المبيعات!$C$2:$C$2000,A434)))</f>
        <v/>
      </c>
      <c r="F434">
        <f>IF(A434="","",SUMIFS(المبيعات!$H$2:$H$2000,المبيعات!$C$2:$C$2000,A434,المبيعات!$J$2:$J$2000,"آجل"))</f>
        <v/>
      </c>
      <c r="G434" s="4" t="n"/>
      <c r="H434">
        <f>IF(A434="","",F434-G434)</f>
        <v/>
      </c>
    </row>
    <row r="435">
      <c r="A435" s="4" t="n"/>
      <c r="B435" s="4" t="n"/>
      <c r="C435">
        <f>IF(A435="","",SUMPRODUCT((المبيعات!$C$2:$C$2000=A435)*(المبيعات!$B$2:$B$2000&lt;&gt;"")/COUNTIFS(المبيعات!$B$2:$B$2000,المبيعات!$B$2:$B$2000&amp;"",المبيعات!$C$2:$C$2000,المبيعات!$C$2:$C$2000&amp;"")))</f>
        <v/>
      </c>
      <c r="D435">
        <f>IF(A435="","",SUMIFS(المبيعات!$H$2:$H$2000,المبيعات!$C$2:$C$2000,A435))</f>
        <v/>
      </c>
      <c r="E435" s="13">
        <f>IF(A435="","",IF(COUNTIF(المبيعات!$C$2:$C$2000,A435)=0,"",_xlfn.MAXIFS(المبيعات!$A$2:$A$2000,المبيعات!$C$2:$C$2000,A435)))</f>
        <v/>
      </c>
      <c r="F435">
        <f>IF(A435="","",SUMIFS(المبيعات!$H$2:$H$2000,المبيعات!$C$2:$C$2000,A435,المبيعات!$J$2:$J$2000,"آجل"))</f>
        <v/>
      </c>
      <c r="G435" s="4" t="n"/>
      <c r="H435">
        <f>IF(A435="","",F435-G435)</f>
        <v/>
      </c>
    </row>
    <row r="436">
      <c r="A436" s="4" t="n"/>
      <c r="B436" s="4" t="n"/>
      <c r="C436">
        <f>IF(A436="","",SUMPRODUCT((المبيعات!$C$2:$C$2000=A436)*(المبيعات!$B$2:$B$2000&lt;&gt;"")/COUNTIFS(المبيعات!$B$2:$B$2000,المبيعات!$B$2:$B$2000&amp;"",المبيعات!$C$2:$C$2000,المبيعات!$C$2:$C$2000&amp;"")))</f>
        <v/>
      </c>
      <c r="D436">
        <f>IF(A436="","",SUMIFS(المبيعات!$H$2:$H$2000,المبيعات!$C$2:$C$2000,A436))</f>
        <v/>
      </c>
      <c r="E436" s="13">
        <f>IF(A436="","",IF(COUNTIF(المبيعات!$C$2:$C$2000,A436)=0,"",_xlfn.MAXIFS(المبيعات!$A$2:$A$2000,المبيعات!$C$2:$C$2000,A436)))</f>
        <v/>
      </c>
      <c r="F436">
        <f>IF(A436="","",SUMIFS(المبيعات!$H$2:$H$2000,المبيعات!$C$2:$C$2000,A436,المبيعات!$J$2:$J$2000,"آجل"))</f>
        <v/>
      </c>
      <c r="G436" s="4" t="n"/>
      <c r="H436">
        <f>IF(A436="","",F436-G436)</f>
        <v/>
      </c>
    </row>
    <row r="437">
      <c r="A437" s="4" t="n"/>
      <c r="B437" s="4" t="n"/>
      <c r="C437">
        <f>IF(A437="","",SUMPRODUCT((المبيعات!$C$2:$C$2000=A437)*(المبيعات!$B$2:$B$2000&lt;&gt;"")/COUNTIFS(المبيعات!$B$2:$B$2000,المبيعات!$B$2:$B$2000&amp;"",المبيعات!$C$2:$C$2000,المبيعات!$C$2:$C$2000&amp;"")))</f>
        <v/>
      </c>
      <c r="D437">
        <f>IF(A437="","",SUMIFS(المبيعات!$H$2:$H$2000,المبيعات!$C$2:$C$2000,A437))</f>
        <v/>
      </c>
      <c r="E437" s="13">
        <f>IF(A437="","",IF(COUNTIF(المبيعات!$C$2:$C$2000,A437)=0,"",_xlfn.MAXIFS(المبيعات!$A$2:$A$2000,المبيعات!$C$2:$C$2000,A437)))</f>
        <v/>
      </c>
      <c r="F437">
        <f>IF(A437="","",SUMIFS(المبيعات!$H$2:$H$2000,المبيعات!$C$2:$C$2000,A437,المبيعات!$J$2:$J$2000,"آجل"))</f>
        <v/>
      </c>
      <c r="G437" s="4" t="n"/>
      <c r="H437">
        <f>IF(A437="","",F437-G437)</f>
        <v/>
      </c>
    </row>
    <row r="438">
      <c r="A438" s="4" t="n"/>
      <c r="B438" s="4" t="n"/>
      <c r="C438">
        <f>IF(A438="","",SUMPRODUCT((المبيعات!$C$2:$C$2000=A438)*(المبيعات!$B$2:$B$2000&lt;&gt;"")/COUNTIFS(المبيعات!$B$2:$B$2000,المبيعات!$B$2:$B$2000&amp;"",المبيعات!$C$2:$C$2000,المبيعات!$C$2:$C$2000&amp;"")))</f>
        <v/>
      </c>
      <c r="D438">
        <f>IF(A438="","",SUMIFS(المبيعات!$H$2:$H$2000,المبيعات!$C$2:$C$2000,A438))</f>
        <v/>
      </c>
      <c r="E438" s="13">
        <f>IF(A438="","",IF(COUNTIF(المبيعات!$C$2:$C$2000,A438)=0,"",_xlfn.MAXIFS(المبيعات!$A$2:$A$2000,المبيعات!$C$2:$C$2000,A438)))</f>
        <v/>
      </c>
      <c r="F438">
        <f>IF(A438="","",SUMIFS(المبيعات!$H$2:$H$2000,المبيعات!$C$2:$C$2000,A438,المبيعات!$J$2:$J$2000,"آجل"))</f>
        <v/>
      </c>
      <c r="G438" s="4" t="n"/>
      <c r="H438">
        <f>IF(A438="","",F438-G438)</f>
        <v/>
      </c>
    </row>
    <row r="439">
      <c r="A439" s="4" t="n"/>
      <c r="B439" s="4" t="n"/>
      <c r="C439">
        <f>IF(A439="","",SUMPRODUCT((المبيعات!$C$2:$C$2000=A439)*(المبيعات!$B$2:$B$2000&lt;&gt;"")/COUNTIFS(المبيعات!$B$2:$B$2000,المبيعات!$B$2:$B$2000&amp;"",المبيعات!$C$2:$C$2000,المبيعات!$C$2:$C$2000&amp;"")))</f>
        <v/>
      </c>
      <c r="D439">
        <f>IF(A439="","",SUMIFS(المبيعات!$H$2:$H$2000,المبيعات!$C$2:$C$2000,A439))</f>
        <v/>
      </c>
      <c r="E439" s="13">
        <f>IF(A439="","",IF(COUNTIF(المبيعات!$C$2:$C$2000,A439)=0,"",_xlfn.MAXIFS(المبيعات!$A$2:$A$2000,المبيعات!$C$2:$C$2000,A439)))</f>
        <v/>
      </c>
      <c r="F439">
        <f>IF(A439="","",SUMIFS(المبيعات!$H$2:$H$2000,المبيعات!$C$2:$C$2000,A439,المبيعات!$J$2:$J$2000,"آجل"))</f>
        <v/>
      </c>
      <c r="G439" s="4" t="n"/>
      <c r="H439">
        <f>IF(A439="","",F439-G439)</f>
        <v/>
      </c>
    </row>
    <row r="440">
      <c r="A440" s="4" t="n"/>
      <c r="B440" s="4" t="n"/>
      <c r="C440">
        <f>IF(A440="","",SUMPRODUCT((المبيعات!$C$2:$C$2000=A440)*(المبيعات!$B$2:$B$2000&lt;&gt;"")/COUNTIFS(المبيعات!$B$2:$B$2000,المبيعات!$B$2:$B$2000&amp;"",المبيعات!$C$2:$C$2000,المبيعات!$C$2:$C$2000&amp;"")))</f>
        <v/>
      </c>
      <c r="D440">
        <f>IF(A440="","",SUMIFS(المبيعات!$H$2:$H$2000,المبيعات!$C$2:$C$2000,A440))</f>
        <v/>
      </c>
      <c r="E440" s="13">
        <f>IF(A440="","",IF(COUNTIF(المبيعات!$C$2:$C$2000,A440)=0,"",_xlfn.MAXIFS(المبيعات!$A$2:$A$2000,المبيعات!$C$2:$C$2000,A440)))</f>
        <v/>
      </c>
      <c r="F440">
        <f>IF(A440="","",SUMIFS(المبيعات!$H$2:$H$2000,المبيعات!$C$2:$C$2000,A440,المبيعات!$J$2:$J$2000,"آجل"))</f>
        <v/>
      </c>
      <c r="G440" s="4" t="n"/>
      <c r="H440">
        <f>IF(A440="","",F440-G440)</f>
        <v/>
      </c>
    </row>
    <row r="441">
      <c r="A441" s="4" t="n"/>
      <c r="B441" s="4" t="n"/>
      <c r="C441">
        <f>IF(A441="","",SUMPRODUCT((المبيعات!$C$2:$C$2000=A441)*(المبيعات!$B$2:$B$2000&lt;&gt;"")/COUNTIFS(المبيعات!$B$2:$B$2000,المبيعات!$B$2:$B$2000&amp;"",المبيعات!$C$2:$C$2000,المبيعات!$C$2:$C$2000&amp;"")))</f>
        <v/>
      </c>
      <c r="D441">
        <f>IF(A441="","",SUMIFS(المبيعات!$H$2:$H$2000,المبيعات!$C$2:$C$2000,A441))</f>
        <v/>
      </c>
      <c r="E441" s="13">
        <f>IF(A441="","",IF(COUNTIF(المبيعات!$C$2:$C$2000,A441)=0,"",_xlfn.MAXIFS(المبيعات!$A$2:$A$2000,المبيعات!$C$2:$C$2000,A441)))</f>
        <v/>
      </c>
      <c r="F441">
        <f>IF(A441="","",SUMIFS(المبيعات!$H$2:$H$2000,المبيعات!$C$2:$C$2000,A441,المبيعات!$J$2:$J$2000,"آجل"))</f>
        <v/>
      </c>
      <c r="G441" s="4" t="n"/>
      <c r="H441">
        <f>IF(A441="","",F441-G441)</f>
        <v/>
      </c>
    </row>
    <row r="442">
      <c r="A442" s="4" t="n"/>
      <c r="B442" s="4" t="n"/>
      <c r="C442">
        <f>IF(A442="","",SUMPRODUCT((المبيعات!$C$2:$C$2000=A442)*(المبيعات!$B$2:$B$2000&lt;&gt;"")/COUNTIFS(المبيعات!$B$2:$B$2000,المبيعات!$B$2:$B$2000&amp;"",المبيعات!$C$2:$C$2000,المبيعات!$C$2:$C$2000&amp;"")))</f>
        <v/>
      </c>
      <c r="D442">
        <f>IF(A442="","",SUMIFS(المبيعات!$H$2:$H$2000,المبيعات!$C$2:$C$2000,A442))</f>
        <v/>
      </c>
      <c r="E442" s="13">
        <f>IF(A442="","",IF(COUNTIF(المبيعات!$C$2:$C$2000,A442)=0,"",_xlfn.MAXIFS(المبيعات!$A$2:$A$2000,المبيعات!$C$2:$C$2000,A442)))</f>
        <v/>
      </c>
      <c r="F442">
        <f>IF(A442="","",SUMIFS(المبيعات!$H$2:$H$2000,المبيعات!$C$2:$C$2000,A442,المبيعات!$J$2:$J$2000,"آجل"))</f>
        <v/>
      </c>
      <c r="G442" s="4" t="n"/>
      <c r="H442">
        <f>IF(A442="","",F442-G442)</f>
        <v/>
      </c>
    </row>
    <row r="443">
      <c r="A443" s="4" t="n"/>
      <c r="B443" s="4" t="n"/>
      <c r="C443">
        <f>IF(A443="","",SUMPRODUCT((المبيعات!$C$2:$C$2000=A443)*(المبيعات!$B$2:$B$2000&lt;&gt;"")/COUNTIFS(المبيعات!$B$2:$B$2000,المبيعات!$B$2:$B$2000&amp;"",المبيعات!$C$2:$C$2000,المبيعات!$C$2:$C$2000&amp;"")))</f>
        <v/>
      </c>
      <c r="D443">
        <f>IF(A443="","",SUMIFS(المبيعات!$H$2:$H$2000,المبيعات!$C$2:$C$2000,A443))</f>
        <v/>
      </c>
      <c r="E443" s="13">
        <f>IF(A443="","",IF(COUNTIF(المبيعات!$C$2:$C$2000,A443)=0,"",_xlfn.MAXIFS(المبيعات!$A$2:$A$2000,المبيعات!$C$2:$C$2000,A443)))</f>
        <v/>
      </c>
      <c r="F443">
        <f>IF(A443="","",SUMIFS(المبيعات!$H$2:$H$2000,المبيعات!$C$2:$C$2000,A443,المبيعات!$J$2:$J$2000,"آجل"))</f>
        <v/>
      </c>
      <c r="G443" s="4" t="n"/>
      <c r="H443">
        <f>IF(A443="","",F443-G443)</f>
        <v/>
      </c>
    </row>
    <row r="444">
      <c r="A444" s="4" t="n"/>
      <c r="B444" s="4" t="n"/>
      <c r="C444">
        <f>IF(A444="","",SUMPRODUCT((المبيعات!$C$2:$C$2000=A444)*(المبيعات!$B$2:$B$2000&lt;&gt;"")/COUNTIFS(المبيعات!$B$2:$B$2000,المبيعات!$B$2:$B$2000&amp;"",المبيعات!$C$2:$C$2000,المبيعات!$C$2:$C$2000&amp;"")))</f>
        <v/>
      </c>
      <c r="D444">
        <f>IF(A444="","",SUMIFS(المبيعات!$H$2:$H$2000,المبيعات!$C$2:$C$2000,A444))</f>
        <v/>
      </c>
      <c r="E444" s="13">
        <f>IF(A444="","",IF(COUNTIF(المبيعات!$C$2:$C$2000,A444)=0,"",_xlfn.MAXIFS(المبيعات!$A$2:$A$2000,المبيعات!$C$2:$C$2000,A444)))</f>
        <v/>
      </c>
      <c r="F444">
        <f>IF(A444="","",SUMIFS(المبيعات!$H$2:$H$2000,المبيعات!$C$2:$C$2000,A444,المبيعات!$J$2:$J$2000,"آجل"))</f>
        <v/>
      </c>
      <c r="G444" s="4" t="n"/>
      <c r="H444">
        <f>IF(A444="","",F444-G444)</f>
        <v/>
      </c>
    </row>
    <row r="445">
      <c r="A445" s="4" t="n"/>
      <c r="B445" s="4" t="n"/>
      <c r="C445">
        <f>IF(A445="","",SUMPRODUCT((المبيعات!$C$2:$C$2000=A445)*(المبيعات!$B$2:$B$2000&lt;&gt;"")/COUNTIFS(المبيعات!$B$2:$B$2000,المبيعات!$B$2:$B$2000&amp;"",المبيعات!$C$2:$C$2000,المبيعات!$C$2:$C$2000&amp;"")))</f>
        <v/>
      </c>
      <c r="D445">
        <f>IF(A445="","",SUMIFS(المبيعات!$H$2:$H$2000,المبيعات!$C$2:$C$2000,A445))</f>
        <v/>
      </c>
      <c r="E445" s="13">
        <f>IF(A445="","",IF(COUNTIF(المبيعات!$C$2:$C$2000,A445)=0,"",_xlfn.MAXIFS(المبيعات!$A$2:$A$2000,المبيعات!$C$2:$C$2000,A445)))</f>
        <v/>
      </c>
      <c r="F445">
        <f>IF(A445="","",SUMIFS(المبيعات!$H$2:$H$2000,المبيعات!$C$2:$C$2000,A445,المبيعات!$J$2:$J$2000,"آجل"))</f>
        <v/>
      </c>
      <c r="G445" s="4" t="n"/>
      <c r="H445">
        <f>IF(A445="","",F445-G445)</f>
        <v/>
      </c>
    </row>
    <row r="446">
      <c r="A446" s="4" t="n"/>
      <c r="B446" s="4" t="n"/>
      <c r="C446">
        <f>IF(A446="","",SUMPRODUCT((المبيعات!$C$2:$C$2000=A446)*(المبيعات!$B$2:$B$2000&lt;&gt;"")/COUNTIFS(المبيعات!$B$2:$B$2000,المبيعات!$B$2:$B$2000&amp;"",المبيعات!$C$2:$C$2000,المبيعات!$C$2:$C$2000&amp;"")))</f>
        <v/>
      </c>
      <c r="D446">
        <f>IF(A446="","",SUMIFS(المبيعات!$H$2:$H$2000,المبيعات!$C$2:$C$2000,A446))</f>
        <v/>
      </c>
      <c r="E446" s="13">
        <f>IF(A446="","",IF(COUNTIF(المبيعات!$C$2:$C$2000,A446)=0,"",_xlfn.MAXIFS(المبيعات!$A$2:$A$2000,المبيعات!$C$2:$C$2000,A446)))</f>
        <v/>
      </c>
      <c r="F446">
        <f>IF(A446="","",SUMIFS(المبيعات!$H$2:$H$2000,المبيعات!$C$2:$C$2000,A446,المبيعات!$J$2:$J$2000,"آجل"))</f>
        <v/>
      </c>
      <c r="G446" s="4" t="n"/>
      <c r="H446">
        <f>IF(A446="","",F446-G446)</f>
        <v/>
      </c>
    </row>
    <row r="447">
      <c r="A447" s="4" t="n"/>
      <c r="B447" s="4" t="n"/>
      <c r="C447">
        <f>IF(A447="","",SUMPRODUCT((المبيعات!$C$2:$C$2000=A447)*(المبيعات!$B$2:$B$2000&lt;&gt;"")/COUNTIFS(المبيعات!$B$2:$B$2000,المبيعات!$B$2:$B$2000&amp;"",المبيعات!$C$2:$C$2000,المبيعات!$C$2:$C$2000&amp;"")))</f>
        <v/>
      </c>
      <c r="D447">
        <f>IF(A447="","",SUMIFS(المبيعات!$H$2:$H$2000,المبيعات!$C$2:$C$2000,A447))</f>
        <v/>
      </c>
      <c r="E447" s="13">
        <f>IF(A447="","",IF(COUNTIF(المبيعات!$C$2:$C$2000,A447)=0,"",_xlfn.MAXIFS(المبيعات!$A$2:$A$2000,المبيعات!$C$2:$C$2000,A447)))</f>
        <v/>
      </c>
      <c r="F447">
        <f>IF(A447="","",SUMIFS(المبيعات!$H$2:$H$2000,المبيعات!$C$2:$C$2000,A447,المبيعات!$J$2:$J$2000,"آجل"))</f>
        <v/>
      </c>
      <c r="G447" s="4" t="n"/>
      <c r="H447">
        <f>IF(A447="","",F447-G447)</f>
        <v/>
      </c>
    </row>
    <row r="448">
      <c r="A448" s="4" t="n"/>
      <c r="B448" s="4" t="n"/>
      <c r="C448">
        <f>IF(A448="","",SUMPRODUCT((المبيعات!$C$2:$C$2000=A448)*(المبيعات!$B$2:$B$2000&lt;&gt;"")/COUNTIFS(المبيعات!$B$2:$B$2000,المبيعات!$B$2:$B$2000&amp;"",المبيعات!$C$2:$C$2000,المبيعات!$C$2:$C$2000&amp;"")))</f>
        <v/>
      </c>
      <c r="D448">
        <f>IF(A448="","",SUMIFS(المبيعات!$H$2:$H$2000,المبيعات!$C$2:$C$2000,A448))</f>
        <v/>
      </c>
      <c r="E448" s="13">
        <f>IF(A448="","",IF(COUNTIF(المبيعات!$C$2:$C$2000,A448)=0,"",_xlfn.MAXIFS(المبيعات!$A$2:$A$2000,المبيعات!$C$2:$C$2000,A448)))</f>
        <v/>
      </c>
      <c r="F448">
        <f>IF(A448="","",SUMIFS(المبيعات!$H$2:$H$2000,المبيعات!$C$2:$C$2000,A448,المبيعات!$J$2:$J$2000,"آجل"))</f>
        <v/>
      </c>
      <c r="G448" s="4" t="n"/>
      <c r="H448">
        <f>IF(A448="","",F448-G448)</f>
        <v/>
      </c>
    </row>
    <row r="449">
      <c r="A449" s="4" t="n"/>
      <c r="B449" s="4" t="n"/>
      <c r="C449">
        <f>IF(A449="","",SUMPRODUCT((المبيعات!$C$2:$C$2000=A449)*(المبيعات!$B$2:$B$2000&lt;&gt;"")/COUNTIFS(المبيعات!$B$2:$B$2000,المبيعات!$B$2:$B$2000&amp;"",المبيعات!$C$2:$C$2000,المبيعات!$C$2:$C$2000&amp;"")))</f>
        <v/>
      </c>
      <c r="D449">
        <f>IF(A449="","",SUMIFS(المبيعات!$H$2:$H$2000,المبيعات!$C$2:$C$2000,A449))</f>
        <v/>
      </c>
      <c r="E449" s="13">
        <f>IF(A449="","",IF(COUNTIF(المبيعات!$C$2:$C$2000,A449)=0,"",_xlfn.MAXIFS(المبيعات!$A$2:$A$2000,المبيعات!$C$2:$C$2000,A449)))</f>
        <v/>
      </c>
      <c r="F449">
        <f>IF(A449="","",SUMIFS(المبيعات!$H$2:$H$2000,المبيعات!$C$2:$C$2000,A449,المبيعات!$J$2:$J$2000,"آجل"))</f>
        <v/>
      </c>
      <c r="G449" s="4" t="n"/>
      <c r="H449">
        <f>IF(A449="","",F449-G449)</f>
        <v/>
      </c>
    </row>
    <row r="450">
      <c r="A450" s="4" t="n"/>
      <c r="B450" s="4" t="n"/>
      <c r="C450">
        <f>IF(A450="","",SUMPRODUCT((المبيعات!$C$2:$C$2000=A450)*(المبيعات!$B$2:$B$2000&lt;&gt;"")/COUNTIFS(المبيعات!$B$2:$B$2000,المبيعات!$B$2:$B$2000&amp;"",المبيعات!$C$2:$C$2000,المبيعات!$C$2:$C$2000&amp;"")))</f>
        <v/>
      </c>
      <c r="D450">
        <f>IF(A450="","",SUMIFS(المبيعات!$H$2:$H$2000,المبيعات!$C$2:$C$2000,A450))</f>
        <v/>
      </c>
      <c r="E450" s="13">
        <f>IF(A450="","",IF(COUNTIF(المبيعات!$C$2:$C$2000,A450)=0,"",_xlfn.MAXIFS(المبيعات!$A$2:$A$2000,المبيعات!$C$2:$C$2000,A450)))</f>
        <v/>
      </c>
      <c r="F450">
        <f>IF(A450="","",SUMIFS(المبيعات!$H$2:$H$2000,المبيعات!$C$2:$C$2000,A450,المبيعات!$J$2:$J$2000,"آجل"))</f>
        <v/>
      </c>
      <c r="G450" s="4" t="n"/>
      <c r="H450">
        <f>IF(A450="","",F450-G450)</f>
        <v/>
      </c>
    </row>
    <row r="451">
      <c r="A451" s="4" t="n"/>
      <c r="B451" s="4" t="n"/>
      <c r="C451">
        <f>IF(A451="","",SUMPRODUCT((المبيعات!$C$2:$C$2000=A451)*(المبيعات!$B$2:$B$2000&lt;&gt;"")/COUNTIFS(المبيعات!$B$2:$B$2000,المبيعات!$B$2:$B$2000&amp;"",المبيعات!$C$2:$C$2000,المبيعات!$C$2:$C$2000&amp;"")))</f>
        <v/>
      </c>
      <c r="D451">
        <f>IF(A451="","",SUMIFS(المبيعات!$H$2:$H$2000,المبيعات!$C$2:$C$2000,A451))</f>
        <v/>
      </c>
      <c r="E451" s="13">
        <f>IF(A451="","",IF(COUNTIF(المبيعات!$C$2:$C$2000,A451)=0,"",_xlfn.MAXIFS(المبيعات!$A$2:$A$2000,المبيعات!$C$2:$C$2000,A451)))</f>
        <v/>
      </c>
      <c r="F451">
        <f>IF(A451="","",SUMIFS(المبيعات!$H$2:$H$2000,المبيعات!$C$2:$C$2000,A451,المبيعات!$J$2:$J$2000,"آجل"))</f>
        <v/>
      </c>
      <c r="G451" s="4" t="n"/>
      <c r="H451">
        <f>IF(A451="","",F451-G451)</f>
        <v/>
      </c>
    </row>
    <row r="452">
      <c r="A452" s="4" t="n"/>
      <c r="B452" s="4" t="n"/>
      <c r="C452">
        <f>IF(A452="","",SUMPRODUCT((المبيعات!$C$2:$C$2000=A452)*(المبيعات!$B$2:$B$2000&lt;&gt;"")/COUNTIFS(المبيعات!$B$2:$B$2000,المبيعات!$B$2:$B$2000&amp;"",المبيعات!$C$2:$C$2000,المبيعات!$C$2:$C$2000&amp;"")))</f>
        <v/>
      </c>
      <c r="D452">
        <f>IF(A452="","",SUMIFS(المبيعات!$H$2:$H$2000,المبيعات!$C$2:$C$2000,A452))</f>
        <v/>
      </c>
      <c r="E452" s="13">
        <f>IF(A452="","",IF(COUNTIF(المبيعات!$C$2:$C$2000,A452)=0,"",_xlfn.MAXIFS(المبيعات!$A$2:$A$2000,المبيعات!$C$2:$C$2000,A452)))</f>
        <v/>
      </c>
      <c r="F452">
        <f>IF(A452="","",SUMIFS(المبيعات!$H$2:$H$2000,المبيعات!$C$2:$C$2000,A452,المبيعات!$J$2:$J$2000,"آجل"))</f>
        <v/>
      </c>
      <c r="G452" s="4" t="n"/>
      <c r="H452">
        <f>IF(A452="","",F452-G452)</f>
        <v/>
      </c>
    </row>
    <row r="453">
      <c r="A453" s="4" t="n"/>
      <c r="B453" s="4" t="n"/>
      <c r="C453">
        <f>IF(A453="","",SUMPRODUCT((المبيعات!$C$2:$C$2000=A453)*(المبيعات!$B$2:$B$2000&lt;&gt;"")/COUNTIFS(المبيعات!$B$2:$B$2000,المبيعات!$B$2:$B$2000&amp;"",المبيعات!$C$2:$C$2000,المبيعات!$C$2:$C$2000&amp;"")))</f>
        <v/>
      </c>
      <c r="D453">
        <f>IF(A453="","",SUMIFS(المبيعات!$H$2:$H$2000,المبيعات!$C$2:$C$2000,A453))</f>
        <v/>
      </c>
      <c r="E453" s="13">
        <f>IF(A453="","",IF(COUNTIF(المبيعات!$C$2:$C$2000,A453)=0,"",_xlfn.MAXIFS(المبيعات!$A$2:$A$2000,المبيعات!$C$2:$C$2000,A453)))</f>
        <v/>
      </c>
      <c r="F453">
        <f>IF(A453="","",SUMIFS(المبيعات!$H$2:$H$2000,المبيعات!$C$2:$C$2000,A453,المبيعات!$J$2:$J$2000,"آجل"))</f>
        <v/>
      </c>
      <c r="G453" s="4" t="n"/>
      <c r="H453">
        <f>IF(A453="","",F453-G453)</f>
        <v/>
      </c>
    </row>
    <row r="454">
      <c r="A454" s="4" t="n"/>
      <c r="B454" s="4" t="n"/>
      <c r="C454">
        <f>IF(A454="","",SUMPRODUCT((المبيعات!$C$2:$C$2000=A454)*(المبيعات!$B$2:$B$2000&lt;&gt;"")/COUNTIFS(المبيعات!$B$2:$B$2000,المبيعات!$B$2:$B$2000&amp;"",المبيعات!$C$2:$C$2000,المبيعات!$C$2:$C$2000&amp;"")))</f>
        <v/>
      </c>
      <c r="D454">
        <f>IF(A454="","",SUMIFS(المبيعات!$H$2:$H$2000,المبيعات!$C$2:$C$2000,A454))</f>
        <v/>
      </c>
      <c r="E454" s="13">
        <f>IF(A454="","",IF(COUNTIF(المبيعات!$C$2:$C$2000,A454)=0,"",_xlfn.MAXIFS(المبيعات!$A$2:$A$2000,المبيعات!$C$2:$C$2000,A454)))</f>
        <v/>
      </c>
      <c r="F454">
        <f>IF(A454="","",SUMIFS(المبيعات!$H$2:$H$2000,المبيعات!$C$2:$C$2000,A454,المبيعات!$J$2:$J$2000,"آجل"))</f>
        <v/>
      </c>
      <c r="G454" s="4" t="n"/>
      <c r="H454">
        <f>IF(A454="","",F454-G454)</f>
        <v/>
      </c>
    </row>
    <row r="455">
      <c r="A455" s="4" t="n"/>
      <c r="B455" s="4" t="n"/>
      <c r="C455">
        <f>IF(A455="","",SUMPRODUCT((المبيعات!$C$2:$C$2000=A455)*(المبيعات!$B$2:$B$2000&lt;&gt;"")/COUNTIFS(المبيعات!$B$2:$B$2000,المبيعات!$B$2:$B$2000&amp;"",المبيعات!$C$2:$C$2000,المبيعات!$C$2:$C$2000&amp;"")))</f>
        <v/>
      </c>
      <c r="D455">
        <f>IF(A455="","",SUMIFS(المبيعات!$H$2:$H$2000,المبيعات!$C$2:$C$2000,A455))</f>
        <v/>
      </c>
      <c r="E455" s="13">
        <f>IF(A455="","",IF(COUNTIF(المبيعات!$C$2:$C$2000,A455)=0,"",_xlfn.MAXIFS(المبيعات!$A$2:$A$2000,المبيعات!$C$2:$C$2000,A455)))</f>
        <v/>
      </c>
      <c r="F455">
        <f>IF(A455="","",SUMIFS(المبيعات!$H$2:$H$2000,المبيعات!$C$2:$C$2000,A455,المبيعات!$J$2:$J$2000,"آجل"))</f>
        <v/>
      </c>
      <c r="G455" s="4" t="n"/>
      <c r="H455">
        <f>IF(A455="","",F455-G455)</f>
        <v/>
      </c>
    </row>
    <row r="456">
      <c r="A456" s="4" t="n"/>
      <c r="B456" s="4" t="n"/>
      <c r="C456">
        <f>IF(A456="","",SUMPRODUCT((المبيعات!$C$2:$C$2000=A456)*(المبيعات!$B$2:$B$2000&lt;&gt;"")/COUNTIFS(المبيعات!$B$2:$B$2000,المبيعات!$B$2:$B$2000&amp;"",المبيعات!$C$2:$C$2000,المبيعات!$C$2:$C$2000&amp;"")))</f>
        <v/>
      </c>
      <c r="D456">
        <f>IF(A456="","",SUMIFS(المبيعات!$H$2:$H$2000,المبيعات!$C$2:$C$2000,A456))</f>
        <v/>
      </c>
      <c r="E456" s="13">
        <f>IF(A456="","",IF(COUNTIF(المبيعات!$C$2:$C$2000,A456)=0,"",_xlfn.MAXIFS(المبيعات!$A$2:$A$2000,المبيعات!$C$2:$C$2000,A456)))</f>
        <v/>
      </c>
      <c r="F456">
        <f>IF(A456="","",SUMIFS(المبيعات!$H$2:$H$2000,المبيعات!$C$2:$C$2000,A456,المبيعات!$J$2:$J$2000,"آجل"))</f>
        <v/>
      </c>
      <c r="G456" s="4" t="n"/>
      <c r="H456">
        <f>IF(A456="","",F456-G456)</f>
        <v/>
      </c>
    </row>
    <row r="457">
      <c r="A457" s="4" t="n"/>
      <c r="B457" s="4" t="n"/>
      <c r="C457">
        <f>IF(A457="","",SUMPRODUCT((المبيعات!$C$2:$C$2000=A457)*(المبيعات!$B$2:$B$2000&lt;&gt;"")/COUNTIFS(المبيعات!$B$2:$B$2000,المبيعات!$B$2:$B$2000&amp;"",المبيعات!$C$2:$C$2000,المبيعات!$C$2:$C$2000&amp;"")))</f>
        <v/>
      </c>
      <c r="D457">
        <f>IF(A457="","",SUMIFS(المبيعات!$H$2:$H$2000,المبيعات!$C$2:$C$2000,A457))</f>
        <v/>
      </c>
      <c r="E457" s="13">
        <f>IF(A457="","",IF(COUNTIF(المبيعات!$C$2:$C$2000,A457)=0,"",_xlfn.MAXIFS(المبيعات!$A$2:$A$2000,المبيعات!$C$2:$C$2000,A457)))</f>
        <v/>
      </c>
      <c r="F457">
        <f>IF(A457="","",SUMIFS(المبيعات!$H$2:$H$2000,المبيعات!$C$2:$C$2000,A457,المبيعات!$J$2:$J$2000,"آجل"))</f>
        <v/>
      </c>
      <c r="G457" s="4" t="n"/>
      <c r="H457">
        <f>IF(A457="","",F457-G457)</f>
        <v/>
      </c>
    </row>
    <row r="458">
      <c r="A458" s="4" t="n"/>
      <c r="B458" s="4" t="n"/>
      <c r="C458">
        <f>IF(A458="","",SUMPRODUCT((المبيعات!$C$2:$C$2000=A458)*(المبيعات!$B$2:$B$2000&lt;&gt;"")/COUNTIFS(المبيعات!$B$2:$B$2000,المبيعات!$B$2:$B$2000&amp;"",المبيعات!$C$2:$C$2000,المبيعات!$C$2:$C$2000&amp;"")))</f>
        <v/>
      </c>
      <c r="D458">
        <f>IF(A458="","",SUMIFS(المبيعات!$H$2:$H$2000,المبيعات!$C$2:$C$2000,A458))</f>
        <v/>
      </c>
      <c r="E458" s="13">
        <f>IF(A458="","",IF(COUNTIF(المبيعات!$C$2:$C$2000,A458)=0,"",_xlfn.MAXIFS(المبيعات!$A$2:$A$2000,المبيعات!$C$2:$C$2000,A458)))</f>
        <v/>
      </c>
      <c r="F458">
        <f>IF(A458="","",SUMIFS(المبيعات!$H$2:$H$2000,المبيعات!$C$2:$C$2000,A458,المبيعات!$J$2:$J$2000,"آجل"))</f>
        <v/>
      </c>
      <c r="G458" s="4" t="n"/>
      <c r="H458">
        <f>IF(A458="","",F458-G458)</f>
        <v/>
      </c>
    </row>
    <row r="459">
      <c r="A459" s="4" t="n"/>
      <c r="B459" s="4" t="n"/>
      <c r="C459">
        <f>IF(A459="","",SUMPRODUCT((المبيعات!$C$2:$C$2000=A459)*(المبيعات!$B$2:$B$2000&lt;&gt;"")/COUNTIFS(المبيعات!$B$2:$B$2000,المبيعات!$B$2:$B$2000&amp;"",المبيعات!$C$2:$C$2000,المبيعات!$C$2:$C$2000&amp;"")))</f>
        <v/>
      </c>
      <c r="D459">
        <f>IF(A459="","",SUMIFS(المبيعات!$H$2:$H$2000,المبيعات!$C$2:$C$2000,A459))</f>
        <v/>
      </c>
      <c r="E459" s="13">
        <f>IF(A459="","",IF(COUNTIF(المبيعات!$C$2:$C$2000,A459)=0,"",_xlfn.MAXIFS(المبيعات!$A$2:$A$2000,المبيعات!$C$2:$C$2000,A459)))</f>
        <v/>
      </c>
      <c r="F459">
        <f>IF(A459="","",SUMIFS(المبيعات!$H$2:$H$2000,المبيعات!$C$2:$C$2000,A459,المبيعات!$J$2:$J$2000,"آجل"))</f>
        <v/>
      </c>
      <c r="G459" s="4" t="n"/>
      <c r="H459">
        <f>IF(A459="","",F459-G459)</f>
        <v/>
      </c>
    </row>
    <row r="460">
      <c r="A460" s="4" t="n"/>
      <c r="B460" s="4" t="n"/>
      <c r="C460">
        <f>IF(A460="","",SUMPRODUCT((المبيعات!$C$2:$C$2000=A460)*(المبيعات!$B$2:$B$2000&lt;&gt;"")/COUNTIFS(المبيعات!$B$2:$B$2000,المبيعات!$B$2:$B$2000&amp;"",المبيعات!$C$2:$C$2000,المبيعات!$C$2:$C$2000&amp;"")))</f>
        <v/>
      </c>
      <c r="D460">
        <f>IF(A460="","",SUMIFS(المبيعات!$H$2:$H$2000,المبيعات!$C$2:$C$2000,A460))</f>
        <v/>
      </c>
      <c r="E460" s="13">
        <f>IF(A460="","",IF(COUNTIF(المبيعات!$C$2:$C$2000,A460)=0,"",_xlfn.MAXIFS(المبيعات!$A$2:$A$2000,المبيعات!$C$2:$C$2000,A460)))</f>
        <v/>
      </c>
      <c r="F460">
        <f>IF(A460="","",SUMIFS(المبيعات!$H$2:$H$2000,المبيعات!$C$2:$C$2000,A460,المبيعات!$J$2:$J$2000,"آجل"))</f>
        <v/>
      </c>
      <c r="G460" s="4" t="n"/>
      <c r="H460">
        <f>IF(A460="","",F460-G460)</f>
        <v/>
      </c>
    </row>
    <row r="461">
      <c r="A461" s="4" t="n"/>
      <c r="B461" s="4" t="n"/>
      <c r="C461">
        <f>IF(A461="","",SUMPRODUCT((المبيعات!$C$2:$C$2000=A461)*(المبيعات!$B$2:$B$2000&lt;&gt;"")/COUNTIFS(المبيعات!$B$2:$B$2000,المبيعات!$B$2:$B$2000&amp;"",المبيعات!$C$2:$C$2000,المبيعات!$C$2:$C$2000&amp;"")))</f>
        <v/>
      </c>
      <c r="D461">
        <f>IF(A461="","",SUMIFS(المبيعات!$H$2:$H$2000,المبيعات!$C$2:$C$2000,A461))</f>
        <v/>
      </c>
      <c r="E461" s="13">
        <f>IF(A461="","",IF(COUNTIF(المبيعات!$C$2:$C$2000,A461)=0,"",_xlfn.MAXIFS(المبيعات!$A$2:$A$2000,المبيعات!$C$2:$C$2000,A461)))</f>
        <v/>
      </c>
      <c r="F461">
        <f>IF(A461="","",SUMIFS(المبيعات!$H$2:$H$2000,المبيعات!$C$2:$C$2000,A461,المبيعات!$J$2:$J$2000,"آجل"))</f>
        <v/>
      </c>
      <c r="G461" s="4" t="n"/>
      <c r="H461">
        <f>IF(A461="","",F461-G461)</f>
        <v/>
      </c>
    </row>
    <row r="462">
      <c r="A462" s="4" t="n"/>
      <c r="B462" s="4" t="n"/>
      <c r="C462">
        <f>IF(A462="","",SUMPRODUCT((المبيعات!$C$2:$C$2000=A462)*(المبيعات!$B$2:$B$2000&lt;&gt;"")/COUNTIFS(المبيعات!$B$2:$B$2000,المبيعات!$B$2:$B$2000&amp;"",المبيعات!$C$2:$C$2000,المبيعات!$C$2:$C$2000&amp;"")))</f>
        <v/>
      </c>
      <c r="D462">
        <f>IF(A462="","",SUMIFS(المبيعات!$H$2:$H$2000,المبيعات!$C$2:$C$2000,A462))</f>
        <v/>
      </c>
      <c r="E462" s="13">
        <f>IF(A462="","",IF(COUNTIF(المبيعات!$C$2:$C$2000,A462)=0,"",_xlfn.MAXIFS(المبيعات!$A$2:$A$2000,المبيعات!$C$2:$C$2000,A462)))</f>
        <v/>
      </c>
      <c r="F462">
        <f>IF(A462="","",SUMIFS(المبيعات!$H$2:$H$2000,المبيعات!$C$2:$C$2000,A462,المبيعات!$J$2:$J$2000,"آجل"))</f>
        <v/>
      </c>
      <c r="G462" s="4" t="n"/>
      <c r="H462">
        <f>IF(A462="","",F462-G462)</f>
        <v/>
      </c>
    </row>
    <row r="463">
      <c r="A463" s="4" t="n"/>
      <c r="B463" s="4" t="n"/>
      <c r="C463">
        <f>IF(A463="","",SUMPRODUCT((المبيعات!$C$2:$C$2000=A463)*(المبيعات!$B$2:$B$2000&lt;&gt;"")/COUNTIFS(المبيعات!$B$2:$B$2000,المبيعات!$B$2:$B$2000&amp;"",المبيعات!$C$2:$C$2000,المبيعات!$C$2:$C$2000&amp;"")))</f>
        <v/>
      </c>
      <c r="D463">
        <f>IF(A463="","",SUMIFS(المبيعات!$H$2:$H$2000,المبيعات!$C$2:$C$2000,A463))</f>
        <v/>
      </c>
      <c r="E463" s="13">
        <f>IF(A463="","",IF(COUNTIF(المبيعات!$C$2:$C$2000,A463)=0,"",_xlfn.MAXIFS(المبيعات!$A$2:$A$2000,المبيعات!$C$2:$C$2000,A463)))</f>
        <v/>
      </c>
      <c r="F463">
        <f>IF(A463="","",SUMIFS(المبيعات!$H$2:$H$2000,المبيعات!$C$2:$C$2000,A463,المبيعات!$J$2:$J$2000,"آجل"))</f>
        <v/>
      </c>
      <c r="G463" s="4" t="n"/>
      <c r="H463">
        <f>IF(A463="","",F463-G463)</f>
        <v/>
      </c>
    </row>
    <row r="464">
      <c r="A464" s="4" t="n"/>
      <c r="B464" s="4" t="n"/>
      <c r="C464">
        <f>IF(A464="","",SUMPRODUCT((المبيعات!$C$2:$C$2000=A464)*(المبيعات!$B$2:$B$2000&lt;&gt;"")/COUNTIFS(المبيعات!$B$2:$B$2000,المبيعات!$B$2:$B$2000&amp;"",المبيعات!$C$2:$C$2000,المبيعات!$C$2:$C$2000&amp;"")))</f>
        <v/>
      </c>
      <c r="D464">
        <f>IF(A464="","",SUMIFS(المبيعات!$H$2:$H$2000,المبيعات!$C$2:$C$2000,A464))</f>
        <v/>
      </c>
      <c r="E464" s="13">
        <f>IF(A464="","",IF(COUNTIF(المبيعات!$C$2:$C$2000,A464)=0,"",_xlfn.MAXIFS(المبيعات!$A$2:$A$2000,المبيعات!$C$2:$C$2000,A464)))</f>
        <v/>
      </c>
      <c r="F464">
        <f>IF(A464="","",SUMIFS(المبيعات!$H$2:$H$2000,المبيعات!$C$2:$C$2000,A464,المبيعات!$J$2:$J$2000,"آجل"))</f>
        <v/>
      </c>
      <c r="G464" s="4" t="n"/>
      <c r="H464">
        <f>IF(A464="","",F464-G464)</f>
        <v/>
      </c>
    </row>
    <row r="465">
      <c r="A465" s="4" t="n"/>
      <c r="B465" s="4" t="n"/>
      <c r="C465">
        <f>IF(A465="","",SUMPRODUCT((المبيعات!$C$2:$C$2000=A465)*(المبيعات!$B$2:$B$2000&lt;&gt;"")/COUNTIFS(المبيعات!$B$2:$B$2000,المبيعات!$B$2:$B$2000&amp;"",المبيعات!$C$2:$C$2000,المبيعات!$C$2:$C$2000&amp;"")))</f>
        <v/>
      </c>
      <c r="D465">
        <f>IF(A465="","",SUMIFS(المبيعات!$H$2:$H$2000,المبيعات!$C$2:$C$2000,A465))</f>
        <v/>
      </c>
      <c r="E465" s="13">
        <f>IF(A465="","",IF(COUNTIF(المبيعات!$C$2:$C$2000,A465)=0,"",_xlfn.MAXIFS(المبيعات!$A$2:$A$2000,المبيعات!$C$2:$C$2000,A465)))</f>
        <v/>
      </c>
      <c r="F465">
        <f>IF(A465="","",SUMIFS(المبيعات!$H$2:$H$2000,المبيعات!$C$2:$C$2000,A465,المبيعات!$J$2:$J$2000,"آجل"))</f>
        <v/>
      </c>
      <c r="G465" s="4" t="n"/>
      <c r="H465">
        <f>IF(A465="","",F465-G465)</f>
        <v/>
      </c>
    </row>
    <row r="466">
      <c r="A466" s="4" t="n"/>
      <c r="B466" s="4" t="n"/>
      <c r="C466">
        <f>IF(A466="","",SUMPRODUCT((المبيعات!$C$2:$C$2000=A466)*(المبيعات!$B$2:$B$2000&lt;&gt;"")/COUNTIFS(المبيعات!$B$2:$B$2000,المبيعات!$B$2:$B$2000&amp;"",المبيعات!$C$2:$C$2000,المبيعات!$C$2:$C$2000&amp;"")))</f>
        <v/>
      </c>
      <c r="D466">
        <f>IF(A466="","",SUMIFS(المبيعات!$H$2:$H$2000,المبيعات!$C$2:$C$2000,A466))</f>
        <v/>
      </c>
      <c r="E466" s="13">
        <f>IF(A466="","",IF(COUNTIF(المبيعات!$C$2:$C$2000,A466)=0,"",_xlfn.MAXIFS(المبيعات!$A$2:$A$2000,المبيعات!$C$2:$C$2000,A466)))</f>
        <v/>
      </c>
      <c r="F466">
        <f>IF(A466="","",SUMIFS(المبيعات!$H$2:$H$2000,المبيعات!$C$2:$C$2000,A466,المبيعات!$J$2:$J$2000,"آجل"))</f>
        <v/>
      </c>
      <c r="G466" s="4" t="n"/>
      <c r="H466">
        <f>IF(A466="","",F466-G466)</f>
        <v/>
      </c>
    </row>
    <row r="467">
      <c r="A467" s="4" t="n"/>
      <c r="B467" s="4" t="n"/>
      <c r="C467">
        <f>IF(A467="","",SUMPRODUCT((المبيعات!$C$2:$C$2000=A467)*(المبيعات!$B$2:$B$2000&lt;&gt;"")/COUNTIFS(المبيعات!$B$2:$B$2000,المبيعات!$B$2:$B$2000&amp;"",المبيعات!$C$2:$C$2000,المبيعات!$C$2:$C$2000&amp;"")))</f>
        <v/>
      </c>
      <c r="D467">
        <f>IF(A467="","",SUMIFS(المبيعات!$H$2:$H$2000,المبيعات!$C$2:$C$2000,A467))</f>
        <v/>
      </c>
      <c r="E467" s="13">
        <f>IF(A467="","",IF(COUNTIF(المبيعات!$C$2:$C$2000,A467)=0,"",_xlfn.MAXIFS(المبيعات!$A$2:$A$2000,المبيعات!$C$2:$C$2000,A467)))</f>
        <v/>
      </c>
      <c r="F467">
        <f>IF(A467="","",SUMIFS(المبيعات!$H$2:$H$2000,المبيعات!$C$2:$C$2000,A467,المبيعات!$J$2:$J$2000,"آجل"))</f>
        <v/>
      </c>
      <c r="G467" s="4" t="n"/>
      <c r="H467">
        <f>IF(A467="","",F467-G467)</f>
        <v/>
      </c>
    </row>
    <row r="468">
      <c r="A468" s="4" t="n"/>
      <c r="B468" s="4" t="n"/>
      <c r="C468">
        <f>IF(A468="","",SUMPRODUCT((المبيعات!$C$2:$C$2000=A468)*(المبيعات!$B$2:$B$2000&lt;&gt;"")/COUNTIFS(المبيعات!$B$2:$B$2000,المبيعات!$B$2:$B$2000&amp;"",المبيعات!$C$2:$C$2000,المبيعات!$C$2:$C$2000&amp;"")))</f>
        <v/>
      </c>
      <c r="D468">
        <f>IF(A468="","",SUMIFS(المبيعات!$H$2:$H$2000,المبيعات!$C$2:$C$2000,A468))</f>
        <v/>
      </c>
      <c r="E468" s="13">
        <f>IF(A468="","",IF(COUNTIF(المبيعات!$C$2:$C$2000,A468)=0,"",_xlfn.MAXIFS(المبيعات!$A$2:$A$2000,المبيعات!$C$2:$C$2000,A468)))</f>
        <v/>
      </c>
      <c r="F468">
        <f>IF(A468="","",SUMIFS(المبيعات!$H$2:$H$2000,المبيعات!$C$2:$C$2000,A468,المبيعات!$J$2:$J$2000,"آجل"))</f>
        <v/>
      </c>
      <c r="G468" s="4" t="n"/>
      <c r="H468">
        <f>IF(A468="","",F468-G468)</f>
        <v/>
      </c>
    </row>
    <row r="469">
      <c r="A469" s="4" t="n"/>
      <c r="B469" s="4" t="n"/>
      <c r="C469">
        <f>IF(A469="","",SUMPRODUCT((المبيعات!$C$2:$C$2000=A469)*(المبيعات!$B$2:$B$2000&lt;&gt;"")/COUNTIFS(المبيعات!$B$2:$B$2000,المبيعات!$B$2:$B$2000&amp;"",المبيعات!$C$2:$C$2000,المبيعات!$C$2:$C$2000&amp;"")))</f>
        <v/>
      </c>
      <c r="D469">
        <f>IF(A469="","",SUMIFS(المبيعات!$H$2:$H$2000,المبيعات!$C$2:$C$2000,A469))</f>
        <v/>
      </c>
      <c r="E469" s="13">
        <f>IF(A469="","",IF(COUNTIF(المبيعات!$C$2:$C$2000,A469)=0,"",_xlfn.MAXIFS(المبيعات!$A$2:$A$2000,المبيعات!$C$2:$C$2000,A469)))</f>
        <v/>
      </c>
      <c r="F469">
        <f>IF(A469="","",SUMIFS(المبيعات!$H$2:$H$2000,المبيعات!$C$2:$C$2000,A469,المبيعات!$J$2:$J$2000,"آجل"))</f>
        <v/>
      </c>
      <c r="G469" s="4" t="n"/>
      <c r="H469">
        <f>IF(A469="","",F469-G469)</f>
        <v/>
      </c>
    </row>
    <row r="470">
      <c r="A470" s="4" t="n"/>
      <c r="B470" s="4" t="n"/>
      <c r="C470">
        <f>IF(A470="","",SUMPRODUCT((المبيعات!$C$2:$C$2000=A470)*(المبيعات!$B$2:$B$2000&lt;&gt;"")/COUNTIFS(المبيعات!$B$2:$B$2000,المبيعات!$B$2:$B$2000&amp;"",المبيعات!$C$2:$C$2000,المبيعات!$C$2:$C$2000&amp;"")))</f>
        <v/>
      </c>
      <c r="D470">
        <f>IF(A470="","",SUMIFS(المبيعات!$H$2:$H$2000,المبيعات!$C$2:$C$2000,A470))</f>
        <v/>
      </c>
      <c r="E470" s="13">
        <f>IF(A470="","",IF(COUNTIF(المبيعات!$C$2:$C$2000,A470)=0,"",_xlfn.MAXIFS(المبيعات!$A$2:$A$2000,المبيعات!$C$2:$C$2000,A470)))</f>
        <v/>
      </c>
      <c r="F470">
        <f>IF(A470="","",SUMIFS(المبيعات!$H$2:$H$2000,المبيعات!$C$2:$C$2000,A470,المبيعات!$J$2:$J$2000,"آجل"))</f>
        <v/>
      </c>
      <c r="G470" s="4" t="n"/>
      <c r="H470">
        <f>IF(A470="","",F470-G470)</f>
        <v/>
      </c>
    </row>
    <row r="471">
      <c r="A471" s="4" t="n"/>
      <c r="B471" s="4" t="n"/>
      <c r="C471">
        <f>IF(A471="","",SUMPRODUCT((المبيعات!$C$2:$C$2000=A471)*(المبيعات!$B$2:$B$2000&lt;&gt;"")/COUNTIFS(المبيعات!$B$2:$B$2000,المبيعات!$B$2:$B$2000&amp;"",المبيعات!$C$2:$C$2000,المبيعات!$C$2:$C$2000&amp;"")))</f>
        <v/>
      </c>
      <c r="D471">
        <f>IF(A471="","",SUMIFS(المبيعات!$H$2:$H$2000,المبيعات!$C$2:$C$2000,A471))</f>
        <v/>
      </c>
      <c r="E471" s="13">
        <f>IF(A471="","",IF(COUNTIF(المبيعات!$C$2:$C$2000,A471)=0,"",_xlfn.MAXIFS(المبيعات!$A$2:$A$2000,المبيعات!$C$2:$C$2000,A471)))</f>
        <v/>
      </c>
      <c r="F471">
        <f>IF(A471="","",SUMIFS(المبيعات!$H$2:$H$2000,المبيعات!$C$2:$C$2000,A471,المبيعات!$J$2:$J$2000,"آجل"))</f>
        <v/>
      </c>
      <c r="G471" s="4" t="n"/>
      <c r="H471">
        <f>IF(A471="","",F471-G471)</f>
        <v/>
      </c>
    </row>
    <row r="472">
      <c r="A472" s="4" t="n"/>
      <c r="B472" s="4" t="n"/>
      <c r="C472">
        <f>IF(A472="","",SUMPRODUCT((المبيعات!$C$2:$C$2000=A472)*(المبيعات!$B$2:$B$2000&lt;&gt;"")/COUNTIFS(المبيعات!$B$2:$B$2000,المبيعات!$B$2:$B$2000&amp;"",المبيعات!$C$2:$C$2000,المبيعات!$C$2:$C$2000&amp;"")))</f>
        <v/>
      </c>
      <c r="D472">
        <f>IF(A472="","",SUMIFS(المبيعات!$H$2:$H$2000,المبيعات!$C$2:$C$2000,A472))</f>
        <v/>
      </c>
      <c r="E472" s="13">
        <f>IF(A472="","",IF(COUNTIF(المبيعات!$C$2:$C$2000,A472)=0,"",_xlfn.MAXIFS(المبيعات!$A$2:$A$2000,المبيعات!$C$2:$C$2000,A472)))</f>
        <v/>
      </c>
      <c r="F472">
        <f>IF(A472="","",SUMIFS(المبيعات!$H$2:$H$2000,المبيعات!$C$2:$C$2000,A472,المبيعات!$J$2:$J$2000,"آجل"))</f>
        <v/>
      </c>
      <c r="G472" s="4" t="n"/>
      <c r="H472">
        <f>IF(A472="","",F472-G472)</f>
        <v/>
      </c>
    </row>
    <row r="473">
      <c r="A473" s="4" t="n"/>
      <c r="B473" s="4" t="n"/>
      <c r="C473">
        <f>IF(A473="","",SUMPRODUCT((المبيعات!$C$2:$C$2000=A473)*(المبيعات!$B$2:$B$2000&lt;&gt;"")/COUNTIFS(المبيعات!$B$2:$B$2000,المبيعات!$B$2:$B$2000&amp;"",المبيعات!$C$2:$C$2000,المبيعات!$C$2:$C$2000&amp;"")))</f>
        <v/>
      </c>
      <c r="D473">
        <f>IF(A473="","",SUMIFS(المبيعات!$H$2:$H$2000,المبيعات!$C$2:$C$2000,A473))</f>
        <v/>
      </c>
      <c r="E473" s="13">
        <f>IF(A473="","",IF(COUNTIF(المبيعات!$C$2:$C$2000,A473)=0,"",_xlfn.MAXIFS(المبيعات!$A$2:$A$2000,المبيعات!$C$2:$C$2000,A473)))</f>
        <v/>
      </c>
      <c r="F473">
        <f>IF(A473="","",SUMIFS(المبيعات!$H$2:$H$2000,المبيعات!$C$2:$C$2000,A473,المبيعات!$J$2:$J$2000,"آجل"))</f>
        <v/>
      </c>
      <c r="G473" s="4" t="n"/>
      <c r="H473">
        <f>IF(A473="","",F473-G473)</f>
        <v/>
      </c>
    </row>
    <row r="474">
      <c r="A474" s="4" t="n"/>
      <c r="B474" s="4" t="n"/>
      <c r="C474">
        <f>IF(A474="","",SUMPRODUCT((المبيعات!$C$2:$C$2000=A474)*(المبيعات!$B$2:$B$2000&lt;&gt;"")/COUNTIFS(المبيعات!$B$2:$B$2000,المبيعات!$B$2:$B$2000&amp;"",المبيعات!$C$2:$C$2000,المبيعات!$C$2:$C$2000&amp;"")))</f>
        <v/>
      </c>
      <c r="D474">
        <f>IF(A474="","",SUMIFS(المبيعات!$H$2:$H$2000,المبيعات!$C$2:$C$2000,A474))</f>
        <v/>
      </c>
      <c r="E474" s="13">
        <f>IF(A474="","",IF(COUNTIF(المبيعات!$C$2:$C$2000,A474)=0,"",_xlfn.MAXIFS(المبيعات!$A$2:$A$2000,المبيعات!$C$2:$C$2000,A474)))</f>
        <v/>
      </c>
      <c r="F474">
        <f>IF(A474="","",SUMIFS(المبيعات!$H$2:$H$2000,المبيعات!$C$2:$C$2000,A474,المبيعات!$J$2:$J$2000,"آجل"))</f>
        <v/>
      </c>
      <c r="G474" s="4" t="n"/>
      <c r="H474">
        <f>IF(A474="","",F474-G474)</f>
        <v/>
      </c>
    </row>
    <row r="475">
      <c r="A475" s="4" t="n"/>
      <c r="B475" s="4" t="n"/>
      <c r="C475">
        <f>IF(A475="","",SUMPRODUCT((المبيعات!$C$2:$C$2000=A475)*(المبيعات!$B$2:$B$2000&lt;&gt;"")/COUNTIFS(المبيعات!$B$2:$B$2000,المبيعات!$B$2:$B$2000&amp;"",المبيعات!$C$2:$C$2000,المبيعات!$C$2:$C$2000&amp;"")))</f>
        <v/>
      </c>
      <c r="D475">
        <f>IF(A475="","",SUMIFS(المبيعات!$H$2:$H$2000,المبيعات!$C$2:$C$2000,A475))</f>
        <v/>
      </c>
      <c r="E475" s="13">
        <f>IF(A475="","",IF(COUNTIF(المبيعات!$C$2:$C$2000,A475)=0,"",_xlfn.MAXIFS(المبيعات!$A$2:$A$2000,المبيعات!$C$2:$C$2000,A475)))</f>
        <v/>
      </c>
      <c r="F475">
        <f>IF(A475="","",SUMIFS(المبيعات!$H$2:$H$2000,المبيعات!$C$2:$C$2000,A475,المبيعات!$J$2:$J$2000,"آجل"))</f>
        <v/>
      </c>
      <c r="G475" s="4" t="n"/>
      <c r="H475">
        <f>IF(A475="","",F475-G475)</f>
        <v/>
      </c>
    </row>
    <row r="476">
      <c r="A476" s="4" t="n"/>
      <c r="B476" s="4" t="n"/>
      <c r="C476">
        <f>IF(A476="","",SUMPRODUCT((المبيعات!$C$2:$C$2000=A476)*(المبيعات!$B$2:$B$2000&lt;&gt;"")/COUNTIFS(المبيعات!$B$2:$B$2000,المبيعات!$B$2:$B$2000&amp;"",المبيعات!$C$2:$C$2000,المبيعات!$C$2:$C$2000&amp;"")))</f>
        <v/>
      </c>
      <c r="D476">
        <f>IF(A476="","",SUMIFS(المبيعات!$H$2:$H$2000,المبيعات!$C$2:$C$2000,A476))</f>
        <v/>
      </c>
      <c r="E476" s="13">
        <f>IF(A476="","",IF(COUNTIF(المبيعات!$C$2:$C$2000,A476)=0,"",_xlfn.MAXIFS(المبيعات!$A$2:$A$2000,المبيعات!$C$2:$C$2000,A476)))</f>
        <v/>
      </c>
      <c r="F476">
        <f>IF(A476="","",SUMIFS(المبيعات!$H$2:$H$2000,المبيعات!$C$2:$C$2000,A476,المبيعات!$J$2:$J$2000,"آجل"))</f>
        <v/>
      </c>
      <c r="G476" s="4" t="n"/>
      <c r="H476">
        <f>IF(A476="","",F476-G476)</f>
        <v/>
      </c>
    </row>
    <row r="477">
      <c r="A477" s="4" t="n"/>
      <c r="B477" s="4" t="n"/>
      <c r="C477">
        <f>IF(A477="","",SUMPRODUCT((المبيعات!$C$2:$C$2000=A477)*(المبيعات!$B$2:$B$2000&lt;&gt;"")/COUNTIFS(المبيعات!$B$2:$B$2000,المبيعات!$B$2:$B$2000&amp;"",المبيعات!$C$2:$C$2000,المبيعات!$C$2:$C$2000&amp;"")))</f>
        <v/>
      </c>
      <c r="D477">
        <f>IF(A477="","",SUMIFS(المبيعات!$H$2:$H$2000,المبيعات!$C$2:$C$2000,A477))</f>
        <v/>
      </c>
      <c r="E477" s="13">
        <f>IF(A477="","",IF(COUNTIF(المبيعات!$C$2:$C$2000,A477)=0,"",_xlfn.MAXIFS(المبيعات!$A$2:$A$2000,المبيعات!$C$2:$C$2000,A477)))</f>
        <v/>
      </c>
      <c r="F477">
        <f>IF(A477="","",SUMIFS(المبيعات!$H$2:$H$2000,المبيعات!$C$2:$C$2000,A477,المبيعات!$J$2:$J$2000,"آجل"))</f>
        <v/>
      </c>
      <c r="G477" s="4" t="n"/>
      <c r="H477">
        <f>IF(A477="","",F477-G477)</f>
        <v/>
      </c>
    </row>
    <row r="478">
      <c r="A478" s="4" t="n"/>
      <c r="B478" s="4" t="n"/>
      <c r="C478">
        <f>IF(A478="","",SUMPRODUCT((المبيعات!$C$2:$C$2000=A478)*(المبيعات!$B$2:$B$2000&lt;&gt;"")/COUNTIFS(المبيعات!$B$2:$B$2000,المبيعات!$B$2:$B$2000&amp;"",المبيعات!$C$2:$C$2000,المبيعات!$C$2:$C$2000&amp;"")))</f>
        <v/>
      </c>
      <c r="D478">
        <f>IF(A478="","",SUMIFS(المبيعات!$H$2:$H$2000,المبيعات!$C$2:$C$2000,A478))</f>
        <v/>
      </c>
      <c r="E478" s="13">
        <f>IF(A478="","",IF(COUNTIF(المبيعات!$C$2:$C$2000,A478)=0,"",_xlfn.MAXIFS(المبيعات!$A$2:$A$2000,المبيعات!$C$2:$C$2000,A478)))</f>
        <v/>
      </c>
      <c r="F478">
        <f>IF(A478="","",SUMIFS(المبيعات!$H$2:$H$2000,المبيعات!$C$2:$C$2000,A478,المبيعات!$J$2:$J$2000,"آجل"))</f>
        <v/>
      </c>
      <c r="G478" s="4" t="n"/>
      <c r="H478">
        <f>IF(A478="","",F478-G478)</f>
        <v/>
      </c>
    </row>
    <row r="479">
      <c r="A479" s="4" t="n"/>
      <c r="B479" s="4" t="n"/>
      <c r="C479">
        <f>IF(A479="","",SUMPRODUCT((المبيعات!$C$2:$C$2000=A479)*(المبيعات!$B$2:$B$2000&lt;&gt;"")/COUNTIFS(المبيعات!$B$2:$B$2000,المبيعات!$B$2:$B$2000&amp;"",المبيعات!$C$2:$C$2000,المبيعات!$C$2:$C$2000&amp;"")))</f>
        <v/>
      </c>
      <c r="D479">
        <f>IF(A479="","",SUMIFS(المبيعات!$H$2:$H$2000,المبيعات!$C$2:$C$2000,A479))</f>
        <v/>
      </c>
      <c r="E479" s="13">
        <f>IF(A479="","",IF(COUNTIF(المبيعات!$C$2:$C$2000,A479)=0,"",_xlfn.MAXIFS(المبيعات!$A$2:$A$2000,المبيعات!$C$2:$C$2000,A479)))</f>
        <v/>
      </c>
      <c r="F479">
        <f>IF(A479="","",SUMIFS(المبيعات!$H$2:$H$2000,المبيعات!$C$2:$C$2000,A479,المبيعات!$J$2:$J$2000,"آجل"))</f>
        <v/>
      </c>
      <c r="G479" s="4" t="n"/>
      <c r="H479">
        <f>IF(A479="","",F479-G479)</f>
        <v/>
      </c>
    </row>
    <row r="480">
      <c r="A480" s="4" t="n"/>
      <c r="B480" s="4" t="n"/>
      <c r="C480">
        <f>IF(A480="","",SUMPRODUCT((المبيعات!$C$2:$C$2000=A480)*(المبيعات!$B$2:$B$2000&lt;&gt;"")/COUNTIFS(المبيعات!$B$2:$B$2000,المبيعات!$B$2:$B$2000&amp;"",المبيعات!$C$2:$C$2000,المبيعات!$C$2:$C$2000&amp;"")))</f>
        <v/>
      </c>
      <c r="D480">
        <f>IF(A480="","",SUMIFS(المبيعات!$H$2:$H$2000,المبيعات!$C$2:$C$2000,A480))</f>
        <v/>
      </c>
      <c r="E480" s="13">
        <f>IF(A480="","",IF(COUNTIF(المبيعات!$C$2:$C$2000,A480)=0,"",_xlfn.MAXIFS(المبيعات!$A$2:$A$2000,المبيعات!$C$2:$C$2000,A480)))</f>
        <v/>
      </c>
      <c r="F480">
        <f>IF(A480="","",SUMIFS(المبيعات!$H$2:$H$2000,المبيعات!$C$2:$C$2000,A480,المبيعات!$J$2:$J$2000,"آجل"))</f>
        <v/>
      </c>
      <c r="G480" s="4" t="n"/>
      <c r="H480">
        <f>IF(A480="","",F480-G480)</f>
        <v/>
      </c>
    </row>
    <row r="481">
      <c r="A481" s="4" t="n"/>
      <c r="B481" s="4" t="n"/>
      <c r="C481">
        <f>IF(A481="","",SUMPRODUCT((المبيعات!$C$2:$C$2000=A481)*(المبيعات!$B$2:$B$2000&lt;&gt;"")/COUNTIFS(المبيعات!$B$2:$B$2000,المبيعات!$B$2:$B$2000&amp;"",المبيعات!$C$2:$C$2000,المبيعات!$C$2:$C$2000&amp;"")))</f>
        <v/>
      </c>
      <c r="D481">
        <f>IF(A481="","",SUMIFS(المبيعات!$H$2:$H$2000,المبيعات!$C$2:$C$2000,A481))</f>
        <v/>
      </c>
      <c r="E481" s="13">
        <f>IF(A481="","",IF(COUNTIF(المبيعات!$C$2:$C$2000,A481)=0,"",_xlfn.MAXIFS(المبيعات!$A$2:$A$2000,المبيعات!$C$2:$C$2000,A481)))</f>
        <v/>
      </c>
      <c r="F481">
        <f>IF(A481="","",SUMIFS(المبيعات!$H$2:$H$2000,المبيعات!$C$2:$C$2000,A481,المبيعات!$J$2:$J$2000,"آجل"))</f>
        <v/>
      </c>
      <c r="G481" s="4" t="n"/>
      <c r="H481">
        <f>IF(A481="","",F481-G481)</f>
        <v/>
      </c>
    </row>
    <row r="482">
      <c r="A482" s="4" t="n"/>
      <c r="B482" s="4" t="n"/>
      <c r="C482">
        <f>IF(A482="","",SUMPRODUCT((المبيعات!$C$2:$C$2000=A482)*(المبيعات!$B$2:$B$2000&lt;&gt;"")/COUNTIFS(المبيعات!$B$2:$B$2000,المبيعات!$B$2:$B$2000&amp;"",المبيعات!$C$2:$C$2000,المبيعات!$C$2:$C$2000&amp;"")))</f>
        <v/>
      </c>
      <c r="D482">
        <f>IF(A482="","",SUMIFS(المبيعات!$H$2:$H$2000,المبيعات!$C$2:$C$2000,A482))</f>
        <v/>
      </c>
      <c r="E482" s="13">
        <f>IF(A482="","",IF(COUNTIF(المبيعات!$C$2:$C$2000,A482)=0,"",_xlfn.MAXIFS(المبيعات!$A$2:$A$2000,المبيعات!$C$2:$C$2000,A482)))</f>
        <v/>
      </c>
      <c r="F482">
        <f>IF(A482="","",SUMIFS(المبيعات!$H$2:$H$2000,المبيعات!$C$2:$C$2000,A482,المبيعات!$J$2:$J$2000,"آجل"))</f>
        <v/>
      </c>
      <c r="G482" s="4" t="n"/>
      <c r="H482">
        <f>IF(A482="","",F482-G482)</f>
        <v/>
      </c>
    </row>
    <row r="483">
      <c r="A483" s="4" t="n"/>
      <c r="B483" s="4" t="n"/>
      <c r="C483">
        <f>IF(A483="","",SUMPRODUCT((المبيعات!$C$2:$C$2000=A483)*(المبيعات!$B$2:$B$2000&lt;&gt;"")/COUNTIFS(المبيعات!$B$2:$B$2000,المبيعات!$B$2:$B$2000&amp;"",المبيعات!$C$2:$C$2000,المبيعات!$C$2:$C$2000&amp;"")))</f>
        <v/>
      </c>
      <c r="D483">
        <f>IF(A483="","",SUMIFS(المبيعات!$H$2:$H$2000,المبيعات!$C$2:$C$2000,A483))</f>
        <v/>
      </c>
      <c r="E483" s="13">
        <f>IF(A483="","",IF(COUNTIF(المبيعات!$C$2:$C$2000,A483)=0,"",_xlfn.MAXIFS(المبيعات!$A$2:$A$2000,المبيعات!$C$2:$C$2000,A483)))</f>
        <v/>
      </c>
      <c r="F483">
        <f>IF(A483="","",SUMIFS(المبيعات!$H$2:$H$2000,المبيعات!$C$2:$C$2000,A483,المبيعات!$J$2:$J$2000,"آجل"))</f>
        <v/>
      </c>
      <c r="G483" s="4" t="n"/>
      <c r="H483">
        <f>IF(A483="","",F483-G483)</f>
        <v/>
      </c>
    </row>
    <row r="484">
      <c r="A484" s="4" t="n"/>
      <c r="B484" s="4" t="n"/>
      <c r="C484">
        <f>IF(A484="","",SUMPRODUCT((المبيعات!$C$2:$C$2000=A484)*(المبيعات!$B$2:$B$2000&lt;&gt;"")/COUNTIFS(المبيعات!$B$2:$B$2000,المبيعات!$B$2:$B$2000&amp;"",المبيعات!$C$2:$C$2000,المبيعات!$C$2:$C$2000&amp;"")))</f>
        <v/>
      </c>
      <c r="D484">
        <f>IF(A484="","",SUMIFS(المبيعات!$H$2:$H$2000,المبيعات!$C$2:$C$2000,A484))</f>
        <v/>
      </c>
      <c r="E484" s="13">
        <f>IF(A484="","",IF(COUNTIF(المبيعات!$C$2:$C$2000,A484)=0,"",_xlfn.MAXIFS(المبيعات!$A$2:$A$2000,المبيعات!$C$2:$C$2000,A484)))</f>
        <v/>
      </c>
      <c r="F484">
        <f>IF(A484="","",SUMIFS(المبيعات!$H$2:$H$2000,المبيعات!$C$2:$C$2000,A484,المبيعات!$J$2:$J$2000,"آجل"))</f>
        <v/>
      </c>
      <c r="G484" s="4" t="n"/>
      <c r="H484">
        <f>IF(A484="","",F484-G484)</f>
        <v/>
      </c>
    </row>
    <row r="485">
      <c r="A485" s="4" t="n"/>
      <c r="B485" s="4" t="n"/>
      <c r="C485">
        <f>IF(A485="","",SUMPRODUCT((المبيعات!$C$2:$C$2000=A485)*(المبيعات!$B$2:$B$2000&lt;&gt;"")/COUNTIFS(المبيعات!$B$2:$B$2000,المبيعات!$B$2:$B$2000&amp;"",المبيعات!$C$2:$C$2000,المبيعات!$C$2:$C$2000&amp;"")))</f>
        <v/>
      </c>
      <c r="D485">
        <f>IF(A485="","",SUMIFS(المبيعات!$H$2:$H$2000,المبيعات!$C$2:$C$2000,A485))</f>
        <v/>
      </c>
      <c r="E485" s="13">
        <f>IF(A485="","",IF(COUNTIF(المبيعات!$C$2:$C$2000,A485)=0,"",_xlfn.MAXIFS(المبيعات!$A$2:$A$2000,المبيعات!$C$2:$C$2000,A485)))</f>
        <v/>
      </c>
      <c r="F485">
        <f>IF(A485="","",SUMIFS(المبيعات!$H$2:$H$2000,المبيعات!$C$2:$C$2000,A485,المبيعات!$J$2:$J$2000,"آجل"))</f>
        <v/>
      </c>
      <c r="G485" s="4" t="n"/>
      <c r="H485">
        <f>IF(A485="","",F485-G485)</f>
        <v/>
      </c>
    </row>
    <row r="486">
      <c r="A486" s="4" t="n"/>
      <c r="B486" s="4" t="n"/>
      <c r="C486">
        <f>IF(A486="","",SUMPRODUCT((المبيعات!$C$2:$C$2000=A486)*(المبيعات!$B$2:$B$2000&lt;&gt;"")/COUNTIFS(المبيعات!$B$2:$B$2000,المبيعات!$B$2:$B$2000&amp;"",المبيعات!$C$2:$C$2000,المبيعات!$C$2:$C$2000&amp;"")))</f>
        <v/>
      </c>
      <c r="D486">
        <f>IF(A486="","",SUMIFS(المبيعات!$H$2:$H$2000,المبيعات!$C$2:$C$2000,A486))</f>
        <v/>
      </c>
      <c r="E486" s="13">
        <f>IF(A486="","",IF(COUNTIF(المبيعات!$C$2:$C$2000,A486)=0,"",_xlfn.MAXIFS(المبيعات!$A$2:$A$2000,المبيعات!$C$2:$C$2000,A486)))</f>
        <v/>
      </c>
      <c r="F486">
        <f>IF(A486="","",SUMIFS(المبيعات!$H$2:$H$2000,المبيعات!$C$2:$C$2000,A486,المبيعات!$J$2:$J$2000,"آجل"))</f>
        <v/>
      </c>
      <c r="G486" s="4" t="n"/>
      <c r="H486">
        <f>IF(A486="","",F486-G486)</f>
        <v/>
      </c>
    </row>
    <row r="487">
      <c r="A487" s="4" t="n"/>
      <c r="B487" s="4" t="n"/>
      <c r="C487">
        <f>IF(A487="","",SUMPRODUCT((المبيعات!$C$2:$C$2000=A487)*(المبيعات!$B$2:$B$2000&lt;&gt;"")/COUNTIFS(المبيعات!$B$2:$B$2000,المبيعات!$B$2:$B$2000&amp;"",المبيعات!$C$2:$C$2000,المبيعات!$C$2:$C$2000&amp;"")))</f>
        <v/>
      </c>
      <c r="D487">
        <f>IF(A487="","",SUMIFS(المبيعات!$H$2:$H$2000,المبيعات!$C$2:$C$2000,A487))</f>
        <v/>
      </c>
      <c r="E487" s="13">
        <f>IF(A487="","",IF(COUNTIF(المبيعات!$C$2:$C$2000,A487)=0,"",_xlfn.MAXIFS(المبيعات!$A$2:$A$2000,المبيعات!$C$2:$C$2000,A487)))</f>
        <v/>
      </c>
      <c r="F487">
        <f>IF(A487="","",SUMIFS(المبيعات!$H$2:$H$2000,المبيعات!$C$2:$C$2000,A487,المبيعات!$J$2:$J$2000,"آجل"))</f>
        <v/>
      </c>
      <c r="G487" s="4" t="n"/>
      <c r="H487">
        <f>IF(A487="","",F487-G487)</f>
        <v/>
      </c>
    </row>
    <row r="488">
      <c r="A488" s="4" t="n"/>
      <c r="B488" s="4" t="n"/>
      <c r="C488">
        <f>IF(A488="","",SUMPRODUCT((المبيعات!$C$2:$C$2000=A488)*(المبيعات!$B$2:$B$2000&lt;&gt;"")/COUNTIFS(المبيعات!$B$2:$B$2000,المبيعات!$B$2:$B$2000&amp;"",المبيعات!$C$2:$C$2000,المبيعات!$C$2:$C$2000&amp;"")))</f>
        <v/>
      </c>
      <c r="D488">
        <f>IF(A488="","",SUMIFS(المبيعات!$H$2:$H$2000,المبيعات!$C$2:$C$2000,A488))</f>
        <v/>
      </c>
      <c r="E488" s="13">
        <f>IF(A488="","",IF(COUNTIF(المبيعات!$C$2:$C$2000,A488)=0,"",_xlfn.MAXIFS(المبيعات!$A$2:$A$2000,المبيعات!$C$2:$C$2000,A488)))</f>
        <v/>
      </c>
      <c r="F488">
        <f>IF(A488="","",SUMIFS(المبيعات!$H$2:$H$2000,المبيعات!$C$2:$C$2000,A488,المبيعات!$J$2:$J$2000,"آجل"))</f>
        <v/>
      </c>
      <c r="G488" s="4" t="n"/>
      <c r="H488">
        <f>IF(A488="","",F488-G488)</f>
        <v/>
      </c>
    </row>
    <row r="489">
      <c r="A489" s="4" t="n"/>
      <c r="B489" s="4" t="n"/>
      <c r="C489">
        <f>IF(A489="","",SUMPRODUCT((المبيعات!$C$2:$C$2000=A489)*(المبيعات!$B$2:$B$2000&lt;&gt;"")/COUNTIFS(المبيعات!$B$2:$B$2000,المبيعات!$B$2:$B$2000&amp;"",المبيعات!$C$2:$C$2000,المبيعات!$C$2:$C$2000&amp;"")))</f>
        <v/>
      </c>
      <c r="D489">
        <f>IF(A489="","",SUMIFS(المبيعات!$H$2:$H$2000,المبيعات!$C$2:$C$2000,A489))</f>
        <v/>
      </c>
      <c r="E489" s="13">
        <f>IF(A489="","",IF(COUNTIF(المبيعات!$C$2:$C$2000,A489)=0,"",_xlfn.MAXIFS(المبيعات!$A$2:$A$2000,المبيعات!$C$2:$C$2000,A489)))</f>
        <v/>
      </c>
      <c r="F489">
        <f>IF(A489="","",SUMIFS(المبيعات!$H$2:$H$2000,المبيعات!$C$2:$C$2000,A489,المبيعات!$J$2:$J$2000,"آجل"))</f>
        <v/>
      </c>
      <c r="G489" s="4" t="n"/>
      <c r="H489">
        <f>IF(A489="","",F489-G489)</f>
        <v/>
      </c>
    </row>
    <row r="490">
      <c r="A490" s="4" t="n"/>
      <c r="B490" s="4" t="n"/>
      <c r="C490">
        <f>IF(A490="","",SUMPRODUCT((المبيعات!$C$2:$C$2000=A490)*(المبيعات!$B$2:$B$2000&lt;&gt;"")/COUNTIFS(المبيعات!$B$2:$B$2000,المبيعات!$B$2:$B$2000&amp;"",المبيعات!$C$2:$C$2000,المبيعات!$C$2:$C$2000&amp;"")))</f>
        <v/>
      </c>
      <c r="D490">
        <f>IF(A490="","",SUMIFS(المبيعات!$H$2:$H$2000,المبيعات!$C$2:$C$2000,A490))</f>
        <v/>
      </c>
      <c r="E490" s="13">
        <f>IF(A490="","",IF(COUNTIF(المبيعات!$C$2:$C$2000,A490)=0,"",_xlfn.MAXIFS(المبيعات!$A$2:$A$2000,المبيعات!$C$2:$C$2000,A490)))</f>
        <v/>
      </c>
      <c r="F490">
        <f>IF(A490="","",SUMIFS(المبيعات!$H$2:$H$2000,المبيعات!$C$2:$C$2000,A490,المبيعات!$J$2:$J$2000,"آجل"))</f>
        <v/>
      </c>
      <c r="G490" s="4" t="n"/>
      <c r="H490">
        <f>IF(A490="","",F490-G490)</f>
        <v/>
      </c>
    </row>
    <row r="491">
      <c r="A491" s="4" t="n"/>
      <c r="B491" s="4" t="n"/>
      <c r="C491">
        <f>IF(A491="","",SUMPRODUCT((المبيعات!$C$2:$C$2000=A491)*(المبيعات!$B$2:$B$2000&lt;&gt;"")/COUNTIFS(المبيعات!$B$2:$B$2000,المبيعات!$B$2:$B$2000&amp;"",المبيعات!$C$2:$C$2000,المبيعات!$C$2:$C$2000&amp;"")))</f>
        <v/>
      </c>
      <c r="D491">
        <f>IF(A491="","",SUMIFS(المبيعات!$H$2:$H$2000,المبيعات!$C$2:$C$2000,A491))</f>
        <v/>
      </c>
      <c r="E491" s="13">
        <f>IF(A491="","",IF(COUNTIF(المبيعات!$C$2:$C$2000,A491)=0,"",_xlfn.MAXIFS(المبيعات!$A$2:$A$2000,المبيعات!$C$2:$C$2000,A491)))</f>
        <v/>
      </c>
      <c r="F491">
        <f>IF(A491="","",SUMIFS(المبيعات!$H$2:$H$2000,المبيعات!$C$2:$C$2000,A491,المبيعات!$J$2:$J$2000,"آجل"))</f>
        <v/>
      </c>
      <c r="G491" s="4" t="n"/>
      <c r="H491">
        <f>IF(A491="","",F491-G491)</f>
        <v/>
      </c>
    </row>
    <row r="492">
      <c r="A492" s="4" t="n"/>
      <c r="B492" s="4" t="n"/>
      <c r="C492">
        <f>IF(A492="","",SUMPRODUCT((المبيعات!$C$2:$C$2000=A492)*(المبيعات!$B$2:$B$2000&lt;&gt;"")/COUNTIFS(المبيعات!$B$2:$B$2000,المبيعات!$B$2:$B$2000&amp;"",المبيعات!$C$2:$C$2000,المبيعات!$C$2:$C$2000&amp;"")))</f>
        <v/>
      </c>
      <c r="D492">
        <f>IF(A492="","",SUMIFS(المبيعات!$H$2:$H$2000,المبيعات!$C$2:$C$2000,A492))</f>
        <v/>
      </c>
      <c r="E492" s="13">
        <f>IF(A492="","",IF(COUNTIF(المبيعات!$C$2:$C$2000,A492)=0,"",_xlfn.MAXIFS(المبيعات!$A$2:$A$2000,المبيعات!$C$2:$C$2000,A492)))</f>
        <v/>
      </c>
      <c r="F492">
        <f>IF(A492="","",SUMIFS(المبيعات!$H$2:$H$2000,المبيعات!$C$2:$C$2000,A492,المبيعات!$J$2:$J$2000,"آجل"))</f>
        <v/>
      </c>
      <c r="G492" s="4" t="n"/>
      <c r="H492">
        <f>IF(A492="","",F492-G492)</f>
        <v/>
      </c>
    </row>
    <row r="493">
      <c r="A493" s="4" t="n"/>
      <c r="B493" s="4" t="n"/>
      <c r="C493">
        <f>IF(A493="","",SUMPRODUCT((المبيعات!$C$2:$C$2000=A493)*(المبيعات!$B$2:$B$2000&lt;&gt;"")/COUNTIFS(المبيعات!$B$2:$B$2000,المبيعات!$B$2:$B$2000&amp;"",المبيعات!$C$2:$C$2000,المبيعات!$C$2:$C$2000&amp;"")))</f>
        <v/>
      </c>
      <c r="D493">
        <f>IF(A493="","",SUMIFS(المبيعات!$H$2:$H$2000,المبيعات!$C$2:$C$2000,A493))</f>
        <v/>
      </c>
      <c r="E493" s="13">
        <f>IF(A493="","",IF(COUNTIF(المبيعات!$C$2:$C$2000,A493)=0,"",_xlfn.MAXIFS(المبيعات!$A$2:$A$2000,المبيعات!$C$2:$C$2000,A493)))</f>
        <v/>
      </c>
      <c r="F493">
        <f>IF(A493="","",SUMIFS(المبيعات!$H$2:$H$2000,المبيعات!$C$2:$C$2000,A493,المبيعات!$J$2:$J$2000,"آجل"))</f>
        <v/>
      </c>
      <c r="G493" s="4" t="n"/>
      <c r="H493">
        <f>IF(A493="","",F493-G493)</f>
        <v/>
      </c>
    </row>
    <row r="494">
      <c r="A494" s="4" t="n"/>
      <c r="B494" s="4" t="n"/>
      <c r="C494">
        <f>IF(A494="","",SUMPRODUCT((المبيعات!$C$2:$C$2000=A494)*(المبيعات!$B$2:$B$2000&lt;&gt;"")/COUNTIFS(المبيعات!$B$2:$B$2000,المبيعات!$B$2:$B$2000&amp;"",المبيعات!$C$2:$C$2000,المبيعات!$C$2:$C$2000&amp;"")))</f>
        <v/>
      </c>
      <c r="D494">
        <f>IF(A494="","",SUMIFS(المبيعات!$H$2:$H$2000,المبيعات!$C$2:$C$2000,A494))</f>
        <v/>
      </c>
      <c r="E494" s="13">
        <f>IF(A494="","",IF(COUNTIF(المبيعات!$C$2:$C$2000,A494)=0,"",_xlfn.MAXIFS(المبيعات!$A$2:$A$2000,المبيعات!$C$2:$C$2000,A494)))</f>
        <v/>
      </c>
      <c r="F494">
        <f>IF(A494="","",SUMIFS(المبيعات!$H$2:$H$2000,المبيعات!$C$2:$C$2000,A494,المبيعات!$J$2:$J$2000,"آجل"))</f>
        <v/>
      </c>
      <c r="G494" s="4" t="n"/>
      <c r="H494">
        <f>IF(A494="","",F494-G494)</f>
        <v/>
      </c>
    </row>
    <row r="495">
      <c r="A495" s="4" t="n"/>
      <c r="B495" s="4" t="n"/>
      <c r="C495">
        <f>IF(A495="","",SUMPRODUCT((المبيعات!$C$2:$C$2000=A495)*(المبيعات!$B$2:$B$2000&lt;&gt;"")/COUNTIFS(المبيعات!$B$2:$B$2000,المبيعات!$B$2:$B$2000&amp;"",المبيعات!$C$2:$C$2000,المبيعات!$C$2:$C$2000&amp;"")))</f>
        <v/>
      </c>
      <c r="D495">
        <f>IF(A495="","",SUMIFS(المبيعات!$H$2:$H$2000,المبيعات!$C$2:$C$2000,A495))</f>
        <v/>
      </c>
      <c r="E495" s="13">
        <f>IF(A495="","",IF(COUNTIF(المبيعات!$C$2:$C$2000,A495)=0,"",_xlfn.MAXIFS(المبيعات!$A$2:$A$2000,المبيعات!$C$2:$C$2000,A495)))</f>
        <v/>
      </c>
      <c r="F495">
        <f>IF(A495="","",SUMIFS(المبيعات!$H$2:$H$2000,المبيعات!$C$2:$C$2000,A495,المبيعات!$J$2:$J$2000,"آجل"))</f>
        <v/>
      </c>
      <c r="G495" s="4" t="n"/>
      <c r="H495">
        <f>IF(A495="","",F495-G495)</f>
        <v/>
      </c>
    </row>
    <row r="496">
      <c r="A496" s="4" t="n"/>
      <c r="B496" s="4" t="n"/>
      <c r="C496">
        <f>IF(A496="","",SUMPRODUCT((المبيعات!$C$2:$C$2000=A496)*(المبيعات!$B$2:$B$2000&lt;&gt;"")/COUNTIFS(المبيعات!$B$2:$B$2000,المبيعات!$B$2:$B$2000&amp;"",المبيعات!$C$2:$C$2000,المبيعات!$C$2:$C$2000&amp;"")))</f>
        <v/>
      </c>
      <c r="D496">
        <f>IF(A496="","",SUMIFS(المبيعات!$H$2:$H$2000,المبيعات!$C$2:$C$2000,A496))</f>
        <v/>
      </c>
      <c r="E496" s="13">
        <f>IF(A496="","",IF(COUNTIF(المبيعات!$C$2:$C$2000,A496)=0,"",_xlfn.MAXIFS(المبيعات!$A$2:$A$2000,المبيعات!$C$2:$C$2000,A496)))</f>
        <v/>
      </c>
      <c r="F496">
        <f>IF(A496="","",SUMIFS(المبيعات!$H$2:$H$2000,المبيعات!$C$2:$C$2000,A496,المبيعات!$J$2:$J$2000,"آجل"))</f>
        <v/>
      </c>
      <c r="G496" s="4" t="n"/>
      <c r="H496">
        <f>IF(A496="","",F496-G496)</f>
        <v/>
      </c>
    </row>
    <row r="497">
      <c r="A497" s="4" t="n"/>
      <c r="B497" s="4" t="n"/>
      <c r="C497">
        <f>IF(A497="","",SUMPRODUCT((المبيعات!$C$2:$C$2000=A497)*(المبيعات!$B$2:$B$2000&lt;&gt;"")/COUNTIFS(المبيعات!$B$2:$B$2000,المبيعات!$B$2:$B$2000&amp;"",المبيعات!$C$2:$C$2000,المبيعات!$C$2:$C$2000&amp;"")))</f>
        <v/>
      </c>
      <c r="D497">
        <f>IF(A497="","",SUMIFS(المبيعات!$H$2:$H$2000,المبيعات!$C$2:$C$2000,A497))</f>
        <v/>
      </c>
      <c r="E497" s="13">
        <f>IF(A497="","",IF(COUNTIF(المبيعات!$C$2:$C$2000,A497)=0,"",_xlfn.MAXIFS(المبيعات!$A$2:$A$2000,المبيعات!$C$2:$C$2000,A497)))</f>
        <v/>
      </c>
      <c r="F497">
        <f>IF(A497="","",SUMIFS(المبيعات!$H$2:$H$2000,المبيعات!$C$2:$C$2000,A497,المبيعات!$J$2:$J$2000,"آجل"))</f>
        <v/>
      </c>
      <c r="G497" s="4" t="n"/>
      <c r="H497">
        <f>IF(A497="","",F497-G497)</f>
        <v/>
      </c>
    </row>
    <row r="498">
      <c r="A498" s="4" t="n"/>
      <c r="B498" s="4" t="n"/>
      <c r="C498">
        <f>IF(A498="","",SUMPRODUCT((المبيعات!$C$2:$C$2000=A498)*(المبيعات!$B$2:$B$2000&lt;&gt;"")/COUNTIFS(المبيعات!$B$2:$B$2000,المبيعات!$B$2:$B$2000&amp;"",المبيعات!$C$2:$C$2000,المبيعات!$C$2:$C$2000&amp;"")))</f>
        <v/>
      </c>
      <c r="D498">
        <f>IF(A498="","",SUMIFS(المبيعات!$H$2:$H$2000,المبيعات!$C$2:$C$2000,A498))</f>
        <v/>
      </c>
      <c r="E498" s="13">
        <f>IF(A498="","",IF(COUNTIF(المبيعات!$C$2:$C$2000,A498)=0,"",_xlfn.MAXIFS(المبيعات!$A$2:$A$2000,المبيعات!$C$2:$C$2000,A498)))</f>
        <v/>
      </c>
      <c r="F498">
        <f>IF(A498="","",SUMIFS(المبيعات!$H$2:$H$2000,المبيعات!$C$2:$C$2000,A498,المبيعات!$J$2:$J$2000,"آجل"))</f>
        <v/>
      </c>
      <c r="G498" s="4" t="n"/>
      <c r="H498">
        <f>IF(A498="","",F498-G498)</f>
        <v/>
      </c>
    </row>
    <row r="499">
      <c r="A499" s="4" t="n"/>
      <c r="B499" s="4" t="n"/>
      <c r="C499">
        <f>IF(A499="","",SUMPRODUCT((المبيعات!$C$2:$C$2000=A499)*(المبيعات!$B$2:$B$2000&lt;&gt;"")/COUNTIFS(المبيعات!$B$2:$B$2000,المبيعات!$B$2:$B$2000&amp;"",المبيعات!$C$2:$C$2000,المبيعات!$C$2:$C$2000&amp;"")))</f>
        <v/>
      </c>
      <c r="D499">
        <f>IF(A499="","",SUMIFS(المبيعات!$H$2:$H$2000,المبيعات!$C$2:$C$2000,A499))</f>
        <v/>
      </c>
      <c r="E499" s="13">
        <f>IF(A499="","",IF(COUNTIF(المبيعات!$C$2:$C$2000,A499)=0,"",_xlfn.MAXIFS(المبيعات!$A$2:$A$2000,المبيعات!$C$2:$C$2000,A499)))</f>
        <v/>
      </c>
      <c r="F499">
        <f>IF(A499="","",SUMIFS(المبيعات!$H$2:$H$2000,المبيعات!$C$2:$C$2000,A499,المبيعات!$J$2:$J$2000,"آجل"))</f>
        <v/>
      </c>
      <c r="G499" s="4" t="n"/>
      <c r="H499">
        <f>IF(A499="","",F499-G499)</f>
        <v/>
      </c>
    </row>
    <row r="500">
      <c r="A500" s="4" t="n"/>
      <c r="B500" s="4" t="n"/>
      <c r="C500">
        <f>IF(A500="","",SUMPRODUCT((المبيعات!$C$2:$C$2000=A500)*(المبيعات!$B$2:$B$2000&lt;&gt;"")/COUNTIFS(المبيعات!$B$2:$B$2000,المبيعات!$B$2:$B$2000&amp;"",المبيعات!$C$2:$C$2000,المبيعات!$C$2:$C$2000&amp;"")))</f>
        <v/>
      </c>
      <c r="D500">
        <f>IF(A500="","",SUMIFS(المبيعات!$H$2:$H$2000,المبيعات!$C$2:$C$2000,A500))</f>
        <v/>
      </c>
      <c r="E500" s="13">
        <f>IF(A500="","",IF(COUNTIF(المبيعات!$C$2:$C$2000,A500)=0,"",_xlfn.MAXIFS(المبيعات!$A$2:$A$2000,المبيعات!$C$2:$C$2000,A500)))</f>
        <v/>
      </c>
      <c r="F500">
        <f>IF(A500="","",SUMIFS(المبيعات!$H$2:$H$2000,المبيعات!$C$2:$C$2000,A500,المبيعات!$J$2:$J$2000,"آجل"))</f>
        <v/>
      </c>
      <c r="G500" s="4" t="n"/>
      <c r="H500">
        <f>IF(A500="","",F500-G500)</f>
        <v/>
      </c>
    </row>
    <row r="501">
      <c r="A501" s="4" t="n"/>
      <c r="B501" s="4" t="n"/>
      <c r="C501">
        <f>IF(A501="","",SUMPRODUCT((المبيعات!$C$2:$C$2000=A501)*(المبيعات!$B$2:$B$2000&lt;&gt;"")/COUNTIFS(المبيعات!$B$2:$B$2000,المبيعات!$B$2:$B$2000&amp;"",المبيعات!$C$2:$C$2000,المبيعات!$C$2:$C$2000&amp;"")))</f>
        <v/>
      </c>
      <c r="D501">
        <f>IF(A501="","",SUMIFS(المبيعات!$H$2:$H$2000,المبيعات!$C$2:$C$2000,A501))</f>
        <v/>
      </c>
      <c r="E501" s="13">
        <f>IF(A501="","",IF(COUNTIF(المبيعات!$C$2:$C$2000,A501)=0,"",_xlfn.MAXIFS(المبيعات!$A$2:$A$2000,المبيعات!$C$2:$C$2000,A501)))</f>
        <v/>
      </c>
      <c r="F501">
        <f>IF(A501="","",SUMIFS(المبيعات!$H$2:$H$2000,المبيعات!$C$2:$C$2000,A501,المبيعات!$J$2:$J$2000,"آجل"))</f>
        <v/>
      </c>
      <c r="G501" s="4" t="n"/>
      <c r="H501">
        <f>IF(A501="","",F501-G501)</f>
        <v/>
      </c>
    </row>
    <row r="502">
      <c r="A502" s="4" t="n"/>
      <c r="B502" s="4" t="n"/>
      <c r="C502">
        <f>IF(A502="","",SUMPRODUCT((المبيعات!$C$2:$C$2000=A502)*(المبيعات!$B$2:$B$2000&lt;&gt;"")/COUNTIFS(المبيعات!$B$2:$B$2000,المبيعات!$B$2:$B$2000&amp;"",المبيعات!$C$2:$C$2000,المبيعات!$C$2:$C$2000&amp;"")))</f>
        <v/>
      </c>
      <c r="D502">
        <f>IF(A502="","",SUMIFS(المبيعات!$H$2:$H$2000,المبيعات!$C$2:$C$2000,A502))</f>
        <v/>
      </c>
      <c r="E502" s="13">
        <f>IF(A502="","",IF(COUNTIF(المبيعات!$C$2:$C$2000,A502)=0,"",_xlfn.MAXIFS(المبيعات!$A$2:$A$2000,المبيعات!$C$2:$C$2000,A502)))</f>
        <v/>
      </c>
      <c r="F502">
        <f>IF(A502="","",SUMIFS(المبيعات!$H$2:$H$2000,المبيعات!$C$2:$C$2000,A502,المبيعات!$J$2:$J$2000,"آجل"))</f>
        <v/>
      </c>
      <c r="G502" s="4" t="n"/>
      <c r="H502">
        <f>IF(A502="","",F502-G502)</f>
        <v/>
      </c>
    </row>
    <row r="503">
      <c r="A503" s="4" t="n"/>
      <c r="B503" s="4" t="n"/>
      <c r="C503">
        <f>IF(A503="","",SUMPRODUCT((المبيعات!$C$2:$C$2000=A503)*(المبيعات!$B$2:$B$2000&lt;&gt;"")/COUNTIFS(المبيعات!$B$2:$B$2000,المبيعات!$B$2:$B$2000&amp;"",المبيعات!$C$2:$C$2000,المبيعات!$C$2:$C$2000&amp;"")))</f>
        <v/>
      </c>
      <c r="D503">
        <f>IF(A503="","",SUMIFS(المبيعات!$H$2:$H$2000,المبيعات!$C$2:$C$2000,A503))</f>
        <v/>
      </c>
      <c r="E503" s="13">
        <f>IF(A503="","",IF(COUNTIF(المبيعات!$C$2:$C$2000,A503)=0,"",_xlfn.MAXIFS(المبيعات!$A$2:$A$2000,المبيعات!$C$2:$C$2000,A503)))</f>
        <v/>
      </c>
      <c r="F503">
        <f>IF(A503="","",SUMIFS(المبيعات!$H$2:$H$2000,المبيعات!$C$2:$C$2000,A503,المبيعات!$J$2:$J$2000,"آجل"))</f>
        <v/>
      </c>
      <c r="G503" s="4" t="n"/>
      <c r="H503">
        <f>IF(A503="","",F503-G503)</f>
        <v/>
      </c>
    </row>
    <row r="504">
      <c r="A504" s="4" t="n"/>
      <c r="B504" s="4" t="n"/>
      <c r="C504">
        <f>IF(A504="","",SUMPRODUCT((المبيعات!$C$2:$C$2000=A504)*(المبيعات!$B$2:$B$2000&lt;&gt;"")/COUNTIFS(المبيعات!$B$2:$B$2000,المبيعات!$B$2:$B$2000&amp;"",المبيعات!$C$2:$C$2000,المبيعات!$C$2:$C$2000&amp;"")))</f>
        <v/>
      </c>
      <c r="D504">
        <f>IF(A504="","",SUMIFS(المبيعات!$H$2:$H$2000,المبيعات!$C$2:$C$2000,A504))</f>
        <v/>
      </c>
      <c r="E504" s="13">
        <f>IF(A504="","",IF(COUNTIF(المبيعات!$C$2:$C$2000,A504)=0,"",_xlfn.MAXIFS(المبيعات!$A$2:$A$2000,المبيعات!$C$2:$C$2000,A504)))</f>
        <v/>
      </c>
      <c r="F504">
        <f>IF(A504="","",SUMIFS(المبيعات!$H$2:$H$2000,المبيعات!$C$2:$C$2000,A504,المبيعات!$J$2:$J$2000,"آجل"))</f>
        <v/>
      </c>
      <c r="G504" s="4" t="n"/>
      <c r="H504">
        <f>IF(A504="","",F504-G504)</f>
        <v/>
      </c>
    </row>
    <row r="505">
      <c r="A505" s="4" t="n"/>
      <c r="B505" s="4" t="n"/>
      <c r="C505">
        <f>IF(A505="","",SUMPRODUCT((المبيعات!$C$2:$C$2000=A505)*(المبيعات!$B$2:$B$2000&lt;&gt;"")/COUNTIFS(المبيعات!$B$2:$B$2000,المبيعات!$B$2:$B$2000&amp;"",المبيعات!$C$2:$C$2000,المبيعات!$C$2:$C$2000&amp;"")))</f>
        <v/>
      </c>
      <c r="D505">
        <f>IF(A505="","",SUMIFS(المبيعات!$H$2:$H$2000,المبيعات!$C$2:$C$2000,A505))</f>
        <v/>
      </c>
      <c r="E505" s="13">
        <f>IF(A505="","",IF(COUNTIF(المبيعات!$C$2:$C$2000,A505)=0,"",_xlfn.MAXIFS(المبيعات!$A$2:$A$2000,المبيعات!$C$2:$C$2000,A505)))</f>
        <v/>
      </c>
      <c r="F505">
        <f>IF(A505="","",SUMIFS(المبيعات!$H$2:$H$2000,المبيعات!$C$2:$C$2000,A505,المبيعات!$J$2:$J$2000,"آجل"))</f>
        <v/>
      </c>
      <c r="G505" s="4" t="n"/>
      <c r="H505">
        <f>IF(A505="","",F505-G505)</f>
        <v/>
      </c>
    </row>
    <row r="506">
      <c r="A506" s="4" t="n"/>
      <c r="B506" s="4" t="n"/>
      <c r="C506">
        <f>IF(A506="","",SUMPRODUCT((المبيعات!$C$2:$C$2000=A506)*(المبيعات!$B$2:$B$2000&lt;&gt;"")/COUNTIFS(المبيعات!$B$2:$B$2000,المبيعات!$B$2:$B$2000&amp;"",المبيعات!$C$2:$C$2000,المبيعات!$C$2:$C$2000&amp;"")))</f>
        <v/>
      </c>
      <c r="D506">
        <f>IF(A506="","",SUMIFS(المبيعات!$H$2:$H$2000,المبيعات!$C$2:$C$2000,A506))</f>
        <v/>
      </c>
      <c r="E506" s="13">
        <f>IF(A506="","",IF(COUNTIF(المبيعات!$C$2:$C$2000,A506)=0,"",_xlfn.MAXIFS(المبيعات!$A$2:$A$2000,المبيعات!$C$2:$C$2000,A506)))</f>
        <v/>
      </c>
      <c r="F506">
        <f>IF(A506="","",SUMIFS(المبيعات!$H$2:$H$2000,المبيعات!$C$2:$C$2000,A506,المبيعات!$J$2:$J$2000,"آجل"))</f>
        <v/>
      </c>
      <c r="G506" s="4" t="n"/>
      <c r="H506">
        <f>IF(A506="","",F506-G506)</f>
        <v/>
      </c>
    </row>
    <row r="507">
      <c r="A507" s="4" t="n"/>
      <c r="B507" s="4" t="n"/>
      <c r="C507">
        <f>IF(A507="","",SUMPRODUCT((المبيعات!$C$2:$C$2000=A507)*(المبيعات!$B$2:$B$2000&lt;&gt;"")/COUNTIFS(المبيعات!$B$2:$B$2000,المبيعات!$B$2:$B$2000&amp;"",المبيعات!$C$2:$C$2000,المبيعات!$C$2:$C$2000&amp;"")))</f>
        <v/>
      </c>
      <c r="D507">
        <f>IF(A507="","",SUMIFS(المبيعات!$H$2:$H$2000,المبيعات!$C$2:$C$2000,A507))</f>
        <v/>
      </c>
      <c r="E507" s="13">
        <f>IF(A507="","",IF(COUNTIF(المبيعات!$C$2:$C$2000,A507)=0,"",_xlfn.MAXIFS(المبيعات!$A$2:$A$2000,المبيعات!$C$2:$C$2000,A507)))</f>
        <v/>
      </c>
      <c r="F507">
        <f>IF(A507="","",SUMIFS(المبيعات!$H$2:$H$2000,المبيعات!$C$2:$C$2000,A507,المبيعات!$J$2:$J$2000,"آجل"))</f>
        <v/>
      </c>
      <c r="G507" s="4" t="n"/>
      <c r="H507">
        <f>IF(A507="","",F507-G507)</f>
        <v/>
      </c>
    </row>
    <row r="508">
      <c r="A508" s="4" t="n"/>
      <c r="B508" s="4" t="n"/>
      <c r="C508">
        <f>IF(A508="","",SUMPRODUCT((المبيعات!$C$2:$C$2000=A508)*(المبيعات!$B$2:$B$2000&lt;&gt;"")/COUNTIFS(المبيعات!$B$2:$B$2000,المبيعات!$B$2:$B$2000&amp;"",المبيعات!$C$2:$C$2000,المبيعات!$C$2:$C$2000&amp;"")))</f>
        <v/>
      </c>
      <c r="D508">
        <f>IF(A508="","",SUMIFS(المبيعات!$H$2:$H$2000,المبيعات!$C$2:$C$2000,A508))</f>
        <v/>
      </c>
      <c r="E508" s="13">
        <f>IF(A508="","",IF(COUNTIF(المبيعات!$C$2:$C$2000,A508)=0,"",_xlfn.MAXIFS(المبيعات!$A$2:$A$2000,المبيعات!$C$2:$C$2000,A508)))</f>
        <v/>
      </c>
      <c r="F508">
        <f>IF(A508="","",SUMIFS(المبيعات!$H$2:$H$2000,المبيعات!$C$2:$C$2000,A508,المبيعات!$J$2:$J$2000,"آجل"))</f>
        <v/>
      </c>
      <c r="G508" s="4" t="n"/>
      <c r="H508">
        <f>IF(A508="","",F508-G508)</f>
        <v/>
      </c>
    </row>
    <row r="509">
      <c r="A509" s="4" t="n"/>
      <c r="B509" s="4" t="n"/>
      <c r="C509">
        <f>IF(A509="","",SUMPRODUCT((المبيعات!$C$2:$C$2000=A509)*(المبيعات!$B$2:$B$2000&lt;&gt;"")/COUNTIFS(المبيعات!$B$2:$B$2000,المبيعات!$B$2:$B$2000&amp;"",المبيعات!$C$2:$C$2000,المبيعات!$C$2:$C$2000&amp;"")))</f>
        <v/>
      </c>
      <c r="D509">
        <f>IF(A509="","",SUMIFS(المبيعات!$H$2:$H$2000,المبيعات!$C$2:$C$2000,A509))</f>
        <v/>
      </c>
      <c r="E509" s="13">
        <f>IF(A509="","",IF(COUNTIF(المبيعات!$C$2:$C$2000,A509)=0,"",_xlfn.MAXIFS(المبيعات!$A$2:$A$2000,المبيعات!$C$2:$C$2000,A509)))</f>
        <v/>
      </c>
      <c r="F509">
        <f>IF(A509="","",SUMIFS(المبيعات!$H$2:$H$2000,المبيعات!$C$2:$C$2000,A509,المبيعات!$J$2:$J$2000,"آجل"))</f>
        <v/>
      </c>
      <c r="G509" s="4" t="n"/>
      <c r="H509">
        <f>IF(A509="","",F509-G509)</f>
        <v/>
      </c>
    </row>
    <row r="510">
      <c r="A510" s="4" t="n"/>
      <c r="B510" s="4" t="n"/>
      <c r="C510">
        <f>IF(A510="","",SUMPRODUCT((المبيعات!$C$2:$C$2000=A510)*(المبيعات!$B$2:$B$2000&lt;&gt;"")/COUNTIFS(المبيعات!$B$2:$B$2000,المبيعات!$B$2:$B$2000&amp;"",المبيعات!$C$2:$C$2000,المبيعات!$C$2:$C$2000&amp;"")))</f>
        <v/>
      </c>
      <c r="D510">
        <f>IF(A510="","",SUMIFS(المبيعات!$H$2:$H$2000,المبيعات!$C$2:$C$2000,A510))</f>
        <v/>
      </c>
      <c r="E510" s="13">
        <f>IF(A510="","",IF(COUNTIF(المبيعات!$C$2:$C$2000,A510)=0,"",_xlfn.MAXIFS(المبيعات!$A$2:$A$2000,المبيعات!$C$2:$C$2000,A510)))</f>
        <v/>
      </c>
      <c r="F510">
        <f>IF(A510="","",SUMIFS(المبيعات!$H$2:$H$2000,المبيعات!$C$2:$C$2000,A510,المبيعات!$J$2:$J$2000,"آجل"))</f>
        <v/>
      </c>
      <c r="G510" s="4" t="n"/>
      <c r="H510">
        <f>IF(A510="","",F510-G510)</f>
        <v/>
      </c>
    </row>
    <row r="511">
      <c r="A511" s="4" t="n"/>
      <c r="B511" s="4" t="n"/>
      <c r="C511">
        <f>IF(A511="","",SUMPRODUCT((المبيعات!$C$2:$C$2000=A511)*(المبيعات!$B$2:$B$2000&lt;&gt;"")/COUNTIFS(المبيعات!$B$2:$B$2000,المبيعات!$B$2:$B$2000&amp;"",المبيعات!$C$2:$C$2000,المبيعات!$C$2:$C$2000&amp;"")))</f>
        <v/>
      </c>
      <c r="D511">
        <f>IF(A511="","",SUMIFS(المبيعات!$H$2:$H$2000,المبيعات!$C$2:$C$2000,A511))</f>
        <v/>
      </c>
      <c r="E511" s="13">
        <f>IF(A511="","",IF(COUNTIF(المبيعات!$C$2:$C$2000,A511)=0,"",_xlfn.MAXIFS(المبيعات!$A$2:$A$2000,المبيعات!$C$2:$C$2000,A511)))</f>
        <v/>
      </c>
      <c r="F511">
        <f>IF(A511="","",SUMIFS(المبيعات!$H$2:$H$2000,المبيعات!$C$2:$C$2000,A511,المبيعات!$J$2:$J$2000,"آجل"))</f>
        <v/>
      </c>
      <c r="G511" s="4" t="n"/>
      <c r="H511">
        <f>IF(A511="","",F511-G511)</f>
        <v/>
      </c>
    </row>
    <row r="512">
      <c r="A512" s="4" t="n"/>
      <c r="B512" s="4" t="n"/>
      <c r="C512">
        <f>IF(A512="","",SUMPRODUCT((المبيعات!$C$2:$C$2000=A512)*(المبيعات!$B$2:$B$2000&lt;&gt;"")/COUNTIFS(المبيعات!$B$2:$B$2000,المبيعات!$B$2:$B$2000&amp;"",المبيعات!$C$2:$C$2000,المبيعات!$C$2:$C$2000&amp;"")))</f>
        <v/>
      </c>
      <c r="D512">
        <f>IF(A512="","",SUMIFS(المبيعات!$H$2:$H$2000,المبيعات!$C$2:$C$2000,A512))</f>
        <v/>
      </c>
      <c r="E512" s="13">
        <f>IF(A512="","",IF(COUNTIF(المبيعات!$C$2:$C$2000,A512)=0,"",_xlfn.MAXIFS(المبيعات!$A$2:$A$2000,المبيعات!$C$2:$C$2000,A512)))</f>
        <v/>
      </c>
      <c r="F512">
        <f>IF(A512="","",SUMIFS(المبيعات!$H$2:$H$2000,المبيعات!$C$2:$C$2000,A512,المبيعات!$J$2:$J$2000,"آجل"))</f>
        <v/>
      </c>
      <c r="G512" s="4" t="n"/>
      <c r="H512">
        <f>IF(A512="","",F512-G512)</f>
        <v/>
      </c>
    </row>
    <row r="513">
      <c r="A513" s="4" t="n"/>
      <c r="B513" s="4" t="n"/>
      <c r="C513">
        <f>IF(A513="","",SUMPRODUCT((المبيعات!$C$2:$C$2000=A513)*(المبيعات!$B$2:$B$2000&lt;&gt;"")/COUNTIFS(المبيعات!$B$2:$B$2000,المبيعات!$B$2:$B$2000&amp;"",المبيعات!$C$2:$C$2000,المبيعات!$C$2:$C$2000&amp;"")))</f>
        <v/>
      </c>
      <c r="D513">
        <f>IF(A513="","",SUMIFS(المبيعات!$H$2:$H$2000,المبيعات!$C$2:$C$2000,A513))</f>
        <v/>
      </c>
      <c r="E513" s="13">
        <f>IF(A513="","",IF(COUNTIF(المبيعات!$C$2:$C$2000,A513)=0,"",_xlfn.MAXIFS(المبيعات!$A$2:$A$2000,المبيعات!$C$2:$C$2000,A513)))</f>
        <v/>
      </c>
      <c r="F513">
        <f>IF(A513="","",SUMIFS(المبيعات!$H$2:$H$2000,المبيعات!$C$2:$C$2000,A513,المبيعات!$J$2:$J$2000,"آجل"))</f>
        <v/>
      </c>
      <c r="G513" s="4" t="n"/>
      <c r="H513">
        <f>IF(A513="","",F513-G513)</f>
        <v/>
      </c>
    </row>
    <row r="514">
      <c r="A514" s="4" t="n"/>
      <c r="B514" s="4" t="n"/>
      <c r="C514">
        <f>IF(A514="","",SUMPRODUCT((المبيعات!$C$2:$C$2000=A514)*(المبيعات!$B$2:$B$2000&lt;&gt;"")/COUNTIFS(المبيعات!$B$2:$B$2000,المبيعات!$B$2:$B$2000&amp;"",المبيعات!$C$2:$C$2000,المبيعات!$C$2:$C$2000&amp;"")))</f>
        <v/>
      </c>
      <c r="D514">
        <f>IF(A514="","",SUMIFS(المبيعات!$H$2:$H$2000,المبيعات!$C$2:$C$2000,A514))</f>
        <v/>
      </c>
      <c r="E514" s="13">
        <f>IF(A514="","",IF(COUNTIF(المبيعات!$C$2:$C$2000,A514)=0,"",_xlfn.MAXIFS(المبيعات!$A$2:$A$2000,المبيعات!$C$2:$C$2000,A514)))</f>
        <v/>
      </c>
      <c r="F514">
        <f>IF(A514="","",SUMIFS(المبيعات!$H$2:$H$2000,المبيعات!$C$2:$C$2000,A514,المبيعات!$J$2:$J$2000,"آجل"))</f>
        <v/>
      </c>
      <c r="G514" s="4" t="n"/>
      <c r="H514">
        <f>IF(A514="","",F514-G514)</f>
        <v/>
      </c>
    </row>
    <row r="515">
      <c r="A515" s="4" t="n"/>
      <c r="B515" s="4" t="n"/>
      <c r="C515">
        <f>IF(A515="","",SUMPRODUCT((المبيعات!$C$2:$C$2000=A515)*(المبيعات!$B$2:$B$2000&lt;&gt;"")/COUNTIFS(المبيعات!$B$2:$B$2000,المبيعات!$B$2:$B$2000&amp;"",المبيعات!$C$2:$C$2000,المبيعات!$C$2:$C$2000&amp;"")))</f>
        <v/>
      </c>
      <c r="D515">
        <f>IF(A515="","",SUMIFS(المبيعات!$H$2:$H$2000,المبيعات!$C$2:$C$2000,A515))</f>
        <v/>
      </c>
      <c r="E515" s="13">
        <f>IF(A515="","",IF(COUNTIF(المبيعات!$C$2:$C$2000,A515)=0,"",_xlfn.MAXIFS(المبيعات!$A$2:$A$2000,المبيعات!$C$2:$C$2000,A515)))</f>
        <v/>
      </c>
      <c r="F515">
        <f>IF(A515="","",SUMIFS(المبيعات!$H$2:$H$2000,المبيعات!$C$2:$C$2000,A515,المبيعات!$J$2:$J$2000,"آجل"))</f>
        <v/>
      </c>
      <c r="G515" s="4" t="n"/>
      <c r="H515">
        <f>IF(A515="","",F515-G515)</f>
        <v/>
      </c>
    </row>
    <row r="516">
      <c r="A516" s="4" t="n"/>
      <c r="B516" s="4" t="n"/>
      <c r="C516">
        <f>IF(A516="","",SUMPRODUCT((المبيعات!$C$2:$C$2000=A516)*(المبيعات!$B$2:$B$2000&lt;&gt;"")/COUNTIFS(المبيعات!$B$2:$B$2000,المبيعات!$B$2:$B$2000&amp;"",المبيعات!$C$2:$C$2000,المبيعات!$C$2:$C$2000&amp;"")))</f>
        <v/>
      </c>
      <c r="D516">
        <f>IF(A516="","",SUMIFS(المبيعات!$H$2:$H$2000,المبيعات!$C$2:$C$2000,A516))</f>
        <v/>
      </c>
      <c r="E516" s="13">
        <f>IF(A516="","",IF(COUNTIF(المبيعات!$C$2:$C$2000,A516)=0,"",_xlfn.MAXIFS(المبيعات!$A$2:$A$2000,المبيعات!$C$2:$C$2000,A516)))</f>
        <v/>
      </c>
      <c r="F516">
        <f>IF(A516="","",SUMIFS(المبيعات!$H$2:$H$2000,المبيعات!$C$2:$C$2000,A516,المبيعات!$J$2:$J$2000,"آجل"))</f>
        <v/>
      </c>
      <c r="G516" s="4" t="n"/>
      <c r="H516">
        <f>IF(A516="","",F516-G516)</f>
        <v/>
      </c>
    </row>
    <row r="517">
      <c r="A517" s="4" t="n"/>
      <c r="B517" s="4" t="n"/>
      <c r="C517">
        <f>IF(A517="","",SUMPRODUCT((المبيعات!$C$2:$C$2000=A517)*(المبيعات!$B$2:$B$2000&lt;&gt;"")/COUNTIFS(المبيعات!$B$2:$B$2000,المبيعات!$B$2:$B$2000&amp;"",المبيعات!$C$2:$C$2000,المبيعات!$C$2:$C$2000&amp;"")))</f>
        <v/>
      </c>
      <c r="D517">
        <f>IF(A517="","",SUMIFS(المبيعات!$H$2:$H$2000,المبيعات!$C$2:$C$2000,A517))</f>
        <v/>
      </c>
      <c r="E517" s="13">
        <f>IF(A517="","",IF(COUNTIF(المبيعات!$C$2:$C$2000,A517)=0,"",_xlfn.MAXIFS(المبيعات!$A$2:$A$2000,المبيعات!$C$2:$C$2000,A517)))</f>
        <v/>
      </c>
      <c r="F517">
        <f>IF(A517="","",SUMIFS(المبيعات!$H$2:$H$2000,المبيعات!$C$2:$C$2000,A517,المبيعات!$J$2:$J$2000,"آجل"))</f>
        <v/>
      </c>
      <c r="G517" s="4" t="n"/>
      <c r="H517">
        <f>IF(A517="","",F517-G517)</f>
        <v/>
      </c>
    </row>
    <row r="518">
      <c r="A518" s="4" t="n"/>
      <c r="B518" s="4" t="n"/>
      <c r="C518">
        <f>IF(A518="","",SUMPRODUCT((المبيعات!$C$2:$C$2000=A518)*(المبيعات!$B$2:$B$2000&lt;&gt;"")/COUNTIFS(المبيعات!$B$2:$B$2000,المبيعات!$B$2:$B$2000&amp;"",المبيعات!$C$2:$C$2000,المبيعات!$C$2:$C$2000&amp;"")))</f>
        <v/>
      </c>
      <c r="D518">
        <f>IF(A518="","",SUMIFS(المبيعات!$H$2:$H$2000,المبيعات!$C$2:$C$2000,A518))</f>
        <v/>
      </c>
      <c r="E518" s="13">
        <f>IF(A518="","",IF(COUNTIF(المبيعات!$C$2:$C$2000,A518)=0,"",_xlfn.MAXIFS(المبيعات!$A$2:$A$2000,المبيعات!$C$2:$C$2000,A518)))</f>
        <v/>
      </c>
      <c r="F518">
        <f>IF(A518="","",SUMIFS(المبيعات!$H$2:$H$2000,المبيعات!$C$2:$C$2000,A518,المبيعات!$J$2:$J$2000,"آجل"))</f>
        <v/>
      </c>
      <c r="G518" s="4" t="n"/>
      <c r="H518">
        <f>IF(A518="","",F518-G518)</f>
        <v/>
      </c>
    </row>
    <row r="519">
      <c r="A519" s="4" t="n"/>
      <c r="B519" s="4" t="n"/>
      <c r="C519">
        <f>IF(A519="","",SUMPRODUCT((المبيعات!$C$2:$C$2000=A519)*(المبيعات!$B$2:$B$2000&lt;&gt;"")/COUNTIFS(المبيعات!$B$2:$B$2000,المبيعات!$B$2:$B$2000&amp;"",المبيعات!$C$2:$C$2000,المبيعات!$C$2:$C$2000&amp;"")))</f>
        <v/>
      </c>
      <c r="D519">
        <f>IF(A519="","",SUMIFS(المبيعات!$H$2:$H$2000,المبيعات!$C$2:$C$2000,A519))</f>
        <v/>
      </c>
      <c r="E519" s="13">
        <f>IF(A519="","",IF(COUNTIF(المبيعات!$C$2:$C$2000,A519)=0,"",_xlfn.MAXIFS(المبيعات!$A$2:$A$2000,المبيعات!$C$2:$C$2000,A519)))</f>
        <v/>
      </c>
      <c r="F519">
        <f>IF(A519="","",SUMIFS(المبيعات!$H$2:$H$2000,المبيعات!$C$2:$C$2000,A519,المبيعات!$J$2:$J$2000,"آجل"))</f>
        <v/>
      </c>
      <c r="G519" s="4" t="n"/>
      <c r="H519">
        <f>IF(A519="","",F519-G519)</f>
        <v/>
      </c>
    </row>
    <row r="520">
      <c r="A520" s="4" t="n"/>
      <c r="B520" s="4" t="n"/>
      <c r="C520">
        <f>IF(A520="","",SUMPRODUCT((المبيعات!$C$2:$C$2000=A520)*(المبيعات!$B$2:$B$2000&lt;&gt;"")/COUNTIFS(المبيعات!$B$2:$B$2000,المبيعات!$B$2:$B$2000&amp;"",المبيعات!$C$2:$C$2000,المبيعات!$C$2:$C$2000&amp;"")))</f>
        <v/>
      </c>
      <c r="D520">
        <f>IF(A520="","",SUMIFS(المبيعات!$H$2:$H$2000,المبيعات!$C$2:$C$2000,A520))</f>
        <v/>
      </c>
      <c r="E520" s="13">
        <f>IF(A520="","",IF(COUNTIF(المبيعات!$C$2:$C$2000,A520)=0,"",_xlfn.MAXIFS(المبيعات!$A$2:$A$2000,المبيعات!$C$2:$C$2000,A520)))</f>
        <v/>
      </c>
      <c r="F520">
        <f>IF(A520="","",SUMIFS(المبيعات!$H$2:$H$2000,المبيعات!$C$2:$C$2000,A520,المبيعات!$J$2:$J$2000,"آجل"))</f>
        <v/>
      </c>
      <c r="G520" s="4" t="n"/>
      <c r="H520">
        <f>IF(A520="","",F520-G520)</f>
        <v/>
      </c>
    </row>
    <row r="521">
      <c r="A521" s="4" t="n"/>
      <c r="B521" s="4" t="n"/>
      <c r="C521">
        <f>IF(A521="","",SUMPRODUCT((المبيعات!$C$2:$C$2000=A521)*(المبيعات!$B$2:$B$2000&lt;&gt;"")/COUNTIFS(المبيعات!$B$2:$B$2000,المبيعات!$B$2:$B$2000&amp;"",المبيعات!$C$2:$C$2000,المبيعات!$C$2:$C$2000&amp;"")))</f>
        <v/>
      </c>
      <c r="D521">
        <f>IF(A521="","",SUMIFS(المبيعات!$H$2:$H$2000,المبيعات!$C$2:$C$2000,A521))</f>
        <v/>
      </c>
      <c r="E521" s="13">
        <f>IF(A521="","",IF(COUNTIF(المبيعات!$C$2:$C$2000,A521)=0,"",_xlfn.MAXIFS(المبيعات!$A$2:$A$2000,المبيعات!$C$2:$C$2000,A521)))</f>
        <v/>
      </c>
      <c r="F521">
        <f>IF(A521="","",SUMIFS(المبيعات!$H$2:$H$2000,المبيعات!$C$2:$C$2000,A521,المبيعات!$J$2:$J$2000,"آجل"))</f>
        <v/>
      </c>
      <c r="G521" s="4" t="n"/>
      <c r="H521">
        <f>IF(A521="","",F521-G521)</f>
        <v/>
      </c>
    </row>
    <row r="522">
      <c r="A522" s="4" t="n"/>
      <c r="B522" s="4" t="n"/>
      <c r="C522">
        <f>IF(A522="","",SUMPRODUCT((المبيعات!$C$2:$C$2000=A522)*(المبيعات!$B$2:$B$2000&lt;&gt;"")/COUNTIFS(المبيعات!$B$2:$B$2000,المبيعات!$B$2:$B$2000&amp;"",المبيعات!$C$2:$C$2000,المبيعات!$C$2:$C$2000&amp;"")))</f>
        <v/>
      </c>
      <c r="D522">
        <f>IF(A522="","",SUMIFS(المبيعات!$H$2:$H$2000,المبيعات!$C$2:$C$2000,A522))</f>
        <v/>
      </c>
      <c r="E522" s="13">
        <f>IF(A522="","",IF(COUNTIF(المبيعات!$C$2:$C$2000,A522)=0,"",_xlfn.MAXIFS(المبيعات!$A$2:$A$2000,المبيعات!$C$2:$C$2000,A522)))</f>
        <v/>
      </c>
      <c r="F522">
        <f>IF(A522="","",SUMIFS(المبيعات!$H$2:$H$2000,المبيعات!$C$2:$C$2000,A522,المبيعات!$J$2:$J$2000,"آجل"))</f>
        <v/>
      </c>
      <c r="G522" s="4" t="n"/>
      <c r="H522">
        <f>IF(A522="","",F522-G522)</f>
        <v/>
      </c>
    </row>
    <row r="523">
      <c r="A523" s="4" t="n"/>
      <c r="B523" s="4" t="n"/>
      <c r="C523">
        <f>IF(A523="","",SUMPRODUCT((المبيعات!$C$2:$C$2000=A523)*(المبيعات!$B$2:$B$2000&lt;&gt;"")/COUNTIFS(المبيعات!$B$2:$B$2000,المبيعات!$B$2:$B$2000&amp;"",المبيعات!$C$2:$C$2000,المبيعات!$C$2:$C$2000&amp;"")))</f>
        <v/>
      </c>
      <c r="D523">
        <f>IF(A523="","",SUMIFS(المبيعات!$H$2:$H$2000,المبيعات!$C$2:$C$2000,A523))</f>
        <v/>
      </c>
      <c r="E523" s="13">
        <f>IF(A523="","",IF(COUNTIF(المبيعات!$C$2:$C$2000,A523)=0,"",_xlfn.MAXIFS(المبيعات!$A$2:$A$2000,المبيعات!$C$2:$C$2000,A523)))</f>
        <v/>
      </c>
      <c r="F523">
        <f>IF(A523="","",SUMIFS(المبيعات!$H$2:$H$2000,المبيعات!$C$2:$C$2000,A523,المبيعات!$J$2:$J$2000,"آجل"))</f>
        <v/>
      </c>
      <c r="G523" s="4" t="n"/>
      <c r="H523">
        <f>IF(A523="","",F523-G523)</f>
        <v/>
      </c>
    </row>
    <row r="524">
      <c r="A524" s="4" t="n"/>
      <c r="B524" s="4" t="n"/>
      <c r="C524">
        <f>IF(A524="","",SUMPRODUCT((المبيعات!$C$2:$C$2000=A524)*(المبيعات!$B$2:$B$2000&lt;&gt;"")/COUNTIFS(المبيعات!$B$2:$B$2000,المبيعات!$B$2:$B$2000&amp;"",المبيعات!$C$2:$C$2000,المبيعات!$C$2:$C$2000&amp;"")))</f>
        <v/>
      </c>
      <c r="D524">
        <f>IF(A524="","",SUMIFS(المبيعات!$H$2:$H$2000,المبيعات!$C$2:$C$2000,A524))</f>
        <v/>
      </c>
      <c r="E524" s="13">
        <f>IF(A524="","",IF(COUNTIF(المبيعات!$C$2:$C$2000,A524)=0,"",_xlfn.MAXIFS(المبيعات!$A$2:$A$2000,المبيعات!$C$2:$C$2000,A524)))</f>
        <v/>
      </c>
      <c r="F524">
        <f>IF(A524="","",SUMIFS(المبيعات!$H$2:$H$2000,المبيعات!$C$2:$C$2000,A524,المبيعات!$J$2:$J$2000,"آجل"))</f>
        <v/>
      </c>
      <c r="G524" s="4" t="n"/>
      <c r="H524">
        <f>IF(A524="","",F524-G524)</f>
        <v/>
      </c>
    </row>
    <row r="525">
      <c r="A525" s="4" t="n"/>
      <c r="B525" s="4" t="n"/>
      <c r="C525">
        <f>IF(A525="","",SUMPRODUCT((المبيعات!$C$2:$C$2000=A525)*(المبيعات!$B$2:$B$2000&lt;&gt;"")/COUNTIFS(المبيعات!$B$2:$B$2000,المبيعات!$B$2:$B$2000&amp;"",المبيعات!$C$2:$C$2000,المبيعات!$C$2:$C$2000&amp;"")))</f>
        <v/>
      </c>
      <c r="D525">
        <f>IF(A525="","",SUMIFS(المبيعات!$H$2:$H$2000,المبيعات!$C$2:$C$2000,A525))</f>
        <v/>
      </c>
      <c r="E525" s="13">
        <f>IF(A525="","",IF(COUNTIF(المبيعات!$C$2:$C$2000,A525)=0,"",_xlfn.MAXIFS(المبيعات!$A$2:$A$2000,المبيعات!$C$2:$C$2000,A525)))</f>
        <v/>
      </c>
      <c r="F525">
        <f>IF(A525="","",SUMIFS(المبيعات!$H$2:$H$2000,المبيعات!$C$2:$C$2000,A525,المبيعات!$J$2:$J$2000,"آجل"))</f>
        <v/>
      </c>
      <c r="G525" s="4" t="n"/>
      <c r="H525">
        <f>IF(A525="","",F525-G525)</f>
        <v/>
      </c>
    </row>
    <row r="526">
      <c r="A526" s="4" t="n"/>
      <c r="B526" s="4" t="n"/>
      <c r="C526">
        <f>IF(A526="","",SUMPRODUCT((المبيعات!$C$2:$C$2000=A526)*(المبيعات!$B$2:$B$2000&lt;&gt;"")/COUNTIFS(المبيعات!$B$2:$B$2000,المبيعات!$B$2:$B$2000&amp;"",المبيعات!$C$2:$C$2000,المبيعات!$C$2:$C$2000&amp;"")))</f>
        <v/>
      </c>
      <c r="D526">
        <f>IF(A526="","",SUMIFS(المبيعات!$H$2:$H$2000,المبيعات!$C$2:$C$2000,A526))</f>
        <v/>
      </c>
      <c r="E526" s="13">
        <f>IF(A526="","",IF(COUNTIF(المبيعات!$C$2:$C$2000,A526)=0,"",_xlfn.MAXIFS(المبيعات!$A$2:$A$2000,المبيعات!$C$2:$C$2000,A526)))</f>
        <v/>
      </c>
      <c r="F526">
        <f>IF(A526="","",SUMIFS(المبيعات!$H$2:$H$2000,المبيعات!$C$2:$C$2000,A526,المبيعات!$J$2:$J$2000,"آجل"))</f>
        <v/>
      </c>
      <c r="G526" s="4" t="n"/>
      <c r="H526">
        <f>IF(A526="","",F526-G526)</f>
        <v/>
      </c>
    </row>
    <row r="527">
      <c r="A527" s="4" t="n"/>
      <c r="B527" s="4" t="n"/>
      <c r="C527">
        <f>IF(A527="","",SUMPRODUCT((المبيعات!$C$2:$C$2000=A527)*(المبيعات!$B$2:$B$2000&lt;&gt;"")/COUNTIFS(المبيعات!$B$2:$B$2000,المبيعات!$B$2:$B$2000&amp;"",المبيعات!$C$2:$C$2000,المبيعات!$C$2:$C$2000&amp;"")))</f>
        <v/>
      </c>
      <c r="D527">
        <f>IF(A527="","",SUMIFS(المبيعات!$H$2:$H$2000,المبيعات!$C$2:$C$2000,A527))</f>
        <v/>
      </c>
      <c r="E527" s="13">
        <f>IF(A527="","",IF(COUNTIF(المبيعات!$C$2:$C$2000,A527)=0,"",_xlfn.MAXIFS(المبيعات!$A$2:$A$2000,المبيعات!$C$2:$C$2000,A527)))</f>
        <v/>
      </c>
      <c r="F527">
        <f>IF(A527="","",SUMIFS(المبيعات!$H$2:$H$2000,المبيعات!$C$2:$C$2000,A527,المبيعات!$J$2:$J$2000,"آجل"))</f>
        <v/>
      </c>
      <c r="G527" s="4" t="n"/>
      <c r="H527">
        <f>IF(A527="","",F527-G527)</f>
        <v/>
      </c>
    </row>
    <row r="528">
      <c r="A528" s="4" t="n"/>
      <c r="B528" s="4" t="n"/>
      <c r="C528">
        <f>IF(A528="","",SUMPRODUCT((المبيعات!$C$2:$C$2000=A528)*(المبيعات!$B$2:$B$2000&lt;&gt;"")/COUNTIFS(المبيعات!$B$2:$B$2000,المبيعات!$B$2:$B$2000&amp;"",المبيعات!$C$2:$C$2000,المبيعات!$C$2:$C$2000&amp;"")))</f>
        <v/>
      </c>
      <c r="D528">
        <f>IF(A528="","",SUMIFS(المبيعات!$H$2:$H$2000,المبيعات!$C$2:$C$2000,A528))</f>
        <v/>
      </c>
      <c r="E528" s="13">
        <f>IF(A528="","",IF(COUNTIF(المبيعات!$C$2:$C$2000,A528)=0,"",_xlfn.MAXIFS(المبيعات!$A$2:$A$2000,المبيعات!$C$2:$C$2000,A528)))</f>
        <v/>
      </c>
      <c r="F528">
        <f>IF(A528="","",SUMIFS(المبيعات!$H$2:$H$2000,المبيعات!$C$2:$C$2000,A528,المبيعات!$J$2:$J$2000,"آجل"))</f>
        <v/>
      </c>
      <c r="G528" s="4" t="n"/>
      <c r="H528">
        <f>IF(A528="","",F528-G528)</f>
        <v/>
      </c>
    </row>
    <row r="529">
      <c r="A529" s="4" t="n"/>
      <c r="B529" s="4" t="n"/>
      <c r="C529">
        <f>IF(A529="","",SUMPRODUCT((المبيعات!$C$2:$C$2000=A529)*(المبيعات!$B$2:$B$2000&lt;&gt;"")/COUNTIFS(المبيعات!$B$2:$B$2000,المبيعات!$B$2:$B$2000&amp;"",المبيعات!$C$2:$C$2000,المبيعات!$C$2:$C$2000&amp;"")))</f>
        <v/>
      </c>
      <c r="D529">
        <f>IF(A529="","",SUMIFS(المبيعات!$H$2:$H$2000,المبيعات!$C$2:$C$2000,A529))</f>
        <v/>
      </c>
      <c r="E529" s="13">
        <f>IF(A529="","",IF(COUNTIF(المبيعات!$C$2:$C$2000,A529)=0,"",_xlfn.MAXIFS(المبيعات!$A$2:$A$2000,المبيعات!$C$2:$C$2000,A529)))</f>
        <v/>
      </c>
      <c r="F529">
        <f>IF(A529="","",SUMIFS(المبيعات!$H$2:$H$2000,المبيعات!$C$2:$C$2000,A529,المبيعات!$J$2:$J$2000,"آجل"))</f>
        <v/>
      </c>
      <c r="G529" s="4" t="n"/>
      <c r="H529">
        <f>IF(A529="","",F529-G529)</f>
        <v/>
      </c>
    </row>
    <row r="530">
      <c r="A530" s="4" t="n"/>
      <c r="B530" s="4" t="n"/>
      <c r="C530">
        <f>IF(A530="","",SUMPRODUCT((المبيعات!$C$2:$C$2000=A530)*(المبيعات!$B$2:$B$2000&lt;&gt;"")/COUNTIFS(المبيعات!$B$2:$B$2000,المبيعات!$B$2:$B$2000&amp;"",المبيعات!$C$2:$C$2000,المبيعات!$C$2:$C$2000&amp;"")))</f>
        <v/>
      </c>
      <c r="D530">
        <f>IF(A530="","",SUMIFS(المبيعات!$H$2:$H$2000,المبيعات!$C$2:$C$2000,A530))</f>
        <v/>
      </c>
      <c r="E530" s="13">
        <f>IF(A530="","",IF(COUNTIF(المبيعات!$C$2:$C$2000,A530)=0,"",_xlfn.MAXIFS(المبيعات!$A$2:$A$2000,المبيعات!$C$2:$C$2000,A530)))</f>
        <v/>
      </c>
      <c r="F530">
        <f>IF(A530="","",SUMIFS(المبيعات!$H$2:$H$2000,المبيعات!$C$2:$C$2000,A530,المبيعات!$J$2:$J$2000,"آجل"))</f>
        <v/>
      </c>
      <c r="G530" s="4" t="n"/>
      <c r="H530">
        <f>IF(A530="","",F530-G530)</f>
        <v/>
      </c>
    </row>
    <row r="531">
      <c r="A531" s="4" t="n"/>
      <c r="B531" s="4" t="n"/>
      <c r="C531">
        <f>IF(A531="","",SUMPRODUCT((المبيعات!$C$2:$C$2000=A531)*(المبيعات!$B$2:$B$2000&lt;&gt;"")/COUNTIFS(المبيعات!$B$2:$B$2000,المبيعات!$B$2:$B$2000&amp;"",المبيعات!$C$2:$C$2000,المبيعات!$C$2:$C$2000&amp;"")))</f>
        <v/>
      </c>
      <c r="D531">
        <f>IF(A531="","",SUMIFS(المبيعات!$H$2:$H$2000,المبيعات!$C$2:$C$2000,A531))</f>
        <v/>
      </c>
      <c r="E531" s="13">
        <f>IF(A531="","",IF(COUNTIF(المبيعات!$C$2:$C$2000,A531)=0,"",_xlfn.MAXIFS(المبيعات!$A$2:$A$2000,المبيعات!$C$2:$C$2000,A531)))</f>
        <v/>
      </c>
      <c r="F531">
        <f>IF(A531="","",SUMIFS(المبيعات!$H$2:$H$2000,المبيعات!$C$2:$C$2000,A531,المبيعات!$J$2:$J$2000,"آجل"))</f>
        <v/>
      </c>
      <c r="G531" s="4" t="n"/>
      <c r="H531">
        <f>IF(A531="","",F531-G531)</f>
        <v/>
      </c>
    </row>
    <row r="532">
      <c r="A532" s="4" t="n"/>
      <c r="B532" s="4" t="n"/>
      <c r="C532">
        <f>IF(A532="","",SUMPRODUCT((المبيعات!$C$2:$C$2000=A532)*(المبيعات!$B$2:$B$2000&lt;&gt;"")/COUNTIFS(المبيعات!$B$2:$B$2000,المبيعات!$B$2:$B$2000&amp;"",المبيعات!$C$2:$C$2000,المبيعات!$C$2:$C$2000&amp;"")))</f>
        <v/>
      </c>
      <c r="D532">
        <f>IF(A532="","",SUMIFS(المبيعات!$H$2:$H$2000,المبيعات!$C$2:$C$2000,A532))</f>
        <v/>
      </c>
      <c r="E532" s="13">
        <f>IF(A532="","",IF(COUNTIF(المبيعات!$C$2:$C$2000,A532)=0,"",_xlfn.MAXIFS(المبيعات!$A$2:$A$2000,المبيعات!$C$2:$C$2000,A532)))</f>
        <v/>
      </c>
      <c r="F532">
        <f>IF(A532="","",SUMIFS(المبيعات!$H$2:$H$2000,المبيعات!$C$2:$C$2000,A532,المبيعات!$J$2:$J$2000,"آجل"))</f>
        <v/>
      </c>
      <c r="G532" s="4" t="n"/>
      <c r="H532">
        <f>IF(A532="","",F532-G532)</f>
        <v/>
      </c>
    </row>
    <row r="533">
      <c r="A533" s="4" t="n"/>
      <c r="B533" s="4" t="n"/>
      <c r="C533">
        <f>IF(A533="","",SUMPRODUCT((المبيعات!$C$2:$C$2000=A533)*(المبيعات!$B$2:$B$2000&lt;&gt;"")/COUNTIFS(المبيعات!$B$2:$B$2000,المبيعات!$B$2:$B$2000&amp;"",المبيعات!$C$2:$C$2000,المبيعات!$C$2:$C$2000&amp;"")))</f>
        <v/>
      </c>
      <c r="D533">
        <f>IF(A533="","",SUMIFS(المبيعات!$H$2:$H$2000,المبيعات!$C$2:$C$2000,A533))</f>
        <v/>
      </c>
      <c r="E533" s="13">
        <f>IF(A533="","",IF(COUNTIF(المبيعات!$C$2:$C$2000,A533)=0,"",_xlfn.MAXIFS(المبيعات!$A$2:$A$2000,المبيعات!$C$2:$C$2000,A533)))</f>
        <v/>
      </c>
      <c r="F533">
        <f>IF(A533="","",SUMIFS(المبيعات!$H$2:$H$2000,المبيعات!$C$2:$C$2000,A533,المبيعات!$J$2:$J$2000,"آجل"))</f>
        <v/>
      </c>
      <c r="G533" s="4" t="n"/>
      <c r="H533">
        <f>IF(A533="","",F533-G533)</f>
        <v/>
      </c>
    </row>
    <row r="534">
      <c r="A534" s="4" t="n"/>
      <c r="B534" s="4" t="n"/>
      <c r="C534">
        <f>IF(A534="","",SUMPRODUCT((المبيعات!$C$2:$C$2000=A534)*(المبيعات!$B$2:$B$2000&lt;&gt;"")/COUNTIFS(المبيعات!$B$2:$B$2000,المبيعات!$B$2:$B$2000&amp;"",المبيعات!$C$2:$C$2000,المبيعات!$C$2:$C$2000&amp;"")))</f>
        <v/>
      </c>
      <c r="D534">
        <f>IF(A534="","",SUMIFS(المبيعات!$H$2:$H$2000,المبيعات!$C$2:$C$2000,A534))</f>
        <v/>
      </c>
      <c r="E534" s="13">
        <f>IF(A534="","",IF(COUNTIF(المبيعات!$C$2:$C$2000,A534)=0,"",_xlfn.MAXIFS(المبيعات!$A$2:$A$2000,المبيعات!$C$2:$C$2000,A534)))</f>
        <v/>
      </c>
      <c r="F534">
        <f>IF(A534="","",SUMIFS(المبيعات!$H$2:$H$2000,المبيعات!$C$2:$C$2000,A534,المبيعات!$J$2:$J$2000,"آجل"))</f>
        <v/>
      </c>
      <c r="G534" s="4" t="n"/>
      <c r="H534">
        <f>IF(A534="","",F534-G534)</f>
        <v/>
      </c>
    </row>
    <row r="535">
      <c r="A535" s="4" t="n"/>
      <c r="B535" s="4" t="n"/>
      <c r="C535">
        <f>IF(A535="","",SUMPRODUCT((المبيعات!$C$2:$C$2000=A535)*(المبيعات!$B$2:$B$2000&lt;&gt;"")/COUNTIFS(المبيعات!$B$2:$B$2000,المبيعات!$B$2:$B$2000&amp;"",المبيعات!$C$2:$C$2000,المبيعات!$C$2:$C$2000&amp;"")))</f>
        <v/>
      </c>
      <c r="D535">
        <f>IF(A535="","",SUMIFS(المبيعات!$H$2:$H$2000,المبيعات!$C$2:$C$2000,A535))</f>
        <v/>
      </c>
      <c r="E535" s="13">
        <f>IF(A535="","",IF(COUNTIF(المبيعات!$C$2:$C$2000,A535)=0,"",_xlfn.MAXIFS(المبيعات!$A$2:$A$2000,المبيعات!$C$2:$C$2000,A535)))</f>
        <v/>
      </c>
      <c r="F535">
        <f>IF(A535="","",SUMIFS(المبيعات!$H$2:$H$2000,المبيعات!$C$2:$C$2000,A535,المبيعات!$J$2:$J$2000,"آجل"))</f>
        <v/>
      </c>
      <c r="G535" s="4" t="n"/>
      <c r="H535">
        <f>IF(A535="","",F535-G535)</f>
        <v/>
      </c>
    </row>
    <row r="536">
      <c r="A536" s="4" t="n"/>
      <c r="B536" s="4" t="n"/>
      <c r="C536">
        <f>IF(A536="","",SUMPRODUCT((المبيعات!$C$2:$C$2000=A536)*(المبيعات!$B$2:$B$2000&lt;&gt;"")/COUNTIFS(المبيعات!$B$2:$B$2000,المبيعات!$B$2:$B$2000&amp;"",المبيعات!$C$2:$C$2000,المبيعات!$C$2:$C$2000&amp;"")))</f>
        <v/>
      </c>
      <c r="D536">
        <f>IF(A536="","",SUMIFS(المبيعات!$H$2:$H$2000,المبيعات!$C$2:$C$2000,A536))</f>
        <v/>
      </c>
      <c r="E536" s="13">
        <f>IF(A536="","",IF(COUNTIF(المبيعات!$C$2:$C$2000,A536)=0,"",_xlfn.MAXIFS(المبيعات!$A$2:$A$2000,المبيعات!$C$2:$C$2000,A536)))</f>
        <v/>
      </c>
      <c r="F536">
        <f>IF(A536="","",SUMIFS(المبيعات!$H$2:$H$2000,المبيعات!$C$2:$C$2000,A536,المبيعات!$J$2:$J$2000,"آجل"))</f>
        <v/>
      </c>
      <c r="G536" s="4" t="n"/>
      <c r="H536">
        <f>IF(A536="","",F536-G536)</f>
        <v/>
      </c>
    </row>
    <row r="537">
      <c r="A537" s="4" t="n"/>
      <c r="B537" s="4" t="n"/>
      <c r="C537">
        <f>IF(A537="","",SUMPRODUCT((المبيعات!$C$2:$C$2000=A537)*(المبيعات!$B$2:$B$2000&lt;&gt;"")/COUNTIFS(المبيعات!$B$2:$B$2000,المبيعات!$B$2:$B$2000&amp;"",المبيعات!$C$2:$C$2000,المبيعات!$C$2:$C$2000&amp;"")))</f>
        <v/>
      </c>
      <c r="D537">
        <f>IF(A537="","",SUMIFS(المبيعات!$H$2:$H$2000,المبيعات!$C$2:$C$2000,A537))</f>
        <v/>
      </c>
      <c r="E537" s="13">
        <f>IF(A537="","",IF(COUNTIF(المبيعات!$C$2:$C$2000,A537)=0,"",_xlfn.MAXIFS(المبيعات!$A$2:$A$2000,المبيعات!$C$2:$C$2000,A537)))</f>
        <v/>
      </c>
      <c r="F537">
        <f>IF(A537="","",SUMIFS(المبيعات!$H$2:$H$2000,المبيعات!$C$2:$C$2000,A537,المبيعات!$J$2:$J$2000,"آجل"))</f>
        <v/>
      </c>
      <c r="G537" s="4" t="n"/>
      <c r="H537">
        <f>IF(A537="","",F537-G537)</f>
        <v/>
      </c>
    </row>
    <row r="538">
      <c r="A538" s="4" t="n"/>
      <c r="B538" s="4" t="n"/>
      <c r="C538">
        <f>IF(A538="","",SUMPRODUCT((المبيعات!$C$2:$C$2000=A538)*(المبيعات!$B$2:$B$2000&lt;&gt;"")/COUNTIFS(المبيعات!$B$2:$B$2000,المبيعات!$B$2:$B$2000&amp;"",المبيعات!$C$2:$C$2000,المبيعات!$C$2:$C$2000&amp;"")))</f>
        <v/>
      </c>
      <c r="D538">
        <f>IF(A538="","",SUMIFS(المبيعات!$H$2:$H$2000,المبيعات!$C$2:$C$2000,A538))</f>
        <v/>
      </c>
      <c r="E538" s="13">
        <f>IF(A538="","",IF(COUNTIF(المبيعات!$C$2:$C$2000,A538)=0,"",_xlfn.MAXIFS(المبيعات!$A$2:$A$2000,المبيعات!$C$2:$C$2000,A538)))</f>
        <v/>
      </c>
      <c r="F538">
        <f>IF(A538="","",SUMIFS(المبيعات!$H$2:$H$2000,المبيعات!$C$2:$C$2000,A538,المبيعات!$J$2:$J$2000,"آجل"))</f>
        <v/>
      </c>
      <c r="G538" s="4" t="n"/>
      <c r="H538">
        <f>IF(A538="","",F538-G538)</f>
        <v/>
      </c>
    </row>
    <row r="539">
      <c r="A539" s="4" t="n"/>
      <c r="B539" s="4" t="n"/>
      <c r="C539">
        <f>IF(A539="","",SUMPRODUCT((المبيعات!$C$2:$C$2000=A539)*(المبيعات!$B$2:$B$2000&lt;&gt;"")/COUNTIFS(المبيعات!$B$2:$B$2000,المبيعات!$B$2:$B$2000&amp;"",المبيعات!$C$2:$C$2000,المبيعات!$C$2:$C$2000&amp;"")))</f>
        <v/>
      </c>
      <c r="D539">
        <f>IF(A539="","",SUMIFS(المبيعات!$H$2:$H$2000,المبيعات!$C$2:$C$2000,A539))</f>
        <v/>
      </c>
      <c r="E539" s="13">
        <f>IF(A539="","",IF(COUNTIF(المبيعات!$C$2:$C$2000,A539)=0,"",_xlfn.MAXIFS(المبيعات!$A$2:$A$2000,المبيعات!$C$2:$C$2000,A539)))</f>
        <v/>
      </c>
      <c r="F539">
        <f>IF(A539="","",SUMIFS(المبيعات!$H$2:$H$2000,المبيعات!$C$2:$C$2000,A539,المبيعات!$J$2:$J$2000,"آجل"))</f>
        <v/>
      </c>
      <c r="G539" s="4" t="n"/>
      <c r="H539">
        <f>IF(A539="","",F539-G539)</f>
        <v/>
      </c>
    </row>
    <row r="540">
      <c r="A540" s="4" t="n"/>
      <c r="B540" s="4" t="n"/>
      <c r="C540">
        <f>IF(A540="","",SUMPRODUCT((المبيعات!$C$2:$C$2000=A540)*(المبيعات!$B$2:$B$2000&lt;&gt;"")/COUNTIFS(المبيعات!$B$2:$B$2000,المبيعات!$B$2:$B$2000&amp;"",المبيعات!$C$2:$C$2000,المبيعات!$C$2:$C$2000&amp;"")))</f>
        <v/>
      </c>
      <c r="D540">
        <f>IF(A540="","",SUMIFS(المبيعات!$H$2:$H$2000,المبيعات!$C$2:$C$2000,A540))</f>
        <v/>
      </c>
      <c r="E540" s="13">
        <f>IF(A540="","",IF(COUNTIF(المبيعات!$C$2:$C$2000,A540)=0,"",_xlfn.MAXIFS(المبيعات!$A$2:$A$2000,المبيعات!$C$2:$C$2000,A540)))</f>
        <v/>
      </c>
      <c r="F540">
        <f>IF(A540="","",SUMIFS(المبيعات!$H$2:$H$2000,المبيعات!$C$2:$C$2000,A540,المبيعات!$J$2:$J$2000,"آجل"))</f>
        <v/>
      </c>
      <c r="G540" s="4" t="n"/>
      <c r="H540">
        <f>IF(A540="","",F540-G540)</f>
        <v/>
      </c>
    </row>
    <row r="541">
      <c r="A541" s="4" t="n"/>
      <c r="B541" s="4" t="n"/>
      <c r="C541">
        <f>IF(A541="","",SUMPRODUCT((المبيعات!$C$2:$C$2000=A541)*(المبيعات!$B$2:$B$2000&lt;&gt;"")/COUNTIFS(المبيعات!$B$2:$B$2000,المبيعات!$B$2:$B$2000&amp;"",المبيعات!$C$2:$C$2000,المبيعات!$C$2:$C$2000&amp;"")))</f>
        <v/>
      </c>
      <c r="D541">
        <f>IF(A541="","",SUMIFS(المبيعات!$H$2:$H$2000,المبيعات!$C$2:$C$2000,A541))</f>
        <v/>
      </c>
      <c r="E541" s="13">
        <f>IF(A541="","",IF(COUNTIF(المبيعات!$C$2:$C$2000,A541)=0,"",_xlfn.MAXIFS(المبيعات!$A$2:$A$2000,المبيعات!$C$2:$C$2000,A541)))</f>
        <v/>
      </c>
      <c r="F541">
        <f>IF(A541="","",SUMIFS(المبيعات!$H$2:$H$2000,المبيعات!$C$2:$C$2000,A541,المبيعات!$J$2:$J$2000,"آجل"))</f>
        <v/>
      </c>
      <c r="G541" s="4" t="n"/>
      <c r="H541">
        <f>IF(A541="","",F541-G541)</f>
        <v/>
      </c>
    </row>
    <row r="542">
      <c r="A542" s="4" t="n"/>
      <c r="B542" s="4" t="n"/>
      <c r="C542">
        <f>IF(A542="","",SUMPRODUCT((المبيعات!$C$2:$C$2000=A542)*(المبيعات!$B$2:$B$2000&lt;&gt;"")/COUNTIFS(المبيعات!$B$2:$B$2000,المبيعات!$B$2:$B$2000&amp;"",المبيعات!$C$2:$C$2000,المبيعات!$C$2:$C$2000&amp;"")))</f>
        <v/>
      </c>
      <c r="D542">
        <f>IF(A542="","",SUMIFS(المبيعات!$H$2:$H$2000,المبيعات!$C$2:$C$2000,A542))</f>
        <v/>
      </c>
      <c r="E542" s="13">
        <f>IF(A542="","",IF(COUNTIF(المبيعات!$C$2:$C$2000,A542)=0,"",_xlfn.MAXIFS(المبيعات!$A$2:$A$2000,المبيعات!$C$2:$C$2000,A542)))</f>
        <v/>
      </c>
      <c r="F542">
        <f>IF(A542="","",SUMIFS(المبيعات!$H$2:$H$2000,المبيعات!$C$2:$C$2000,A542,المبيعات!$J$2:$J$2000,"آجل"))</f>
        <v/>
      </c>
      <c r="G542" s="4" t="n"/>
      <c r="H542">
        <f>IF(A542="","",F542-G542)</f>
        <v/>
      </c>
    </row>
    <row r="543">
      <c r="A543" s="4" t="n"/>
      <c r="B543" s="4" t="n"/>
      <c r="C543">
        <f>IF(A543="","",SUMPRODUCT((المبيعات!$C$2:$C$2000=A543)*(المبيعات!$B$2:$B$2000&lt;&gt;"")/COUNTIFS(المبيعات!$B$2:$B$2000,المبيعات!$B$2:$B$2000&amp;"",المبيعات!$C$2:$C$2000,المبيعات!$C$2:$C$2000&amp;"")))</f>
        <v/>
      </c>
      <c r="D543">
        <f>IF(A543="","",SUMIFS(المبيعات!$H$2:$H$2000,المبيعات!$C$2:$C$2000,A543))</f>
        <v/>
      </c>
      <c r="E543" s="13">
        <f>IF(A543="","",IF(COUNTIF(المبيعات!$C$2:$C$2000,A543)=0,"",_xlfn.MAXIFS(المبيعات!$A$2:$A$2000,المبيعات!$C$2:$C$2000,A543)))</f>
        <v/>
      </c>
      <c r="F543">
        <f>IF(A543="","",SUMIFS(المبيعات!$H$2:$H$2000,المبيعات!$C$2:$C$2000,A543,المبيعات!$J$2:$J$2000,"آجل"))</f>
        <v/>
      </c>
      <c r="G543" s="4" t="n"/>
      <c r="H543">
        <f>IF(A543="","",F543-G543)</f>
        <v/>
      </c>
    </row>
    <row r="544">
      <c r="A544" s="4" t="n"/>
      <c r="B544" s="4" t="n"/>
      <c r="C544">
        <f>IF(A544="","",SUMPRODUCT((المبيعات!$C$2:$C$2000=A544)*(المبيعات!$B$2:$B$2000&lt;&gt;"")/COUNTIFS(المبيعات!$B$2:$B$2000,المبيعات!$B$2:$B$2000&amp;"",المبيعات!$C$2:$C$2000,المبيعات!$C$2:$C$2000&amp;"")))</f>
        <v/>
      </c>
      <c r="D544">
        <f>IF(A544="","",SUMIFS(المبيعات!$H$2:$H$2000,المبيعات!$C$2:$C$2000,A544))</f>
        <v/>
      </c>
      <c r="E544" s="13">
        <f>IF(A544="","",IF(COUNTIF(المبيعات!$C$2:$C$2000,A544)=0,"",_xlfn.MAXIFS(المبيعات!$A$2:$A$2000,المبيعات!$C$2:$C$2000,A544)))</f>
        <v/>
      </c>
      <c r="F544">
        <f>IF(A544="","",SUMIFS(المبيعات!$H$2:$H$2000,المبيعات!$C$2:$C$2000,A544,المبيعات!$J$2:$J$2000,"آجل"))</f>
        <v/>
      </c>
      <c r="G544" s="4" t="n"/>
      <c r="H544">
        <f>IF(A544="","",F544-G544)</f>
        <v/>
      </c>
    </row>
    <row r="545">
      <c r="A545" s="4" t="n"/>
      <c r="B545" s="4" t="n"/>
      <c r="C545">
        <f>IF(A545="","",SUMPRODUCT((المبيعات!$C$2:$C$2000=A545)*(المبيعات!$B$2:$B$2000&lt;&gt;"")/COUNTIFS(المبيعات!$B$2:$B$2000,المبيعات!$B$2:$B$2000&amp;"",المبيعات!$C$2:$C$2000,المبيعات!$C$2:$C$2000&amp;"")))</f>
        <v/>
      </c>
      <c r="D545">
        <f>IF(A545="","",SUMIFS(المبيعات!$H$2:$H$2000,المبيعات!$C$2:$C$2000,A545))</f>
        <v/>
      </c>
      <c r="E545" s="13">
        <f>IF(A545="","",IF(COUNTIF(المبيعات!$C$2:$C$2000,A545)=0,"",_xlfn.MAXIFS(المبيعات!$A$2:$A$2000,المبيعات!$C$2:$C$2000,A545)))</f>
        <v/>
      </c>
      <c r="F545">
        <f>IF(A545="","",SUMIFS(المبيعات!$H$2:$H$2000,المبيعات!$C$2:$C$2000,A545,المبيعات!$J$2:$J$2000,"آجل"))</f>
        <v/>
      </c>
      <c r="G545" s="4" t="n"/>
      <c r="H545">
        <f>IF(A545="","",F545-G545)</f>
        <v/>
      </c>
    </row>
    <row r="546">
      <c r="A546" s="4" t="n"/>
      <c r="B546" s="4" t="n"/>
      <c r="C546">
        <f>IF(A546="","",SUMPRODUCT((المبيعات!$C$2:$C$2000=A546)*(المبيعات!$B$2:$B$2000&lt;&gt;"")/COUNTIFS(المبيعات!$B$2:$B$2000,المبيعات!$B$2:$B$2000&amp;"",المبيعات!$C$2:$C$2000,المبيعات!$C$2:$C$2000&amp;"")))</f>
        <v/>
      </c>
      <c r="D546">
        <f>IF(A546="","",SUMIFS(المبيعات!$H$2:$H$2000,المبيعات!$C$2:$C$2000,A546))</f>
        <v/>
      </c>
      <c r="E546" s="13">
        <f>IF(A546="","",IF(COUNTIF(المبيعات!$C$2:$C$2000,A546)=0,"",_xlfn.MAXIFS(المبيعات!$A$2:$A$2000,المبيعات!$C$2:$C$2000,A546)))</f>
        <v/>
      </c>
      <c r="F546">
        <f>IF(A546="","",SUMIFS(المبيعات!$H$2:$H$2000,المبيعات!$C$2:$C$2000,A546,المبيعات!$J$2:$J$2000,"آجل"))</f>
        <v/>
      </c>
      <c r="G546" s="4" t="n"/>
      <c r="H546">
        <f>IF(A546="","",F546-G546)</f>
        <v/>
      </c>
    </row>
    <row r="547">
      <c r="A547" s="4" t="n"/>
      <c r="B547" s="4" t="n"/>
      <c r="C547">
        <f>IF(A547="","",SUMPRODUCT((المبيعات!$C$2:$C$2000=A547)*(المبيعات!$B$2:$B$2000&lt;&gt;"")/COUNTIFS(المبيعات!$B$2:$B$2000,المبيعات!$B$2:$B$2000&amp;"",المبيعات!$C$2:$C$2000,المبيعات!$C$2:$C$2000&amp;"")))</f>
        <v/>
      </c>
      <c r="D547">
        <f>IF(A547="","",SUMIFS(المبيعات!$H$2:$H$2000,المبيعات!$C$2:$C$2000,A547))</f>
        <v/>
      </c>
      <c r="E547" s="13">
        <f>IF(A547="","",IF(COUNTIF(المبيعات!$C$2:$C$2000,A547)=0,"",_xlfn.MAXIFS(المبيعات!$A$2:$A$2000,المبيعات!$C$2:$C$2000,A547)))</f>
        <v/>
      </c>
      <c r="F547">
        <f>IF(A547="","",SUMIFS(المبيعات!$H$2:$H$2000,المبيعات!$C$2:$C$2000,A547,المبيعات!$J$2:$J$2000,"آجل"))</f>
        <v/>
      </c>
      <c r="G547" s="4" t="n"/>
      <c r="H547">
        <f>IF(A547="","",F547-G547)</f>
        <v/>
      </c>
    </row>
    <row r="548">
      <c r="A548" s="4" t="n"/>
      <c r="B548" s="4" t="n"/>
      <c r="C548">
        <f>IF(A548="","",SUMPRODUCT((المبيعات!$C$2:$C$2000=A548)*(المبيعات!$B$2:$B$2000&lt;&gt;"")/COUNTIFS(المبيعات!$B$2:$B$2000,المبيعات!$B$2:$B$2000&amp;"",المبيعات!$C$2:$C$2000,المبيعات!$C$2:$C$2000&amp;"")))</f>
        <v/>
      </c>
      <c r="D548">
        <f>IF(A548="","",SUMIFS(المبيعات!$H$2:$H$2000,المبيعات!$C$2:$C$2000,A548))</f>
        <v/>
      </c>
      <c r="E548" s="13">
        <f>IF(A548="","",IF(COUNTIF(المبيعات!$C$2:$C$2000,A548)=0,"",_xlfn.MAXIFS(المبيعات!$A$2:$A$2000,المبيعات!$C$2:$C$2000,A548)))</f>
        <v/>
      </c>
      <c r="F548">
        <f>IF(A548="","",SUMIFS(المبيعات!$H$2:$H$2000,المبيعات!$C$2:$C$2000,A548,المبيعات!$J$2:$J$2000,"آجل"))</f>
        <v/>
      </c>
      <c r="G548" s="4" t="n"/>
      <c r="H548">
        <f>IF(A548="","",F548-G548)</f>
        <v/>
      </c>
    </row>
    <row r="549">
      <c r="A549" s="4" t="n"/>
      <c r="B549" s="4" t="n"/>
      <c r="C549">
        <f>IF(A549="","",SUMPRODUCT((المبيعات!$C$2:$C$2000=A549)*(المبيعات!$B$2:$B$2000&lt;&gt;"")/COUNTIFS(المبيعات!$B$2:$B$2000,المبيعات!$B$2:$B$2000&amp;"",المبيعات!$C$2:$C$2000,المبيعات!$C$2:$C$2000&amp;"")))</f>
        <v/>
      </c>
      <c r="D549">
        <f>IF(A549="","",SUMIFS(المبيعات!$H$2:$H$2000,المبيعات!$C$2:$C$2000,A549))</f>
        <v/>
      </c>
      <c r="E549" s="13">
        <f>IF(A549="","",IF(COUNTIF(المبيعات!$C$2:$C$2000,A549)=0,"",_xlfn.MAXIFS(المبيعات!$A$2:$A$2000,المبيعات!$C$2:$C$2000,A549)))</f>
        <v/>
      </c>
      <c r="F549">
        <f>IF(A549="","",SUMIFS(المبيعات!$H$2:$H$2000,المبيعات!$C$2:$C$2000,A549,المبيعات!$J$2:$J$2000,"آجل"))</f>
        <v/>
      </c>
      <c r="G549" s="4" t="n"/>
      <c r="H549">
        <f>IF(A549="","",F549-G549)</f>
        <v/>
      </c>
    </row>
    <row r="550">
      <c r="A550" s="4" t="n"/>
      <c r="B550" s="4" t="n"/>
      <c r="C550">
        <f>IF(A550="","",SUMPRODUCT((المبيعات!$C$2:$C$2000=A550)*(المبيعات!$B$2:$B$2000&lt;&gt;"")/COUNTIFS(المبيعات!$B$2:$B$2000,المبيعات!$B$2:$B$2000&amp;"",المبيعات!$C$2:$C$2000,المبيعات!$C$2:$C$2000&amp;"")))</f>
        <v/>
      </c>
      <c r="D550">
        <f>IF(A550="","",SUMIFS(المبيعات!$H$2:$H$2000,المبيعات!$C$2:$C$2000,A550))</f>
        <v/>
      </c>
      <c r="E550" s="13">
        <f>IF(A550="","",IF(COUNTIF(المبيعات!$C$2:$C$2000,A550)=0,"",_xlfn.MAXIFS(المبيعات!$A$2:$A$2000,المبيعات!$C$2:$C$2000,A550)))</f>
        <v/>
      </c>
      <c r="F550">
        <f>IF(A550="","",SUMIFS(المبيعات!$H$2:$H$2000,المبيعات!$C$2:$C$2000,A550,المبيعات!$J$2:$J$2000,"آجل"))</f>
        <v/>
      </c>
      <c r="G550" s="4" t="n"/>
      <c r="H550">
        <f>IF(A550="","",F550-G550)</f>
        <v/>
      </c>
    </row>
    <row r="551">
      <c r="A551" s="4" t="n"/>
      <c r="B551" s="4" t="n"/>
      <c r="C551">
        <f>IF(A551="","",SUMPRODUCT((المبيعات!$C$2:$C$2000=A551)*(المبيعات!$B$2:$B$2000&lt;&gt;"")/COUNTIFS(المبيعات!$B$2:$B$2000,المبيعات!$B$2:$B$2000&amp;"",المبيعات!$C$2:$C$2000,المبيعات!$C$2:$C$2000&amp;"")))</f>
        <v/>
      </c>
      <c r="D551">
        <f>IF(A551="","",SUMIFS(المبيعات!$H$2:$H$2000,المبيعات!$C$2:$C$2000,A551))</f>
        <v/>
      </c>
      <c r="E551" s="13">
        <f>IF(A551="","",IF(COUNTIF(المبيعات!$C$2:$C$2000,A551)=0,"",_xlfn.MAXIFS(المبيعات!$A$2:$A$2000,المبيعات!$C$2:$C$2000,A551)))</f>
        <v/>
      </c>
      <c r="F551">
        <f>IF(A551="","",SUMIFS(المبيعات!$H$2:$H$2000,المبيعات!$C$2:$C$2000,A551,المبيعات!$J$2:$J$2000,"آجل"))</f>
        <v/>
      </c>
      <c r="G551" s="4" t="n"/>
      <c r="H551">
        <f>IF(A551="","",F551-G551)</f>
        <v/>
      </c>
    </row>
    <row r="552">
      <c r="A552" s="4" t="n"/>
      <c r="B552" s="4" t="n"/>
      <c r="C552">
        <f>IF(A552="","",SUMPRODUCT((المبيعات!$C$2:$C$2000=A552)*(المبيعات!$B$2:$B$2000&lt;&gt;"")/COUNTIFS(المبيعات!$B$2:$B$2000,المبيعات!$B$2:$B$2000&amp;"",المبيعات!$C$2:$C$2000,المبيعات!$C$2:$C$2000&amp;"")))</f>
        <v/>
      </c>
      <c r="D552">
        <f>IF(A552="","",SUMIFS(المبيعات!$H$2:$H$2000,المبيعات!$C$2:$C$2000,A552))</f>
        <v/>
      </c>
      <c r="E552" s="13">
        <f>IF(A552="","",IF(COUNTIF(المبيعات!$C$2:$C$2000,A552)=0,"",_xlfn.MAXIFS(المبيعات!$A$2:$A$2000,المبيعات!$C$2:$C$2000,A552)))</f>
        <v/>
      </c>
      <c r="F552">
        <f>IF(A552="","",SUMIFS(المبيعات!$H$2:$H$2000,المبيعات!$C$2:$C$2000,A552,المبيعات!$J$2:$J$2000,"آجل"))</f>
        <v/>
      </c>
      <c r="G552" s="4" t="n"/>
      <c r="H552">
        <f>IF(A552="","",F552-G552)</f>
        <v/>
      </c>
    </row>
    <row r="553">
      <c r="A553" s="4" t="n"/>
      <c r="B553" s="4" t="n"/>
      <c r="C553">
        <f>IF(A553="","",SUMPRODUCT((المبيعات!$C$2:$C$2000=A553)*(المبيعات!$B$2:$B$2000&lt;&gt;"")/COUNTIFS(المبيعات!$B$2:$B$2000,المبيعات!$B$2:$B$2000&amp;"",المبيعات!$C$2:$C$2000,المبيعات!$C$2:$C$2000&amp;"")))</f>
        <v/>
      </c>
      <c r="D553">
        <f>IF(A553="","",SUMIFS(المبيعات!$H$2:$H$2000,المبيعات!$C$2:$C$2000,A553))</f>
        <v/>
      </c>
      <c r="E553" s="13">
        <f>IF(A553="","",IF(COUNTIF(المبيعات!$C$2:$C$2000,A553)=0,"",_xlfn.MAXIFS(المبيعات!$A$2:$A$2000,المبيعات!$C$2:$C$2000,A553)))</f>
        <v/>
      </c>
      <c r="F553">
        <f>IF(A553="","",SUMIFS(المبيعات!$H$2:$H$2000,المبيعات!$C$2:$C$2000,A553,المبيعات!$J$2:$J$2000,"آجل"))</f>
        <v/>
      </c>
      <c r="G553" s="4" t="n"/>
      <c r="H553">
        <f>IF(A553="","",F553-G553)</f>
        <v/>
      </c>
    </row>
    <row r="554">
      <c r="A554" s="4" t="n"/>
      <c r="B554" s="4" t="n"/>
      <c r="C554">
        <f>IF(A554="","",SUMPRODUCT((المبيعات!$C$2:$C$2000=A554)*(المبيعات!$B$2:$B$2000&lt;&gt;"")/COUNTIFS(المبيعات!$B$2:$B$2000,المبيعات!$B$2:$B$2000&amp;"",المبيعات!$C$2:$C$2000,المبيعات!$C$2:$C$2000&amp;"")))</f>
        <v/>
      </c>
      <c r="D554">
        <f>IF(A554="","",SUMIFS(المبيعات!$H$2:$H$2000,المبيعات!$C$2:$C$2000,A554))</f>
        <v/>
      </c>
      <c r="E554" s="13">
        <f>IF(A554="","",IF(COUNTIF(المبيعات!$C$2:$C$2000,A554)=0,"",_xlfn.MAXIFS(المبيعات!$A$2:$A$2000,المبيعات!$C$2:$C$2000,A554)))</f>
        <v/>
      </c>
      <c r="F554">
        <f>IF(A554="","",SUMIFS(المبيعات!$H$2:$H$2000,المبيعات!$C$2:$C$2000,A554,المبيعات!$J$2:$J$2000,"آجل"))</f>
        <v/>
      </c>
      <c r="G554" s="4" t="n"/>
      <c r="H554">
        <f>IF(A554="","",F554-G554)</f>
        <v/>
      </c>
    </row>
    <row r="555">
      <c r="A555" s="4" t="n"/>
      <c r="B555" s="4" t="n"/>
      <c r="C555">
        <f>IF(A555="","",SUMPRODUCT((المبيعات!$C$2:$C$2000=A555)*(المبيعات!$B$2:$B$2000&lt;&gt;"")/COUNTIFS(المبيعات!$B$2:$B$2000,المبيعات!$B$2:$B$2000&amp;"",المبيعات!$C$2:$C$2000,المبيعات!$C$2:$C$2000&amp;"")))</f>
        <v/>
      </c>
      <c r="D555">
        <f>IF(A555="","",SUMIFS(المبيعات!$H$2:$H$2000,المبيعات!$C$2:$C$2000,A555))</f>
        <v/>
      </c>
      <c r="E555" s="13">
        <f>IF(A555="","",IF(COUNTIF(المبيعات!$C$2:$C$2000,A555)=0,"",_xlfn.MAXIFS(المبيعات!$A$2:$A$2000,المبيعات!$C$2:$C$2000,A555)))</f>
        <v/>
      </c>
      <c r="F555">
        <f>IF(A555="","",SUMIFS(المبيعات!$H$2:$H$2000,المبيعات!$C$2:$C$2000,A555,المبيعات!$J$2:$J$2000,"آجل"))</f>
        <v/>
      </c>
      <c r="G555" s="4" t="n"/>
      <c r="H555">
        <f>IF(A555="","",F555-G555)</f>
        <v/>
      </c>
    </row>
    <row r="556">
      <c r="A556" s="4" t="n"/>
      <c r="B556" s="4" t="n"/>
      <c r="C556">
        <f>IF(A556="","",SUMPRODUCT((المبيعات!$C$2:$C$2000=A556)*(المبيعات!$B$2:$B$2000&lt;&gt;"")/COUNTIFS(المبيعات!$B$2:$B$2000,المبيعات!$B$2:$B$2000&amp;"",المبيعات!$C$2:$C$2000,المبيعات!$C$2:$C$2000&amp;"")))</f>
        <v/>
      </c>
      <c r="D556">
        <f>IF(A556="","",SUMIFS(المبيعات!$H$2:$H$2000,المبيعات!$C$2:$C$2000,A556))</f>
        <v/>
      </c>
      <c r="E556" s="13">
        <f>IF(A556="","",IF(COUNTIF(المبيعات!$C$2:$C$2000,A556)=0,"",_xlfn.MAXIFS(المبيعات!$A$2:$A$2000,المبيعات!$C$2:$C$2000,A556)))</f>
        <v/>
      </c>
      <c r="F556">
        <f>IF(A556="","",SUMIFS(المبيعات!$H$2:$H$2000,المبيعات!$C$2:$C$2000,A556,المبيعات!$J$2:$J$2000,"آجل"))</f>
        <v/>
      </c>
      <c r="G556" s="4" t="n"/>
      <c r="H556">
        <f>IF(A556="","",F556-G556)</f>
        <v/>
      </c>
    </row>
    <row r="557">
      <c r="A557" s="4" t="n"/>
      <c r="B557" s="4" t="n"/>
      <c r="C557">
        <f>IF(A557="","",SUMPRODUCT((المبيعات!$C$2:$C$2000=A557)*(المبيعات!$B$2:$B$2000&lt;&gt;"")/COUNTIFS(المبيعات!$B$2:$B$2000,المبيعات!$B$2:$B$2000&amp;"",المبيعات!$C$2:$C$2000,المبيعات!$C$2:$C$2000&amp;"")))</f>
        <v/>
      </c>
      <c r="D557">
        <f>IF(A557="","",SUMIFS(المبيعات!$H$2:$H$2000,المبيعات!$C$2:$C$2000,A557))</f>
        <v/>
      </c>
      <c r="E557" s="13">
        <f>IF(A557="","",IF(COUNTIF(المبيعات!$C$2:$C$2000,A557)=0,"",_xlfn.MAXIFS(المبيعات!$A$2:$A$2000,المبيعات!$C$2:$C$2000,A557)))</f>
        <v/>
      </c>
      <c r="F557">
        <f>IF(A557="","",SUMIFS(المبيعات!$H$2:$H$2000,المبيعات!$C$2:$C$2000,A557,المبيعات!$J$2:$J$2000,"آجل"))</f>
        <v/>
      </c>
      <c r="G557" s="4" t="n"/>
      <c r="H557">
        <f>IF(A557="","",F557-G557)</f>
        <v/>
      </c>
    </row>
    <row r="558">
      <c r="A558" s="4" t="n"/>
      <c r="B558" s="4" t="n"/>
      <c r="C558">
        <f>IF(A558="","",SUMPRODUCT((المبيعات!$C$2:$C$2000=A558)*(المبيعات!$B$2:$B$2000&lt;&gt;"")/COUNTIFS(المبيعات!$B$2:$B$2000,المبيعات!$B$2:$B$2000&amp;"",المبيعات!$C$2:$C$2000,المبيعات!$C$2:$C$2000&amp;"")))</f>
        <v/>
      </c>
      <c r="D558">
        <f>IF(A558="","",SUMIFS(المبيعات!$H$2:$H$2000,المبيعات!$C$2:$C$2000,A558))</f>
        <v/>
      </c>
      <c r="E558" s="13">
        <f>IF(A558="","",IF(COUNTIF(المبيعات!$C$2:$C$2000,A558)=0,"",_xlfn.MAXIFS(المبيعات!$A$2:$A$2000,المبيعات!$C$2:$C$2000,A558)))</f>
        <v/>
      </c>
      <c r="F558">
        <f>IF(A558="","",SUMIFS(المبيعات!$H$2:$H$2000,المبيعات!$C$2:$C$2000,A558,المبيعات!$J$2:$J$2000,"آجل"))</f>
        <v/>
      </c>
      <c r="G558" s="4" t="n"/>
      <c r="H558">
        <f>IF(A558="","",F558-G558)</f>
        <v/>
      </c>
    </row>
    <row r="559">
      <c r="A559" s="4" t="n"/>
      <c r="B559" s="4" t="n"/>
      <c r="C559">
        <f>IF(A559="","",SUMPRODUCT((المبيعات!$C$2:$C$2000=A559)*(المبيعات!$B$2:$B$2000&lt;&gt;"")/COUNTIFS(المبيعات!$B$2:$B$2000,المبيعات!$B$2:$B$2000&amp;"",المبيعات!$C$2:$C$2000,المبيعات!$C$2:$C$2000&amp;"")))</f>
        <v/>
      </c>
      <c r="D559">
        <f>IF(A559="","",SUMIFS(المبيعات!$H$2:$H$2000,المبيعات!$C$2:$C$2000,A559))</f>
        <v/>
      </c>
      <c r="E559" s="13">
        <f>IF(A559="","",IF(COUNTIF(المبيعات!$C$2:$C$2000,A559)=0,"",_xlfn.MAXIFS(المبيعات!$A$2:$A$2000,المبيعات!$C$2:$C$2000,A559)))</f>
        <v/>
      </c>
      <c r="F559">
        <f>IF(A559="","",SUMIFS(المبيعات!$H$2:$H$2000,المبيعات!$C$2:$C$2000,A559,المبيعات!$J$2:$J$2000,"آجل"))</f>
        <v/>
      </c>
      <c r="G559" s="4" t="n"/>
      <c r="H559">
        <f>IF(A559="","",F559-G559)</f>
        <v/>
      </c>
    </row>
    <row r="560">
      <c r="A560" s="4" t="n"/>
      <c r="B560" s="4" t="n"/>
      <c r="C560">
        <f>IF(A560="","",SUMPRODUCT((المبيعات!$C$2:$C$2000=A560)*(المبيعات!$B$2:$B$2000&lt;&gt;"")/COUNTIFS(المبيعات!$B$2:$B$2000,المبيعات!$B$2:$B$2000&amp;"",المبيعات!$C$2:$C$2000,المبيعات!$C$2:$C$2000&amp;"")))</f>
        <v/>
      </c>
      <c r="D560">
        <f>IF(A560="","",SUMIFS(المبيعات!$H$2:$H$2000,المبيعات!$C$2:$C$2000,A560))</f>
        <v/>
      </c>
      <c r="E560" s="13">
        <f>IF(A560="","",IF(COUNTIF(المبيعات!$C$2:$C$2000,A560)=0,"",_xlfn.MAXIFS(المبيعات!$A$2:$A$2000,المبيعات!$C$2:$C$2000,A560)))</f>
        <v/>
      </c>
      <c r="F560">
        <f>IF(A560="","",SUMIFS(المبيعات!$H$2:$H$2000,المبيعات!$C$2:$C$2000,A560,المبيعات!$J$2:$J$2000,"آجل"))</f>
        <v/>
      </c>
      <c r="G560" s="4" t="n"/>
      <c r="H560">
        <f>IF(A560="","",F560-G560)</f>
        <v/>
      </c>
    </row>
    <row r="561">
      <c r="A561" s="4" t="n"/>
      <c r="B561" s="4" t="n"/>
      <c r="C561">
        <f>IF(A561="","",SUMPRODUCT((المبيعات!$C$2:$C$2000=A561)*(المبيعات!$B$2:$B$2000&lt;&gt;"")/COUNTIFS(المبيعات!$B$2:$B$2000,المبيعات!$B$2:$B$2000&amp;"",المبيعات!$C$2:$C$2000,المبيعات!$C$2:$C$2000&amp;"")))</f>
        <v/>
      </c>
      <c r="D561">
        <f>IF(A561="","",SUMIFS(المبيعات!$H$2:$H$2000,المبيعات!$C$2:$C$2000,A561))</f>
        <v/>
      </c>
      <c r="E561" s="13">
        <f>IF(A561="","",IF(COUNTIF(المبيعات!$C$2:$C$2000,A561)=0,"",_xlfn.MAXIFS(المبيعات!$A$2:$A$2000,المبيعات!$C$2:$C$2000,A561)))</f>
        <v/>
      </c>
      <c r="F561">
        <f>IF(A561="","",SUMIFS(المبيعات!$H$2:$H$2000,المبيعات!$C$2:$C$2000,A561,المبيعات!$J$2:$J$2000,"آجل"))</f>
        <v/>
      </c>
      <c r="G561" s="4" t="n"/>
      <c r="H561">
        <f>IF(A561="","",F561-G561)</f>
        <v/>
      </c>
    </row>
    <row r="562">
      <c r="A562" s="4" t="n"/>
      <c r="B562" s="4" t="n"/>
      <c r="C562">
        <f>IF(A562="","",SUMPRODUCT((المبيعات!$C$2:$C$2000=A562)*(المبيعات!$B$2:$B$2000&lt;&gt;"")/COUNTIFS(المبيعات!$B$2:$B$2000,المبيعات!$B$2:$B$2000&amp;"",المبيعات!$C$2:$C$2000,المبيعات!$C$2:$C$2000&amp;"")))</f>
        <v/>
      </c>
      <c r="D562">
        <f>IF(A562="","",SUMIFS(المبيعات!$H$2:$H$2000,المبيعات!$C$2:$C$2000,A562))</f>
        <v/>
      </c>
      <c r="E562" s="13">
        <f>IF(A562="","",IF(COUNTIF(المبيعات!$C$2:$C$2000,A562)=0,"",_xlfn.MAXIFS(المبيعات!$A$2:$A$2000,المبيعات!$C$2:$C$2000,A562)))</f>
        <v/>
      </c>
      <c r="F562">
        <f>IF(A562="","",SUMIFS(المبيعات!$H$2:$H$2000,المبيعات!$C$2:$C$2000,A562,المبيعات!$J$2:$J$2000,"آجل"))</f>
        <v/>
      </c>
      <c r="G562" s="4" t="n"/>
      <c r="H562">
        <f>IF(A562="","",F562-G562)</f>
        <v/>
      </c>
    </row>
    <row r="563">
      <c r="A563" s="4" t="n"/>
      <c r="B563" s="4" t="n"/>
      <c r="C563">
        <f>IF(A563="","",SUMPRODUCT((المبيعات!$C$2:$C$2000=A563)*(المبيعات!$B$2:$B$2000&lt;&gt;"")/COUNTIFS(المبيعات!$B$2:$B$2000,المبيعات!$B$2:$B$2000&amp;"",المبيعات!$C$2:$C$2000,المبيعات!$C$2:$C$2000&amp;"")))</f>
        <v/>
      </c>
      <c r="D563">
        <f>IF(A563="","",SUMIFS(المبيعات!$H$2:$H$2000,المبيعات!$C$2:$C$2000,A563))</f>
        <v/>
      </c>
      <c r="E563" s="13">
        <f>IF(A563="","",IF(COUNTIF(المبيعات!$C$2:$C$2000,A563)=0,"",_xlfn.MAXIFS(المبيعات!$A$2:$A$2000,المبيعات!$C$2:$C$2000,A563)))</f>
        <v/>
      </c>
      <c r="F563">
        <f>IF(A563="","",SUMIFS(المبيعات!$H$2:$H$2000,المبيعات!$C$2:$C$2000,A563,المبيعات!$J$2:$J$2000,"آجل"))</f>
        <v/>
      </c>
      <c r="G563" s="4" t="n"/>
      <c r="H563">
        <f>IF(A563="","",F563-G563)</f>
        <v/>
      </c>
    </row>
    <row r="564">
      <c r="A564" s="4" t="n"/>
      <c r="B564" s="4" t="n"/>
      <c r="C564">
        <f>IF(A564="","",SUMPRODUCT((المبيعات!$C$2:$C$2000=A564)*(المبيعات!$B$2:$B$2000&lt;&gt;"")/COUNTIFS(المبيعات!$B$2:$B$2000,المبيعات!$B$2:$B$2000&amp;"",المبيعات!$C$2:$C$2000,المبيعات!$C$2:$C$2000&amp;"")))</f>
        <v/>
      </c>
      <c r="D564">
        <f>IF(A564="","",SUMIFS(المبيعات!$H$2:$H$2000,المبيعات!$C$2:$C$2000,A564))</f>
        <v/>
      </c>
      <c r="E564" s="13">
        <f>IF(A564="","",IF(COUNTIF(المبيعات!$C$2:$C$2000,A564)=0,"",_xlfn.MAXIFS(المبيعات!$A$2:$A$2000,المبيعات!$C$2:$C$2000,A564)))</f>
        <v/>
      </c>
      <c r="F564">
        <f>IF(A564="","",SUMIFS(المبيعات!$H$2:$H$2000,المبيعات!$C$2:$C$2000,A564,المبيعات!$J$2:$J$2000,"آجل"))</f>
        <v/>
      </c>
      <c r="G564" s="4" t="n"/>
      <c r="H564">
        <f>IF(A564="","",F564-G564)</f>
        <v/>
      </c>
    </row>
    <row r="565">
      <c r="A565" s="4" t="n"/>
      <c r="B565" s="4" t="n"/>
      <c r="C565">
        <f>IF(A565="","",SUMPRODUCT((المبيعات!$C$2:$C$2000=A565)*(المبيعات!$B$2:$B$2000&lt;&gt;"")/COUNTIFS(المبيعات!$B$2:$B$2000,المبيعات!$B$2:$B$2000&amp;"",المبيعات!$C$2:$C$2000,المبيعات!$C$2:$C$2000&amp;"")))</f>
        <v/>
      </c>
      <c r="D565">
        <f>IF(A565="","",SUMIFS(المبيعات!$H$2:$H$2000,المبيعات!$C$2:$C$2000,A565))</f>
        <v/>
      </c>
      <c r="E565" s="13">
        <f>IF(A565="","",IF(COUNTIF(المبيعات!$C$2:$C$2000,A565)=0,"",_xlfn.MAXIFS(المبيعات!$A$2:$A$2000,المبيعات!$C$2:$C$2000,A565)))</f>
        <v/>
      </c>
      <c r="F565">
        <f>IF(A565="","",SUMIFS(المبيعات!$H$2:$H$2000,المبيعات!$C$2:$C$2000,A565,المبيعات!$J$2:$J$2000,"آجل"))</f>
        <v/>
      </c>
      <c r="G565" s="4" t="n"/>
      <c r="H565">
        <f>IF(A565="","",F565-G565)</f>
        <v/>
      </c>
    </row>
    <row r="566">
      <c r="A566" s="4" t="n"/>
      <c r="B566" s="4" t="n"/>
      <c r="C566">
        <f>IF(A566="","",SUMPRODUCT((المبيعات!$C$2:$C$2000=A566)*(المبيعات!$B$2:$B$2000&lt;&gt;"")/COUNTIFS(المبيعات!$B$2:$B$2000,المبيعات!$B$2:$B$2000&amp;"",المبيعات!$C$2:$C$2000,المبيعات!$C$2:$C$2000&amp;"")))</f>
        <v/>
      </c>
      <c r="D566">
        <f>IF(A566="","",SUMIFS(المبيعات!$H$2:$H$2000,المبيعات!$C$2:$C$2000,A566))</f>
        <v/>
      </c>
      <c r="E566" s="13">
        <f>IF(A566="","",IF(COUNTIF(المبيعات!$C$2:$C$2000,A566)=0,"",_xlfn.MAXIFS(المبيعات!$A$2:$A$2000,المبيعات!$C$2:$C$2000,A566)))</f>
        <v/>
      </c>
      <c r="F566">
        <f>IF(A566="","",SUMIFS(المبيعات!$H$2:$H$2000,المبيعات!$C$2:$C$2000,A566,المبيعات!$J$2:$J$2000,"آجل"))</f>
        <v/>
      </c>
      <c r="G566" s="4" t="n"/>
      <c r="H566">
        <f>IF(A566="","",F566-G566)</f>
        <v/>
      </c>
    </row>
    <row r="567">
      <c r="A567" s="4" t="n"/>
      <c r="B567" s="4" t="n"/>
      <c r="C567">
        <f>IF(A567="","",SUMPRODUCT((المبيعات!$C$2:$C$2000=A567)*(المبيعات!$B$2:$B$2000&lt;&gt;"")/COUNTIFS(المبيعات!$B$2:$B$2000,المبيعات!$B$2:$B$2000&amp;"",المبيعات!$C$2:$C$2000,المبيعات!$C$2:$C$2000&amp;"")))</f>
        <v/>
      </c>
      <c r="D567">
        <f>IF(A567="","",SUMIFS(المبيعات!$H$2:$H$2000,المبيعات!$C$2:$C$2000,A567))</f>
        <v/>
      </c>
      <c r="E567" s="13">
        <f>IF(A567="","",IF(COUNTIF(المبيعات!$C$2:$C$2000,A567)=0,"",_xlfn.MAXIFS(المبيعات!$A$2:$A$2000,المبيعات!$C$2:$C$2000,A567)))</f>
        <v/>
      </c>
      <c r="F567">
        <f>IF(A567="","",SUMIFS(المبيعات!$H$2:$H$2000,المبيعات!$C$2:$C$2000,A567,المبيعات!$J$2:$J$2000,"آجل"))</f>
        <v/>
      </c>
      <c r="G567" s="4" t="n"/>
      <c r="H567">
        <f>IF(A567="","",F567-G567)</f>
        <v/>
      </c>
    </row>
    <row r="568">
      <c r="A568" s="4" t="n"/>
      <c r="B568" s="4" t="n"/>
      <c r="C568">
        <f>IF(A568="","",SUMPRODUCT((المبيعات!$C$2:$C$2000=A568)*(المبيعات!$B$2:$B$2000&lt;&gt;"")/COUNTIFS(المبيعات!$B$2:$B$2000,المبيعات!$B$2:$B$2000&amp;"",المبيعات!$C$2:$C$2000,المبيعات!$C$2:$C$2000&amp;"")))</f>
        <v/>
      </c>
      <c r="D568">
        <f>IF(A568="","",SUMIFS(المبيعات!$H$2:$H$2000,المبيعات!$C$2:$C$2000,A568))</f>
        <v/>
      </c>
      <c r="E568" s="13">
        <f>IF(A568="","",IF(COUNTIF(المبيعات!$C$2:$C$2000,A568)=0,"",_xlfn.MAXIFS(المبيعات!$A$2:$A$2000,المبيعات!$C$2:$C$2000,A568)))</f>
        <v/>
      </c>
      <c r="F568">
        <f>IF(A568="","",SUMIFS(المبيعات!$H$2:$H$2000,المبيعات!$C$2:$C$2000,A568,المبيعات!$J$2:$J$2000,"آجل"))</f>
        <v/>
      </c>
      <c r="G568" s="4" t="n"/>
      <c r="H568">
        <f>IF(A568="","",F568-G568)</f>
        <v/>
      </c>
    </row>
    <row r="569">
      <c r="A569" s="4" t="n"/>
      <c r="B569" s="4" t="n"/>
      <c r="C569">
        <f>IF(A569="","",SUMPRODUCT((المبيعات!$C$2:$C$2000=A569)*(المبيعات!$B$2:$B$2000&lt;&gt;"")/COUNTIFS(المبيعات!$B$2:$B$2000,المبيعات!$B$2:$B$2000&amp;"",المبيعات!$C$2:$C$2000,المبيعات!$C$2:$C$2000&amp;"")))</f>
        <v/>
      </c>
      <c r="D569">
        <f>IF(A569="","",SUMIFS(المبيعات!$H$2:$H$2000,المبيعات!$C$2:$C$2000,A569))</f>
        <v/>
      </c>
      <c r="E569" s="13">
        <f>IF(A569="","",IF(COUNTIF(المبيعات!$C$2:$C$2000,A569)=0,"",_xlfn.MAXIFS(المبيعات!$A$2:$A$2000,المبيعات!$C$2:$C$2000,A569)))</f>
        <v/>
      </c>
      <c r="F569">
        <f>IF(A569="","",SUMIFS(المبيعات!$H$2:$H$2000,المبيعات!$C$2:$C$2000,A569,المبيعات!$J$2:$J$2000,"آجل"))</f>
        <v/>
      </c>
      <c r="G569" s="4" t="n"/>
      <c r="H569">
        <f>IF(A569="","",F569-G569)</f>
        <v/>
      </c>
    </row>
    <row r="570">
      <c r="A570" s="4" t="n"/>
      <c r="B570" s="4" t="n"/>
      <c r="C570">
        <f>IF(A570="","",SUMPRODUCT((المبيعات!$C$2:$C$2000=A570)*(المبيعات!$B$2:$B$2000&lt;&gt;"")/COUNTIFS(المبيعات!$B$2:$B$2000,المبيعات!$B$2:$B$2000&amp;"",المبيعات!$C$2:$C$2000,المبيعات!$C$2:$C$2000&amp;"")))</f>
        <v/>
      </c>
      <c r="D570">
        <f>IF(A570="","",SUMIFS(المبيعات!$H$2:$H$2000,المبيعات!$C$2:$C$2000,A570))</f>
        <v/>
      </c>
      <c r="E570" s="13">
        <f>IF(A570="","",IF(COUNTIF(المبيعات!$C$2:$C$2000,A570)=0,"",_xlfn.MAXIFS(المبيعات!$A$2:$A$2000,المبيعات!$C$2:$C$2000,A570)))</f>
        <v/>
      </c>
      <c r="F570">
        <f>IF(A570="","",SUMIFS(المبيعات!$H$2:$H$2000,المبيعات!$C$2:$C$2000,A570,المبيعات!$J$2:$J$2000,"آجل"))</f>
        <v/>
      </c>
      <c r="G570" s="4" t="n"/>
      <c r="H570">
        <f>IF(A570="","",F570-G570)</f>
        <v/>
      </c>
    </row>
    <row r="571">
      <c r="A571" s="4" t="n"/>
      <c r="B571" s="4" t="n"/>
      <c r="C571">
        <f>IF(A571="","",SUMPRODUCT((المبيعات!$C$2:$C$2000=A571)*(المبيعات!$B$2:$B$2000&lt;&gt;"")/COUNTIFS(المبيعات!$B$2:$B$2000,المبيعات!$B$2:$B$2000&amp;"",المبيعات!$C$2:$C$2000,المبيعات!$C$2:$C$2000&amp;"")))</f>
        <v/>
      </c>
      <c r="D571">
        <f>IF(A571="","",SUMIFS(المبيعات!$H$2:$H$2000,المبيعات!$C$2:$C$2000,A571))</f>
        <v/>
      </c>
      <c r="E571" s="13">
        <f>IF(A571="","",IF(COUNTIF(المبيعات!$C$2:$C$2000,A571)=0,"",_xlfn.MAXIFS(المبيعات!$A$2:$A$2000,المبيعات!$C$2:$C$2000,A571)))</f>
        <v/>
      </c>
      <c r="F571">
        <f>IF(A571="","",SUMIFS(المبيعات!$H$2:$H$2000,المبيعات!$C$2:$C$2000,A571,المبيعات!$J$2:$J$2000,"آجل"))</f>
        <v/>
      </c>
      <c r="G571" s="4" t="n"/>
      <c r="H571">
        <f>IF(A571="","",F571-G571)</f>
        <v/>
      </c>
    </row>
    <row r="572">
      <c r="A572" s="4" t="n"/>
      <c r="B572" s="4" t="n"/>
      <c r="C572">
        <f>IF(A572="","",SUMPRODUCT((المبيعات!$C$2:$C$2000=A572)*(المبيعات!$B$2:$B$2000&lt;&gt;"")/COUNTIFS(المبيعات!$B$2:$B$2000,المبيعات!$B$2:$B$2000&amp;"",المبيعات!$C$2:$C$2000,المبيعات!$C$2:$C$2000&amp;"")))</f>
        <v/>
      </c>
      <c r="D572">
        <f>IF(A572="","",SUMIFS(المبيعات!$H$2:$H$2000,المبيعات!$C$2:$C$2000,A572))</f>
        <v/>
      </c>
      <c r="E572" s="13">
        <f>IF(A572="","",IF(COUNTIF(المبيعات!$C$2:$C$2000,A572)=0,"",_xlfn.MAXIFS(المبيعات!$A$2:$A$2000,المبيعات!$C$2:$C$2000,A572)))</f>
        <v/>
      </c>
      <c r="F572">
        <f>IF(A572="","",SUMIFS(المبيعات!$H$2:$H$2000,المبيعات!$C$2:$C$2000,A572,المبيعات!$J$2:$J$2000,"آجل"))</f>
        <v/>
      </c>
      <c r="G572" s="4" t="n"/>
      <c r="H572">
        <f>IF(A572="","",F572-G572)</f>
        <v/>
      </c>
    </row>
    <row r="573">
      <c r="A573" s="4" t="n"/>
      <c r="B573" s="4" t="n"/>
      <c r="C573">
        <f>IF(A573="","",SUMPRODUCT((المبيعات!$C$2:$C$2000=A573)*(المبيعات!$B$2:$B$2000&lt;&gt;"")/COUNTIFS(المبيعات!$B$2:$B$2000,المبيعات!$B$2:$B$2000&amp;"",المبيعات!$C$2:$C$2000,المبيعات!$C$2:$C$2000&amp;"")))</f>
        <v/>
      </c>
      <c r="D573">
        <f>IF(A573="","",SUMIFS(المبيعات!$H$2:$H$2000,المبيعات!$C$2:$C$2000,A573))</f>
        <v/>
      </c>
      <c r="E573" s="13">
        <f>IF(A573="","",IF(COUNTIF(المبيعات!$C$2:$C$2000,A573)=0,"",_xlfn.MAXIFS(المبيعات!$A$2:$A$2000,المبيعات!$C$2:$C$2000,A573)))</f>
        <v/>
      </c>
      <c r="F573">
        <f>IF(A573="","",SUMIFS(المبيعات!$H$2:$H$2000,المبيعات!$C$2:$C$2000,A573,المبيعات!$J$2:$J$2000,"آجل"))</f>
        <v/>
      </c>
      <c r="G573" s="4" t="n"/>
      <c r="H573">
        <f>IF(A573="","",F573-G573)</f>
        <v/>
      </c>
    </row>
    <row r="574">
      <c r="A574" s="4" t="n"/>
      <c r="B574" s="4" t="n"/>
      <c r="C574">
        <f>IF(A574="","",SUMPRODUCT((المبيعات!$C$2:$C$2000=A574)*(المبيعات!$B$2:$B$2000&lt;&gt;"")/COUNTIFS(المبيعات!$B$2:$B$2000,المبيعات!$B$2:$B$2000&amp;"",المبيعات!$C$2:$C$2000,المبيعات!$C$2:$C$2000&amp;"")))</f>
        <v/>
      </c>
      <c r="D574">
        <f>IF(A574="","",SUMIFS(المبيعات!$H$2:$H$2000,المبيعات!$C$2:$C$2000,A574))</f>
        <v/>
      </c>
      <c r="E574" s="13">
        <f>IF(A574="","",IF(COUNTIF(المبيعات!$C$2:$C$2000,A574)=0,"",_xlfn.MAXIFS(المبيعات!$A$2:$A$2000,المبيعات!$C$2:$C$2000,A574)))</f>
        <v/>
      </c>
      <c r="F574">
        <f>IF(A574="","",SUMIFS(المبيعات!$H$2:$H$2000,المبيعات!$C$2:$C$2000,A574,المبيعات!$J$2:$J$2000,"آجل"))</f>
        <v/>
      </c>
      <c r="G574" s="4" t="n"/>
      <c r="H574">
        <f>IF(A574="","",F574-G574)</f>
        <v/>
      </c>
    </row>
    <row r="575">
      <c r="A575" s="4" t="n"/>
      <c r="B575" s="4" t="n"/>
      <c r="C575">
        <f>IF(A575="","",SUMPRODUCT((المبيعات!$C$2:$C$2000=A575)*(المبيعات!$B$2:$B$2000&lt;&gt;"")/COUNTIFS(المبيعات!$B$2:$B$2000,المبيعات!$B$2:$B$2000&amp;"",المبيعات!$C$2:$C$2000,المبيعات!$C$2:$C$2000&amp;"")))</f>
        <v/>
      </c>
      <c r="D575">
        <f>IF(A575="","",SUMIFS(المبيعات!$H$2:$H$2000,المبيعات!$C$2:$C$2000,A575))</f>
        <v/>
      </c>
      <c r="E575" s="13">
        <f>IF(A575="","",IF(COUNTIF(المبيعات!$C$2:$C$2000,A575)=0,"",_xlfn.MAXIFS(المبيعات!$A$2:$A$2000,المبيعات!$C$2:$C$2000,A575)))</f>
        <v/>
      </c>
      <c r="F575">
        <f>IF(A575="","",SUMIFS(المبيعات!$H$2:$H$2000,المبيعات!$C$2:$C$2000,A575,المبيعات!$J$2:$J$2000,"آجل"))</f>
        <v/>
      </c>
      <c r="G575" s="4" t="n"/>
      <c r="H575">
        <f>IF(A575="","",F575-G575)</f>
        <v/>
      </c>
    </row>
    <row r="576">
      <c r="A576" s="4" t="n"/>
      <c r="B576" s="4" t="n"/>
      <c r="C576">
        <f>IF(A576="","",SUMPRODUCT((المبيعات!$C$2:$C$2000=A576)*(المبيعات!$B$2:$B$2000&lt;&gt;"")/COUNTIFS(المبيعات!$B$2:$B$2000,المبيعات!$B$2:$B$2000&amp;"",المبيعات!$C$2:$C$2000,المبيعات!$C$2:$C$2000&amp;"")))</f>
        <v/>
      </c>
      <c r="D576">
        <f>IF(A576="","",SUMIFS(المبيعات!$H$2:$H$2000,المبيعات!$C$2:$C$2000,A576))</f>
        <v/>
      </c>
      <c r="E576" s="13">
        <f>IF(A576="","",IF(COUNTIF(المبيعات!$C$2:$C$2000,A576)=0,"",_xlfn.MAXIFS(المبيعات!$A$2:$A$2000,المبيعات!$C$2:$C$2000,A576)))</f>
        <v/>
      </c>
      <c r="F576">
        <f>IF(A576="","",SUMIFS(المبيعات!$H$2:$H$2000,المبيعات!$C$2:$C$2000,A576,المبيعات!$J$2:$J$2000,"آجل"))</f>
        <v/>
      </c>
      <c r="G576" s="4" t="n"/>
      <c r="H576">
        <f>IF(A576="","",F576-G576)</f>
        <v/>
      </c>
    </row>
    <row r="577">
      <c r="A577" s="4" t="n"/>
      <c r="B577" s="4" t="n"/>
      <c r="C577">
        <f>IF(A577="","",SUMPRODUCT((المبيعات!$C$2:$C$2000=A577)*(المبيعات!$B$2:$B$2000&lt;&gt;"")/COUNTIFS(المبيعات!$B$2:$B$2000,المبيعات!$B$2:$B$2000&amp;"",المبيعات!$C$2:$C$2000,المبيعات!$C$2:$C$2000&amp;"")))</f>
        <v/>
      </c>
      <c r="D577">
        <f>IF(A577="","",SUMIFS(المبيعات!$H$2:$H$2000,المبيعات!$C$2:$C$2000,A577))</f>
        <v/>
      </c>
      <c r="E577" s="13">
        <f>IF(A577="","",IF(COUNTIF(المبيعات!$C$2:$C$2000,A577)=0,"",_xlfn.MAXIFS(المبيعات!$A$2:$A$2000,المبيعات!$C$2:$C$2000,A577)))</f>
        <v/>
      </c>
      <c r="F577">
        <f>IF(A577="","",SUMIFS(المبيعات!$H$2:$H$2000,المبيعات!$C$2:$C$2000,A577,المبيعات!$J$2:$J$2000,"آجل"))</f>
        <v/>
      </c>
      <c r="G577" s="4" t="n"/>
      <c r="H577">
        <f>IF(A577="","",F577-G577)</f>
        <v/>
      </c>
    </row>
    <row r="578">
      <c r="A578" s="4" t="n"/>
      <c r="B578" s="4" t="n"/>
      <c r="C578">
        <f>IF(A578="","",SUMPRODUCT((المبيعات!$C$2:$C$2000=A578)*(المبيعات!$B$2:$B$2000&lt;&gt;"")/COUNTIFS(المبيعات!$B$2:$B$2000,المبيعات!$B$2:$B$2000&amp;"",المبيعات!$C$2:$C$2000,المبيعات!$C$2:$C$2000&amp;"")))</f>
        <v/>
      </c>
      <c r="D578">
        <f>IF(A578="","",SUMIFS(المبيعات!$H$2:$H$2000,المبيعات!$C$2:$C$2000,A578))</f>
        <v/>
      </c>
      <c r="E578" s="13">
        <f>IF(A578="","",IF(COUNTIF(المبيعات!$C$2:$C$2000,A578)=0,"",_xlfn.MAXIFS(المبيعات!$A$2:$A$2000,المبيعات!$C$2:$C$2000,A578)))</f>
        <v/>
      </c>
      <c r="F578">
        <f>IF(A578="","",SUMIFS(المبيعات!$H$2:$H$2000,المبيعات!$C$2:$C$2000,A578,المبيعات!$J$2:$J$2000,"آجل"))</f>
        <v/>
      </c>
      <c r="G578" s="4" t="n"/>
      <c r="H578">
        <f>IF(A578="","",F578-G578)</f>
        <v/>
      </c>
    </row>
    <row r="579">
      <c r="A579" s="4" t="n"/>
      <c r="B579" s="4" t="n"/>
      <c r="C579">
        <f>IF(A579="","",SUMPRODUCT((المبيعات!$C$2:$C$2000=A579)*(المبيعات!$B$2:$B$2000&lt;&gt;"")/COUNTIFS(المبيعات!$B$2:$B$2000,المبيعات!$B$2:$B$2000&amp;"",المبيعات!$C$2:$C$2000,المبيعات!$C$2:$C$2000&amp;"")))</f>
        <v/>
      </c>
      <c r="D579">
        <f>IF(A579="","",SUMIFS(المبيعات!$H$2:$H$2000,المبيعات!$C$2:$C$2000,A579))</f>
        <v/>
      </c>
      <c r="E579" s="13">
        <f>IF(A579="","",IF(COUNTIF(المبيعات!$C$2:$C$2000,A579)=0,"",_xlfn.MAXIFS(المبيعات!$A$2:$A$2000,المبيعات!$C$2:$C$2000,A579)))</f>
        <v/>
      </c>
      <c r="F579">
        <f>IF(A579="","",SUMIFS(المبيعات!$H$2:$H$2000,المبيعات!$C$2:$C$2000,A579,المبيعات!$J$2:$J$2000,"آجل"))</f>
        <v/>
      </c>
      <c r="G579" s="4" t="n"/>
      <c r="H579">
        <f>IF(A579="","",F579-G579)</f>
        <v/>
      </c>
    </row>
    <row r="580">
      <c r="A580" s="4" t="n"/>
      <c r="B580" s="4" t="n"/>
      <c r="C580">
        <f>IF(A580="","",SUMPRODUCT((المبيعات!$C$2:$C$2000=A580)*(المبيعات!$B$2:$B$2000&lt;&gt;"")/COUNTIFS(المبيعات!$B$2:$B$2000,المبيعات!$B$2:$B$2000&amp;"",المبيعات!$C$2:$C$2000,المبيعات!$C$2:$C$2000&amp;"")))</f>
        <v/>
      </c>
      <c r="D580">
        <f>IF(A580="","",SUMIFS(المبيعات!$H$2:$H$2000,المبيعات!$C$2:$C$2000,A580))</f>
        <v/>
      </c>
      <c r="E580" s="13">
        <f>IF(A580="","",IF(COUNTIF(المبيعات!$C$2:$C$2000,A580)=0,"",_xlfn.MAXIFS(المبيعات!$A$2:$A$2000,المبيعات!$C$2:$C$2000,A580)))</f>
        <v/>
      </c>
      <c r="F580">
        <f>IF(A580="","",SUMIFS(المبيعات!$H$2:$H$2000,المبيعات!$C$2:$C$2000,A580,المبيعات!$J$2:$J$2000,"آجل"))</f>
        <v/>
      </c>
      <c r="G580" s="4" t="n"/>
      <c r="H580">
        <f>IF(A580="","",F580-G580)</f>
        <v/>
      </c>
    </row>
    <row r="581">
      <c r="A581" s="4" t="n"/>
      <c r="B581" s="4" t="n"/>
      <c r="C581">
        <f>IF(A581="","",SUMPRODUCT((المبيعات!$C$2:$C$2000=A581)*(المبيعات!$B$2:$B$2000&lt;&gt;"")/COUNTIFS(المبيعات!$B$2:$B$2000,المبيعات!$B$2:$B$2000&amp;"",المبيعات!$C$2:$C$2000,المبيعات!$C$2:$C$2000&amp;"")))</f>
        <v/>
      </c>
      <c r="D581">
        <f>IF(A581="","",SUMIFS(المبيعات!$H$2:$H$2000,المبيعات!$C$2:$C$2000,A581))</f>
        <v/>
      </c>
      <c r="E581" s="13">
        <f>IF(A581="","",IF(COUNTIF(المبيعات!$C$2:$C$2000,A581)=0,"",_xlfn.MAXIFS(المبيعات!$A$2:$A$2000,المبيعات!$C$2:$C$2000,A581)))</f>
        <v/>
      </c>
      <c r="F581">
        <f>IF(A581="","",SUMIFS(المبيعات!$H$2:$H$2000,المبيعات!$C$2:$C$2000,A581,المبيعات!$J$2:$J$2000,"آجل"))</f>
        <v/>
      </c>
      <c r="G581" s="4" t="n"/>
      <c r="H581">
        <f>IF(A581="","",F581-G581)</f>
        <v/>
      </c>
    </row>
    <row r="582">
      <c r="A582" s="4" t="n"/>
      <c r="B582" s="4" t="n"/>
      <c r="C582">
        <f>IF(A582="","",SUMPRODUCT((المبيعات!$C$2:$C$2000=A582)*(المبيعات!$B$2:$B$2000&lt;&gt;"")/COUNTIFS(المبيعات!$B$2:$B$2000,المبيعات!$B$2:$B$2000&amp;"",المبيعات!$C$2:$C$2000,المبيعات!$C$2:$C$2000&amp;"")))</f>
        <v/>
      </c>
      <c r="D582">
        <f>IF(A582="","",SUMIFS(المبيعات!$H$2:$H$2000,المبيعات!$C$2:$C$2000,A582))</f>
        <v/>
      </c>
      <c r="E582" s="13">
        <f>IF(A582="","",IF(COUNTIF(المبيعات!$C$2:$C$2000,A582)=0,"",_xlfn.MAXIFS(المبيعات!$A$2:$A$2000,المبيعات!$C$2:$C$2000,A582)))</f>
        <v/>
      </c>
      <c r="F582">
        <f>IF(A582="","",SUMIFS(المبيعات!$H$2:$H$2000,المبيعات!$C$2:$C$2000,A582,المبيعات!$J$2:$J$2000,"آجل"))</f>
        <v/>
      </c>
      <c r="G582" s="4" t="n"/>
      <c r="H582">
        <f>IF(A582="","",F582-G582)</f>
        <v/>
      </c>
    </row>
    <row r="583">
      <c r="A583" s="4" t="n"/>
      <c r="B583" s="4" t="n"/>
      <c r="C583">
        <f>IF(A583="","",SUMPRODUCT((المبيعات!$C$2:$C$2000=A583)*(المبيعات!$B$2:$B$2000&lt;&gt;"")/COUNTIFS(المبيعات!$B$2:$B$2000,المبيعات!$B$2:$B$2000&amp;"",المبيعات!$C$2:$C$2000,المبيعات!$C$2:$C$2000&amp;"")))</f>
        <v/>
      </c>
      <c r="D583">
        <f>IF(A583="","",SUMIFS(المبيعات!$H$2:$H$2000,المبيعات!$C$2:$C$2000,A583))</f>
        <v/>
      </c>
      <c r="E583" s="13">
        <f>IF(A583="","",IF(COUNTIF(المبيعات!$C$2:$C$2000,A583)=0,"",_xlfn.MAXIFS(المبيعات!$A$2:$A$2000,المبيعات!$C$2:$C$2000,A583)))</f>
        <v/>
      </c>
      <c r="F583">
        <f>IF(A583="","",SUMIFS(المبيعات!$H$2:$H$2000,المبيعات!$C$2:$C$2000,A583,المبيعات!$J$2:$J$2000,"آجل"))</f>
        <v/>
      </c>
      <c r="G583" s="4" t="n"/>
      <c r="H583">
        <f>IF(A583="","",F583-G583)</f>
        <v/>
      </c>
    </row>
    <row r="584">
      <c r="A584" s="4" t="n"/>
      <c r="B584" s="4" t="n"/>
      <c r="C584">
        <f>IF(A584="","",SUMPRODUCT((المبيعات!$C$2:$C$2000=A584)*(المبيعات!$B$2:$B$2000&lt;&gt;"")/COUNTIFS(المبيعات!$B$2:$B$2000,المبيعات!$B$2:$B$2000&amp;"",المبيعات!$C$2:$C$2000,المبيعات!$C$2:$C$2000&amp;"")))</f>
        <v/>
      </c>
      <c r="D584">
        <f>IF(A584="","",SUMIFS(المبيعات!$H$2:$H$2000,المبيعات!$C$2:$C$2000,A584))</f>
        <v/>
      </c>
      <c r="E584" s="13">
        <f>IF(A584="","",IF(COUNTIF(المبيعات!$C$2:$C$2000,A584)=0,"",_xlfn.MAXIFS(المبيعات!$A$2:$A$2000,المبيعات!$C$2:$C$2000,A584)))</f>
        <v/>
      </c>
      <c r="F584">
        <f>IF(A584="","",SUMIFS(المبيعات!$H$2:$H$2000,المبيعات!$C$2:$C$2000,A584,المبيعات!$J$2:$J$2000,"آجل"))</f>
        <v/>
      </c>
      <c r="G584" s="4" t="n"/>
      <c r="H584">
        <f>IF(A584="","",F584-G584)</f>
        <v/>
      </c>
    </row>
    <row r="585">
      <c r="A585" s="4" t="n"/>
      <c r="B585" s="4" t="n"/>
      <c r="C585">
        <f>IF(A585="","",SUMPRODUCT((المبيعات!$C$2:$C$2000=A585)*(المبيعات!$B$2:$B$2000&lt;&gt;"")/COUNTIFS(المبيعات!$B$2:$B$2000,المبيعات!$B$2:$B$2000&amp;"",المبيعات!$C$2:$C$2000,المبيعات!$C$2:$C$2000&amp;"")))</f>
        <v/>
      </c>
      <c r="D585">
        <f>IF(A585="","",SUMIFS(المبيعات!$H$2:$H$2000,المبيعات!$C$2:$C$2000,A585))</f>
        <v/>
      </c>
      <c r="E585" s="13">
        <f>IF(A585="","",IF(COUNTIF(المبيعات!$C$2:$C$2000,A585)=0,"",_xlfn.MAXIFS(المبيعات!$A$2:$A$2000,المبيعات!$C$2:$C$2000,A585)))</f>
        <v/>
      </c>
      <c r="F585">
        <f>IF(A585="","",SUMIFS(المبيعات!$H$2:$H$2000,المبيعات!$C$2:$C$2000,A585,المبيعات!$J$2:$J$2000,"آجل"))</f>
        <v/>
      </c>
      <c r="G585" s="4" t="n"/>
      <c r="H585">
        <f>IF(A585="","",F585-G585)</f>
        <v/>
      </c>
    </row>
    <row r="586">
      <c r="A586" s="4" t="n"/>
      <c r="B586" s="4" t="n"/>
      <c r="C586">
        <f>IF(A586="","",SUMPRODUCT((المبيعات!$C$2:$C$2000=A586)*(المبيعات!$B$2:$B$2000&lt;&gt;"")/COUNTIFS(المبيعات!$B$2:$B$2000,المبيعات!$B$2:$B$2000&amp;"",المبيعات!$C$2:$C$2000,المبيعات!$C$2:$C$2000&amp;"")))</f>
        <v/>
      </c>
      <c r="D586">
        <f>IF(A586="","",SUMIFS(المبيعات!$H$2:$H$2000,المبيعات!$C$2:$C$2000,A586))</f>
        <v/>
      </c>
      <c r="E586" s="13">
        <f>IF(A586="","",IF(COUNTIF(المبيعات!$C$2:$C$2000,A586)=0,"",_xlfn.MAXIFS(المبيعات!$A$2:$A$2000,المبيعات!$C$2:$C$2000,A586)))</f>
        <v/>
      </c>
      <c r="F586">
        <f>IF(A586="","",SUMIFS(المبيعات!$H$2:$H$2000,المبيعات!$C$2:$C$2000,A586,المبيعات!$J$2:$J$2000,"آجل"))</f>
        <v/>
      </c>
      <c r="G586" s="4" t="n"/>
      <c r="H586">
        <f>IF(A586="","",F586-G586)</f>
        <v/>
      </c>
    </row>
    <row r="587">
      <c r="A587" s="4" t="n"/>
      <c r="B587" s="4" t="n"/>
      <c r="C587">
        <f>IF(A587="","",SUMPRODUCT((المبيعات!$C$2:$C$2000=A587)*(المبيعات!$B$2:$B$2000&lt;&gt;"")/COUNTIFS(المبيعات!$B$2:$B$2000,المبيعات!$B$2:$B$2000&amp;"",المبيعات!$C$2:$C$2000,المبيعات!$C$2:$C$2000&amp;"")))</f>
        <v/>
      </c>
      <c r="D587">
        <f>IF(A587="","",SUMIFS(المبيعات!$H$2:$H$2000,المبيعات!$C$2:$C$2000,A587))</f>
        <v/>
      </c>
      <c r="E587" s="13">
        <f>IF(A587="","",IF(COUNTIF(المبيعات!$C$2:$C$2000,A587)=0,"",_xlfn.MAXIFS(المبيعات!$A$2:$A$2000,المبيعات!$C$2:$C$2000,A587)))</f>
        <v/>
      </c>
      <c r="F587">
        <f>IF(A587="","",SUMIFS(المبيعات!$H$2:$H$2000,المبيعات!$C$2:$C$2000,A587,المبيعات!$J$2:$J$2000,"آجل"))</f>
        <v/>
      </c>
      <c r="G587" s="4" t="n"/>
      <c r="H587">
        <f>IF(A587="","",F587-G587)</f>
        <v/>
      </c>
    </row>
    <row r="588">
      <c r="A588" s="4" t="n"/>
      <c r="B588" s="4" t="n"/>
      <c r="C588">
        <f>IF(A588="","",SUMPRODUCT((المبيعات!$C$2:$C$2000=A588)*(المبيعات!$B$2:$B$2000&lt;&gt;"")/COUNTIFS(المبيعات!$B$2:$B$2000,المبيعات!$B$2:$B$2000&amp;"",المبيعات!$C$2:$C$2000,المبيعات!$C$2:$C$2000&amp;"")))</f>
        <v/>
      </c>
      <c r="D588">
        <f>IF(A588="","",SUMIFS(المبيعات!$H$2:$H$2000,المبيعات!$C$2:$C$2000,A588))</f>
        <v/>
      </c>
      <c r="E588" s="13">
        <f>IF(A588="","",IF(COUNTIF(المبيعات!$C$2:$C$2000,A588)=0,"",_xlfn.MAXIFS(المبيعات!$A$2:$A$2000,المبيعات!$C$2:$C$2000,A588)))</f>
        <v/>
      </c>
      <c r="F588">
        <f>IF(A588="","",SUMIFS(المبيعات!$H$2:$H$2000,المبيعات!$C$2:$C$2000,A588,المبيعات!$J$2:$J$2000,"آجل"))</f>
        <v/>
      </c>
      <c r="G588" s="4" t="n"/>
      <c r="H588">
        <f>IF(A588="","",F588-G588)</f>
        <v/>
      </c>
    </row>
    <row r="589">
      <c r="A589" s="4" t="n"/>
      <c r="B589" s="4" t="n"/>
      <c r="C589">
        <f>IF(A589="","",SUMPRODUCT((المبيعات!$C$2:$C$2000=A589)*(المبيعات!$B$2:$B$2000&lt;&gt;"")/COUNTIFS(المبيعات!$B$2:$B$2000,المبيعات!$B$2:$B$2000&amp;"",المبيعات!$C$2:$C$2000,المبيعات!$C$2:$C$2000&amp;"")))</f>
        <v/>
      </c>
      <c r="D589">
        <f>IF(A589="","",SUMIFS(المبيعات!$H$2:$H$2000,المبيعات!$C$2:$C$2000,A589))</f>
        <v/>
      </c>
      <c r="E589" s="13">
        <f>IF(A589="","",IF(COUNTIF(المبيعات!$C$2:$C$2000,A589)=0,"",_xlfn.MAXIFS(المبيعات!$A$2:$A$2000,المبيعات!$C$2:$C$2000,A589)))</f>
        <v/>
      </c>
      <c r="F589">
        <f>IF(A589="","",SUMIFS(المبيعات!$H$2:$H$2000,المبيعات!$C$2:$C$2000,A589,المبيعات!$J$2:$J$2000,"آجل"))</f>
        <v/>
      </c>
      <c r="G589" s="4" t="n"/>
      <c r="H589">
        <f>IF(A589="","",F589-G589)</f>
        <v/>
      </c>
    </row>
    <row r="590">
      <c r="A590" s="4" t="n"/>
      <c r="B590" s="4" t="n"/>
      <c r="C590">
        <f>IF(A590="","",SUMPRODUCT((المبيعات!$C$2:$C$2000=A590)*(المبيعات!$B$2:$B$2000&lt;&gt;"")/COUNTIFS(المبيعات!$B$2:$B$2000,المبيعات!$B$2:$B$2000&amp;"",المبيعات!$C$2:$C$2000,المبيعات!$C$2:$C$2000&amp;"")))</f>
        <v/>
      </c>
      <c r="D590">
        <f>IF(A590="","",SUMIFS(المبيعات!$H$2:$H$2000,المبيعات!$C$2:$C$2000,A590))</f>
        <v/>
      </c>
      <c r="E590" s="13">
        <f>IF(A590="","",IF(COUNTIF(المبيعات!$C$2:$C$2000,A590)=0,"",_xlfn.MAXIFS(المبيعات!$A$2:$A$2000,المبيعات!$C$2:$C$2000,A590)))</f>
        <v/>
      </c>
      <c r="F590">
        <f>IF(A590="","",SUMIFS(المبيعات!$H$2:$H$2000,المبيعات!$C$2:$C$2000,A590,المبيعات!$J$2:$J$2000,"آجل"))</f>
        <v/>
      </c>
      <c r="G590" s="4" t="n"/>
      <c r="H590">
        <f>IF(A590="","",F590-G590)</f>
        <v/>
      </c>
    </row>
    <row r="591">
      <c r="A591" s="4" t="n"/>
      <c r="B591" s="4" t="n"/>
      <c r="C591">
        <f>IF(A591="","",SUMPRODUCT((المبيعات!$C$2:$C$2000=A591)*(المبيعات!$B$2:$B$2000&lt;&gt;"")/COUNTIFS(المبيعات!$B$2:$B$2000,المبيعات!$B$2:$B$2000&amp;"",المبيعات!$C$2:$C$2000,المبيعات!$C$2:$C$2000&amp;"")))</f>
        <v/>
      </c>
      <c r="D591">
        <f>IF(A591="","",SUMIFS(المبيعات!$H$2:$H$2000,المبيعات!$C$2:$C$2000,A591))</f>
        <v/>
      </c>
      <c r="E591" s="13">
        <f>IF(A591="","",IF(COUNTIF(المبيعات!$C$2:$C$2000,A591)=0,"",_xlfn.MAXIFS(المبيعات!$A$2:$A$2000,المبيعات!$C$2:$C$2000,A591)))</f>
        <v/>
      </c>
      <c r="F591">
        <f>IF(A591="","",SUMIFS(المبيعات!$H$2:$H$2000,المبيعات!$C$2:$C$2000,A591,المبيعات!$J$2:$J$2000,"آجل"))</f>
        <v/>
      </c>
      <c r="G591" s="4" t="n"/>
      <c r="H591">
        <f>IF(A591="","",F591-G591)</f>
        <v/>
      </c>
    </row>
    <row r="592">
      <c r="A592" s="4" t="n"/>
      <c r="B592" s="4" t="n"/>
      <c r="C592">
        <f>IF(A592="","",SUMPRODUCT((المبيعات!$C$2:$C$2000=A592)*(المبيعات!$B$2:$B$2000&lt;&gt;"")/COUNTIFS(المبيعات!$B$2:$B$2000,المبيعات!$B$2:$B$2000&amp;"",المبيعات!$C$2:$C$2000,المبيعات!$C$2:$C$2000&amp;"")))</f>
        <v/>
      </c>
      <c r="D592">
        <f>IF(A592="","",SUMIFS(المبيعات!$H$2:$H$2000,المبيعات!$C$2:$C$2000,A592))</f>
        <v/>
      </c>
      <c r="E592" s="13">
        <f>IF(A592="","",IF(COUNTIF(المبيعات!$C$2:$C$2000,A592)=0,"",_xlfn.MAXIFS(المبيعات!$A$2:$A$2000,المبيعات!$C$2:$C$2000,A592)))</f>
        <v/>
      </c>
      <c r="F592">
        <f>IF(A592="","",SUMIFS(المبيعات!$H$2:$H$2000,المبيعات!$C$2:$C$2000,A592,المبيعات!$J$2:$J$2000,"آجل"))</f>
        <v/>
      </c>
      <c r="G592" s="4" t="n"/>
      <c r="H592">
        <f>IF(A592="","",F592-G592)</f>
        <v/>
      </c>
    </row>
    <row r="593">
      <c r="A593" s="4" t="n"/>
      <c r="B593" s="4" t="n"/>
      <c r="C593">
        <f>IF(A593="","",SUMPRODUCT((المبيعات!$C$2:$C$2000=A593)*(المبيعات!$B$2:$B$2000&lt;&gt;"")/COUNTIFS(المبيعات!$B$2:$B$2000,المبيعات!$B$2:$B$2000&amp;"",المبيعات!$C$2:$C$2000,المبيعات!$C$2:$C$2000&amp;"")))</f>
        <v/>
      </c>
      <c r="D593">
        <f>IF(A593="","",SUMIFS(المبيعات!$H$2:$H$2000,المبيعات!$C$2:$C$2000,A593))</f>
        <v/>
      </c>
      <c r="E593" s="13">
        <f>IF(A593="","",IF(COUNTIF(المبيعات!$C$2:$C$2000,A593)=0,"",_xlfn.MAXIFS(المبيعات!$A$2:$A$2000,المبيعات!$C$2:$C$2000,A593)))</f>
        <v/>
      </c>
      <c r="F593">
        <f>IF(A593="","",SUMIFS(المبيعات!$H$2:$H$2000,المبيعات!$C$2:$C$2000,A593,المبيعات!$J$2:$J$2000,"آجل"))</f>
        <v/>
      </c>
      <c r="G593" s="4" t="n"/>
      <c r="H593">
        <f>IF(A593="","",F593-G593)</f>
        <v/>
      </c>
    </row>
    <row r="594">
      <c r="A594" s="4" t="n"/>
      <c r="B594" s="4" t="n"/>
      <c r="C594">
        <f>IF(A594="","",SUMPRODUCT((المبيعات!$C$2:$C$2000=A594)*(المبيعات!$B$2:$B$2000&lt;&gt;"")/COUNTIFS(المبيعات!$B$2:$B$2000,المبيعات!$B$2:$B$2000&amp;"",المبيعات!$C$2:$C$2000,المبيعات!$C$2:$C$2000&amp;"")))</f>
        <v/>
      </c>
      <c r="D594">
        <f>IF(A594="","",SUMIFS(المبيعات!$H$2:$H$2000,المبيعات!$C$2:$C$2000,A594))</f>
        <v/>
      </c>
      <c r="E594" s="13">
        <f>IF(A594="","",IF(COUNTIF(المبيعات!$C$2:$C$2000,A594)=0,"",_xlfn.MAXIFS(المبيعات!$A$2:$A$2000,المبيعات!$C$2:$C$2000,A594)))</f>
        <v/>
      </c>
      <c r="F594">
        <f>IF(A594="","",SUMIFS(المبيعات!$H$2:$H$2000,المبيعات!$C$2:$C$2000,A594,المبيعات!$J$2:$J$2000,"آجل"))</f>
        <v/>
      </c>
      <c r="G594" s="4" t="n"/>
      <c r="H594">
        <f>IF(A594="","",F594-G594)</f>
        <v/>
      </c>
    </row>
    <row r="595">
      <c r="A595" s="4" t="n"/>
      <c r="B595" s="4" t="n"/>
      <c r="C595">
        <f>IF(A595="","",SUMPRODUCT((المبيعات!$C$2:$C$2000=A595)*(المبيعات!$B$2:$B$2000&lt;&gt;"")/COUNTIFS(المبيعات!$B$2:$B$2000,المبيعات!$B$2:$B$2000&amp;"",المبيعات!$C$2:$C$2000,المبيعات!$C$2:$C$2000&amp;"")))</f>
        <v/>
      </c>
      <c r="D595">
        <f>IF(A595="","",SUMIFS(المبيعات!$H$2:$H$2000,المبيعات!$C$2:$C$2000,A595))</f>
        <v/>
      </c>
      <c r="E595" s="13">
        <f>IF(A595="","",IF(COUNTIF(المبيعات!$C$2:$C$2000,A595)=0,"",_xlfn.MAXIFS(المبيعات!$A$2:$A$2000,المبيعات!$C$2:$C$2000,A595)))</f>
        <v/>
      </c>
      <c r="F595">
        <f>IF(A595="","",SUMIFS(المبيعات!$H$2:$H$2000,المبيعات!$C$2:$C$2000,A595,المبيعات!$J$2:$J$2000,"آجل"))</f>
        <v/>
      </c>
      <c r="G595" s="4" t="n"/>
      <c r="H595">
        <f>IF(A595="","",F595-G595)</f>
        <v/>
      </c>
    </row>
    <row r="596">
      <c r="A596" s="4" t="n"/>
      <c r="B596" s="4" t="n"/>
      <c r="C596">
        <f>IF(A596="","",SUMPRODUCT((المبيعات!$C$2:$C$2000=A596)*(المبيعات!$B$2:$B$2000&lt;&gt;"")/COUNTIFS(المبيعات!$B$2:$B$2000,المبيعات!$B$2:$B$2000&amp;"",المبيعات!$C$2:$C$2000,المبيعات!$C$2:$C$2000&amp;"")))</f>
        <v/>
      </c>
      <c r="D596">
        <f>IF(A596="","",SUMIFS(المبيعات!$H$2:$H$2000,المبيعات!$C$2:$C$2000,A596))</f>
        <v/>
      </c>
      <c r="E596" s="13">
        <f>IF(A596="","",IF(COUNTIF(المبيعات!$C$2:$C$2000,A596)=0,"",_xlfn.MAXIFS(المبيعات!$A$2:$A$2000,المبيعات!$C$2:$C$2000,A596)))</f>
        <v/>
      </c>
      <c r="F596">
        <f>IF(A596="","",SUMIFS(المبيعات!$H$2:$H$2000,المبيعات!$C$2:$C$2000,A596,المبيعات!$J$2:$J$2000,"آجل"))</f>
        <v/>
      </c>
      <c r="G596" s="4" t="n"/>
      <c r="H596">
        <f>IF(A596="","",F596-G596)</f>
        <v/>
      </c>
    </row>
    <row r="597">
      <c r="A597" s="4" t="n"/>
      <c r="B597" s="4" t="n"/>
      <c r="C597">
        <f>IF(A597="","",SUMPRODUCT((المبيعات!$C$2:$C$2000=A597)*(المبيعات!$B$2:$B$2000&lt;&gt;"")/COUNTIFS(المبيعات!$B$2:$B$2000,المبيعات!$B$2:$B$2000&amp;"",المبيعات!$C$2:$C$2000,المبيعات!$C$2:$C$2000&amp;"")))</f>
        <v/>
      </c>
      <c r="D597">
        <f>IF(A597="","",SUMIFS(المبيعات!$H$2:$H$2000,المبيعات!$C$2:$C$2000,A597))</f>
        <v/>
      </c>
      <c r="E597" s="13">
        <f>IF(A597="","",IF(COUNTIF(المبيعات!$C$2:$C$2000,A597)=0,"",_xlfn.MAXIFS(المبيعات!$A$2:$A$2000,المبيعات!$C$2:$C$2000,A597)))</f>
        <v/>
      </c>
      <c r="F597">
        <f>IF(A597="","",SUMIFS(المبيعات!$H$2:$H$2000,المبيعات!$C$2:$C$2000,A597,المبيعات!$J$2:$J$2000,"آجل"))</f>
        <v/>
      </c>
      <c r="G597" s="4" t="n"/>
      <c r="H597">
        <f>IF(A597="","",F597-G597)</f>
        <v/>
      </c>
    </row>
    <row r="598">
      <c r="A598" s="4" t="n"/>
      <c r="B598" s="4" t="n"/>
      <c r="C598">
        <f>IF(A598="","",SUMPRODUCT((المبيعات!$C$2:$C$2000=A598)*(المبيعات!$B$2:$B$2000&lt;&gt;"")/COUNTIFS(المبيعات!$B$2:$B$2000,المبيعات!$B$2:$B$2000&amp;"",المبيعات!$C$2:$C$2000,المبيعات!$C$2:$C$2000&amp;"")))</f>
        <v/>
      </c>
      <c r="D598">
        <f>IF(A598="","",SUMIFS(المبيعات!$H$2:$H$2000,المبيعات!$C$2:$C$2000,A598))</f>
        <v/>
      </c>
      <c r="E598" s="13">
        <f>IF(A598="","",IF(COUNTIF(المبيعات!$C$2:$C$2000,A598)=0,"",_xlfn.MAXIFS(المبيعات!$A$2:$A$2000,المبيعات!$C$2:$C$2000,A598)))</f>
        <v/>
      </c>
      <c r="F598">
        <f>IF(A598="","",SUMIFS(المبيعات!$H$2:$H$2000,المبيعات!$C$2:$C$2000,A598,المبيعات!$J$2:$J$2000,"آجل"))</f>
        <v/>
      </c>
      <c r="G598" s="4" t="n"/>
      <c r="H598">
        <f>IF(A598="","",F598-G598)</f>
        <v/>
      </c>
    </row>
    <row r="599">
      <c r="A599" s="4" t="n"/>
      <c r="B599" s="4" t="n"/>
      <c r="C599">
        <f>IF(A599="","",SUMPRODUCT((المبيعات!$C$2:$C$2000=A599)*(المبيعات!$B$2:$B$2000&lt;&gt;"")/COUNTIFS(المبيعات!$B$2:$B$2000,المبيعات!$B$2:$B$2000&amp;"",المبيعات!$C$2:$C$2000,المبيعات!$C$2:$C$2000&amp;"")))</f>
        <v/>
      </c>
      <c r="D599">
        <f>IF(A599="","",SUMIFS(المبيعات!$H$2:$H$2000,المبيعات!$C$2:$C$2000,A599))</f>
        <v/>
      </c>
      <c r="E599" s="13">
        <f>IF(A599="","",IF(COUNTIF(المبيعات!$C$2:$C$2000,A599)=0,"",_xlfn.MAXIFS(المبيعات!$A$2:$A$2000,المبيعات!$C$2:$C$2000,A599)))</f>
        <v/>
      </c>
      <c r="F599">
        <f>IF(A599="","",SUMIFS(المبيعات!$H$2:$H$2000,المبيعات!$C$2:$C$2000,A599,المبيعات!$J$2:$J$2000,"آجل"))</f>
        <v/>
      </c>
      <c r="G599" s="4" t="n"/>
      <c r="H599">
        <f>IF(A599="","",F599-G599)</f>
        <v/>
      </c>
    </row>
    <row r="600">
      <c r="A600" s="4" t="n"/>
      <c r="B600" s="4" t="n"/>
      <c r="C600">
        <f>IF(A600="","",SUMPRODUCT((المبيعات!$C$2:$C$2000=A600)*(المبيعات!$B$2:$B$2000&lt;&gt;"")/COUNTIFS(المبيعات!$B$2:$B$2000,المبيعات!$B$2:$B$2000&amp;"",المبيعات!$C$2:$C$2000,المبيعات!$C$2:$C$2000&amp;"")))</f>
        <v/>
      </c>
      <c r="D600">
        <f>IF(A600="","",SUMIFS(المبيعات!$H$2:$H$2000,المبيعات!$C$2:$C$2000,A600))</f>
        <v/>
      </c>
      <c r="E600" s="13">
        <f>IF(A600="","",IF(COUNTIF(المبيعات!$C$2:$C$2000,A600)=0,"",_xlfn.MAXIFS(المبيعات!$A$2:$A$2000,المبيعات!$C$2:$C$2000,A600)))</f>
        <v/>
      </c>
      <c r="F600">
        <f>IF(A600="","",SUMIFS(المبيعات!$H$2:$H$2000,المبيعات!$C$2:$C$2000,A600,المبيعات!$J$2:$J$2000,"آجل"))</f>
        <v/>
      </c>
      <c r="G600" s="4" t="n"/>
      <c r="H600">
        <f>IF(A600="","",F600-G600)</f>
        <v/>
      </c>
    </row>
    <row r="601">
      <c r="A601" s="4" t="n"/>
      <c r="B601" s="4" t="n"/>
      <c r="C601">
        <f>IF(A601="","",SUMPRODUCT((المبيعات!$C$2:$C$2000=A601)*(المبيعات!$B$2:$B$2000&lt;&gt;"")/COUNTIFS(المبيعات!$B$2:$B$2000,المبيعات!$B$2:$B$2000&amp;"",المبيعات!$C$2:$C$2000,المبيعات!$C$2:$C$2000&amp;"")))</f>
        <v/>
      </c>
      <c r="D601">
        <f>IF(A601="","",SUMIFS(المبيعات!$H$2:$H$2000,المبيعات!$C$2:$C$2000,A601))</f>
        <v/>
      </c>
      <c r="E601" s="13">
        <f>IF(A601="","",IF(COUNTIF(المبيعات!$C$2:$C$2000,A601)=0,"",_xlfn.MAXIFS(المبيعات!$A$2:$A$2000,المبيعات!$C$2:$C$2000,A601)))</f>
        <v/>
      </c>
      <c r="F601">
        <f>IF(A601="","",SUMIFS(المبيعات!$H$2:$H$2000,المبيعات!$C$2:$C$2000,A601,المبيعات!$J$2:$J$2000,"آجل"))</f>
        <v/>
      </c>
      <c r="G601" s="4" t="n"/>
      <c r="H601">
        <f>IF(A601="","",F601-G601)</f>
        <v/>
      </c>
    </row>
    <row r="602">
      <c r="A602" s="4" t="n"/>
      <c r="B602" s="4" t="n"/>
      <c r="C602">
        <f>IF(A602="","",SUMPRODUCT((المبيعات!$C$2:$C$2000=A602)*(المبيعات!$B$2:$B$2000&lt;&gt;"")/COUNTIFS(المبيعات!$B$2:$B$2000,المبيعات!$B$2:$B$2000&amp;"",المبيعات!$C$2:$C$2000,المبيعات!$C$2:$C$2000&amp;"")))</f>
        <v/>
      </c>
      <c r="D602">
        <f>IF(A602="","",SUMIFS(المبيعات!$H$2:$H$2000,المبيعات!$C$2:$C$2000,A602))</f>
        <v/>
      </c>
      <c r="E602" s="13">
        <f>IF(A602="","",IF(COUNTIF(المبيعات!$C$2:$C$2000,A602)=0,"",_xlfn.MAXIFS(المبيعات!$A$2:$A$2000,المبيعات!$C$2:$C$2000,A602)))</f>
        <v/>
      </c>
      <c r="F602">
        <f>IF(A602="","",SUMIFS(المبيعات!$H$2:$H$2000,المبيعات!$C$2:$C$2000,A602,المبيعات!$J$2:$J$2000,"آجل"))</f>
        <v/>
      </c>
      <c r="G602" s="4" t="n"/>
      <c r="H602">
        <f>IF(A602="","",F602-G602)</f>
        <v/>
      </c>
    </row>
    <row r="603">
      <c r="A603" s="4" t="n"/>
      <c r="B603" s="4" t="n"/>
      <c r="C603">
        <f>IF(A603="","",SUMPRODUCT((المبيعات!$C$2:$C$2000=A603)*(المبيعات!$B$2:$B$2000&lt;&gt;"")/COUNTIFS(المبيعات!$B$2:$B$2000,المبيعات!$B$2:$B$2000&amp;"",المبيعات!$C$2:$C$2000,المبيعات!$C$2:$C$2000&amp;"")))</f>
        <v/>
      </c>
      <c r="D603">
        <f>IF(A603="","",SUMIFS(المبيعات!$H$2:$H$2000,المبيعات!$C$2:$C$2000,A603))</f>
        <v/>
      </c>
      <c r="E603" s="13">
        <f>IF(A603="","",IF(COUNTIF(المبيعات!$C$2:$C$2000,A603)=0,"",_xlfn.MAXIFS(المبيعات!$A$2:$A$2000,المبيعات!$C$2:$C$2000,A603)))</f>
        <v/>
      </c>
      <c r="F603">
        <f>IF(A603="","",SUMIFS(المبيعات!$H$2:$H$2000,المبيعات!$C$2:$C$2000,A603,المبيعات!$J$2:$J$2000,"آجل"))</f>
        <v/>
      </c>
      <c r="G603" s="4" t="n"/>
      <c r="H603">
        <f>IF(A603="","",F603-G603)</f>
        <v/>
      </c>
    </row>
    <row r="604">
      <c r="A604" s="4" t="n"/>
      <c r="B604" s="4" t="n"/>
      <c r="C604">
        <f>IF(A604="","",SUMPRODUCT((المبيعات!$C$2:$C$2000=A604)*(المبيعات!$B$2:$B$2000&lt;&gt;"")/COUNTIFS(المبيعات!$B$2:$B$2000,المبيعات!$B$2:$B$2000&amp;"",المبيعات!$C$2:$C$2000,المبيعات!$C$2:$C$2000&amp;"")))</f>
        <v/>
      </c>
      <c r="D604">
        <f>IF(A604="","",SUMIFS(المبيعات!$H$2:$H$2000,المبيعات!$C$2:$C$2000,A604))</f>
        <v/>
      </c>
      <c r="E604" s="13">
        <f>IF(A604="","",IF(COUNTIF(المبيعات!$C$2:$C$2000,A604)=0,"",_xlfn.MAXIFS(المبيعات!$A$2:$A$2000,المبيعات!$C$2:$C$2000,A604)))</f>
        <v/>
      </c>
      <c r="F604">
        <f>IF(A604="","",SUMIFS(المبيعات!$H$2:$H$2000,المبيعات!$C$2:$C$2000,A604,المبيعات!$J$2:$J$2000,"آجل"))</f>
        <v/>
      </c>
      <c r="G604" s="4" t="n"/>
      <c r="H604">
        <f>IF(A604="","",F604-G604)</f>
        <v/>
      </c>
    </row>
    <row r="605">
      <c r="A605" s="4" t="n"/>
      <c r="B605" s="4" t="n"/>
      <c r="C605">
        <f>IF(A605="","",SUMPRODUCT((المبيعات!$C$2:$C$2000=A605)*(المبيعات!$B$2:$B$2000&lt;&gt;"")/COUNTIFS(المبيعات!$B$2:$B$2000,المبيعات!$B$2:$B$2000&amp;"",المبيعات!$C$2:$C$2000,المبيعات!$C$2:$C$2000&amp;"")))</f>
        <v/>
      </c>
      <c r="D605">
        <f>IF(A605="","",SUMIFS(المبيعات!$H$2:$H$2000,المبيعات!$C$2:$C$2000,A605))</f>
        <v/>
      </c>
      <c r="E605" s="13">
        <f>IF(A605="","",IF(COUNTIF(المبيعات!$C$2:$C$2000,A605)=0,"",_xlfn.MAXIFS(المبيعات!$A$2:$A$2000,المبيعات!$C$2:$C$2000,A605)))</f>
        <v/>
      </c>
      <c r="F605">
        <f>IF(A605="","",SUMIFS(المبيعات!$H$2:$H$2000,المبيعات!$C$2:$C$2000,A605,المبيعات!$J$2:$J$2000,"آجل"))</f>
        <v/>
      </c>
      <c r="G605" s="4" t="n"/>
      <c r="H605">
        <f>IF(A605="","",F605-G605)</f>
        <v/>
      </c>
    </row>
    <row r="606">
      <c r="A606" s="4" t="n"/>
      <c r="B606" s="4" t="n"/>
      <c r="C606">
        <f>IF(A606="","",SUMPRODUCT((المبيعات!$C$2:$C$2000=A606)*(المبيعات!$B$2:$B$2000&lt;&gt;"")/COUNTIFS(المبيعات!$B$2:$B$2000,المبيعات!$B$2:$B$2000&amp;"",المبيعات!$C$2:$C$2000,المبيعات!$C$2:$C$2000&amp;"")))</f>
        <v/>
      </c>
      <c r="D606">
        <f>IF(A606="","",SUMIFS(المبيعات!$H$2:$H$2000,المبيعات!$C$2:$C$2000,A606))</f>
        <v/>
      </c>
      <c r="E606" s="13">
        <f>IF(A606="","",IF(COUNTIF(المبيعات!$C$2:$C$2000,A606)=0,"",_xlfn.MAXIFS(المبيعات!$A$2:$A$2000,المبيعات!$C$2:$C$2000,A606)))</f>
        <v/>
      </c>
      <c r="F606">
        <f>IF(A606="","",SUMIFS(المبيعات!$H$2:$H$2000,المبيعات!$C$2:$C$2000,A606,المبيعات!$J$2:$J$2000,"آجل"))</f>
        <v/>
      </c>
      <c r="G606" s="4" t="n"/>
      <c r="H606">
        <f>IF(A606="","",F606-G606)</f>
        <v/>
      </c>
    </row>
    <row r="607">
      <c r="A607" s="4" t="n"/>
      <c r="B607" s="4" t="n"/>
      <c r="C607">
        <f>IF(A607="","",SUMPRODUCT((المبيعات!$C$2:$C$2000=A607)*(المبيعات!$B$2:$B$2000&lt;&gt;"")/COUNTIFS(المبيعات!$B$2:$B$2000,المبيعات!$B$2:$B$2000&amp;"",المبيعات!$C$2:$C$2000,المبيعات!$C$2:$C$2000&amp;"")))</f>
        <v/>
      </c>
      <c r="D607">
        <f>IF(A607="","",SUMIFS(المبيعات!$H$2:$H$2000,المبيعات!$C$2:$C$2000,A607))</f>
        <v/>
      </c>
      <c r="E607" s="13">
        <f>IF(A607="","",IF(COUNTIF(المبيعات!$C$2:$C$2000,A607)=0,"",_xlfn.MAXIFS(المبيعات!$A$2:$A$2000,المبيعات!$C$2:$C$2000,A607)))</f>
        <v/>
      </c>
      <c r="F607">
        <f>IF(A607="","",SUMIFS(المبيعات!$H$2:$H$2000,المبيعات!$C$2:$C$2000,A607,المبيعات!$J$2:$J$2000,"آجل"))</f>
        <v/>
      </c>
      <c r="G607" s="4" t="n"/>
      <c r="H607">
        <f>IF(A607="","",F607-G607)</f>
        <v/>
      </c>
    </row>
    <row r="608">
      <c r="A608" s="4" t="n"/>
      <c r="B608" s="4" t="n"/>
      <c r="C608">
        <f>IF(A608="","",SUMPRODUCT((المبيعات!$C$2:$C$2000=A608)*(المبيعات!$B$2:$B$2000&lt;&gt;"")/COUNTIFS(المبيعات!$B$2:$B$2000,المبيعات!$B$2:$B$2000&amp;"",المبيعات!$C$2:$C$2000,المبيعات!$C$2:$C$2000&amp;"")))</f>
        <v/>
      </c>
      <c r="D608">
        <f>IF(A608="","",SUMIFS(المبيعات!$H$2:$H$2000,المبيعات!$C$2:$C$2000,A608))</f>
        <v/>
      </c>
      <c r="E608" s="13">
        <f>IF(A608="","",IF(COUNTIF(المبيعات!$C$2:$C$2000,A608)=0,"",_xlfn.MAXIFS(المبيعات!$A$2:$A$2000,المبيعات!$C$2:$C$2000,A608)))</f>
        <v/>
      </c>
      <c r="F608">
        <f>IF(A608="","",SUMIFS(المبيعات!$H$2:$H$2000,المبيعات!$C$2:$C$2000,A608,المبيعات!$J$2:$J$2000,"آجل"))</f>
        <v/>
      </c>
      <c r="G608" s="4" t="n"/>
      <c r="H608">
        <f>IF(A608="","",F608-G608)</f>
        <v/>
      </c>
    </row>
    <row r="609">
      <c r="A609" s="4" t="n"/>
      <c r="B609" s="4" t="n"/>
      <c r="C609">
        <f>IF(A609="","",SUMPRODUCT((المبيعات!$C$2:$C$2000=A609)*(المبيعات!$B$2:$B$2000&lt;&gt;"")/COUNTIFS(المبيعات!$B$2:$B$2000,المبيعات!$B$2:$B$2000&amp;"",المبيعات!$C$2:$C$2000,المبيعات!$C$2:$C$2000&amp;"")))</f>
        <v/>
      </c>
      <c r="D609">
        <f>IF(A609="","",SUMIFS(المبيعات!$H$2:$H$2000,المبيعات!$C$2:$C$2000,A609))</f>
        <v/>
      </c>
      <c r="E609" s="13">
        <f>IF(A609="","",IF(COUNTIF(المبيعات!$C$2:$C$2000,A609)=0,"",_xlfn.MAXIFS(المبيعات!$A$2:$A$2000,المبيعات!$C$2:$C$2000,A609)))</f>
        <v/>
      </c>
      <c r="F609">
        <f>IF(A609="","",SUMIFS(المبيعات!$H$2:$H$2000,المبيعات!$C$2:$C$2000,A609,المبيعات!$J$2:$J$2000,"آجل"))</f>
        <v/>
      </c>
      <c r="G609" s="4" t="n"/>
      <c r="H609">
        <f>IF(A609="","",F609-G609)</f>
        <v/>
      </c>
    </row>
    <row r="610">
      <c r="A610" s="4" t="n"/>
      <c r="B610" s="4" t="n"/>
      <c r="C610">
        <f>IF(A610="","",SUMPRODUCT((المبيعات!$C$2:$C$2000=A610)*(المبيعات!$B$2:$B$2000&lt;&gt;"")/COUNTIFS(المبيعات!$B$2:$B$2000,المبيعات!$B$2:$B$2000&amp;"",المبيعات!$C$2:$C$2000,المبيعات!$C$2:$C$2000&amp;"")))</f>
        <v/>
      </c>
      <c r="D610">
        <f>IF(A610="","",SUMIFS(المبيعات!$H$2:$H$2000,المبيعات!$C$2:$C$2000,A610))</f>
        <v/>
      </c>
      <c r="E610" s="13">
        <f>IF(A610="","",IF(COUNTIF(المبيعات!$C$2:$C$2000,A610)=0,"",_xlfn.MAXIFS(المبيعات!$A$2:$A$2000,المبيعات!$C$2:$C$2000,A610)))</f>
        <v/>
      </c>
      <c r="F610">
        <f>IF(A610="","",SUMIFS(المبيعات!$H$2:$H$2000,المبيعات!$C$2:$C$2000,A610,المبيعات!$J$2:$J$2000,"آجل"))</f>
        <v/>
      </c>
      <c r="G610" s="4" t="n"/>
      <c r="H610">
        <f>IF(A610="","",F610-G610)</f>
        <v/>
      </c>
    </row>
    <row r="611">
      <c r="A611" s="4" t="n"/>
      <c r="B611" s="4" t="n"/>
      <c r="C611">
        <f>IF(A611="","",SUMPRODUCT((المبيعات!$C$2:$C$2000=A611)*(المبيعات!$B$2:$B$2000&lt;&gt;"")/COUNTIFS(المبيعات!$B$2:$B$2000,المبيعات!$B$2:$B$2000&amp;"",المبيعات!$C$2:$C$2000,المبيعات!$C$2:$C$2000&amp;"")))</f>
        <v/>
      </c>
      <c r="D611">
        <f>IF(A611="","",SUMIFS(المبيعات!$H$2:$H$2000,المبيعات!$C$2:$C$2000,A611))</f>
        <v/>
      </c>
      <c r="E611" s="13">
        <f>IF(A611="","",IF(COUNTIF(المبيعات!$C$2:$C$2000,A611)=0,"",_xlfn.MAXIFS(المبيعات!$A$2:$A$2000,المبيعات!$C$2:$C$2000,A611)))</f>
        <v/>
      </c>
      <c r="F611">
        <f>IF(A611="","",SUMIFS(المبيعات!$H$2:$H$2000,المبيعات!$C$2:$C$2000,A611,المبيعات!$J$2:$J$2000,"آجل"))</f>
        <v/>
      </c>
      <c r="G611" s="4" t="n"/>
      <c r="H611">
        <f>IF(A611="","",F611-G611)</f>
        <v/>
      </c>
    </row>
    <row r="612">
      <c r="A612" s="4" t="n"/>
      <c r="B612" s="4" t="n"/>
      <c r="C612">
        <f>IF(A612="","",SUMPRODUCT((المبيعات!$C$2:$C$2000=A612)*(المبيعات!$B$2:$B$2000&lt;&gt;"")/COUNTIFS(المبيعات!$B$2:$B$2000,المبيعات!$B$2:$B$2000&amp;"",المبيعات!$C$2:$C$2000,المبيعات!$C$2:$C$2000&amp;"")))</f>
        <v/>
      </c>
      <c r="D612">
        <f>IF(A612="","",SUMIFS(المبيعات!$H$2:$H$2000,المبيعات!$C$2:$C$2000,A612))</f>
        <v/>
      </c>
      <c r="E612" s="13">
        <f>IF(A612="","",IF(COUNTIF(المبيعات!$C$2:$C$2000,A612)=0,"",_xlfn.MAXIFS(المبيعات!$A$2:$A$2000,المبيعات!$C$2:$C$2000,A612)))</f>
        <v/>
      </c>
      <c r="F612">
        <f>IF(A612="","",SUMIFS(المبيعات!$H$2:$H$2000,المبيعات!$C$2:$C$2000,A612,المبيعات!$J$2:$J$2000,"آجل"))</f>
        <v/>
      </c>
      <c r="G612" s="4" t="n"/>
      <c r="H612">
        <f>IF(A612="","",F612-G612)</f>
        <v/>
      </c>
    </row>
    <row r="613">
      <c r="A613" s="4" t="n"/>
      <c r="B613" s="4" t="n"/>
      <c r="C613">
        <f>IF(A613="","",SUMPRODUCT((المبيعات!$C$2:$C$2000=A613)*(المبيعات!$B$2:$B$2000&lt;&gt;"")/COUNTIFS(المبيعات!$B$2:$B$2000,المبيعات!$B$2:$B$2000&amp;"",المبيعات!$C$2:$C$2000,المبيعات!$C$2:$C$2000&amp;"")))</f>
        <v/>
      </c>
      <c r="D613">
        <f>IF(A613="","",SUMIFS(المبيعات!$H$2:$H$2000,المبيعات!$C$2:$C$2000,A613))</f>
        <v/>
      </c>
      <c r="E613" s="13">
        <f>IF(A613="","",IF(COUNTIF(المبيعات!$C$2:$C$2000,A613)=0,"",_xlfn.MAXIFS(المبيعات!$A$2:$A$2000,المبيعات!$C$2:$C$2000,A613)))</f>
        <v/>
      </c>
      <c r="F613">
        <f>IF(A613="","",SUMIFS(المبيعات!$H$2:$H$2000,المبيعات!$C$2:$C$2000,A613,المبيعات!$J$2:$J$2000,"آجل"))</f>
        <v/>
      </c>
      <c r="G613" s="4" t="n"/>
      <c r="H613">
        <f>IF(A613="","",F613-G613)</f>
        <v/>
      </c>
    </row>
    <row r="614">
      <c r="A614" s="4" t="n"/>
      <c r="B614" s="4" t="n"/>
      <c r="C614">
        <f>IF(A614="","",SUMPRODUCT((المبيعات!$C$2:$C$2000=A614)*(المبيعات!$B$2:$B$2000&lt;&gt;"")/COUNTIFS(المبيعات!$B$2:$B$2000,المبيعات!$B$2:$B$2000&amp;"",المبيعات!$C$2:$C$2000,المبيعات!$C$2:$C$2000&amp;"")))</f>
        <v/>
      </c>
      <c r="D614">
        <f>IF(A614="","",SUMIFS(المبيعات!$H$2:$H$2000,المبيعات!$C$2:$C$2000,A614))</f>
        <v/>
      </c>
      <c r="E614" s="13">
        <f>IF(A614="","",IF(COUNTIF(المبيعات!$C$2:$C$2000,A614)=0,"",_xlfn.MAXIFS(المبيعات!$A$2:$A$2000,المبيعات!$C$2:$C$2000,A614)))</f>
        <v/>
      </c>
      <c r="F614">
        <f>IF(A614="","",SUMIFS(المبيعات!$H$2:$H$2000,المبيعات!$C$2:$C$2000,A614,المبيعات!$J$2:$J$2000,"آجل"))</f>
        <v/>
      </c>
      <c r="G614" s="4" t="n"/>
      <c r="H614">
        <f>IF(A614="","",F614-G614)</f>
        <v/>
      </c>
    </row>
    <row r="615">
      <c r="A615" s="4" t="n"/>
      <c r="B615" s="4" t="n"/>
      <c r="C615">
        <f>IF(A615="","",SUMPRODUCT((المبيعات!$C$2:$C$2000=A615)*(المبيعات!$B$2:$B$2000&lt;&gt;"")/COUNTIFS(المبيعات!$B$2:$B$2000,المبيعات!$B$2:$B$2000&amp;"",المبيعات!$C$2:$C$2000,المبيعات!$C$2:$C$2000&amp;"")))</f>
        <v/>
      </c>
      <c r="D615">
        <f>IF(A615="","",SUMIFS(المبيعات!$H$2:$H$2000,المبيعات!$C$2:$C$2000,A615))</f>
        <v/>
      </c>
      <c r="E615" s="13">
        <f>IF(A615="","",IF(COUNTIF(المبيعات!$C$2:$C$2000,A615)=0,"",_xlfn.MAXIFS(المبيعات!$A$2:$A$2000,المبيعات!$C$2:$C$2000,A615)))</f>
        <v/>
      </c>
      <c r="F615">
        <f>IF(A615="","",SUMIFS(المبيعات!$H$2:$H$2000,المبيعات!$C$2:$C$2000,A615,المبيعات!$J$2:$J$2000,"آجل"))</f>
        <v/>
      </c>
      <c r="G615" s="4" t="n"/>
      <c r="H615">
        <f>IF(A615="","",F615-G615)</f>
        <v/>
      </c>
    </row>
    <row r="616">
      <c r="A616" s="4" t="n"/>
      <c r="B616" s="4" t="n"/>
      <c r="C616">
        <f>IF(A616="","",SUMPRODUCT((المبيعات!$C$2:$C$2000=A616)*(المبيعات!$B$2:$B$2000&lt;&gt;"")/COUNTIFS(المبيعات!$B$2:$B$2000,المبيعات!$B$2:$B$2000&amp;"",المبيعات!$C$2:$C$2000,المبيعات!$C$2:$C$2000&amp;"")))</f>
        <v/>
      </c>
      <c r="D616">
        <f>IF(A616="","",SUMIFS(المبيعات!$H$2:$H$2000,المبيعات!$C$2:$C$2000,A616))</f>
        <v/>
      </c>
      <c r="E616" s="13">
        <f>IF(A616="","",IF(COUNTIF(المبيعات!$C$2:$C$2000,A616)=0,"",_xlfn.MAXIFS(المبيعات!$A$2:$A$2000,المبيعات!$C$2:$C$2000,A616)))</f>
        <v/>
      </c>
      <c r="F616">
        <f>IF(A616="","",SUMIFS(المبيعات!$H$2:$H$2000,المبيعات!$C$2:$C$2000,A616,المبيعات!$J$2:$J$2000,"آجل"))</f>
        <v/>
      </c>
      <c r="G616" s="4" t="n"/>
      <c r="H616">
        <f>IF(A616="","",F616-G616)</f>
        <v/>
      </c>
    </row>
    <row r="617">
      <c r="A617" s="4" t="n"/>
      <c r="B617" s="4" t="n"/>
      <c r="C617">
        <f>IF(A617="","",SUMPRODUCT((المبيعات!$C$2:$C$2000=A617)*(المبيعات!$B$2:$B$2000&lt;&gt;"")/COUNTIFS(المبيعات!$B$2:$B$2000,المبيعات!$B$2:$B$2000&amp;"",المبيعات!$C$2:$C$2000,المبيعات!$C$2:$C$2000&amp;"")))</f>
        <v/>
      </c>
      <c r="D617">
        <f>IF(A617="","",SUMIFS(المبيعات!$H$2:$H$2000,المبيعات!$C$2:$C$2000,A617))</f>
        <v/>
      </c>
      <c r="E617" s="13">
        <f>IF(A617="","",IF(COUNTIF(المبيعات!$C$2:$C$2000,A617)=0,"",_xlfn.MAXIFS(المبيعات!$A$2:$A$2000,المبيعات!$C$2:$C$2000,A617)))</f>
        <v/>
      </c>
      <c r="F617">
        <f>IF(A617="","",SUMIFS(المبيعات!$H$2:$H$2000,المبيعات!$C$2:$C$2000,A617,المبيعات!$J$2:$J$2000,"آجل"))</f>
        <v/>
      </c>
      <c r="G617" s="4" t="n"/>
      <c r="H617">
        <f>IF(A617="","",F617-G617)</f>
        <v/>
      </c>
    </row>
    <row r="618">
      <c r="A618" s="4" t="n"/>
      <c r="B618" s="4" t="n"/>
      <c r="C618">
        <f>IF(A618="","",SUMPRODUCT((المبيعات!$C$2:$C$2000=A618)*(المبيعات!$B$2:$B$2000&lt;&gt;"")/COUNTIFS(المبيعات!$B$2:$B$2000,المبيعات!$B$2:$B$2000&amp;"",المبيعات!$C$2:$C$2000,المبيعات!$C$2:$C$2000&amp;"")))</f>
        <v/>
      </c>
      <c r="D618">
        <f>IF(A618="","",SUMIFS(المبيعات!$H$2:$H$2000,المبيعات!$C$2:$C$2000,A618))</f>
        <v/>
      </c>
      <c r="E618" s="13">
        <f>IF(A618="","",IF(COUNTIF(المبيعات!$C$2:$C$2000,A618)=0,"",_xlfn.MAXIFS(المبيعات!$A$2:$A$2000,المبيعات!$C$2:$C$2000,A618)))</f>
        <v/>
      </c>
      <c r="F618">
        <f>IF(A618="","",SUMIFS(المبيعات!$H$2:$H$2000,المبيعات!$C$2:$C$2000,A618,المبيعات!$J$2:$J$2000,"آجل"))</f>
        <v/>
      </c>
      <c r="G618" s="4" t="n"/>
      <c r="H618">
        <f>IF(A618="","",F618-G618)</f>
        <v/>
      </c>
    </row>
    <row r="619">
      <c r="A619" s="4" t="n"/>
      <c r="B619" s="4" t="n"/>
      <c r="C619">
        <f>IF(A619="","",SUMPRODUCT((المبيعات!$C$2:$C$2000=A619)*(المبيعات!$B$2:$B$2000&lt;&gt;"")/COUNTIFS(المبيعات!$B$2:$B$2000,المبيعات!$B$2:$B$2000&amp;"",المبيعات!$C$2:$C$2000,المبيعات!$C$2:$C$2000&amp;"")))</f>
        <v/>
      </c>
      <c r="D619">
        <f>IF(A619="","",SUMIFS(المبيعات!$H$2:$H$2000,المبيعات!$C$2:$C$2000,A619))</f>
        <v/>
      </c>
      <c r="E619" s="13">
        <f>IF(A619="","",IF(COUNTIF(المبيعات!$C$2:$C$2000,A619)=0,"",_xlfn.MAXIFS(المبيعات!$A$2:$A$2000,المبيعات!$C$2:$C$2000,A619)))</f>
        <v/>
      </c>
      <c r="F619">
        <f>IF(A619="","",SUMIFS(المبيعات!$H$2:$H$2000,المبيعات!$C$2:$C$2000,A619,المبيعات!$J$2:$J$2000,"آجل"))</f>
        <v/>
      </c>
      <c r="G619" s="4" t="n"/>
      <c r="H619">
        <f>IF(A619="","",F619-G619)</f>
        <v/>
      </c>
    </row>
    <row r="620">
      <c r="A620" s="4" t="n"/>
      <c r="B620" s="4" t="n"/>
      <c r="C620">
        <f>IF(A620="","",SUMPRODUCT((المبيعات!$C$2:$C$2000=A620)*(المبيعات!$B$2:$B$2000&lt;&gt;"")/COUNTIFS(المبيعات!$B$2:$B$2000,المبيعات!$B$2:$B$2000&amp;"",المبيعات!$C$2:$C$2000,المبيعات!$C$2:$C$2000&amp;"")))</f>
        <v/>
      </c>
      <c r="D620">
        <f>IF(A620="","",SUMIFS(المبيعات!$H$2:$H$2000,المبيعات!$C$2:$C$2000,A620))</f>
        <v/>
      </c>
      <c r="E620" s="13">
        <f>IF(A620="","",IF(COUNTIF(المبيعات!$C$2:$C$2000,A620)=0,"",_xlfn.MAXIFS(المبيعات!$A$2:$A$2000,المبيعات!$C$2:$C$2000,A620)))</f>
        <v/>
      </c>
      <c r="F620">
        <f>IF(A620="","",SUMIFS(المبيعات!$H$2:$H$2000,المبيعات!$C$2:$C$2000,A620,المبيعات!$J$2:$J$2000,"آجل"))</f>
        <v/>
      </c>
      <c r="G620" s="4" t="n"/>
      <c r="H620">
        <f>IF(A620="","",F620-G620)</f>
        <v/>
      </c>
    </row>
    <row r="621">
      <c r="A621" s="4" t="n"/>
      <c r="B621" s="4" t="n"/>
      <c r="C621">
        <f>IF(A621="","",SUMPRODUCT((المبيعات!$C$2:$C$2000=A621)*(المبيعات!$B$2:$B$2000&lt;&gt;"")/COUNTIFS(المبيعات!$B$2:$B$2000,المبيعات!$B$2:$B$2000&amp;"",المبيعات!$C$2:$C$2000,المبيعات!$C$2:$C$2000&amp;"")))</f>
        <v/>
      </c>
      <c r="D621">
        <f>IF(A621="","",SUMIFS(المبيعات!$H$2:$H$2000,المبيعات!$C$2:$C$2000,A621))</f>
        <v/>
      </c>
      <c r="E621" s="13">
        <f>IF(A621="","",IF(COUNTIF(المبيعات!$C$2:$C$2000,A621)=0,"",_xlfn.MAXIFS(المبيعات!$A$2:$A$2000,المبيعات!$C$2:$C$2000,A621)))</f>
        <v/>
      </c>
      <c r="F621">
        <f>IF(A621="","",SUMIFS(المبيعات!$H$2:$H$2000,المبيعات!$C$2:$C$2000,A621,المبيعات!$J$2:$J$2000,"آجل"))</f>
        <v/>
      </c>
      <c r="G621" s="4" t="n"/>
      <c r="H621">
        <f>IF(A621="","",F621-G621)</f>
        <v/>
      </c>
    </row>
    <row r="622">
      <c r="A622" s="4" t="n"/>
      <c r="B622" s="4" t="n"/>
      <c r="C622">
        <f>IF(A622="","",SUMPRODUCT((المبيعات!$C$2:$C$2000=A622)*(المبيعات!$B$2:$B$2000&lt;&gt;"")/COUNTIFS(المبيعات!$B$2:$B$2000,المبيعات!$B$2:$B$2000&amp;"",المبيعات!$C$2:$C$2000,المبيعات!$C$2:$C$2000&amp;"")))</f>
        <v/>
      </c>
      <c r="D622">
        <f>IF(A622="","",SUMIFS(المبيعات!$H$2:$H$2000,المبيعات!$C$2:$C$2000,A622))</f>
        <v/>
      </c>
      <c r="E622" s="13">
        <f>IF(A622="","",IF(COUNTIF(المبيعات!$C$2:$C$2000,A622)=0,"",_xlfn.MAXIFS(المبيعات!$A$2:$A$2000,المبيعات!$C$2:$C$2000,A622)))</f>
        <v/>
      </c>
      <c r="F622">
        <f>IF(A622="","",SUMIFS(المبيعات!$H$2:$H$2000,المبيعات!$C$2:$C$2000,A622,المبيعات!$J$2:$J$2000,"آجل"))</f>
        <v/>
      </c>
      <c r="G622" s="4" t="n"/>
      <c r="H622">
        <f>IF(A622="","",F622-G622)</f>
        <v/>
      </c>
    </row>
    <row r="623">
      <c r="A623" s="4" t="n"/>
      <c r="B623" s="4" t="n"/>
      <c r="C623">
        <f>IF(A623="","",SUMPRODUCT((المبيعات!$C$2:$C$2000=A623)*(المبيعات!$B$2:$B$2000&lt;&gt;"")/COUNTIFS(المبيعات!$B$2:$B$2000,المبيعات!$B$2:$B$2000&amp;"",المبيعات!$C$2:$C$2000,المبيعات!$C$2:$C$2000&amp;"")))</f>
        <v/>
      </c>
      <c r="D623">
        <f>IF(A623="","",SUMIFS(المبيعات!$H$2:$H$2000,المبيعات!$C$2:$C$2000,A623))</f>
        <v/>
      </c>
      <c r="E623" s="13">
        <f>IF(A623="","",IF(COUNTIF(المبيعات!$C$2:$C$2000,A623)=0,"",_xlfn.MAXIFS(المبيعات!$A$2:$A$2000,المبيعات!$C$2:$C$2000,A623)))</f>
        <v/>
      </c>
      <c r="F623">
        <f>IF(A623="","",SUMIFS(المبيعات!$H$2:$H$2000,المبيعات!$C$2:$C$2000,A623,المبيعات!$J$2:$J$2000,"آجل"))</f>
        <v/>
      </c>
      <c r="G623" s="4" t="n"/>
      <c r="H623">
        <f>IF(A623="","",F623-G623)</f>
        <v/>
      </c>
    </row>
    <row r="624">
      <c r="A624" s="4" t="n"/>
      <c r="B624" s="4" t="n"/>
      <c r="C624">
        <f>IF(A624="","",SUMPRODUCT((المبيعات!$C$2:$C$2000=A624)*(المبيعات!$B$2:$B$2000&lt;&gt;"")/COUNTIFS(المبيعات!$B$2:$B$2000,المبيعات!$B$2:$B$2000&amp;"",المبيعات!$C$2:$C$2000,المبيعات!$C$2:$C$2000&amp;"")))</f>
        <v/>
      </c>
      <c r="D624">
        <f>IF(A624="","",SUMIFS(المبيعات!$H$2:$H$2000,المبيعات!$C$2:$C$2000,A624))</f>
        <v/>
      </c>
      <c r="E624" s="13">
        <f>IF(A624="","",IF(COUNTIF(المبيعات!$C$2:$C$2000,A624)=0,"",_xlfn.MAXIFS(المبيعات!$A$2:$A$2000,المبيعات!$C$2:$C$2000,A624)))</f>
        <v/>
      </c>
      <c r="F624">
        <f>IF(A624="","",SUMIFS(المبيعات!$H$2:$H$2000,المبيعات!$C$2:$C$2000,A624,المبيعات!$J$2:$J$2000,"آجل"))</f>
        <v/>
      </c>
      <c r="G624" s="4" t="n"/>
      <c r="H624">
        <f>IF(A624="","",F624-G624)</f>
        <v/>
      </c>
    </row>
    <row r="625">
      <c r="A625" s="4" t="n"/>
      <c r="B625" s="4" t="n"/>
      <c r="C625">
        <f>IF(A625="","",SUMPRODUCT((المبيعات!$C$2:$C$2000=A625)*(المبيعات!$B$2:$B$2000&lt;&gt;"")/COUNTIFS(المبيعات!$B$2:$B$2000,المبيعات!$B$2:$B$2000&amp;"",المبيعات!$C$2:$C$2000,المبيعات!$C$2:$C$2000&amp;"")))</f>
        <v/>
      </c>
      <c r="D625">
        <f>IF(A625="","",SUMIFS(المبيعات!$H$2:$H$2000,المبيعات!$C$2:$C$2000,A625))</f>
        <v/>
      </c>
      <c r="E625" s="13">
        <f>IF(A625="","",IF(COUNTIF(المبيعات!$C$2:$C$2000,A625)=0,"",_xlfn.MAXIFS(المبيعات!$A$2:$A$2000,المبيعات!$C$2:$C$2000,A625)))</f>
        <v/>
      </c>
      <c r="F625">
        <f>IF(A625="","",SUMIFS(المبيعات!$H$2:$H$2000,المبيعات!$C$2:$C$2000,A625,المبيعات!$J$2:$J$2000,"آجل"))</f>
        <v/>
      </c>
      <c r="G625" s="4" t="n"/>
      <c r="H625">
        <f>IF(A625="","",F625-G625)</f>
        <v/>
      </c>
    </row>
    <row r="626">
      <c r="A626" s="4" t="n"/>
      <c r="B626" s="4" t="n"/>
      <c r="C626">
        <f>IF(A626="","",SUMPRODUCT((المبيعات!$C$2:$C$2000=A626)*(المبيعات!$B$2:$B$2000&lt;&gt;"")/COUNTIFS(المبيعات!$B$2:$B$2000,المبيعات!$B$2:$B$2000&amp;"",المبيعات!$C$2:$C$2000,المبيعات!$C$2:$C$2000&amp;"")))</f>
        <v/>
      </c>
      <c r="D626">
        <f>IF(A626="","",SUMIFS(المبيعات!$H$2:$H$2000,المبيعات!$C$2:$C$2000,A626))</f>
        <v/>
      </c>
      <c r="E626" s="13">
        <f>IF(A626="","",IF(COUNTIF(المبيعات!$C$2:$C$2000,A626)=0,"",_xlfn.MAXIFS(المبيعات!$A$2:$A$2000,المبيعات!$C$2:$C$2000,A626)))</f>
        <v/>
      </c>
      <c r="F626">
        <f>IF(A626="","",SUMIFS(المبيعات!$H$2:$H$2000,المبيعات!$C$2:$C$2000,A626,المبيعات!$J$2:$J$2000,"آجل"))</f>
        <v/>
      </c>
      <c r="G626" s="4" t="n"/>
      <c r="H626">
        <f>IF(A626="","",F626-G626)</f>
        <v/>
      </c>
    </row>
    <row r="627">
      <c r="A627" s="4" t="n"/>
      <c r="B627" s="4" t="n"/>
      <c r="C627">
        <f>IF(A627="","",SUMPRODUCT((المبيعات!$C$2:$C$2000=A627)*(المبيعات!$B$2:$B$2000&lt;&gt;"")/COUNTIFS(المبيعات!$B$2:$B$2000,المبيعات!$B$2:$B$2000&amp;"",المبيعات!$C$2:$C$2000,المبيعات!$C$2:$C$2000&amp;"")))</f>
        <v/>
      </c>
      <c r="D627">
        <f>IF(A627="","",SUMIFS(المبيعات!$H$2:$H$2000,المبيعات!$C$2:$C$2000,A627))</f>
        <v/>
      </c>
      <c r="E627" s="13">
        <f>IF(A627="","",IF(COUNTIF(المبيعات!$C$2:$C$2000,A627)=0,"",_xlfn.MAXIFS(المبيعات!$A$2:$A$2000,المبيعات!$C$2:$C$2000,A627)))</f>
        <v/>
      </c>
      <c r="F627">
        <f>IF(A627="","",SUMIFS(المبيعات!$H$2:$H$2000,المبيعات!$C$2:$C$2000,A627,المبيعات!$J$2:$J$2000,"آجل"))</f>
        <v/>
      </c>
      <c r="G627" s="4" t="n"/>
      <c r="H627">
        <f>IF(A627="","",F627-G627)</f>
        <v/>
      </c>
    </row>
    <row r="628">
      <c r="A628" s="4" t="n"/>
      <c r="B628" s="4" t="n"/>
      <c r="C628">
        <f>IF(A628="","",SUMPRODUCT((المبيعات!$C$2:$C$2000=A628)*(المبيعات!$B$2:$B$2000&lt;&gt;"")/COUNTIFS(المبيعات!$B$2:$B$2000,المبيعات!$B$2:$B$2000&amp;"",المبيعات!$C$2:$C$2000,المبيعات!$C$2:$C$2000&amp;"")))</f>
        <v/>
      </c>
      <c r="D628">
        <f>IF(A628="","",SUMIFS(المبيعات!$H$2:$H$2000,المبيعات!$C$2:$C$2000,A628))</f>
        <v/>
      </c>
      <c r="E628" s="13">
        <f>IF(A628="","",IF(COUNTIF(المبيعات!$C$2:$C$2000,A628)=0,"",_xlfn.MAXIFS(المبيعات!$A$2:$A$2000,المبيعات!$C$2:$C$2000,A628)))</f>
        <v/>
      </c>
      <c r="F628">
        <f>IF(A628="","",SUMIFS(المبيعات!$H$2:$H$2000,المبيعات!$C$2:$C$2000,A628,المبيعات!$J$2:$J$2000,"آجل"))</f>
        <v/>
      </c>
      <c r="G628" s="4" t="n"/>
      <c r="H628">
        <f>IF(A628="","",F628-G628)</f>
        <v/>
      </c>
    </row>
    <row r="629">
      <c r="A629" s="4" t="n"/>
      <c r="B629" s="4" t="n"/>
      <c r="C629">
        <f>IF(A629="","",SUMPRODUCT((المبيعات!$C$2:$C$2000=A629)*(المبيعات!$B$2:$B$2000&lt;&gt;"")/COUNTIFS(المبيعات!$B$2:$B$2000,المبيعات!$B$2:$B$2000&amp;"",المبيعات!$C$2:$C$2000,المبيعات!$C$2:$C$2000&amp;"")))</f>
        <v/>
      </c>
      <c r="D629">
        <f>IF(A629="","",SUMIFS(المبيعات!$H$2:$H$2000,المبيعات!$C$2:$C$2000,A629))</f>
        <v/>
      </c>
      <c r="E629" s="13">
        <f>IF(A629="","",IF(COUNTIF(المبيعات!$C$2:$C$2000,A629)=0,"",_xlfn.MAXIFS(المبيعات!$A$2:$A$2000,المبيعات!$C$2:$C$2000,A629)))</f>
        <v/>
      </c>
      <c r="F629">
        <f>IF(A629="","",SUMIFS(المبيعات!$H$2:$H$2000,المبيعات!$C$2:$C$2000,A629,المبيعات!$J$2:$J$2000,"آجل"))</f>
        <v/>
      </c>
      <c r="G629" s="4" t="n"/>
      <c r="H629">
        <f>IF(A629="","",F629-G629)</f>
        <v/>
      </c>
    </row>
    <row r="630">
      <c r="A630" s="4" t="n"/>
      <c r="B630" s="4" t="n"/>
      <c r="C630">
        <f>IF(A630="","",SUMPRODUCT((المبيعات!$C$2:$C$2000=A630)*(المبيعات!$B$2:$B$2000&lt;&gt;"")/COUNTIFS(المبيعات!$B$2:$B$2000,المبيعات!$B$2:$B$2000&amp;"",المبيعات!$C$2:$C$2000,المبيعات!$C$2:$C$2000&amp;"")))</f>
        <v/>
      </c>
      <c r="D630">
        <f>IF(A630="","",SUMIFS(المبيعات!$H$2:$H$2000,المبيعات!$C$2:$C$2000,A630))</f>
        <v/>
      </c>
      <c r="E630" s="13">
        <f>IF(A630="","",IF(COUNTIF(المبيعات!$C$2:$C$2000,A630)=0,"",_xlfn.MAXIFS(المبيعات!$A$2:$A$2000,المبيعات!$C$2:$C$2000,A630)))</f>
        <v/>
      </c>
      <c r="F630">
        <f>IF(A630="","",SUMIFS(المبيعات!$H$2:$H$2000,المبيعات!$C$2:$C$2000,A630,المبيعات!$J$2:$J$2000,"آجل"))</f>
        <v/>
      </c>
      <c r="G630" s="4" t="n"/>
      <c r="H630">
        <f>IF(A630="","",F630-G630)</f>
        <v/>
      </c>
    </row>
    <row r="631">
      <c r="A631" s="4" t="n"/>
      <c r="B631" s="4" t="n"/>
      <c r="C631">
        <f>IF(A631="","",SUMPRODUCT((المبيعات!$C$2:$C$2000=A631)*(المبيعات!$B$2:$B$2000&lt;&gt;"")/COUNTIFS(المبيعات!$B$2:$B$2000,المبيعات!$B$2:$B$2000&amp;"",المبيعات!$C$2:$C$2000,المبيعات!$C$2:$C$2000&amp;"")))</f>
        <v/>
      </c>
      <c r="D631">
        <f>IF(A631="","",SUMIFS(المبيعات!$H$2:$H$2000,المبيعات!$C$2:$C$2000,A631))</f>
        <v/>
      </c>
      <c r="E631" s="13">
        <f>IF(A631="","",IF(COUNTIF(المبيعات!$C$2:$C$2000,A631)=0,"",_xlfn.MAXIFS(المبيعات!$A$2:$A$2000,المبيعات!$C$2:$C$2000,A631)))</f>
        <v/>
      </c>
      <c r="F631">
        <f>IF(A631="","",SUMIFS(المبيعات!$H$2:$H$2000,المبيعات!$C$2:$C$2000,A631,المبيعات!$J$2:$J$2000,"آجل"))</f>
        <v/>
      </c>
      <c r="G631" s="4" t="n"/>
      <c r="H631">
        <f>IF(A631="","",F631-G631)</f>
        <v/>
      </c>
    </row>
    <row r="632">
      <c r="A632" s="4" t="n"/>
      <c r="B632" s="4" t="n"/>
      <c r="C632">
        <f>IF(A632="","",SUMPRODUCT((المبيعات!$C$2:$C$2000=A632)*(المبيعات!$B$2:$B$2000&lt;&gt;"")/COUNTIFS(المبيعات!$B$2:$B$2000,المبيعات!$B$2:$B$2000&amp;"",المبيعات!$C$2:$C$2000,المبيعات!$C$2:$C$2000&amp;"")))</f>
        <v/>
      </c>
      <c r="D632">
        <f>IF(A632="","",SUMIFS(المبيعات!$H$2:$H$2000,المبيعات!$C$2:$C$2000,A632))</f>
        <v/>
      </c>
      <c r="E632" s="13">
        <f>IF(A632="","",IF(COUNTIF(المبيعات!$C$2:$C$2000,A632)=0,"",_xlfn.MAXIFS(المبيعات!$A$2:$A$2000,المبيعات!$C$2:$C$2000,A632)))</f>
        <v/>
      </c>
      <c r="F632">
        <f>IF(A632="","",SUMIFS(المبيعات!$H$2:$H$2000,المبيعات!$C$2:$C$2000,A632,المبيعات!$J$2:$J$2000,"آجل"))</f>
        <v/>
      </c>
      <c r="G632" s="4" t="n"/>
      <c r="H632">
        <f>IF(A632="","",F632-G632)</f>
        <v/>
      </c>
    </row>
    <row r="633">
      <c r="A633" s="4" t="n"/>
      <c r="B633" s="4" t="n"/>
      <c r="C633">
        <f>IF(A633="","",SUMPRODUCT((المبيعات!$C$2:$C$2000=A633)*(المبيعات!$B$2:$B$2000&lt;&gt;"")/COUNTIFS(المبيعات!$B$2:$B$2000,المبيعات!$B$2:$B$2000&amp;"",المبيعات!$C$2:$C$2000,المبيعات!$C$2:$C$2000&amp;"")))</f>
        <v/>
      </c>
      <c r="D633">
        <f>IF(A633="","",SUMIFS(المبيعات!$H$2:$H$2000,المبيعات!$C$2:$C$2000,A633))</f>
        <v/>
      </c>
      <c r="E633" s="13">
        <f>IF(A633="","",IF(COUNTIF(المبيعات!$C$2:$C$2000,A633)=0,"",_xlfn.MAXIFS(المبيعات!$A$2:$A$2000,المبيعات!$C$2:$C$2000,A633)))</f>
        <v/>
      </c>
      <c r="F633">
        <f>IF(A633="","",SUMIFS(المبيعات!$H$2:$H$2000,المبيعات!$C$2:$C$2000,A633,المبيعات!$J$2:$J$2000,"آجل"))</f>
        <v/>
      </c>
      <c r="G633" s="4" t="n"/>
      <c r="H633">
        <f>IF(A633="","",F633-G633)</f>
        <v/>
      </c>
    </row>
    <row r="634">
      <c r="A634" s="4" t="n"/>
      <c r="B634" s="4" t="n"/>
      <c r="C634">
        <f>IF(A634="","",SUMPRODUCT((المبيعات!$C$2:$C$2000=A634)*(المبيعات!$B$2:$B$2000&lt;&gt;"")/COUNTIFS(المبيعات!$B$2:$B$2000,المبيعات!$B$2:$B$2000&amp;"",المبيعات!$C$2:$C$2000,المبيعات!$C$2:$C$2000&amp;"")))</f>
        <v/>
      </c>
      <c r="D634">
        <f>IF(A634="","",SUMIFS(المبيعات!$H$2:$H$2000,المبيعات!$C$2:$C$2000,A634))</f>
        <v/>
      </c>
      <c r="E634" s="13">
        <f>IF(A634="","",IF(COUNTIF(المبيعات!$C$2:$C$2000,A634)=0,"",_xlfn.MAXIFS(المبيعات!$A$2:$A$2000,المبيعات!$C$2:$C$2000,A634)))</f>
        <v/>
      </c>
      <c r="F634">
        <f>IF(A634="","",SUMIFS(المبيعات!$H$2:$H$2000,المبيعات!$C$2:$C$2000,A634,المبيعات!$J$2:$J$2000,"آجل"))</f>
        <v/>
      </c>
      <c r="G634" s="4" t="n"/>
      <c r="H634">
        <f>IF(A634="","",F634-G634)</f>
        <v/>
      </c>
    </row>
    <row r="635">
      <c r="A635" s="4" t="n"/>
      <c r="B635" s="4" t="n"/>
      <c r="C635">
        <f>IF(A635="","",SUMPRODUCT((المبيعات!$C$2:$C$2000=A635)*(المبيعات!$B$2:$B$2000&lt;&gt;"")/COUNTIFS(المبيعات!$B$2:$B$2000,المبيعات!$B$2:$B$2000&amp;"",المبيعات!$C$2:$C$2000,المبيعات!$C$2:$C$2000&amp;"")))</f>
        <v/>
      </c>
      <c r="D635">
        <f>IF(A635="","",SUMIFS(المبيعات!$H$2:$H$2000,المبيعات!$C$2:$C$2000,A635))</f>
        <v/>
      </c>
      <c r="E635" s="13">
        <f>IF(A635="","",IF(COUNTIF(المبيعات!$C$2:$C$2000,A635)=0,"",_xlfn.MAXIFS(المبيعات!$A$2:$A$2000,المبيعات!$C$2:$C$2000,A635)))</f>
        <v/>
      </c>
      <c r="F635">
        <f>IF(A635="","",SUMIFS(المبيعات!$H$2:$H$2000,المبيعات!$C$2:$C$2000,A635,المبيعات!$J$2:$J$2000,"آجل"))</f>
        <v/>
      </c>
      <c r="G635" s="4" t="n"/>
      <c r="H635">
        <f>IF(A635="","",F635-G635)</f>
        <v/>
      </c>
    </row>
    <row r="636">
      <c r="A636" s="4" t="n"/>
      <c r="B636" s="4" t="n"/>
      <c r="C636">
        <f>IF(A636="","",SUMPRODUCT((المبيعات!$C$2:$C$2000=A636)*(المبيعات!$B$2:$B$2000&lt;&gt;"")/COUNTIFS(المبيعات!$B$2:$B$2000,المبيعات!$B$2:$B$2000&amp;"",المبيعات!$C$2:$C$2000,المبيعات!$C$2:$C$2000&amp;"")))</f>
        <v/>
      </c>
      <c r="D636">
        <f>IF(A636="","",SUMIFS(المبيعات!$H$2:$H$2000,المبيعات!$C$2:$C$2000,A636))</f>
        <v/>
      </c>
      <c r="E636" s="13">
        <f>IF(A636="","",IF(COUNTIF(المبيعات!$C$2:$C$2000,A636)=0,"",_xlfn.MAXIFS(المبيعات!$A$2:$A$2000,المبيعات!$C$2:$C$2000,A636)))</f>
        <v/>
      </c>
      <c r="F636">
        <f>IF(A636="","",SUMIFS(المبيعات!$H$2:$H$2000,المبيعات!$C$2:$C$2000,A636,المبيعات!$J$2:$J$2000,"آجل"))</f>
        <v/>
      </c>
      <c r="G636" s="4" t="n"/>
      <c r="H636">
        <f>IF(A636="","",F636-G636)</f>
        <v/>
      </c>
    </row>
    <row r="637">
      <c r="A637" s="4" t="n"/>
      <c r="B637" s="4" t="n"/>
      <c r="C637">
        <f>IF(A637="","",SUMPRODUCT((المبيعات!$C$2:$C$2000=A637)*(المبيعات!$B$2:$B$2000&lt;&gt;"")/COUNTIFS(المبيعات!$B$2:$B$2000,المبيعات!$B$2:$B$2000&amp;"",المبيعات!$C$2:$C$2000,المبيعات!$C$2:$C$2000&amp;"")))</f>
        <v/>
      </c>
      <c r="D637">
        <f>IF(A637="","",SUMIFS(المبيعات!$H$2:$H$2000,المبيعات!$C$2:$C$2000,A637))</f>
        <v/>
      </c>
      <c r="E637" s="13">
        <f>IF(A637="","",IF(COUNTIF(المبيعات!$C$2:$C$2000,A637)=0,"",_xlfn.MAXIFS(المبيعات!$A$2:$A$2000,المبيعات!$C$2:$C$2000,A637)))</f>
        <v/>
      </c>
      <c r="F637">
        <f>IF(A637="","",SUMIFS(المبيعات!$H$2:$H$2000,المبيعات!$C$2:$C$2000,A637,المبيعات!$J$2:$J$2000,"آجل"))</f>
        <v/>
      </c>
      <c r="G637" s="4" t="n"/>
      <c r="H637">
        <f>IF(A637="","",F637-G637)</f>
        <v/>
      </c>
    </row>
    <row r="638">
      <c r="A638" s="4" t="n"/>
      <c r="B638" s="4" t="n"/>
      <c r="C638">
        <f>IF(A638="","",SUMPRODUCT((المبيعات!$C$2:$C$2000=A638)*(المبيعات!$B$2:$B$2000&lt;&gt;"")/COUNTIFS(المبيعات!$B$2:$B$2000,المبيعات!$B$2:$B$2000&amp;"",المبيعات!$C$2:$C$2000,المبيعات!$C$2:$C$2000&amp;"")))</f>
        <v/>
      </c>
      <c r="D638">
        <f>IF(A638="","",SUMIFS(المبيعات!$H$2:$H$2000,المبيعات!$C$2:$C$2000,A638))</f>
        <v/>
      </c>
      <c r="E638" s="13">
        <f>IF(A638="","",IF(COUNTIF(المبيعات!$C$2:$C$2000,A638)=0,"",_xlfn.MAXIFS(المبيعات!$A$2:$A$2000,المبيعات!$C$2:$C$2000,A638)))</f>
        <v/>
      </c>
      <c r="F638">
        <f>IF(A638="","",SUMIFS(المبيعات!$H$2:$H$2000,المبيعات!$C$2:$C$2000,A638,المبيعات!$J$2:$J$2000,"آجل"))</f>
        <v/>
      </c>
      <c r="G638" s="4" t="n"/>
      <c r="H638">
        <f>IF(A638="","",F638-G638)</f>
        <v/>
      </c>
    </row>
    <row r="639">
      <c r="A639" s="4" t="n"/>
      <c r="B639" s="4" t="n"/>
      <c r="C639">
        <f>IF(A639="","",SUMPRODUCT((المبيعات!$C$2:$C$2000=A639)*(المبيعات!$B$2:$B$2000&lt;&gt;"")/COUNTIFS(المبيعات!$B$2:$B$2000,المبيعات!$B$2:$B$2000&amp;"",المبيعات!$C$2:$C$2000,المبيعات!$C$2:$C$2000&amp;"")))</f>
        <v/>
      </c>
      <c r="D639">
        <f>IF(A639="","",SUMIFS(المبيعات!$H$2:$H$2000,المبيعات!$C$2:$C$2000,A639))</f>
        <v/>
      </c>
      <c r="E639" s="13">
        <f>IF(A639="","",IF(COUNTIF(المبيعات!$C$2:$C$2000,A639)=0,"",_xlfn.MAXIFS(المبيعات!$A$2:$A$2000,المبيعات!$C$2:$C$2000,A639)))</f>
        <v/>
      </c>
      <c r="F639">
        <f>IF(A639="","",SUMIFS(المبيعات!$H$2:$H$2000,المبيعات!$C$2:$C$2000,A639,المبيعات!$J$2:$J$2000,"آجل"))</f>
        <v/>
      </c>
      <c r="G639" s="4" t="n"/>
      <c r="H639">
        <f>IF(A639="","",F639-G639)</f>
        <v/>
      </c>
    </row>
    <row r="640">
      <c r="A640" s="4" t="n"/>
      <c r="B640" s="4" t="n"/>
      <c r="C640">
        <f>IF(A640="","",SUMPRODUCT((المبيعات!$C$2:$C$2000=A640)*(المبيعات!$B$2:$B$2000&lt;&gt;"")/COUNTIFS(المبيعات!$B$2:$B$2000,المبيعات!$B$2:$B$2000&amp;"",المبيعات!$C$2:$C$2000,المبيعات!$C$2:$C$2000&amp;"")))</f>
        <v/>
      </c>
      <c r="D640">
        <f>IF(A640="","",SUMIFS(المبيعات!$H$2:$H$2000,المبيعات!$C$2:$C$2000,A640))</f>
        <v/>
      </c>
      <c r="E640" s="13">
        <f>IF(A640="","",IF(COUNTIF(المبيعات!$C$2:$C$2000,A640)=0,"",_xlfn.MAXIFS(المبيعات!$A$2:$A$2000,المبيعات!$C$2:$C$2000,A640)))</f>
        <v/>
      </c>
      <c r="F640">
        <f>IF(A640="","",SUMIFS(المبيعات!$H$2:$H$2000,المبيعات!$C$2:$C$2000,A640,المبيعات!$J$2:$J$2000,"آجل"))</f>
        <v/>
      </c>
      <c r="G640" s="4" t="n"/>
      <c r="H640">
        <f>IF(A640="","",F640-G640)</f>
        <v/>
      </c>
    </row>
    <row r="641">
      <c r="A641" s="4" t="n"/>
      <c r="B641" s="4" t="n"/>
      <c r="C641">
        <f>IF(A641="","",SUMPRODUCT((المبيعات!$C$2:$C$2000=A641)*(المبيعات!$B$2:$B$2000&lt;&gt;"")/COUNTIFS(المبيعات!$B$2:$B$2000,المبيعات!$B$2:$B$2000&amp;"",المبيعات!$C$2:$C$2000,المبيعات!$C$2:$C$2000&amp;"")))</f>
        <v/>
      </c>
      <c r="D641">
        <f>IF(A641="","",SUMIFS(المبيعات!$H$2:$H$2000,المبيعات!$C$2:$C$2000,A641))</f>
        <v/>
      </c>
      <c r="E641" s="13">
        <f>IF(A641="","",IF(COUNTIF(المبيعات!$C$2:$C$2000,A641)=0,"",_xlfn.MAXIFS(المبيعات!$A$2:$A$2000,المبيعات!$C$2:$C$2000,A641)))</f>
        <v/>
      </c>
      <c r="F641">
        <f>IF(A641="","",SUMIFS(المبيعات!$H$2:$H$2000,المبيعات!$C$2:$C$2000,A641,المبيعات!$J$2:$J$2000,"آجل"))</f>
        <v/>
      </c>
      <c r="G641" s="4" t="n"/>
      <c r="H641">
        <f>IF(A641="","",F641-G641)</f>
        <v/>
      </c>
    </row>
    <row r="642">
      <c r="A642" s="4" t="n"/>
      <c r="B642" s="4" t="n"/>
      <c r="C642">
        <f>IF(A642="","",SUMPRODUCT((المبيعات!$C$2:$C$2000=A642)*(المبيعات!$B$2:$B$2000&lt;&gt;"")/COUNTIFS(المبيعات!$B$2:$B$2000,المبيعات!$B$2:$B$2000&amp;"",المبيعات!$C$2:$C$2000,المبيعات!$C$2:$C$2000&amp;"")))</f>
        <v/>
      </c>
      <c r="D642">
        <f>IF(A642="","",SUMIFS(المبيعات!$H$2:$H$2000,المبيعات!$C$2:$C$2000,A642))</f>
        <v/>
      </c>
      <c r="E642" s="13">
        <f>IF(A642="","",IF(COUNTIF(المبيعات!$C$2:$C$2000,A642)=0,"",_xlfn.MAXIFS(المبيعات!$A$2:$A$2000,المبيعات!$C$2:$C$2000,A642)))</f>
        <v/>
      </c>
      <c r="F642">
        <f>IF(A642="","",SUMIFS(المبيعات!$H$2:$H$2000,المبيعات!$C$2:$C$2000,A642,المبيعات!$J$2:$J$2000,"آجل"))</f>
        <v/>
      </c>
      <c r="G642" s="4" t="n"/>
      <c r="H642">
        <f>IF(A642="","",F642-G642)</f>
        <v/>
      </c>
    </row>
    <row r="643">
      <c r="A643" s="4" t="n"/>
      <c r="B643" s="4" t="n"/>
      <c r="C643">
        <f>IF(A643="","",SUMPRODUCT((المبيعات!$C$2:$C$2000=A643)*(المبيعات!$B$2:$B$2000&lt;&gt;"")/COUNTIFS(المبيعات!$B$2:$B$2000,المبيعات!$B$2:$B$2000&amp;"",المبيعات!$C$2:$C$2000,المبيعات!$C$2:$C$2000&amp;"")))</f>
        <v/>
      </c>
      <c r="D643">
        <f>IF(A643="","",SUMIFS(المبيعات!$H$2:$H$2000,المبيعات!$C$2:$C$2000,A643))</f>
        <v/>
      </c>
      <c r="E643" s="13">
        <f>IF(A643="","",IF(COUNTIF(المبيعات!$C$2:$C$2000,A643)=0,"",_xlfn.MAXIFS(المبيعات!$A$2:$A$2000,المبيعات!$C$2:$C$2000,A643)))</f>
        <v/>
      </c>
      <c r="F643">
        <f>IF(A643="","",SUMIFS(المبيعات!$H$2:$H$2000,المبيعات!$C$2:$C$2000,A643,المبيعات!$J$2:$J$2000,"آجل"))</f>
        <v/>
      </c>
      <c r="G643" s="4" t="n"/>
      <c r="H643">
        <f>IF(A643="","",F643-G643)</f>
        <v/>
      </c>
    </row>
    <row r="644">
      <c r="A644" s="4" t="n"/>
      <c r="B644" s="4" t="n"/>
      <c r="C644">
        <f>IF(A644="","",SUMPRODUCT((المبيعات!$C$2:$C$2000=A644)*(المبيعات!$B$2:$B$2000&lt;&gt;"")/COUNTIFS(المبيعات!$B$2:$B$2000,المبيعات!$B$2:$B$2000&amp;"",المبيعات!$C$2:$C$2000,المبيعات!$C$2:$C$2000&amp;"")))</f>
        <v/>
      </c>
      <c r="D644">
        <f>IF(A644="","",SUMIFS(المبيعات!$H$2:$H$2000,المبيعات!$C$2:$C$2000,A644))</f>
        <v/>
      </c>
      <c r="E644" s="13">
        <f>IF(A644="","",IF(COUNTIF(المبيعات!$C$2:$C$2000,A644)=0,"",_xlfn.MAXIFS(المبيعات!$A$2:$A$2000,المبيعات!$C$2:$C$2000,A644)))</f>
        <v/>
      </c>
      <c r="F644">
        <f>IF(A644="","",SUMIFS(المبيعات!$H$2:$H$2000,المبيعات!$C$2:$C$2000,A644,المبيعات!$J$2:$J$2000,"آجل"))</f>
        <v/>
      </c>
      <c r="G644" s="4" t="n"/>
      <c r="H644">
        <f>IF(A644="","",F644-G644)</f>
        <v/>
      </c>
    </row>
    <row r="645">
      <c r="A645" s="4" t="n"/>
      <c r="B645" s="4" t="n"/>
      <c r="C645">
        <f>IF(A645="","",SUMPRODUCT((المبيعات!$C$2:$C$2000=A645)*(المبيعات!$B$2:$B$2000&lt;&gt;"")/COUNTIFS(المبيعات!$B$2:$B$2000,المبيعات!$B$2:$B$2000&amp;"",المبيعات!$C$2:$C$2000,المبيعات!$C$2:$C$2000&amp;"")))</f>
        <v/>
      </c>
      <c r="D645">
        <f>IF(A645="","",SUMIFS(المبيعات!$H$2:$H$2000,المبيعات!$C$2:$C$2000,A645))</f>
        <v/>
      </c>
      <c r="E645" s="13">
        <f>IF(A645="","",IF(COUNTIF(المبيعات!$C$2:$C$2000,A645)=0,"",_xlfn.MAXIFS(المبيعات!$A$2:$A$2000,المبيعات!$C$2:$C$2000,A645)))</f>
        <v/>
      </c>
      <c r="F645">
        <f>IF(A645="","",SUMIFS(المبيعات!$H$2:$H$2000,المبيعات!$C$2:$C$2000,A645,المبيعات!$J$2:$J$2000,"آجل"))</f>
        <v/>
      </c>
      <c r="G645" s="4" t="n"/>
      <c r="H645">
        <f>IF(A645="","",F645-G645)</f>
        <v/>
      </c>
    </row>
    <row r="646">
      <c r="A646" s="4" t="n"/>
      <c r="B646" s="4" t="n"/>
      <c r="C646">
        <f>IF(A646="","",SUMPRODUCT((المبيعات!$C$2:$C$2000=A646)*(المبيعات!$B$2:$B$2000&lt;&gt;"")/COUNTIFS(المبيعات!$B$2:$B$2000,المبيعات!$B$2:$B$2000&amp;"",المبيعات!$C$2:$C$2000,المبيعات!$C$2:$C$2000&amp;"")))</f>
        <v/>
      </c>
      <c r="D646">
        <f>IF(A646="","",SUMIFS(المبيعات!$H$2:$H$2000,المبيعات!$C$2:$C$2000,A646))</f>
        <v/>
      </c>
      <c r="E646" s="13">
        <f>IF(A646="","",IF(COUNTIF(المبيعات!$C$2:$C$2000,A646)=0,"",_xlfn.MAXIFS(المبيعات!$A$2:$A$2000,المبيعات!$C$2:$C$2000,A646)))</f>
        <v/>
      </c>
      <c r="F646">
        <f>IF(A646="","",SUMIFS(المبيعات!$H$2:$H$2000,المبيعات!$C$2:$C$2000,A646,المبيعات!$J$2:$J$2000,"آجل"))</f>
        <v/>
      </c>
      <c r="G646" s="4" t="n"/>
      <c r="H646">
        <f>IF(A646="","",F646-G646)</f>
        <v/>
      </c>
    </row>
    <row r="647">
      <c r="A647" s="4" t="n"/>
      <c r="B647" s="4" t="n"/>
      <c r="C647">
        <f>IF(A647="","",SUMPRODUCT((المبيعات!$C$2:$C$2000=A647)*(المبيعات!$B$2:$B$2000&lt;&gt;"")/COUNTIFS(المبيعات!$B$2:$B$2000,المبيعات!$B$2:$B$2000&amp;"",المبيعات!$C$2:$C$2000,المبيعات!$C$2:$C$2000&amp;"")))</f>
        <v/>
      </c>
      <c r="D647">
        <f>IF(A647="","",SUMIFS(المبيعات!$H$2:$H$2000,المبيعات!$C$2:$C$2000,A647))</f>
        <v/>
      </c>
      <c r="E647" s="13">
        <f>IF(A647="","",IF(COUNTIF(المبيعات!$C$2:$C$2000,A647)=0,"",_xlfn.MAXIFS(المبيعات!$A$2:$A$2000,المبيعات!$C$2:$C$2000,A647)))</f>
        <v/>
      </c>
      <c r="F647">
        <f>IF(A647="","",SUMIFS(المبيعات!$H$2:$H$2000,المبيعات!$C$2:$C$2000,A647,المبيعات!$J$2:$J$2000,"آجل"))</f>
        <v/>
      </c>
      <c r="G647" s="4" t="n"/>
      <c r="H647">
        <f>IF(A647="","",F647-G647)</f>
        <v/>
      </c>
    </row>
    <row r="648">
      <c r="A648" s="4" t="n"/>
      <c r="B648" s="4" t="n"/>
      <c r="C648">
        <f>IF(A648="","",SUMPRODUCT((المبيعات!$C$2:$C$2000=A648)*(المبيعات!$B$2:$B$2000&lt;&gt;"")/COUNTIFS(المبيعات!$B$2:$B$2000,المبيعات!$B$2:$B$2000&amp;"",المبيعات!$C$2:$C$2000,المبيعات!$C$2:$C$2000&amp;"")))</f>
        <v/>
      </c>
      <c r="D648">
        <f>IF(A648="","",SUMIFS(المبيعات!$H$2:$H$2000,المبيعات!$C$2:$C$2000,A648))</f>
        <v/>
      </c>
      <c r="E648" s="13">
        <f>IF(A648="","",IF(COUNTIF(المبيعات!$C$2:$C$2000,A648)=0,"",_xlfn.MAXIFS(المبيعات!$A$2:$A$2000,المبيعات!$C$2:$C$2000,A648)))</f>
        <v/>
      </c>
      <c r="F648">
        <f>IF(A648="","",SUMIFS(المبيعات!$H$2:$H$2000,المبيعات!$C$2:$C$2000,A648,المبيعات!$J$2:$J$2000,"آجل"))</f>
        <v/>
      </c>
      <c r="G648" s="4" t="n"/>
      <c r="H648">
        <f>IF(A648="","",F648-G648)</f>
        <v/>
      </c>
    </row>
    <row r="649">
      <c r="A649" s="4" t="n"/>
      <c r="B649" s="4" t="n"/>
      <c r="C649">
        <f>IF(A649="","",SUMPRODUCT((المبيعات!$C$2:$C$2000=A649)*(المبيعات!$B$2:$B$2000&lt;&gt;"")/COUNTIFS(المبيعات!$B$2:$B$2000,المبيعات!$B$2:$B$2000&amp;"",المبيعات!$C$2:$C$2000,المبيعات!$C$2:$C$2000&amp;"")))</f>
        <v/>
      </c>
      <c r="D649">
        <f>IF(A649="","",SUMIFS(المبيعات!$H$2:$H$2000,المبيعات!$C$2:$C$2000,A649))</f>
        <v/>
      </c>
      <c r="E649" s="13">
        <f>IF(A649="","",IF(COUNTIF(المبيعات!$C$2:$C$2000,A649)=0,"",_xlfn.MAXIFS(المبيعات!$A$2:$A$2000,المبيعات!$C$2:$C$2000,A649)))</f>
        <v/>
      </c>
      <c r="F649">
        <f>IF(A649="","",SUMIFS(المبيعات!$H$2:$H$2000,المبيعات!$C$2:$C$2000,A649,المبيعات!$J$2:$J$2000,"آجل"))</f>
        <v/>
      </c>
      <c r="G649" s="4" t="n"/>
      <c r="H649">
        <f>IF(A649="","",F649-G649)</f>
        <v/>
      </c>
    </row>
    <row r="650">
      <c r="A650" s="4" t="n"/>
      <c r="B650" s="4" t="n"/>
      <c r="C650">
        <f>IF(A650="","",SUMPRODUCT((المبيعات!$C$2:$C$2000=A650)*(المبيعات!$B$2:$B$2000&lt;&gt;"")/COUNTIFS(المبيعات!$B$2:$B$2000,المبيعات!$B$2:$B$2000&amp;"",المبيعات!$C$2:$C$2000,المبيعات!$C$2:$C$2000&amp;"")))</f>
        <v/>
      </c>
      <c r="D650">
        <f>IF(A650="","",SUMIFS(المبيعات!$H$2:$H$2000,المبيعات!$C$2:$C$2000,A650))</f>
        <v/>
      </c>
      <c r="E650" s="13">
        <f>IF(A650="","",IF(COUNTIF(المبيعات!$C$2:$C$2000,A650)=0,"",_xlfn.MAXIFS(المبيعات!$A$2:$A$2000,المبيعات!$C$2:$C$2000,A650)))</f>
        <v/>
      </c>
      <c r="F650">
        <f>IF(A650="","",SUMIFS(المبيعات!$H$2:$H$2000,المبيعات!$C$2:$C$2000,A650,المبيعات!$J$2:$J$2000,"آجل"))</f>
        <v/>
      </c>
      <c r="G650" s="4" t="n"/>
      <c r="H650">
        <f>IF(A650="","",F650-G650)</f>
        <v/>
      </c>
    </row>
    <row r="651">
      <c r="A651" s="4" t="n"/>
      <c r="B651" s="4" t="n"/>
      <c r="C651">
        <f>IF(A651="","",SUMPRODUCT((المبيعات!$C$2:$C$2000=A651)*(المبيعات!$B$2:$B$2000&lt;&gt;"")/COUNTIFS(المبيعات!$B$2:$B$2000,المبيعات!$B$2:$B$2000&amp;"",المبيعات!$C$2:$C$2000,المبيعات!$C$2:$C$2000&amp;"")))</f>
        <v/>
      </c>
      <c r="D651">
        <f>IF(A651="","",SUMIFS(المبيعات!$H$2:$H$2000,المبيعات!$C$2:$C$2000,A651))</f>
        <v/>
      </c>
      <c r="E651" s="13">
        <f>IF(A651="","",IF(COUNTIF(المبيعات!$C$2:$C$2000,A651)=0,"",_xlfn.MAXIFS(المبيعات!$A$2:$A$2000,المبيعات!$C$2:$C$2000,A651)))</f>
        <v/>
      </c>
      <c r="F651">
        <f>IF(A651="","",SUMIFS(المبيعات!$H$2:$H$2000,المبيعات!$C$2:$C$2000,A651,المبيعات!$J$2:$J$2000,"آجل"))</f>
        <v/>
      </c>
      <c r="G651" s="4" t="n"/>
      <c r="H651">
        <f>IF(A651="","",F651-G651)</f>
        <v/>
      </c>
    </row>
    <row r="652">
      <c r="A652" s="4" t="n"/>
      <c r="B652" s="4" t="n"/>
      <c r="C652">
        <f>IF(A652="","",SUMPRODUCT((المبيعات!$C$2:$C$2000=A652)*(المبيعات!$B$2:$B$2000&lt;&gt;"")/COUNTIFS(المبيعات!$B$2:$B$2000,المبيعات!$B$2:$B$2000&amp;"",المبيعات!$C$2:$C$2000,المبيعات!$C$2:$C$2000&amp;"")))</f>
        <v/>
      </c>
      <c r="D652">
        <f>IF(A652="","",SUMIFS(المبيعات!$H$2:$H$2000,المبيعات!$C$2:$C$2000,A652))</f>
        <v/>
      </c>
      <c r="E652" s="13">
        <f>IF(A652="","",IF(COUNTIF(المبيعات!$C$2:$C$2000,A652)=0,"",_xlfn.MAXIFS(المبيعات!$A$2:$A$2000,المبيعات!$C$2:$C$2000,A652)))</f>
        <v/>
      </c>
      <c r="F652">
        <f>IF(A652="","",SUMIFS(المبيعات!$H$2:$H$2000,المبيعات!$C$2:$C$2000,A652,المبيعات!$J$2:$J$2000,"آجل"))</f>
        <v/>
      </c>
      <c r="G652" s="4" t="n"/>
      <c r="H652">
        <f>IF(A652="","",F652-G652)</f>
        <v/>
      </c>
    </row>
    <row r="653">
      <c r="A653" s="4" t="n"/>
      <c r="B653" s="4" t="n"/>
      <c r="C653">
        <f>IF(A653="","",SUMPRODUCT((المبيعات!$C$2:$C$2000=A653)*(المبيعات!$B$2:$B$2000&lt;&gt;"")/COUNTIFS(المبيعات!$B$2:$B$2000,المبيعات!$B$2:$B$2000&amp;"",المبيعات!$C$2:$C$2000,المبيعات!$C$2:$C$2000&amp;"")))</f>
        <v/>
      </c>
      <c r="D653">
        <f>IF(A653="","",SUMIFS(المبيعات!$H$2:$H$2000,المبيعات!$C$2:$C$2000,A653))</f>
        <v/>
      </c>
      <c r="E653" s="13">
        <f>IF(A653="","",IF(COUNTIF(المبيعات!$C$2:$C$2000,A653)=0,"",_xlfn.MAXIFS(المبيعات!$A$2:$A$2000,المبيعات!$C$2:$C$2000,A653)))</f>
        <v/>
      </c>
      <c r="F653">
        <f>IF(A653="","",SUMIFS(المبيعات!$H$2:$H$2000,المبيعات!$C$2:$C$2000,A653,المبيعات!$J$2:$J$2000,"آجل"))</f>
        <v/>
      </c>
      <c r="G653" s="4" t="n"/>
      <c r="H653">
        <f>IF(A653="","",F653-G653)</f>
        <v/>
      </c>
    </row>
    <row r="654">
      <c r="A654" s="4" t="n"/>
      <c r="B654" s="4" t="n"/>
      <c r="C654">
        <f>IF(A654="","",SUMPRODUCT((المبيعات!$C$2:$C$2000=A654)*(المبيعات!$B$2:$B$2000&lt;&gt;"")/COUNTIFS(المبيعات!$B$2:$B$2000,المبيعات!$B$2:$B$2000&amp;"",المبيعات!$C$2:$C$2000,المبيعات!$C$2:$C$2000&amp;"")))</f>
        <v/>
      </c>
      <c r="D654">
        <f>IF(A654="","",SUMIFS(المبيعات!$H$2:$H$2000,المبيعات!$C$2:$C$2000,A654))</f>
        <v/>
      </c>
      <c r="E654" s="13">
        <f>IF(A654="","",IF(COUNTIF(المبيعات!$C$2:$C$2000,A654)=0,"",_xlfn.MAXIFS(المبيعات!$A$2:$A$2000,المبيعات!$C$2:$C$2000,A654)))</f>
        <v/>
      </c>
      <c r="F654">
        <f>IF(A654="","",SUMIFS(المبيعات!$H$2:$H$2000,المبيعات!$C$2:$C$2000,A654,المبيعات!$J$2:$J$2000,"آجل"))</f>
        <v/>
      </c>
      <c r="G654" s="4" t="n"/>
      <c r="H654">
        <f>IF(A654="","",F654-G654)</f>
        <v/>
      </c>
    </row>
    <row r="655">
      <c r="A655" s="4" t="n"/>
      <c r="B655" s="4" t="n"/>
      <c r="C655">
        <f>IF(A655="","",SUMPRODUCT((المبيعات!$C$2:$C$2000=A655)*(المبيعات!$B$2:$B$2000&lt;&gt;"")/COUNTIFS(المبيعات!$B$2:$B$2000,المبيعات!$B$2:$B$2000&amp;"",المبيعات!$C$2:$C$2000,المبيعات!$C$2:$C$2000&amp;"")))</f>
        <v/>
      </c>
      <c r="D655">
        <f>IF(A655="","",SUMIFS(المبيعات!$H$2:$H$2000,المبيعات!$C$2:$C$2000,A655))</f>
        <v/>
      </c>
      <c r="E655" s="13">
        <f>IF(A655="","",IF(COUNTIF(المبيعات!$C$2:$C$2000,A655)=0,"",_xlfn.MAXIFS(المبيعات!$A$2:$A$2000,المبيعات!$C$2:$C$2000,A655)))</f>
        <v/>
      </c>
      <c r="F655">
        <f>IF(A655="","",SUMIFS(المبيعات!$H$2:$H$2000,المبيعات!$C$2:$C$2000,A655,المبيعات!$J$2:$J$2000,"آجل"))</f>
        <v/>
      </c>
      <c r="G655" s="4" t="n"/>
      <c r="H655">
        <f>IF(A655="","",F655-G655)</f>
        <v/>
      </c>
    </row>
    <row r="656">
      <c r="A656" s="4" t="n"/>
      <c r="B656" s="4" t="n"/>
      <c r="C656">
        <f>IF(A656="","",SUMPRODUCT((المبيعات!$C$2:$C$2000=A656)*(المبيعات!$B$2:$B$2000&lt;&gt;"")/COUNTIFS(المبيعات!$B$2:$B$2000,المبيعات!$B$2:$B$2000&amp;"",المبيعات!$C$2:$C$2000,المبيعات!$C$2:$C$2000&amp;"")))</f>
        <v/>
      </c>
      <c r="D656">
        <f>IF(A656="","",SUMIFS(المبيعات!$H$2:$H$2000,المبيعات!$C$2:$C$2000,A656))</f>
        <v/>
      </c>
      <c r="E656" s="13">
        <f>IF(A656="","",IF(COUNTIF(المبيعات!$C$2:$C$2000,A656)=0,"",_xlfn.MAXIFS(المبيعات!$A$2:$A$2000,المبيعات!$C$2:$C$2000,A656)))</f>
        <v/>
      </c>
      <c r="F656">
        <f>IF(A656="","",SUMIFS(المبيعات!$H$2:$H$2000,المبيعات!$C$2:$C$2000,A656,المبيعات!$J$2:$J$2000,"آجل"))</f>
        <v/>
      </c>
      <c r="G656" s="4" t="n"/>
      <c r="H656">
        <f>IF(A656="","",F656-G656)</f>
        <v/>
      </c>
    </row>
    <row r="657">
      <c r="A657" s="4" t="n"/>
      <c r="B657" s="4" t="n"/>
      <c r="C657">
        <f>IF(A657="","",SUMPRODUCT((المبيعات!$C$2:$C$2000=A657)*(المبيعات!$B$2:$B$2000&lt;&gt;"")/COUNTIFS(المبيعات!$B$2:$B$2000,المبيعات!$B$2:$B$2000&amp;"",المبيعات!$C$2:$C$2000,المبيعات!$C$2:$C$2000&amp;"")))</f>
        <v/>
      </c>
      <c r="D657">
        <f>IF(A657="","",SUMIFS(المبيعات!$H$2:$H$2000,المبيعات!$C$2:$C$2000,A657))</f>
        <v/>
      </c>
      <c r="E657" s="13">
        <f>IF(A657="","",IF(COUNTIF(المبيعات!$C$2:$C$2000,A657)=0,"",_xlfn.MAXIFS(المبيعات!$A$2:$A$2000,المبيعات!$C$2:$C$2000,A657)))</f>
        <v/>
      </c>
      <c r="F657">
        <f>IF(A657="","",SUMIFS(المبيعات!$H$2:$H$2000,المبيعات!$C$2:$C$2000,A657,المبيعات!$J$2:$J$2000,"آجل"))</f>
        <v/>
      </c>
      <c r="G657" s="4" t="n"/>
      <c r="H657">
        <f>IF(A657="","",F657-G657)</f>
        <v/>
      </c>
    </row>
    <row r="658">
      <c r="A658" s="4" t="n"/>
      <c r="B658" s="4" t="n"/>
      <c r="C658">
        <f>IF(A658="","",SUMPRODUCT((المبيعات!$C$2:$C$2000=A658)*(المبيعات!$B$2:$B$2000&lt;&gt;"")/COUNTIFS(المبيعات!$B$2:$B$2000,المبيعات!$B$2:$B$2000&amp;"",المبيعات!$C$2:$C$2000,المبيعات!$C$2:$C$2000&amp;"")))</f>
        <v/>
      </c>
      <c r="D658">
        <f>IF(A658="","",SUMIFS(المبيعات!$H$2:$H$2000,المبيعات!$C$2:$C$2000,A658))</f>
        <v/>
      </c>
      <c r="E658" s="13">
        <f>IF(A658="","",IF(COUNTIF(المبيعات!$C$2:$C$2000,A658)=0,"",_xlfn.MAXIFS(المبيعات!$A$2:$A$2000,المبيعات!$C$2:$C$2000,A658)))</f>
        <v/>
      </c>
      <c r="F658">
        <f>IF(A658="","",SUMIFS(المبيعات!$H$2:$H$2000,المبيعات!$C$2:$C$2000,A658,المبيعات!$J$2:$J$2000,"آجل"))</f>
        <v/>
      </c>
      <c r="G658" s="4" t="n"/>
      <c r="H658">
        <f>IF(A658="","",F658-G658)</f>
        <v/>
      </c>
    </row>
    <row r="659">
      <c r="A659" s="4" t="n"/>
      <c r="B659" s="4" t="n"/>
      <c r="C659">
        <f>IF(A659="","",SUMPRODUCT((المبيعات!$C$2:$C$2000=A659)*(المبيعات!$B$2:$B$2000&lt;&gt;"")/COUNTIFS(المبيعات!$B$2:$B$2000,المبيعات!$B$2:$B$2000&amp;"",المبيعات!$C$2:$C$2000,المبيعات!$C$2:$C$2000&amp;"")))</f>
        <v/>
      </c>
      <c r="D659">
        <f>IF(A659="","",SUMIFS(المبيعات!$H$2:$H$2000,المبيعات!$C$2:$C$2000,A659))</f>
        <v/>
      </c>
      <c r="E659" s="13">
        <f>IF(A659="","",IF(COUNTIF(المبيعات!$C$2:$C$2000,A659)=0,"",_xlfn.MAXIFS(المبيعات!$A$2:$A$2000,المبيعات!$C$2:$C$2000,A659)))</f>
        <v/>
      </c>
      <c r="F659">
        <f>IF(A659="","",SUMIFS(المبيعات!$H$2:$H$2000,المبيعات!$C$2:$C$2000,A659,المبيعات!$J$2:$J$2000,"آجل"))</f>
        <v/>
      </c>
      <c r="G659" s="4" t="n"/>
      <c r="H659">
        <f>IF(A659="","",F659-G659)</f>
        <v/>
      </c>
    </row>
    <row r="660">
      <c r="A660" s="4" t="n"/>
      <c r="B660" s="4" t="n"/>
      <c r="C660">
        <f>IF(A660="","",SUMPRODUCT((المبيعات!$C$2:$C$2000=A660)*(المبيعات!$B$2:$B$2000&lt;&gt;"")/COUNTIFS(المبيعات!$B$2:$B$2000,المبيعات!$B$2:$B$2000&amp;"",المبيعات!$C$2:$C$2000,المبيعات!$C$2:$C$2000&amp;"")))</f>
        <v/>
      </c>
      <c r="D660">
        <f>IF(A660="","",SUMIFS(المبيعات!$H$2:$H$2000,المبيعات!$C$2:$C$2000,A660))</f>
        <v/>
      </c>
      <c r="E660" s="13">
        <f>IF(A660="","",IF(COUNTIF(المبيعات!$C$2:$C$2000,A660)=0,"",_xlfn.MAXIFS(المبيعات!$A$2:$A$2000,المبيعات!$C$2:$C$2000,A660)))</f>
        <v/>
      </c>
      <c r="F660">
        <f>IF(A660="","",SUMIFS(المبيعات!$H$2:$H$2000,المبيعات!$C$2:$C$2000,A660,المبيعات!$J$2:$J$2000,"آجل"))</f>
        <v/>
      </c>
      <c r="G660" s="4" t="n"/>
      <c r="H660">
        <f>IF(A660="","",F660-G660)</f>
        <v/>
      </c>
    </row>
    <row r="661">
      <c r="A661" s="4" t="n"/>
      <c r="B661" s="4" t="n"/>
      <c r="C661">
        <f>IF(A661="","",SUMPRODUCT((المبيعات!$C$2:$C$2000=A661)*(المبيعات!$B$2:$B$2000&lt;&gt;"")/COUNTIFS(المبيعات!$B$2:$B$2000,المبيعات!$B$2:$B$2000&amp;"",المبيعات!$C$2:$C$2000,المبيعات!$C$2:$C$2000&amp;"")))</f>
        <v/>
      </c>
      <c r="D661">
        <f>IF(A661="","",SUMIFS(المبيعات!$H$2:$H$2000,المبيعات!$C$2:$C$2000,A661))</f>
        <v/>
      </c>
      <c r="E661" s="13">
        <f>IF(A661="","",IF(COUNTIF(المبيعات!$C$2:$C$2000,A661)=0,"",_xlfn.MAXIFS(المبيعات!$A$2:$A$2000,المبيعات!$C$2:$C$2000,A661)))</f>
        <v/>
      </c>
      <c r="F661">
        <f>IF(A661="","",SUMIFS(المبيعات!$H$2:$H$2000,المبيعات!$C$2:$C$2000,A661,المبيعات!$J$2:$J$2000,"آجل"))</f>
        <v/>
      </c>
      <c r="G661" s="4" t="n"/>
      <c r="H661">
        <f>IF(A661="","",F661-G661)</f>
        <v/>
      </c>
    </row>
    <row r="662">
      <c r="A662" s="4" t="n"/>
      <c r="B662" s="4" t="n"/>
      <c r="C662">
        <f>IF(A662="","",SUMPRODUCT((المبيعات!$C$2:$C$2000=A662)*(المبيعات!$B$2:$B$2000&lt;&gt;"")/COUNTIFS(المبيعات!$B$2:$B$2000,المبيعات!$B$2:$B$2000&amp;"",المبيعات!$C$2:$C$2000,المبيعات!$C$2:$C$2000&amp;"")))</f>
        <v/>
      </c>
      <c r="D662">
        <f>IF(A662="","",SUMIFS(المبيعات!$H$2:$H$2000,المبيعات!$C$2:$C$2000,A662))</f>
        <v/>
      </c>
      <c r="E662" s="13">
        <f>IF(A662="","",IF(COUNTIF(المبيعات!$C$2:$C$2000,A662)=0,"",_xlfn.MAXIFS(المبيعات!$A$2:$A$2000,المبيعات!$C$2:$C$2000,A662)))</f>
        <v/>
      </c>
      <c r="F662">
        <f>IF(A662="","",SUMIFS(المبيعات!$H$2:$H$2000,المبيعات!$C$2:$C$2000,A662,المبيعات!$J$2:$J$2000,"آجل"))</f>
        <v/>
      </c>
      <c r="G662" s="4" t="n"/>
      <c r="H662">
        <f>IF(A662="","",F662-G662)</f>
        <v/>
      </c>
    </row>
    <row r="663">
      <c r="A663" s="4" t="n"/>
      <c r="B663" s="4" t="n"/>
      <c r="C663">
        <f>IF(A663="","",SUMPRODUCT((المبيعات!$C$2:$C$2000=A663)*(المبيعات!$B$2:$B$2000&lt;&gt;"")/COUNTIFS(المبيعات!$B$2:$B$2000,المبيعات!$B$2:$B$2000&amp;"",المبيعات!$C$2:$C$2000,المبيعات!$C$2:$C$2000&amp;"")))</f>
        <v/>
      </c>
      <c r="D663">
        <f>IF(A663="","",SUMIFS(المبيعات!$H$2:$H$2000,المبيعات!$C$2:$C$2000,A663))</f>
        <v/>
      </c>
      <c r="E663" s="13">
        <f>IF(A663="","",IF(COUNTIF(المبيعات!$C$2:$C$2000,A663)=0,"",_xlfn.MAXIFS(المبيعات!$A$2:$A$2000,المبيعات!$C$2:$C$2000,A663)))</f>
        <v/>
      </c>
      <c r="F663">
        <f>IF(A663="","",SUMIFS(المبيعات!$H$2:$H$2000,المبيعات!$C$2:$C$2000,A663,المبيعات!$J$2:$J$2000,"آجل"))</f>
        <v/>
      </c>
      <c r="G663" s="4" t="n"/>
      <c r="H663">
        <f>IF(A663="","",F663-G663)</f>
        <v/>
      </c>
    </row>
    <row r="664">
      <c r="A664" s="4" t="n"/>
      <c r="B664" s="4" t="n"/>
      <c r="C664">
        <f>IF(A664="","",SUMPRODUCT((المبيعات!$C$2:$C$2000=A664)*(المبيعات!$B$2:$B$2000&lt;&gt;"")/COUNTIFS(المبيعات!$B$2:$B$2000,المبيعات!$B$2:$B$2000&amp;"",المبيعات!$C$2:$C$2000,المبيعات!$C$2:$C$2000&amp;"")))</f>
        <v/>
      </c>
      <c r="D664">
        <f>IF(A664="","",SUMIFS(المبيعات!$H$2:$H$2000,المبيعات!$C$2:$C$2000,A664))</f>
        <v/>
      </c>
      <c r="E664" s="13">
        <f>IF(A664="","",IF(COUNTIF(المبيعات!$C$2:$C$2000,A664)=0,"",_xlfn.MAXIFS(المبيعات!$A$2:$A$2000,المبيعات!$C$2:$C$2000,A664)))</f>
        <v/>
      </c>
      <c r="F664">
        <f>IF(A664="","",SUMIFS(المبيعات!$H$2:$H$2000,المبيعات!$C$2:$C$2000,A664,المبيعات!$J$2:$J$2000,"آجل"))</f>
        <v/>
      </c>
      <c r="G664" s="4" t="n"/>
      <c r="H664">
        <f>IF(A664="","",F664-G664)</f>
        <v/>
      </c>
    </row>
    <row r="665">
      <c r="A665" s="4" t="n"/>
      <c r="B665" s="4" t="n"/>
      <c r="C665">
        <f>IF(A665="","",SUMPRODUCT((المبيعات!$C$2:$C$2000=A665)*(المبيعات!$B$2:$B$2000&lt;&gt;"")/COUNTIFS(المبيعات!$B$2:$B$2000,المبيعات!$B$2:$B$2000&amp;"",المبيعات!$C$2:$C$2000,المبيعات!$C$2:$C$2000&amp;"")))</f>
        <v/>
      </c>
      <c r="D665">
        <f>IF(A665="","",SUMIFS(المبيعات!$H$2:$H$2000,المبيعات!$C$2:$C$2000,A665))</f>
        <v/>
      </c>
      <c r="E665" s="13">
        <f>IF(A665="","",IF(COUNTIF(المبيعات!$C$2:$C$2000,A665)=0,"",_xlfn.MAXIFS(المبيعات!$A$2:$A$2000,المبيعات!$C$2:$C$2000,A665)))</f>
        <v/>
      </c>
      <c r="F665">
        <f>IF(A665="","",SUMIFS(المبيعات!$H$2:$H$2000,المبيعات!$C$2:$C$2000,A665,المبيعات!$J$2:$J$2000,"آجل"))</f>
        <v/>
      </c>
      <c r="G665" s="4" t="n"/>
      <c r="H665">
        <f>IF(A665="","",F665-G665)</f>
        <v/>
      </c>
    </row>
    <row r="666">
      <c r="A666" s="4" t="n"/>
      <c r="B666" s="4" t="n"/>
      <c r="C666">
        <f>IF(A666="","",SUMPRODUCT((المبيعات!$C$2:$C$2000=A666)*(المبيعات!$B$2:$B$2000&lt;&gt;"")/COUNTIFS(المبيعات!$B$2:$B$2000,المبيعات!$B$2:$B$2000&amp;"",المبيعات!$C$2:$C$2000,المبيعات!$C$2:$C$2000&amp;"")))</f>
        <v/>
      </c>
      <c r="D666">
        <f>IF(A666="","",SUMIFS(المبيعات!$H$2:$H$2000,المبيعات!$C$2:$C$2000,A666))</f>
        <v/>
      </c>
      <c r="E666" s="13">
        <f>IF(A666="","",IF(COUNTIF(المبيعات!$C$2:$C$2000,A666)=0,"",_xlfn.MAXIFS(المبيعات!$A$2:$A$2000,المبيعات!$C$2:$C$2000,A666)))</f>
        <v/>
      </c>
      <c r="F666">
        <f>IF(A666="","",SUMIFS(المبيعات!$H$2:$H$2000,المبيعات!$C$2:$C$2000,A666,المبيعات!$J$2:$J$2000,"آجل"))</f>
        <v/>
      </c>
      <c r="G666" s="4" t="n"/>
      <c r="H666">
        <f>IF(A666="","",F666-G666)</f>
        <v/>
      </c>
    </row>
    <row r="667">
      <c r="A667" s="4" t="n"/>
      <c r="B667" s="4" t="n"/>
      <c r="C667">
        <f>IF(A667="","",SUMPRODUCT((المبيعات!$C$2:$C$2000=A667)*(المبيعات!$B$2:$B$2000&lt;&gt;"")/COUNTIFS(المبيعات!$B$2:$B$2000,المبيعات!$B$2:$B$2000&amp;"",المبيعات!$C$2:$C$2000,المبيعات!$C$2:$C$2000&amp;"")))</f>
        <v/>
      </c>
      <c r="D667">
        <f>IF(A667="","",SUMIFS(المبيعات!$H$2:$H$2000,المبيعات!$C$2:$C$2000,A667))</f>
        <v/>
      </c>
      <c r="E667" s="13">
        <f>IF(A667="","",IF(COUNTIF(المبيعات!$C$2:$C$2000,A667)=0,"",_xlfn.MAXIFS(المبيعات!$A$2:$A$2000,المبيعات!$C$2:$C$2000,A667)))</f>
        <v/>
      </c>
      <c r="F667">
        <f>IF(A667="","",SUMIFS(المبيعات!$H$2:$H$2000,المبيعات!$C$2:$C$2000,A667,المبيعات!$J$2:$J$2000,"آجل"))</f>
        <v/>
      </c>
      <c r="G667" s="4" t="n"/>
      <c r="H667">
        <f>IF(A667="","",F667-G667)</f>
        <v/>
      </c>
    </row>
    <row r="668">
      <c r="A668" s="4" t="n"/>
      <c r="B668" s="4" t="n"/>
      <c r="C668">
        <f>IF(A668="","",SUMPRODUCT((المبيعات!$C$2:$C$2000=A668)*(المبيعات!$B$2:$B$2000&lt;&gt;"")/COUNTIFS(المبيعات!$B$2:$B$2000,المبيعات!$B$2:$B$2000&amp;"",المبيعات!$C$2:$C$2000,المبيعات!$C$2:$C$2000&amp;"")))</f>
        <v/>
      </c>
      <c r="D668">
        <f>IF(A668="","",SUMIFS(المبيعات!$H$2:$H$2000,المبيعات!$C$2:$C$2000,A668))</f>
        <v/>
      </c>
      <c r="E668" s="13">
        <f>IF(A668="","",IF(COUNTIF(المبيعات!$C$2:$C$2000,A668)=0,"",_xlfn.MAXIFS(المبيعات!$A$2:$A$2000,المبيعات!$C$2:$C$2000,A668)))</f>
        <v/>
      </c>
      <c r="F668">
        <f>IF(A668="","",SUMIFS(المبيعات!$H$2:$H$2000,المبيعات!$C$2:$C$2000,A668,المبيعات!$J$2:$J$2000,"آجل"))</f>
        <v/>
      </c>
      <c r="G668" s="4" t="n"/>
      <c r="H668">
        <f>IF(A668="","",F668-G668)</f>
        <v/>
      </c>
    </row>
    <row r="669">
      <c r="A669" s="4" t="n"/>
      <c r="B669" s="4" t="n"/>
      <c r="C669">
        <f>IF(A669="","",SUMPRODUCT((المبيعات!$C$2:$C$2000=A669)*(المبيعات!$B$2:$B$2000&lt;&gt;"")/COUNTIFS(المبيعات!$B$2:$B$2000,المبيعات!$B$2:$B$2000&amp;"",المبيعات!$C$2:$C$2000,المبيعات!$C$2:$C$2000&amp;"")))</f>
        <v/>
      </c>
      <c r="D669">
        <f>IF(A669="","",SUMIFS(المبيعات!$H$2:$H$2000,المبيعات!$C$2:$C$2000,A669))</f>
        <v/>
      </c>
      <c r="E669" s="13">
        <f>IF(A669="","",IF(COUNTIF(المبيعات!$C$2:$C$2000,A669)=0,"",_xlfn.MAXIFS(المبيعات!$A$2:$A$2000,المبيعات!$C$2:$C$2000,A669)))</f>
        <v/>
      </c>
      <c r="F669">
        <f>IF(A669="","",SUMIFS(المبيعات!$H$2:$H$2000,المبيعات!$C$2:$C$2000,A669,المبيعات!$J$2:$J$2000,"آجل"))</f>
        <v/>
      </c>
      <c r="G669" s="4" t="n"/>
      <c r="H669">
        <f>IF(A669="","",F669-G669)</f>
        <v/>
      </c>
    </row>
    <row r="670">
      <c r="A670" s="4" t="n"/>
      <c r="B670" s="4" t="n"/>
      <c r="C670">
        <f>IF(A670="","",SUMPRODUCT((المبيعات!$C$2:$C$2000=A670)*(المبيعات!$B$2:$B$2000&lt;&gt;"")/COUNTIFS(المبيعات!$B$2:$B$2000,المبيعات!$B$2:$B$2000&amp;"",المبيعات!$C$2:$C$2000,المبيعات!$C$2:$C$2000&amp;"")))</f>
        <v/>
      </c>
      <c r="D670">
        <f>IF(A670="","",SUMIFS(المبيعات!$H$2:$H$2000,المبيعات!$C$2:$C$2000,A670))</f>
        <v/>
      </c>
      <c r="E670" s="13">
        <f>IF(A670="","",IF(COUNTIF(المبيعات!$C$2:$C$2000,A670)=0,"",_xlfn.MAXIFS(المبيعات!$A$2:$A$2000,المبيعات!$C$2:$C$2000,A670)))</f>
        <v/>
      </c>
      <c r="F670">
        <f>IF(A670="","",SUMIFS(المبيعات!$H$2:$H$2000,المبيعات!$C$2:$C$2000,A670,المبيعات!$J$2:$J$2000,"آجل"))</f>
        <v/>
      </c>
      <c r="G670" s="4" t="n"/>
      <c r="H670">
        <f>IF(A670="","",F670-G670)</f>
        <v/>
      </c>
    </row>
    <row r="671">
      <c r="A671" s="4" t="n"/>
      <c r="B671" s="4" t="n"/>
      <c r="C671">
        <f>IF(A671="","",SUMPRODUCT((المبيعات!$C$2:$C$2000=A671)*(المبيعات!$B$2:$B$2000&lt;&gt;"")/COUNTIFS(المبيعات!$B$2:$B$2000,المبيعات!$B$2:$B$2000&amp;"",المبيعات!$C$2:$C$2000,المبيعات!$C$2:$C$2000&amp;"")))</f>
        <v/>
      </c>
      <c r="D671">
        <f>IF(A671="","",SUMIFS(المبيعات!$H$2:$H$2000,المبيعات!$C$2:$C$2000,A671))</f>
        <v/>
      </c>
      <c r="E671" s="13">
        <f>IF(A671="","",IF(COUNTIF(المبيعات!$C$2:$C$2000,A671)=0,"",_xlfn.MAXIFS(المبيعات!$A$2:$A$2000,المبيعات!$C$2:$C$2000,A671)))</f>
        <v/>
      </c>
      <c r="F671">
        <f>IF(A671="","",SUMIFS(المبيعات!$H$2:$H$2000,المبيعات!$C$2:$C$2000,A671,المبيعات!$J$2:$J$2000,"آجل"))</f>
        <v/>
      </c>
      <c r="G671" s="4" t="n"/>
      <c r="H671">
        <f>IF(A671="","",F671-G671)</f>
        <v/>
      </c>
    </row>
    <row r="672">
      <c r="A672" s="4" t="n"/>
      <c r="B672" s="4" t="n"/>
      <c r="C672">
        <f>IF(A672="","",SUMPRODUCT((المبيعات!$C$2:$C$2000=A672)*(المبيعات!$B$2:$B$2000&lt;&gt;"")/COUNTIFS(المبيعات!$B$2:$B$2000,المبيعات!$B$2:$B$2000&amp;"",المبيعات!$C$2:$C$2000,المبيعات!$C$2:$C$2000&amp;"")))</f>
        <v/>
      </c>
      <c r="D672">
        <f>IF(A672="","",SUMIFS(المبيعات!$H$2:$H$2000,المبيعات!$C$2:$C$2000,A672))</f>
        <v/>
      </c>
      <c r="E672" s="13">
        <f>IF(A672="","",IF(COUNTIF(المبيعات!$C$2:$C$2000,A672)=0,"",_xlfn.MAXIFS(المبيعات!$A$2:$A$2000,المبيعات!$C$2:$C$2000,A672)))</f>
        <v/>
      </c>
      <c r="F672">
        <f>IF(A672="","",SUMIFS(المبيعات!$H$2:$H$2000,المبيعات!$C$2:$C$2000,A672,المبيعات!$J$2:$J$2000,"آجل"))</f>
        <v/>
      </c>
      <c r="G672" s="4" t="n"/>
      <c r="H672">
        <f>IF(A672="","",F672-G672)</f>
        <v/>
      </c>
    </row>
    <row r="673">
      <c r="A673" s="4" t="n"/>
      <c r="B673" s="4" t="n"/>
      <c r="C673">
        <f>IF(A673="","",SUMPRODUCT((المبيعات!$C$2:$C$2000=A673)*(المبيعات!$B$2:$B$2000&lt;&gt;"")/COUNTIFS(المبيعات!$B$2:$B$2000,المبيعات!$B$2:$B$2000&amp;"",المبيعات!$C$2:$C$2000,المبيعات!$C$2:$C$2000&amp;"")))</f>
        <v/>
      </c>
      <c r="D673">
        <f>IF(A673="","",SUMIFS(المبيعات!$H$2:$H$2000,المبيعات!$C$2:$C$2000,A673))</f>
        <v/>
      </c>
      <c r="E673" s="13">
        <f>IF(A673="","",IF(COUNTIF(المبيعات!$C$2:$C$2000,A673)=0,"",_xlfn.MAXIFS(المبيعات!$A$2:$A$2000,المبيعات!$C$2:$C$2000,A673)))</f>
        <v/>
      </c>
      <c r="F673">
        <f>IF(A673="","",SUMIFS(المبيعات!$H$2:$H$2000,المبيعات!$C$2:$C$2000,A673,المبيعات!$J$2:$J$2000,"آجل"))</f>
        <v/>
      </c>
      <c r="G673" s="4" t="n"/>
      <c r="H673">
        <f>IF(A673="","",F673-G673)</f>
        <v/>
      </c>
    </row>
    <row r="674">
      <c r="A674" s="4" t="n"/>
      <c r="B674" s="4" t="n"/>
      <c r="C674">
        <f>IF(A674="","",SUMPRODUCT((المبيعات!$C$2:$C$2000=A674)*(المبيعات!$B$2:$B$2000&lt;&gt;"")/COUNTIFS(المبيعات!$B$2:$B$2000,المبيعات!$B$2:$B$2000&amp;"",المبيعات!$C$2:$C$2000,المبيعات!$C$2:$C$2000&amp;"")))</f>
        <v/>
      </c>
      <c r="D674">
        <f>IF(A674="","",SUMIFS(المبيعات!$H$2:$H$2000,المبيعات!$C$2:$C$2000,A674))</f>
        <v/>
      </c>
      <c r="E674" s="13">
        <f>IF(A674="","",IF(COUNTIF(المبيعات!$C$2:$C$2000,A674)=0,"",_xlfn.MAXIFS(المبيعات!$A$2:$A$2000,المبيعات!$C$2:$C$2000,A674)))</f>
        <v/>
      </c>
      <c r="F674">
        <f>IF(A674="","",SUMIFS(المبيعات!$H$2:$H$2000,المبيعات!$C$2:$C$2000,A674,المبيعات!$J$2:$J$2000,"آجل"))</f>
        <v/>
      </c>
      <c r="G674" s="4" t="n"/>
      <c r="H674">
        <f>IF(A674="","",F674-G674)</f>
        <v/>
      </c>
    </row>
    <row r="675">
      <c r="A675" s="4" t="n"/>
      <c r="B675" s="4" t="n"/>
      <c r="C675">
        <f>IF(A675="","",SUMPRODUCT((المبيعات!$C$2:$C$2000=A675)*(المبيعات!$B$2:$B$2000&lt;&gt;"")/COUNTIFS(المبيعات!$B$2:$B$2000,المبيعات!$B$2:$B$2000&amp;"",المبيعات!$C$2:$C$2000,المبيعات!$C$2:$C$2000&amp;"")))</f>
        <v/>
      </c>
      <c r="D675">
        <f>IF(A675="","",SUMIFS(المبيعات!$H$2:$H$2000,المبيعات!$C$2:$C$2000,A675))</f>
        <v/>
      </c>
      <c r="E675" s="13">
        <f>IF(A675="","",IF(COUNTIF(المبيعات!$C$2:$C$2000,A675)=0,"",_xlfn.MAXIFS(المبيعات!$A$2:$A$2000,المبيعات!$C$2:$C$2000,A675)))</f>
        <v/>
      </c>
      <c r="F675">
        <f>IF(A675="","",SUMIFS(المبيعات!$H$2:$H$2000,المبيعات!$C$2:$C$2000,A675,المبيعات!$J$2:$J$2000,"آجل"))</f>
        <v/>
      </c>
      <c r="G675" s="4" t="n"/>
      <c r="H675">
        <f>IF(A675="","",F675-G675)</f>
        <v/>
      </c>
    </row>
    <row r="676">
      <c r="A676" s="4" t="n"/>
      <c r="B676" s="4" t="n"/>
      <c r="C676">
        <f>IF(A676="","",SUMPRODUCT((المبيعات!$C$2:$C$2000=A676)*(المبيعات!$B$2:$B$2000&lt;&gt;"")/COUNTIFS(المبيعات!$B$2:$B$2000,المبيعات!$B$2:$B$2000&amp;"",المبيعات!$C$2:$C$2000,المبيعات!$C$2:$C$2000&amp;"")))</f>
        <v/>
      </c>
      <c r="D676">
        <f>IF(A676="","",SUMIFS(المبيعات!$H$2:$H$2000,المبيعات!$C$2:$C$2000,A676))</f>
        <v/>
      </c>
      <c r="E676" s="13">
        <f>IF(A676="","",IF(COUNTIF(المبيعات!$C$2:$C$2000,A676)=0,"",_xlfn.MAXIFS(المبيعات!$A$2:$A$2000,المبيعات!$C$2:$C$2000,A676)))</f>
        <v/>
      </c>
      <c r="F676">
        <f>IF(A676="","",SUMIFS(المبيعات!$H$2:$H$2000,المبيعات!$C$2:$C$2000,A676,المبيعات!$J$2:$J$2000,"آجل"))</f>
        <v/>
      </c>
      <c r="G676" s="4" t="n"/>
      <c r="H676">
        <f>IF(A676="","",F676-G676)</f>
        <v/>
      </c>
    </row>
    <row r="677">
      <c r="A677" s="4" t="n"/>
      <c r="B677" s="4" t="n"/>
      <c r="C677">
        <f>IF(A677="","",SUMPRODUCT((المبيعات!$C$2:$C$2000=A677)*(المبيعات!$B$2:$B$2000&lt;&gt;"")/COUNTIFS(المبيعات!$B$2:$B$2000,المبيعات!$B$2:$B$2000&amp;"",المبيعات!$C$2:$C$2000,المبيعات!$C$2:$C$2000&amp;"")))</f>
        <v/>
      </c>
      <c r="D677">
        <f>IF(A677="","",SUMIFS(المبيعات!$H$2:$H$2000,المبيعات!$C$2:$C$2000,A677))</f>
        <v/>
      </c>
      <c r="E677" s="13">
        <f>IF(A677="","",IF(COUNTIF(المبيعات!$C$2:$C$2000,A677)=0,"",_xlfn.MAXIFS(المبيعات!$A$2:$A$2000,المبيعات!$C$2:$C$2000,A677)))</f>
        <v/>
      </c>
      <c r="F677">
        <f>IF(A677="","",SUMIFS(المبيعات!$H$2:$H$2000,المبيعات!$C$2:$C$2000,A677,المبيعات!$J$2:$J$2000,"آجل"))</f>
        <v/>
      </c>
      <c r="G677" s="4" t="n"/>
      <c r="H677">
        <f>IF(A677="","",F677-G677)</f>
        <v/>
      </c>
    </row>
    <row r="678">
      <c r="A678" s="4" t="n"/>
      <c r="B678" s="4" t="n"/>
      <c r="C678">
        <f>IF(A678="","",SUMPRODUCT((المبيعات!$C$2:$C$2000=A678)*(المبيعات!$B$2:$B$2000&lt;&gt;"")/COUNTIFS(المبيعات!$B$2:$B$2000,المبيعات!$B$2:$B$2000&amp;"",المبيعات!$C$2:$C$2000,المبيعات!$C$2:$C$2000&amp;"")))</f>
        <v/>
      </c>
      <c r="D678">
        <f>IF(A678="","",SUMIFS(المبيعات!$H$2:$H$2000,المبيعات!$C$2:$C$2000,A678))</f>
        <v/>
      </c>
      <c r="E678" s="13">
        <f>IF(A678="","",IF(COUNTIF(المبيعات!$C$2:$C$2000,A678)=0,"",_xlfn.MAXIFS(المبيعات!$A$2:$A$2000,المبيعات!$C$2:$C$2000,A678)))</f>
        <v/>
      </c>
      <c r="F678">
        <f>IF(A678="","",SUMIFS(المبيعات!$H$2:$H$2000,المبيعات!$C$2:$C$2000,A678,المبيعات!$J$2:$J$2000,"آجل"))</f>
        <v/>
      </c>
      <c r="G678" s="4" t="n"/>
      <c r="H678">
        <f>IF(A678="","",F678-G678)</f>
        <v/>
      </c>
    </row>
    <row r="679">
      <c r="A679" s="4" t="n"/>
      <c r="B679" s="4" t="n"/>
      <c r="C679">
        <f>IF(A679="","",SUMPRODUCT((المبيعات!$C$2:$C$2000=A679)*(المبيعات!$B$2:$B$2000&lt;&gt;"")/COUNTIFS(المبيعات!$B$2:$B$2000,المبيعات!$B$2:$B$2000&amp;"",المبيعات!$C$2:$C$2000,المبيعات!$C$2:$C$2000&amp;"")))</f>
        <v/>
      </c>
      <c r="D679">
        <f>IF(A679="","",SUMIFS(المبيعات!$H$2:$H$2000,المبيعات!$C$2:$C$2000,A679))</f>
        <v/>
      </c>
      <c r="E679" s="13">
        <f>IF(A679="","",IF(COUNTIF(المبيعات!$C$2:$C$2000,A679)=0,"",_xlfn.MAXIFS(المبيعات!$A$2:$A$2000,المبيعات!$C$2:$C$2000,A679)))</f>
        <v/>
      </c>
      <c r="F679">
        <f>IF(A679="","",SUMIFS(المبيعات!$H$2:$H$2000,المبيعات!$C$2:$C$2000,A679,المبيعات!$J$2:$J$2000,"آجل"))</f>
        <v/>
      </c>
      <c r="G679" s="4" t="n"/>
      <c r="H679">
        <f>IF(A679="","",F679-G679)</f>
        <v/>
      </c>
    </row>
    <row r="680">
      <c r="A680" s="4" t="n"/>
      <c r="B680" s="4" t="n"/>
      <c r="C680">
        <f>IF(A680="","",SUMPRODUCT((المبيعات!$C$2:$C$2000=A680)*(المبيعات!$B$2:$B$2000&lt;&gt;"")/COUNTIFS(المبيعات!$B$2:$B$2000,المبيعات!$B$2:$B$2000&amp;"",المبيعات!$C$2:$C$2000,المبيعات!$C$2:$C$2000&amp;"")))</f>
        <v/>
      </c>
      <c r="D680">
        <f>IF(A680="","",SUMIFS(المبيعات!$H$2:$H$2000,المبيعات!$C$2:$C$2000,A680))</f>
        <v/>
      </c>
      <c r="E680" s="13">
        <f>IF(A680="","",IF(COUNTIF(المبيعات!$C$2:$C$2000,A680)=0,"",_xlfn.MAXIFS(المبيعات!$A$2:$A$2000,المبيعات!$C$2:$C$2000,A680)))</f>
        <v/>
      </c>
      <c r="F680">
        <f>IF(A680="","",SUMIFS(المبيعات!$H$2:$H$2000,المبيعات!$C$2:$C$2000,A680,المبيعات!$J$2:$J$2000,"آجل"))</f>
        <v/>
      </c>
      <c r="G680" s="4" t="n"/>
      <c r="H680">
        <f>IF(A680="","",F680-G680)</f>
        <v/>
      </c>
    </row>
    <row r="681">
      <c r="A681" s="4" t="n"/>
      <c r="B681" s="4" t="n"/>
      <c r="C681">
        <f>IF(A681="","",SUMPRODUCT((المبيعات!$C$2:$C$2000=A681)*(المبيعات!$B$2:$B$2000&lt;&gt;"")/COUNTIFS(المبيعات!$B$2:$B$2000,المبيعات!$B$2:$B$2000&amp;"",المبيعات!$C$2:$C$2000,المبيعات!$C$2:$C$2000&amp;"")))</f>
        <v/>
      </c>
      <c r="D681">
        <f>IF(A681="","",SUMIFS(المبيعات!$H$2:$H$2000,المبيعات!$C$2:$C$2000,A681))</f>
        <v/>
      </c>
      <c r="E681" s="13">
        <f>IF(A681="","",IF(COUNTIF(المبيعات!$C$2:$C$2000,A681)=0,"",_xlfn.MAXIFS(المبيعات!$A$2:$A$2000,المبيعات!$C$2:$C$2000,A681)))</f>
        <v/>
      </c>
      <c r="F681">
        <f>IF(A681="","",SUMIFS(المبيعات!$H$2:$H$2000,المبيعات!$C$2:$C$2000,A681,المبيعات!$J$2:$J$2000,"آجل"))</f>
        <v/>
      </c>
      <c r="G681" s="4" t="n"/>
      <c r="H681">
        <f>IF(A681="","",F681-G681)</f>
        <v/>
      </c>
    </row>
    <row r="682">
      <c r="A682" s="4" t="n"/>
      <c r="B682" s="4" t="n"/>
      <c r="C682">
        <f>IF(A682="","",SUMPRODUCT((المبيعات!$C$2:$C$2000=A682)*(المبيعات!$B$2:$B$2000&lt;&gt;"")/COUNTIFS(المبيعات!$B$2:$B$2000,المبيعات!$B$2:$B$2000&amp;"",المبيعات!$C$2:$C$2000,المبيعات!$C$2:$C$2000&amp;"")))</f>
        <v/>
      </c>
      <c r="D682">
        <f>IF(A682="","",SUMIFS(المبيعات!$H$2:$H$2000,المبيعات!$C$2:$C$2000,A682))</f>
        <v/>
      </c>
      <c r="E682" s="13">
        <f>IF(A682="","",IF(COUNTIF(المبيعات!$C$2:$C$2000,A682)=0,"",_xlfn.MAXIFS(المبيعات!$A$2:$A$2000,المبيعات!$C$2:$C$2000,A682)))</f>
        <v/>
      </c>
      <c r="F682">
        <f>IF(A682="","",SUMIFS(المبيعات!$H$2:$H$2000,المبيعات!$C$2:$C$2000,A682,المبيعات!$J$2:$J$2000,"آجل"))</f>
        <v/>
      </c>
      <c r="G682" s="4" t="n"/>
      <c r="H682">
        <f>IF(A682="","",F682-G682)</f>
        <v/>
      </c>
    </row>
    <row r="683">
      <c r="A683" s="4" t="n"/>
      <c r="B683" s="4" t="n"/>
      <c r="C683">
        <f>IF(A683="","",SUMPRODUCT((المبيعات!$C$2:$C$2000=A683)*(المبيعات!$B$2:$B$2000&lt;&gt;"")/COUNTIFS(المبيعات!$B$2:$B$2000,المبيعات!$B$2:$B$2000&amp;"",المبيعات!$C$2:$C$2000,المبيعات!$C$2:$C$2000&amp;"")))</f>
        <v/>
      </c>
      <c r="D683">
        <f>IF(A683="","",SUMIFS(المبيعات!$H$2:$H$2000,المبيعات!$C$2:$C$2000,A683))</f>
        <v/>
      </c>
      <c r="E683" s="13">
        <f>IF(A683="","",IF(COUNTIF(المبيعات!$C$2:$C$2000,A683)=0,"",_xlfn.MAXIFS(المبيعات!$A$2:$A$2000,المبيعات!$C$2:$C$2000,A683)))</f>
        <v/>
      </c>
      <c r="F683">
        <f>IF(A683="","",SUMIFS(المبيعات!$H$2:$H$2000,المبيعات!$C$2:$C$2000,A683,المبيعات!$J$2:$J$2000,"آجل"))</f>
        <v/>
      </c>
      <c r="G683" s="4" t="n"/>
      <c r="H683">
        <f>IF(A683="","",F683-G683)</f>
        <v/>
      </c>
    </row>
    <row r="684">
      <c r="A684" s="4" t="n"/>
      <c r="B684" s="4" t="n"/>
      <c r="C684">
        <f>IF(A684="","",SUMPRODUCT((المبيعات!$C$2:$C$2000=A684)*(المبيعات!$B$2:$B$2000&lt;&gt;"")/COUNTIFS(المبيعات!$B$2:$B$2000,المبيعات!$B$2:$B$2000&amp;"",المبيعات!$C$2:$C$2000,المبيعات!$C$2:$C$2000&amp;"")))</f>
        <v/>
      </c>
      <c r="D684">
        <f>IF(A684="","",SUMIFS(المبيعات!$H$2:$H$2000,المبيعات!$C$2:$C$2000,A684))</f>
        <v/>
      </c>
      <c r="E684" s="13">
        <f>IF(A684="","",IF(COUNTIF(المبيعات!$C$2:$C$2000,A684)=0,"",_xlfn.MAXIFS(المبيعات!$A$2:$A$2000,المبيعات!$C$2:$C$2000,A684)))</f>
        <v/>
      </c>
      <c r="F684">
        <f>IF(A684="","",SUMIFS(المبيعات!$H$2:$H$2000,المبيعات!$C$2:$C$2000,A684,المبيعات!$J$2:$J$2000,"آجل"))</f>
        <v/>
      </c>
      <c r="G684" s="4" t="n"/>
      <c r="H684">
        <f>IF(A684="","",F684-G684)</f>
        <v/>
      </c>
    </row>
    <row r="685">
      <c r="A685" s="4" t="n"/>
      <c r="B685" s="4" t="n"/>
      <c r="C685">
        <f>IF(A685="","",SUMPRODUCT((المبيعات!$C$2:$C$2000=A685)*(المبيعات!$B$2:$B$2000&lt;&gt;"")/COUNTIFS(المبيعات!$B$2:$B$2000,المبيعات!$B$2:$B$2000&amp;"",المبيعات!$C$2:$C$2000,المبيعات!$C$2:$C$2000&amp;"")))</f>
        <v/>
      </c>
      <c r="D685">
        <f>IF(A685="","",SUMIFS(المبيعات!$H$2:$H$2000,المبيعات!$C$2:$C$2000,A685))</f>
        <v/>
      </c>
      <c r="E685" s="13">
        <f>IF(A685="","",IF(COUNTIF(المبيعات!$C$2:$C$2000,A685)=0,"",_xlfn.MAXIFS(المبيعات!$A$2:$A$2000,المبيعات!$C$2:$C$2000,A685)))</f>
        <v/>
      </c>
      <c r="F685">
        <f>IF(A685="","",SUMIFS(المبيعات!$H$2:$H$2000,المبيعات!$C$2:$C$2000,A685,المبيعات!$J$2:$J$2000,"آجل"))</f>
        <v/>
      </c>
      <c r="G685" s="4" t="n"/>
      <c r="H685">
        <f>IF(A685="","",F685-G685)</f>
        <v/>
      </c>
    </row>
    <row r="686">
      <c r="A686" s="4" t="n"/>
      <c r="B686" s="4" t="n"/>
      <c r="C686">
        <f>IF(A686="","",SUMPRODUCT((المبيعات!$C$2:$C$2000=A686)*(المبيعات!$B$2:$B$2000&lt;&gt;"")/COUNTIFS(المبيعات!$B$2:$B$2000,المبيعات!$B$2:$B$2000&amp;"",المبيعات!$C$2:$C$2000,المبيعات!$C$2:$C$2000&amp;"")))</f>
        <v/>
      </c>
      <c r="D686">
        <f>IF(A686="","",SUMIFS(المبيعات!$H$2:$H$2000,المبيعات!$C$2:$C$2000,A686))</f>
        <v/>
      </c>
      <c r="E686" s="13">
        <f>IF(A686="","",IF(COUNTIF(المبيعات!$C$2:$C$2000,A686)=0,"",_xlfn.MAXIFS(المبيعات!$A$2:$A$2000,المبيعات!$C$2:$C$2000,A686)))</f>
        <v/>
      </c>
      <c r="F686">
        <f>IF(A686="","",SUMIFS(المبيعات!$H$2:$H$2000,المبيعات!$C$2:$C$2000,A686,المبيعات!$J$2:$J$2000,"آجل"))</f>
        <v/>
      </c>
      <c r="G686" s="4" t="n"/>
      <c r="H686">
        <f>IF(A686="","",F686-G686)</f>
        <v/>
      </c>
    </row>
    <row r="687">
      <c r="A687" s="4" t="n"/>
      <c r="B687" s="4" t="n"/>
      <c r="C687">
        <f>IF(A687="","",SUMPRODUCT((المبيعات!$C$2:$C$2000=A687)*(المبيعات!$B$2:$B$2000&lt;&gt;"")/COUNTIFS(المبيعات!$B$2:$B$2000,المبيعات!$B$2:$B$2000&amp;"",المبيعات!$C$2:$C$2000,المبيعات!$C$2:$C$2000&amp;"")))</f>
        <v/>
      </c>
      <c r="D687">
        <f>IF(A687="","",SUMIFS(المبيعات!$H$2:$H$2000,المبيعات!$C$2:$C$2000,A687))</f>
        <v/>
      </c>
      <c r="E687" s="13">
        <f>IF(A687="","",IF(COUNTIF(المبيعات!$C$2:$C$2000,A687)=0,"",_xlfn.MAXIFS(المبيعات!$A$2:$A$2000,المبيعات!$C$2:$C$2000,A687)))</f>
        <v/>
      </c>
      <c r="F687">
        <f>IF(A687="","",SUMIFS(المبيعات!$H$2:$H$2000,المبيعات!$C$2:$C$2000,A687,المبيعات!$J$2:$J$2000,"آجل"))</f>
        <v/>
      </c>
      <c r="G687" s="4" t="n"/>
      <c r="H687">
        <f>IF(A687="","",F687-G687)</f>
        <v/>
      </c>
    </row>
    <row r="688">
      <c r="A688" s="4" t="n"/>
      <c r="B688" s="4" t="n"/>
      <c r="C688">
        <f>IF(A688="","",SUMPRODUCT((المبيعات!$C$2:$C$2000=A688)*(المبيعات!$B$2:$B$2000&lt;&gt;"")/COUNTIFS(المبيعات!$B$2:$B$2000,المبيعات!$B$2:$B$2000&amp;"",المبيعات!$C$2:$C$2000,المبيعات!$C$2:$C$2000&amp;"")))</f>
        <v/>
      </c>
      <c r="D688">
        <f>IF(A688="","",SUMIFS(المبيعات!$H$2:$H$2000,المبيعات!$C$2:$C$2000,A688))</f>
        <v/>
      </c>
      <c r="E688" s="13">
        <f>IF(A688="","",IF(COUNTIF(المبيعات!$C$2:$C$2000,A688)=0,"",_xlfn.MAXIFS(المبيعات!$A$2:$A$2000,المبيعات!$C$2:$C$2000,A688)))</f>
        <v/>
      </c>
      <c r="F688">
        <f>IF(A688="","",SUMIFS(المبيعات!$H$2:$H$2000,المبيعات!$C$2:$C$2000,A688,المبيعات!$J$2:$J$2000,"آجل"))</f>
        <v/>
      </c>
      <c r="G688" s="4" t="n"/>
      <c r="H688">
        <f>IF(A688="","",F688-G688)</f>
        <v/>
      </c>
    </row>
    <row r="689">
      <c r="A689" s="4" t="n"/>
      <c r="B689" s="4" t="n"/>
      <c r="C689">
        <f>IF(A689="","",SUMPRODUCT((المبيعات!$C$2:$C$2000=A689)*(المبيعات!$B$2:$B$2000&lt;&gt;"")/COUNTIFS(المبيعات!$B$2:$B$2000,المبيعات!$B$2:$B$2000&amp;"",المبيعات!$C$2:$C$2000,المبيعات!$C$2:$C$2000&amp;"")))</f>
        <v/>
      </c>
      <c r="D689">
        <f>IF(A689="","",SUMIFS(المبيعات!$H$2:$H$2000,المبيعات!$C$2:$C$2000,A689))</f>
        <v/>
      </c>
      <c r="E689" s="13">
        <f>IF(A689="","",IF(COUNTIF(المبيعات!$C$2:$C$2000,A689)=0,"",_xlfn.MAXIFS(المبيعات!$A$2:$A$2000,المبيعات!$C$2:$C$2000,A689)))</f>
        <v/>
      </c>
      <c r="F689">
        <f>IF(A689="","",SUMIFS(المبيعات!$H$2:$H$2000,المبيعات!$C$2:$C$2000,A689,المبيعات!$J$2:$J$2000,"آجل"))</f>
        <v/>
      </c>
      <c r="G689" s="4" t="n"/>
      <c r="H689">
        <f>IF(A689="","",F689-G689)</f>
        <v/>
      </c>
    </row>
    <row r="690">
      <c r="A690" s="4" t="n"/>
      <c r="B690" s="4" t="n"/>
      <c r="C690">
        <f>IF(A690="","",SUMPRODUCT((المبيعات!$C$2:$C$2000=A690)*(المبيعات!$B$2:$B$2000&lt;&gt;"")/COUNTIFS(المبيعات!$B$2:$B$2000,المبيعات!$B$2:$B$2000&amp;"",المبيعات!$C$2:$C$2000,المبيعات!$C$2:$C$2000&amp;"")))</f>
        <v/>
      </c>
      <c r="D690">
        <f>IF(A690="","",SUMIFS(المبيعات!$H$2:$H$2000,المبيعات!$C$2:$C$2000,A690))</f>
        <v/>
      </c>
      <c r="E690" s="13">
        <f>IF(A690="","",IF(COUNTIF(المبيعات!$C$2:$C$2000,A690)=0,"",_xlfn.MAXIFS(المبيعات!$A$2:$A$2000,المبيعات!$C$2:$C$2000,A690)))</f>
        <v/>
      </c>
      <c r="F690">
        <f>IF(A690="","",SUMIFS(المبيعات!$H$2:$H$2000,المبيعات!$C$2:$C$2000,A690,المبيعات!$J$2:$J$2000,"آجل"))</f>
        <v/>
      </c>
      <c r="G690" s="4" t="n"/>
      <c r="H690">
        <f>IF(A690="","",F690-G690)</f>
        <v/>
      </c>
    </row>
    <row r="691">
      <c r="A691" s="4" t="n"/>
      <c r="B691" s="4" t="n"/>
      <c r="C691">
        <f>IF(A691="","",SUMPRODUCT((المبيعات!$C$2:$C$2000=A691)*(المبيعات!$B$2:$B$2000&lt;&gt;"")/COUNTIFS(المبيعات!$B$2:$B$2000,المبيعات!$B$2:$B$2000&amp;"",المبيعات!$C$2:$C$2000,المبيعات!$C$2:$C$2000&amp;"")))</f>
        <v/>
      </c>
      <c r="D691">
        <f>IF(A691="","",SUMIFS(المبيعات!$H$2:$H$2000,المبيعات!$C$2:$C$2000,A691))</f>
        <v/>
      </c>
      <c r="E691" s="13">
        <f>IF(A691="","",IF(COUNTIF(المبيعات!$C$2:$C$2000,A691)=0,"",_xlfn.MAXIFS(المبيعات!$A$2:$A$2000,المبيعات!$C$2:$C$2000,A691)))</f>
        <v/>
      </c>
      <c r="F691">
        <f>IF(A691="","",SUMIFS(المبيعات!$H$2:$H$2000,المبيعات!$C$2:$C$2000,A691,المبيعات!$J$2:$J$2000,"آجل"))</f>
        <v/>
      </c>
      <c r="G691" s="4" t="n"/>
      <c r="H691">
        <f>IF(A691="","",F691-G691)</f>
        <v/>
      </c>
    </row>
    <row r="692">
      <c r="A692" s="4" t="n"/>
      <c r="B692" s="4" t="n"/>
      <c r="C692">
        <f>IF(A692="","",SUMPRODUCT((المبيعات!$C$2:$C$2000=A692)*(المبيعات!$B$2:$B$2000&lt;&gt;"")/COUNTIFS(المبيعات!$B$2:$B$2000,المبيعات!$B$2:$B$2000&amp;"",المبيعات!$C$2:$C$2000,المبيعات!$C$2:$C$2000&amp;"")))</f>
        <v/>
      </c>
      <c r="D692">
        <f>IF(A692="","",SUMIFS(المبيعات!$H$2:$H$2000,المبيعات!$C$2:$C$2000,A692))</f>
        <v/>
      </c>
      <c r="E692" s="13">
        <f>IF(A692="","",IF(COUNTIF(المبيعات!$C$2:$C$2000,A692)=0,"",_xlfn.MAXIFS(المبيعات!$A$2:$A$2000,المبيعات!$C$2:$C$2000,A692)))</f>
        <v/>
      </c>
      <c r="F692">
        <f>IF(A692="","",SUMIFS(المبيعات!$H$2:$H$2000,المبيعات!$C$2:$C$2000,A692,المبيعات!$J$2:$J$2000,"آجل"))</f>
        <v/>
      </c>
      <c r="G692" s="4" t="n"/>
      <c r="H692">
        <f>IF(A692="","",F692-G692)</f>
        <v/>
      </c>
    </row>
    <row r="693">
      <c r="A693" s="4" t="n"/>
      <c r="B693" s="4" t="n"/>
      <c r="C693">
        <f>IF(A693="","",SUMPRODUCT((المبيعات!$C$2:$C$2000=A693)*(المبيعات!$B$2:$B$2000&lt;&gt;"")/COUNTIFS(المبيعات!$B$2:$B$2000,المبيعات!$B$2:$B$2000&amp;"",المبيعات!$C$2:$C$2000,المبيعات!$C$2:$C$2000&amp;"")))</f>
        <v/>
      </c>
      <c r="D693">
        <f>IF(A693="","",SUMIFS(المبيعات!$H$2:$H$2000,المبيعات!$C$2:$C$2000,A693))</f>
        <v/>
      </c>
      <c r="E693" s="13">
        <f>IF(A693="","",IF(COUNTIF(المبيعات!$C$2:$C$2000,A693)=0,"",_xlfn.MAXIFS(المبيعات!$A$2:$A$2000,المبيعات!$C$2:$C$2000,A693)))</f>
        <v/>
      </c>
      <c r="F693">
        <f>IF(A693="","",SUMIFS(المبيعات!$H$2:$H$2000,المبيعات!$C$2:$C$2000,A693,المبيعات!$J$2:$J$2000,"آجل"))</f>
        <v/>
      </c>
      <c r="G693" s="4" t="n"/>
      <c r="H693">
        <f>IF(A693="","",F693-G693)</f>
        <v/>
      </c>
    </row>
    <row r="694">
      <c r="A694" s="4" t="n"/>
      <c r="B694" s="4" t="n"/>
      <c r="C694">
        <f>IF(A694="","",SUMPRODUCT((المبيعات!$C$2:$C$2000=A694)*(المبيعات!$B$2:$B$2000&lt;&gt;"")/COUNTIFS(المبيعات!$B$2:$B$2000,المبيعات!$B$2:$B$2000&amp;"",المبيعات!$C$2:$C$2000,المبيعات!$C$2:$C$2000&amp;"")))</f>
        <v/>
      </c>
      <c r="D694">
        <f>IF(A694="","",SUMIFS(المبيعات!$H$2:$H$2000,المبيعات!$C$2:$C$2000,A694))</f>
        <v/>
      </c>
      <c r="E694" s="13">
        <f>IF(A694="","",IF(COUNTIF(المبيعات!$C$2:$C$2000,A694)=0,"",_xlfn.MAXIFS(المبيعات!$A$2:$A$2000,المبيعات!$C$2:$C$2000,A694)))</f>
        <v/>
      </c>
      <c r="F694">
        <f>IF(A694="","",SUMIFS(المبيعات!$H$2:$H$2000,المبيعات!$C$2:$C$2000,A694,المبيعات!$J$2:$J$2000,"آجل"))</f>
        <v/>
      </c>
      <c r="G694" s="4" t="n"/>
      <c r="H694">
        <f>IF(A694="","",F694-G694)</f>
        <v/>
      </c>
    </row>
    <row r="695">
      <c r="A695" s="4" t="n"/>
      <c r="B695" s="4" t="n"/>
      <c r="C695">
        <f>IF(A695="","",SUMPRODUCT((المبيعات!$C$2:$C$2000=A695)*(المبيعات!$B$2:$B$2000&lt;&gt;"")/COUNTIFS(المبيعات!$B$2:$B$2000,المبيعات!$B$2:$B$2000&amp;"",المبيعات!$C$2:$C$2000,المبيعات!$C$2:$C$2000&amp;"")))</f>
        <v/>
      </c>
      <c r="D695">
        <f>IF(A695="","",SUMIFS(المبيعات!$H$2:$H$2000,المبيعات!$C$2:$C$2000,A695))</f>
        <v/>
      </c>
      <c r="E695" s="13">
        <f>IF(A695="","",IF(COUNTIF(المبيعات!$C$2:$C$2000,A695)=0,"",_xlfn.MAXIFS(المبيعات!$A$2:$A$2000,المبيعات!$C$2:$C$2000,A695)))</f>
        <v/>
      </c>
      <c r="F695">
        <f>IF(A695="","",SUMIFS(المبيعات!$H$2:$H$2000,المبيعات!$C$2:$C$2000,A695,المبيعات!$J$2:$J$2000,"آجل"))</f>
        <v/>
      </c>
      <c r="G695" s="4" t="n"/>
      <c r="H695">
        <f>IF(A695="","",F695-G695)</f>
        <v/>
      </c>
    </row>
    <row r="696">
      <c r="A696" s="4" t="n"/>
      <c r="B696" s="4" t="n"/>
      <c r="C696">
        <f>IF(A696="","",SUMPRODUCT((المبيعات!$C$2:$C$2000=A696)*(المبيعات!$B$2:$B$2000&lt;&gt;"")/COUNTIFS(المبيعات!$B$2:$B$2000,المبيعات!$B$2:$B$2000&amp;"",المبيعات!$C$2:$C$2000,المبيعات!$C$2:$C$2000&amp;"")))</f>
        <v/>
      </c>
      <c r="D696">
        <f>IF(A696="","",SUMIFS(المبيعات!$H$2:$H$2000,المبيعات!$C$2:$C$2000,A696))</f>
        <v/>
      </c>
      <c r="E696" s="13">
        <f>IF(A696="","",IF(COUNTIF(المبيعات!$C$2:$C$2000,A696)=0,"",_xlfn.MAXIFS(المبيعات!$A$2:$A$2000,المبيعات!$C$2:$C$2000,A696)))</f>
        <v/>
      </c>
      <c r="F696">
        <f>IF(A696="","",SUMIFS(المبيعات!$H$2:$H$2000,المبيعات!$C$2:$C$2000,A696,المبيعات!$J$2:$J$2000,"آجل"))</f>
        <v/>
      </c>
      <c r="G696" s="4" t="n"/>
      <c r="H696">
        <f>IF(A696="","",F696-G696)</f>
        <v/>
      </c>
    </row>
    <row r="697">
      <c r="A697" s="4" t="n"/>
      <c r="B697" s="4" t="n"/>
      <c r="C697">
        <f>IF(A697="","",SUMPRODUCT((المبيعات!$C$2:$C$2000=A697)*(المبيعات!$B$2:$B$2000&lt;&gt;"")/COUNTIFS(المبيعات!$B$2:$B$2000,المبيعات!$B$2:$B$2000&amp;"",المبيعات!$C$2:$C$2000,المبيعات!$C$2:$C$2000&amp;"")))</f>
        <v/>
      </c>
      <c r="D697">
        <f>IF(A697="","",SUMIFS(المبيعات!$H$2:$H$2000,المبيعات!$C$2:$C$2000,A697))</f>
        <v/>
      </c>
      <c r="E697" s="13">
        <f>IF(A697="","",IF(COUNTIF(المبيعات!$C$2:$C$2000,A697)=0,"",_xlfn.MAXIFS(المبيعات!$A$2:$A$2000,المبيعات!$C$2:$C$2000,A697)))</f>
        <v/>
      </c>
      <c r="F697">
        <f>IF(A697="","",SUMIFS(المبيعات!$H$2:$H$2000,المبيعات!$C$2:$C$2000,A697,المبيعات!$J$2:$J$2000,"آجل"))</f>
        <v/>
      </c>
      <c r="G697" s="4" t="n"/>
      <c r="H697">
        <f>IF(A697="","",F697-G697)</f>
        <v/>
      </c>
    </row>
    <row r="698">
      <c r="A698" s="4" t="n"/>
      <c r="B698" s="4" t="n"/>
      <c r="C698">
        <f>IF(A698="","",SUMPRODUCT((المبيعات!$C$2:$C$2000=A698)*(المبيعات!$B$2:$B$2000&lt;&gt;"")/COUNTIFS(المبيعات!$B$2:$B$2000,المبيعات!$B$2:$B$2000&amp;"",المبيعات!$C$2:$C$2000,المبيعات!$C$2:$C$2000&amp;"")))</f>
        <v/>
      </c>
      <c r="D698">
        <f>IF(A698="","",SUMIFS(المبيعات!$H$2:$H$2000,المبيعات!$C$2:$C$2000,A698))</f>
        <v/>
      </c>
      <c r="E698" s="13">
        <f>IF(A698="","",IF(COUNTIF(المبيعات!$C$2:$C$2000,A698)=0,"",_xlfn.MAXIFS(المبيعات!$A$2:$A$2000,المبيعات!$C$2:$C$2000,A698)))</f>
        <v/>
      </c>
      <c r="F698">
        <f>IF(A698="","",SUMIFS(المبيعات!$H$2:$H$2000,المبيعات!$C$2:$C$2000,A698,المبيعات!$J$2:$J$2000,"آجل"))</f>
        <v/>
      </c>
      <c r="G698" s="4" t="n"/>
      <c r="H698">
        <f>IF(A698="","",F698-G698)</f>
        <v/>
      </c>
    </row>
    <row r="699">
      <c r="A699" s="4" t="n"/>
      <c r="B699" s="4" t="n"/>
      <c r="C699">
        <f>IF(A699="","",SUMPRODUCT((المبيعات!$C$2:$C$2000=A699)*(المبيعات!$B$2:$B$2000&lt;&gt;"")/COUNTIFS(المبيعات!$B$2:$B$2000,المبيعات!$B$2:$B$2000&amp;"",المبيعات!$C$2:$C$2000,المبيعات!$C$2:$C$2000&amp;"")))</f>
        <v/>
      </c>
      <c r="D699">
        <f>IF(A699="","",SUMIFS(المبيعات!$H$2:$H$2000,المبيعات!$C$2:$C$2000,A699))</f>
        <v/>
      </c>
      <c r="E699" s="13">
        <f>IF(A699="","",IF(COUNTIF(المبيعات!$C$2:$C$2000,A699)=0,"",_xlfn.MAXIFS(المبيعات!$A$2:$A$2000,المبيعات!$C$2:$C$2000,A699)))</f>
        <v/>
      </c>
      <c r="F699">
        <f>IF(A699="","",SUMIFS(المبيعات!$H$2:$H$2000,المبيعات!$C$2:$C$2000,A699,المبيعات!$J$2:$J$2000,"آجل"))</f>
        <v/>
      </c>
      <c r="G699" s="4" t="n"/>
      <c r="H699">
        <f>IF(A699="","",F699-G699)</f>
        <v/>
      </c>
    </row>
    <row r="700">
      <c r="A700" s="4" t="n"/>
      <c r="B700" s="4" t="n"/>
      <c r="C700">
        <f>IF(A700="","",SUMPRODUCT((المبيعات!$C$2:$C$2000=A700)*(المبيعات!$B$2:$B$2000&lt;&gt;"")/COUNTIFS(المبيعات!$B$2:$B$2000,المبيعات!$B$2:$B$2000&amp;"",المبيعات!$C$2:$C$2000,المبيعات!$C$2:$C$2000&amp;"")))</f>
        <v/>
      </c>
      <c r="D700">
        <f>IF(A700="","",SUMIFS(المبيعات!$H$2:$H$2000,المبيعات!$C$2:$C$2000,A700))</f>
        <v/>
      </c>
      <c r="E700" s="13">
        <f>IF(A700="","",IF(COUNTIF(المبيعات!$C$2:$C$2000,A700)=0,"",_xlfn.MAXIFS(المبيعات!$A$2:$A$2000,المبيعات!$C$2:$C$2000,A700)))</f>
        <v/>
      </c>
      <c r="F700">
        <f>IF(A700="","",SUMIFS(المبيعات!$H$2:$H$2000,المبيعات!$C$2:$C$2000,A700,المبيعات!$J$2:$J$2000,"آجل"))</f>
        <v/>
      </c>
      <c r="G700" s="4" t="n"/>
      <c r="H700">
        <f>IF(A700="","",F700-G700)</f>
        <v/>
      </c>
    </row>
    <row r="701">
      <c r="A701" s="4" t="n"/>
      <c r="B701" s="4" t="n"/>
      <c r="C701">
        <f>IF(A701="","",SUMPRODUCT((المبيعات!$C$2:$C$2000=A701)*(المبيعات!$B$2:$B$2000&lt;&gt;"")/COUNTIFS(المبيعات!$B$2:$B$2000,المبيعات!$B$2:$B$2000&amp;"",المبيعات!$C$2:$C$2000,المبيعات!$C$2:$C$2000&amp;"")))</f>
        <v/>
      </c>
      <c r="D701">
        <f>IF(A701="","",SUMIFS(المبيعات!$H$2:$H$2000,المبيعات!$C$2:$C$2000,A701))</f>
        <v/>
      </c>
      <c r="E701" s="13">
        <f>IF(A701="","",IF(COUNTIF(المبيعات!$C$2:$C$2000,A701)=0,"",_xlfn.MAXIFS(المبيعات!$A$2:$A$2000,المبيعات!$C$2:$C$2000,A701)))</f>
        <v/>
      </c>
      <c r="F701">
        <f>IF(A701="","",SUMIFS(المبيعات!$H$2:$H$2000,المبيعات!$C$2:$C$2000,A701,المبيعات!$J$2:$J$2000,"آجل"))</f>
        <v/>
      </c>
      <c r="G701" s="4" t="n"/>
      <c r="H701">
        <f>IF(A701="","",F701-G701)</f>
        <v/>
      </c>
    </row>
    <row r="702">
      <c r="A702" s="4" t="n"/>
      <c r="B702" s="4" t="n"/>
      <c r="C702">
        <f>IF(A702="","",SUMPRODUCT((المبيعات!$C$2:$C$2000=A702)*(المبيعات!$B$2:$B$2000&lt;&gt;"")/COUNTIFS(المبيعات!$B$2:$B$2000,المبيعات!$B$2:$B$2000&amp;"",المبيعات!$C$2:$C$2000,المبيعات!$C$2:$C$2000&amp;"")))</f>
        <v/>
      </c>
      <c r="D702">
        <f>IF(A702="","",SUMIFS(المبيعات!$H$2:$H$2000,المبيعات!$C$2:$C$2000,A702))</f>
        <v/>
      </c>
      <c r="E702" s="13">
        <f>IF(A702="","",IF(COUNTIF(المبيعات!$C$2:$C$2000,A702)=0,"",_xlfn.MAXIFS(المبيعات!$A$2:$A$2000,المبيعات!$C$2:$C$2000,A702)))</f>
        <v/>
      </c>
      <c r="F702">
        <f>IF(A702="","",SUMIFS(المبيعات!$H$2:$H$2000,المبيعات!$C$2:$C$2000,A702,المبيعات!$J$2:$J$2000,"آجل"))</f>
        <v/>
      </c>
      <c r="G702" s="4" t="n"/>
      <c r="H702">
        <f>IF(A702="","",F702-G702)</f>
        <v/>
      </c>
    </row>
    <row r="703">
      <c r="A703" s="4" t="n"/>
      <c r="B703" s="4" t="n"/>
      <c r="C703">
        <f>IF(A703="","",SUMPRODUCT((المبيعات!$C$2:$C$2000=A703)*(المبيعات!$B$2:$B$2000&lt;&gt;"")/COUNTIFS(المبيعات!$B$2:$B$2000,المبيعات!$B$2:$B$2000&amp;"",المبيعات!$C$2:$C$2000,المبيعات!$C$2:$C$2000&amp;"")))</f>
        <v/>
      </c>
      <c r="D703">
        <f>IF(A703="","",SUMIFS(المبيعات!$H$2:$H$2000,المبيعات!$C$2:$C$2000,A703))</f>
        <v/>
      </c>
      <c r="E703" s="13">
        <f>IF(A703="","",IF(COUNTIF(المبيعات!$C$2:$C$2000,A703)=0,"",_xlfn.MAXIFS(المبيعات!$A$2:$A$2000,المبيعات!$C$2:$C$2000,A703)))</f>
        <v/>
      </c>
      <c r="F703">
        <f>IF(A703="","",SUMIFS(المبيعات!$H$2:$H$2000,المبيعات!$C$2:$C$2000,A703,المبيعات!$J$2:$J$2000,"آجل"))</f>
        <v/>
      </c>
      <c r="G703" s="4" t="n"/>
      <c r="H703">
        <f>IF(A703="","",F703-G703)</f>
        <v/>
      </c>
    </row>
    <row r="704">
      <c r="A704" s="4" t="n"/>
      <c r="B704" s="4" t="n"/>
      <c r="C704">
        <f>IF(A704="","",SUMPRODUCT((المبيعات!$C$2:$C$2000=A704)*(المبيعات!$B$2:$B$2000&lt;&gt;"")/COUNTIFS(المبيعات!$B$2:$B$2000,المبيعات!$B$2:$B$2000&amp;"",المبيعات!$C$2:$C$2000,المبيعات!$C$2:$C$2000&amp;"")))</f>
        <v/>
      </c>
      <c r="D704">
        <f>IF(A704="","",SUMIFS(المبيعات!$H$2:$H$2000,المبيعات!$C$2:$C$2000,A704))</f>
        <v/>
      </c>
      <c r="E704" s="13">
        <f>IF(A704="","",IF(COUNTIF(المبيعات!$C$2:$C$2000,A704)=0,"",_xlfn.MAXIFS(المبيعات!$A$2:$A$2000,المبيعات!$C$2:$C$2000,A704)))</f>
        <v/>
      </c>
      <c r="F704">
        <f>IF(A704="","",SUMIFS(المبيعات!$H$2:$H$2000,المبيعات!$C$2:$C$2000,A704,المبيعات!$J$2:$J$2000,"آجل"))</f>
        <v/>
      </c>
      <c r="G704" s="4" t="n"/>
      <c r="H704">
        <f>IF(A704="","",F704-G704)</f>
        <v/>
      </c>
    </row>
    <row r="705">
      <c r="A705" s="4" t="n"/>
      <c r="B705" s="4" t="n"/>
      <c r="C705">
        <f>IF(A705="","",SUMPRODUCT((المبيعات!$C$2:$C$2000=A705)*(المبيعات!$B$2:$B$2000&lt;&gt;"")/COUNTIFS(المبيعات!$B$2:$B$2000,المبيعات!$B$2:$B$2000&amp;"",المبيعات!$C$2:$C$2000,المبيعات!$C$2:$C$2000&amp;"")))</f>
        <v/>
      </c>
      <c r="D705">
        <f>IF(A705="","",SUMIFS(المبيعات!$H$2:$H$2000,المبيعات!$C$2:$C$2000,A705))</f>
        <v/>
      </c>
      <c r="E705" s="13">
        <f>IF(A705="","",IF(COUNTIF(المبيعات!$C$2:$C$2000,A705)=0,"",_xlfn.MAXIFS(المبيعات!$A$2:$A$2000,المبيعات!$C$2:$C$2000,A705)))</f>
        <v/>
      </c>
      <c r="F705">
        <f>IF(A705="","",SUMIFS(المبيعات!$H$2:$H$2000,المبيعات!$C$2:$C$2000,A705,المبيعات!$J$2:$J$2000,"آجل"))</f>
        <v/>
      </c>
      <c r="G705" s="4" t="n"/>
      <c r="H705">
        <f>IF(A705="","",F705-G705)</f>
        <v/>
      </c>
    </row>
    <row r="706">
      <c r="A706" s="4" t="n"/>
      <c r="B706" s="4" t="n"/>
      <c r="C706">
        <f>IF(A706="","",SUMPRODUCT((المبيعات!$C$2:$C$2000=A706)*(المبيعات!$B$2:$B$2000&lt;&gt;"")/COUNTIFS(المبيعات!$B$2:$B$2000,المبيعات!$B$2:$B$2000&amp;"",المبيعات!$C$2:$C$2000,المبيعات!$C$2:$C$2000&amp;"")))</f>
        <v/>
      </c>
      <c r="D706">
        <f>IF(A706="","",SUMIFS(المبيعات!$H$2:$H$2000,المبيعات!$C$2:$C$2000,A706))</f>
        <v/>
      </c>
      <c r="E706" s="13">
        <f>IF(A706="","",IF(COUNTIF(المبيعات!$C$2:$C$2000,A706)=0,"",_xlfn.MAXIFS(المبيعات!$A$2:$A$2000,المبيعات!$C$2:$C$2000,A706)))</f>
        <v/>
      </c>
      <c r="F706">
        <f>IF(A706="","",SUMIFS(المبيعات!$H$2:$H$2000,المبيعات!$C$2:$C$2000,A706,المبيعات!$J$2:$J$2000,"آجل"))</f>
        <v/>
      </c>
      <c r="G706" s="4" t="n"/>
      <c r="H706">
        <f>IF(A706="","",F706-G706)</f>
        <v/>
      </c>
    </row>
    <row r="707">
      <c r="A707" s="4" t="n"/>
      <c r="B707" s="4" t="n"/>
      <c r="C707">
        <f>IF(A707="","",SUMPRODUCT((المبيعات!$C$2:$C$2000=A707)*(المبيعات!$B$2:$B$2000&lt;&gt;"")/COUNTIFS(المبيعات!$B$2:$B$2000,المبيعات!$B$2:$B$2000&amp;"",المبيعات!$C$2:$C$2000,المبيعات!$C$2:$C$2000&amp;"")))</f>
        <v/>
      </c>
      <c r="D707">
        <f>IF(A707="","",SUMIFS(المبيعات!$H$2:$H$2000,المبيعات!$C$2:$C$2000,A707))</f>
        <v/>
      </c>
      <c r="E707" s="13">
        <f>IF(A707="","",IF(COUNTIF(المبيعات!$C$2:$C$2000,A707)=0,"",_xlfn.MAXIFS(المبيعات!$A$2:$A$2000,المبيعات!$C$2:$C$2000,A707)))</f>
        <v/>
      </c>
      <c r="F707">
        <f>IF(A707="","",SUMIFS(المبيعات!$H$2:$H$2000,المبيعات!$C$2:$C$2000,A707,المبيعات!$J$2:$J$2000,"آجل"))</f>
        <v/>
      </c>
      <c r="G707" s="4" t="n"/>
      <c r="H707">
        <f>IF(A707="","",F707-G707)</f>
        <v/>
      </c>
    </row>
    <row r="708">
      <c r="A708" s="4" t="n"/>
      <c r="B708" s="4" t="n"/>
      <c r="C708">
        <f>IF(A708="","",SUMPRODUCT((المبيعات!$C$2:$C$2000=A708)*(المبيعات!$B$2:$B$2000&lt;&gt;"")/COUNTIFS(المبيعات!$B$2:$B$2000,المبيعات!$B$2:$B$2000&amp;"",المبيعات!$C$2:$C$2000,المبيعات!$C$2:$C$2000&amp;"")))</f>
        <v/>
      </c>
      <c r="D708">
        <f>IF(A708="","",SUMIFS(المبيعات!$H$2:$H$2000,المبيعات!$C$2:$C$2000,A708))</f>
        <v/>
      </c>
      <c r="E708" s="13">
        <f>IF(A708="","",IF(COUNTIF(المبيعات!$C$2:$C$2000,A708)=0,"",_xlfn.MAXIFS(المبيعات!$A$2:$A$2000,المبيعات!$C$2:$C$2000,A708)))</f>
        <v/>
      </c>
      <c r="F708">
        <f>IF(A708="","",SUMIFS(المبيعات!$H$2:$H$2000,المبيعات!$C$2:$C$2000,A708,المبيعات!$J$2:$J$2000,"آجل"))</f>
        <v/>
      </c>
      <c r="G708" s="4" t="n"/>
      <c r="H708">
        <f>IF(A708="","",F708-G708)</f>
        <v/>
      </c>
    </row>
    <row r="709">
      <c r="A709" s="4" t="n"/>
      <c r="B709" s="4" t="n"/>
      <c r="C709">
        <f>IF(A709="","",SUMPRODUCT((المبيعات!$C$2:$C$2000=A709)*(المبيعات!$B$2:$B$2000&lt;&gt;"")/COUNTIFS(المبيعات!$B$2:$B$2000,المبيعات!$B$2:$B$2000&amp;"",المبيعات!$C$2:$C$2000,المبيعات!$C$2:$C$2000&amp;"")))</f>
        <v/>
      </c>
      <c r="D709">
        <f>IF(A709="","",SUMIFS(المبيعات!$H$2:$H$2000,المبيعات!$C$2:$C$2000,A709))</f>
        <v/>
      </c>
      <c r="E709" s="13">
        <f>IF(A709="","",IF(COUNTIF(المبيعات!$C$2:$C$2000,A709)=0,"",_xlfn.MAXIFS(المبيعات!$A$2:$A$2000,المبيعات!$C$2:$C$2000,A709)))</f>
        <v/>
      </c>
      <c r="F709">
        <f>IF(A709="","",SUMIFS(المبيعات!$H$2:$H$2000,المبيعات!$C$2:$C$2000,A709,المبيعات!$J$2:$J$2000,"آجل"))</f>
        <v/>
      </c>
      <c r="G709" s="4" t="n"/>
      <c r="H709">
        <f>IF(A709="","",F709-G709)</f>
        <v/>
      </c>
    </row>
    <row r="710">
      <c r="A710" s="4" t="n"/>
      <c r="B710" s="4" t="n"/>
      <c r="C710">
        <f>IF(A710="","",SUMPRODUCT((المبيعات!$C$2:$C$2000=A710)*(المبيعات!$B$2:$B$2000&lt;&gt;"")/COUNTIFS(المبيعات!$B$2:$B$2000,المبيعات!$B$2:$B$2000&amp;"",المبيعات!$C$2:$C$2000,المبيعات!$C$2:$C$2000&amp;"")))</f>
        <v/>
      </c>
      <c r="D710">
        <f>IF(A710="","",SUMIFS(المبيعات!$H$2:$H$2000,المبيعات!$C$2:$C$2000,A710))</f>
        <v/>
      </c>
      <c r="E710" s="13">
        <f>IF(A710="","",IF(COUNTIF(المبيعات!$C$2:$C$2000,A710)=0,"",_xlfn.MAXIFS(المبيعات!$A$2:$A$2000,المبيعات!$C$2:$C$2000,A710)))</f>
        <v/>
      </c>
      <c r="F710">
        <f>IF(A710="","",SUMIFS(المبيعات!$H$2:$H$2000,المبيعات!$C$2:$C$2000,A710,المبيعات!$J$2:$J$2000,"آجل"))</f>
        <v/>
      </c>
      <c r="G710" s="4" t="n"/>
      <c r="H710">
        <f>IF(A710="","",F710-G710)</f>
        <v/>
      </c>
    </row>
    <row r="711">
      <c r="A711" s="4" t="n"/>
      <c r="B711" s="4" t="n"/>
      <c r="C711">
        <f>IF(A711="","",SUMPRODUCT((المبيعات!$C$2:$C$2000=A711)*(المبيعات!$B$2:$B$2000&lt;&gt;"")/COUNTIFS(المبيعات!$B$2:$B$2000,المبيعات!$B$2:$B$2000&amp;"",المبيعات!$C$2:$C$2000,المبيعات!$C$2:$C$2000&amp;"")))</f>
        <v/>
      </c>
      <c r="D711">
        <f>IF(A711="","",SUMIFS(المبيعات!$H$2:$H$2000,المبيعات!$C$2:$C$2000,A711))</f>
        <v/>
      </c>
      <c r="E711" s="13">
        <f>IF(A711="","",IF(COUNTIF(المبيعات!$C$2:$C$2000,A711)=0,"",_xlfn.MAXIFS(المبيعات!$A$2:$A$2000,المبيعات!$C$2:$C$2000,A711)))</f>
        <v/>
      </c>
      <c r="F711">
        <f>IF(A711="","",SUMIFS(المبيعات!$H$2:$H$2000,المبيعات!$C$2:$C$2000,A711,المبيعات!$J$2:$J$2000,"آجل"))</f>
        <v/>
      </c>
      <c r="G711" s="4" t="n"/>
      <c r="H711">
        <f>IF(A711="","",F711-G711)</f>
        <v/>
      </c>
    </row>
    <row r="712">
      <c r="A712" s="4" t="n"/>
      <c r="B712" s="4" t="n"/>
      <c r="C712">
        <f>IF(A712="","",SUMPRODUCT((المبيعات!$C$2:$C$2000=A712)*(المبيعات!$B$2:$B$2000&lt;&gt;"")/COUNTIFS(المبيعات!$B$2:$B$2000,المبيعات!$B$2:$B$2000&amp;"",المبيعات!$C$2:$C$2000,المبيعات!$C$2:$C$2000&amp;"")))</f>
        <v/>
      </c>
      <c r="D712">
        <f>IF(A712="","",SUMIFS(المبيعات!$H$2:$H$2000,المبيعات!$C$2:$C$2000,A712))</f>
        <v/>
      </c>
      <c r="E712" s="13">
        <f>IF(A712="","",IF(COUNTIF(المبيعات!$C$2:$C$2000,A712)=0,"",_xlfn.MAXIFS(المبيعات!$A$2:$A$2000,المبيعات!$C$2:$C$2000,A712)))</f>
        <v/>
      </c>
      <c r="F712">
        <f>IF(A712="","",SUMIFS(المبيعات!$H$2:$H$2000,المبيعات!$C$2:$C$2000,A712,المبيعات!$J$2:$J$2000,"آجل"))</f>
        <v/>
      </c>
      <c r="G712" s="4" t="n"/>
      <c r="H712">
        <f>IF(A712="","",F712-G712)</f>
        <v/>
      </c>
    </row>
    <row r="713">
      <c r="A713" s="4" t="n"/>
      <c r="B713" s="4" t="n"/>
      <c r="C713">
        <f>IF(A713="","",SUMPRODUCT((المبيعات!$C$2:$C$2000=A713)*(المبيعات!$B$2:$B$2000&lt;&gt;"")/COUNTIFS(المبيعات!$B$2:$B$2000,المبيعات!$B$2:$B$2000&amp;"",المبيعات!$C$2:$C$2000,المبيعات!$C$2:$C$2000&amp;"")))</f>
        <v/>
      </c>
      <c r="D713">
        <f>IF(A713="","",SUMIFS(المبيعات!$H$2:$H$2000,المبيعات!$C$2:$C$2000,A713))</f>
        <v/>
      </c>
      <c r="E713" s="13">
        <f>IF(A713="","",IF(COUNTIF(المبيعات!$C$2:$C$2000,A713)=0,"",_xlfn.MAXIFS(المبيعات!$A$2:$A$2000,المبيعات!$C$2:$C$2000,A713)))</f>
        <v/>
      </c>
      <c r="F713">
        <f>IF(A713="","",SUMIFS(المبيعات!$H$2:$H$2000,المبيعات!$C$2:$C$2000,A713,المبيعات!$J$2:$J$2000,"آجل"))</f>
        <v/>
      </c>
      <c r="G713" s="4" t="n"/>
      <c r="H713">
        <f>IF(A713="","",F713-G713)</f>
        <v/>
      </c>
    </row>
    <row r="714">
      <c r="A714" s="4" t="n"/>
      <c r="B714" s="4" t="n"/>
      <c r="C714">
        <f>IF(A714="","",SUMPRODUCT((المبيعات!$C$2:$C$2000=A714)*(المبيعات!$B$2:$B$2000&lt;&gt;"")/COUNTIFS(المبيعات!$B$2:$B$2000,المبيعات!$B$2:$B$2000&amp;"",المبيعات!$C$2:$C$2000,المبيعات!$C$2:$C$2000&amp;"")))</f>
        <v/>
      </c>
      <c r="D714">
        <f>IF(A714="","",SUMIFS(المبيعات!$H$2:$H$2000,المبيعات!$C$2:$C$2000,A714))</f>
        <v/>
      </c>
      <c r="E714" s="13">
        <f>IF(A714="","",IF(COUNTIF(المبيعات!$C$2:$C$2000,A714)=0,"",_xlfn.MAXIFS(المبيعات!$A$2:$A$2000,المبيعات!$C$2:$C$2000,A714)))</f>
        <v/>
      </c>
      <c r="F714">
        <f>IF(A714="","",SUMIFS(المبيعات!$H$2:$H$2000,المبيعات!$C$2:$C$2000,A714,المبيعات!$J$2:$J$2000,"آجل"))</f>
        <v/>
      </c>
      <c r="G714" s="4" t="n"/>
      <c r="H714">
        <f>IF(A714="","",F714-G714)</f>
        <v/>
      </c>
    </row>
    <row r="715">
      <c r="A715" s="4" t="n"/>
      <c r="B715" s="4" t="n"/>
      <c r="C715">
        <f>IF(A715="","",SUMPRODUCT((المبيعات!$C$2:$C$2000=A715)*(المبيعات!$B$2:$B$2000&lt;&gt;"")/COUNTIFS(المبيعات!$B$2:$B$2000,المبيعات!$B$2:$B$2000&amp;"",المبيعات!$C$2:$C$2000,المبيعات!$C$2:$C$2000&amp;"")))</f>
        <v/>
      </c>
      <c r="D715">
        <f>IF(A715="","",SUMIFS(المبيعات!$H$2:$H$2000,المبيعات!$C$2:$C$2000,A715))</f>
        <v/>
      </c>
      <c r="E715" s="13">
        <f>IF(A715="","",IF(COUNTIF(المبيعات!$C$2:$C$2000,A715)=0,"",_xlfn.MAXIFS(المبيعات!$A$2:$A$2000,المبيعات!$C$2:$C$2000,A715)))</f>
        <v/>
      </c>
      <c r="F715">
        <f>IF(A715="","",SUMIFS(المبيعات!$H$2:$H$2000,المبيعات!$C$2:$C$2000,A715,المبيعات!$J$2:$J$2000,"آجل"))</f>
        <v/>
      </c>
      <c r="G715" s="4" t="n"/>
      <c r="H715">
        <f>IF(A715="","",F715-G715)</f>
        <v/>
      </c>
    </row>
    <row r="716">
      <c r="A716" s="4" t="n"/>
      <c r="B716" s="4" t="n"/>
      <c r="C716">
        <f>IF(A716="","",SUMPRODUCT((المبيعات!$C$2:$C$2000=A716)*(المبيعات!$B$2:$B$2000&lt;&gt;"")/COUNTIFS(المبيعات!$B$2:$B$2000,المبيعات!$B$2:$B$2000&amp;"",المبيعات!$C$2:$C$2000,المبيعات!$C$2:$C$2000&amp;"")))</f>
        <v/>
      </c>
      <c r="D716">
        <f>IF(A716="","",SUMIFS(المبيعات!$H$2:$H$2000,المبيعات!$C$2:$C$2000,A716))</f>
        <v/>
      </c>
      <c r="E716" s="13">
        <f>IF(A716="","",IF(COUNTIF(المبيعات!$C$2:$C$2000,A716)=0,"",_xlfn.MAXIFS(المبيعات!$A$2:$A$2000,المبيعات!$C$2:$C$2000,A716)))</f>
        <v/>
      </c>
      <c r="F716">
        <f>IF(A716="","",SUMIFS(المبيعات!$H$2:$H$2000,المبيعات!$C$2:$C$2000,A716,المبيعات!$J$2:$J$2000,"آجل"))</f>
        <v/>
      </c>
      <c r="G716" s="4" t="n"/>
      <c r="H716">
        <f>IF(A716="","",F716-G716)</f>
        <v/>
      </c>
    </row>
    <row r="717">
      <c r="A717" s="4" t="n"/>
      <c r="B717" s="4" t="n"/>
      <c r="C717">
        <f>IF(A717="","",SUMPRODUCT((المبيعات!$C$2:$C$2000=A717)*(المبيعات!$B$2:$B$2000&lt;&gt;"")/COUNTIFS(المبيعات!$B$2:$B$2000,المبيعات!$B$2:$B$2000&amp;"",المبيعات!$C$2:$C$2000,المبيعات!$C$2:$C$2000&amp;"")))</f>
        <v/>
      </c>
      <c r="D717">
        <f>IF(A717="","",SUMIFS(المبيعات!$H$2:$H$2000,المبيعات!$C$2:$C$2000,A717))</f>
        <v/>
      </c>
      <c r="E717" s="13">
        <f>IF(A717="","",IF(COUNTIF(المبيعات!$C$2:$C$2000,A717)=0,"",_xlfn.MAXIFS(المبيعات!$A$2:$A$2000,المبيعات!$C$2:$C$2000,A717)))</f>
        <v/>
      </c>
      <c r="F717">
        <f>IF(A717="","",SUMIFS(المبيعات!$H$2:$H$2000,المبيعات!$C$2:$C$2000,A717,المبيعات!$J$2:$J$2000,"آجل"))</f>
        <v/>
      </c>
      <c r="G717" s="4" t="n"/>
      <c r="H717">
        <f>IF(A717="","",F717-G717)</f>
        <v/>
      </c>
    </row>
    <row r="718">
      <c r="A718" s="4" t="n"/>
      <c r="B718" s="4" t="n"/>
      <c r="C718">
        <f>IF(A718="","",SUMPRODUCT((المبيعات!$C$2:$C$2000=A718)*(المبيعات!$B$2:$B$2000&lt;&gt;"")/COUNTIFS(المبيعات!$B$2:$B$2000,المبيعات!$B$2:$B$2000&amp;"",المبيعات!$C$2:$C$2000,المبيعات!$C$2:$C$2000&amp;"")))</f>
        <v/>
      </c>
      <c r="D718">
        <f>IF(A718="","",SUMIFS(المبيعات!$H$2:$H$2000,المبيعات!$C$2:$C$2000,A718))</f>
        <v/>
      </c>
      <c r="E718" s="13">
        <f>IF(A718="","",IF(COUNTIF(المبيعات!$C$2:$C$2000,A718)=0,"",_xlfn.MAXIFS(المبيعات!$A$2:$A$2000,المبيعات!$C$2:$C$2000,A718)))</f>
        <v/>
      </c>
      <c r="F718">
        <f>IF(A718="","",SUMIFS(المبيعات!$H$2:$H$2000,المبيعات!$C$2:$C$2000,A718,المبيعات!$J$2:$J$2000,"آجل"))</f>
        <v/>
      </c>
      <c r="G718" s="4" t="n"/>
      <c r="H718">
        <f>IF(A718="","",F718-G718)</f>
        <v/>
      </c>
    </row>
    <row r="719">
      <c r="A719" s="4" t="n"/>
      <c r="B719" s="4" t="n"/>
      <c r="C719">
        <f>IF(A719="","",SUMPRODUCT((المبيعات!$C$2:$C$2000=A719)*(المبيعات!$B$2:$B$2000&lt;&gt;"")/COUNTIFS(المبيعات!$B$2:$B$2000,المبيعات!$B$2:$B$2000&amp;"",المبيعات!$C$2:$C$2000,المبيعات!$C$2:$C$2000&amp;"")))</f>
        <v/>
      </c>
      <c r="D719">
        <f>IF(A719="","",SUMIFS(المبيعات!$H$2:$H$2000,المبيعات!$C$2:$C$2000,A719))</f>
        <v/>
      </c>
      <c r="E719" s="13">
        <f>IF(A719="","",IF(COUNTIF(المبيعات!$C$2:$C$2000,A719)=0,"",_xlfn.MAXIFS(المبيعات!$A$2:$A$2000,المبيعات!$C$2:$C$2000,A719)))</f>
        <v/>
      </c>
      <c r="F719">
        <f>IF(A719="","",SUMIFS(المبيعات!$H$2:$H$2000,المبيعات!$C$2:$C$2000,A719,المبيعات!$J$2:$J$2000,"آجل"))</f>
        <v/>
      </c>
      <c r="G719" s="4" t="n"/>
      <c r="H719">
        <f>IF(A719="","",F719-G719)</f>
        <v/>
      </c>
    </row>
    <row r="720">
      <c r="A720" s="4" t="n"/>
      <c r="B720" s="4" t="n"/>
      <c r="C720">
        <f>IF(A720="","",SUMPRODUCT((المبيعات!$C$2:$C$2000=A720)*(المبيعات!$B$2:$B$2000&lt;&gt;"")/COUNTIFS(المبيعات!$B$2:$B$2000,المبيعات!$B$2:$B$2000&amp;"",المبيعات!$C$2:$C$2000,المبيعات!$C$2:$C$2000&amp;"")))</f>
        <v/>
      </c>
      <c r="D720">
        <f>IF(A720="","",SUMIFS(المبيعات!$H$2:$H$2000,المبيعات!$C$2:$C$2000,A720))</f>
        <v/>
      </c>
      <c r="E720" s="13">
        <f>IF(A720="","",IF(COUNTIF(المبيعات!$C$2:$C$2000,A720)=0,"",_xlfn.MAXIFS(المبيعات!$A$2:$A$2000,المبيعات!$C$2:$C$2000,A720)))</f>
        <v/>
      </c>
      <c r="F720">
        <f>IF(A720="","",SUMIFS(المبيعات!$H$2:$H$2000,المبيعات!$C$2:$C$2000,A720,المبيعات!$J$2:$J$2000,"آجل"))</f>
        <v/>
      </c>
      <c r="G720" s="4" t="n"/>
      <c r="H720">
        <f>IF(A720="","",F720-G720)</f>
        <v/>
      </c>
    </row>
    <row r="721">
      <c r="A721" s="4" t="n"/>
      <c r="B721" s="4" t="n"/>
      <c r="C721">
        <f>IF(A721="","",SUMPRODUCT((المبيعات!$C$2:$C$2000=A721)*(المبيعات!$B$2:$B$2000&lt;&gt;"")/COUNTIFS(المبيعات!$B$2:$B$2000,المبيعات!$B$2:$B$2000&amp;"",المبيعات!$C$2:$C$2000,المبيعات!$C$2:$C$2000&amp;"")))</f>
        <v/>
      </c>
      <c r="D721">
        <f>IF(A721="","",SUMIFS(المبيعات!$H$2:$H$2000,المبيعات!$C$2:$C$2000,A721))</f>
        <v/>
      </c>
      <c r="E721" s="13">
        <f>IF(A721="","",IF(COUNTIF(المبيعات!$C$2:$C$2000,A721)=0,"",_xlfn.MAXIFS(المبيعات!$A$2:$A$2000,المبيعات!$C$2:$C$2000,A721)))</f>
        <v/>
      </c>
      <c r="F721">
        <f>IF(A721="","",SUMIFS(المبيعات!$H$2:$H$2000,المبيعات!$C$2:$C$2000,A721,المبيعات!$J$2:$J$2000,"آجل"))</f>
        <v/>
      </c>
      <c r="G721" s="4" t="n"/>
      <c r="H721">
        <f>IF(A721="","",F721-G721)</f>
        <v/>
      </c>
    </row>
    <row r="722">
      <c r="A722" s="4" t="n"/>
      <c r="B722" s="4" t="n"/>
      <c r="C722">
        <f>IF(A722="","",SUMPRODUCT((المبيعات!$C$2:$C$2000=A722)*(المبيعات!$B$2:$B$2000&lt;&gt;"")/COUNTIFS(المبيعات!$B$2:$B$2000,المبيعات!$B$2:$B$2000&amp;"",المبيعات!$C$2:$C$2000,المبيعات!$C$2:$C$2000&amp;"")))</f>
        <v/>
      </c>
      <c r="D722">
        <f>IF(A722="","",SUMIFS(المبيعات!$H$2:$H$2000,المبيعات!$C$2:$C$2000,A722))</f>
        <v/>
      </c>
      <c r="E722" s="13">
        <f>IF(A722="","",IF(COUNTIF(المبيعات!$C$2:$C$2000,A722)=0,"",_xlfn.MAXIFS(المبيعات!$A$2:$A$2000,المبيعات!$C$2:$C$2000,A722)))</f>
        <v/>
      </c>
      <c r="F722">
        <f>IF(A722="","",SUMIFS(المبيعات!$H$2:$H$2000,المبيعات!$C$2:$C$2000,A722,المبيعات!$J$2:$J$2000,"آجل"))</f>
        <v/>
      </c>
      <c r="G722" s="4" t="n"/>
      <c r="H722">
        <f>IF(A722="","",F722-G722)</f>
        <v/>
      </c>
    </row>
    <row r="723">
      <c r="A723" s="4" t="n"/>
      <c r="B723" s="4" t="n"/>
      <c r="C723">
        <f>IF(A723="","",SUMPRODUCT((المبيعات!$C$2:$C$2000=A723)*(المبيعات!$B$2:$B$2000&lt;&gt;"")/COUNTIFS(المبيعات!$B$2:$B$2000,المبيعات!$B$2:$B$2000&amp;"",المبيعات!$C$2:$C$2000,المبيعات!$C$2:$C$2000&amp;"")))</f>
        <v/>
      </c>
      <c r="D723">
        <f>IF(A723="","",SUMIFS(المبيعات!$H$2:$H$2000,المبيعات!$C$2:$C$2000,A723))</f>
        <v/>
      </c>
      <c r="E723" s="13">
        <f>IF(A723="","",IF(COUNTIF(المبيعات!$C$2:$C$2000,A723)=0,"",_xlfn.MAXIFS(المبيعات!$A$2:$A$2000,المبيعات!$C$2:$C$2000,A723)))</f>
        <v/>
      </c>
      <c r="F723">
        <f>IF(A723="","",SUMIFS(المبيعات!$H$2:$H$2000,المبيعات!$C$2:$C$2000,A723,المبيعات!$J$2:$J$2000,"آجل"))</f>
        <v/>
      </c>
      <c r="G723" s="4" t="n"/>
      <c r="H723">
        <f>IF(A723="","",F723-G723)</f>
        <v/>
      </c>
    </row>
    <row r="724">
      <c r="A724" s="4" t="n"/>
      <c r="B724" s="4" t="n"/>
      <c r="C724">
        <f>IF(A724="","",SUMPRODUCT((المبيعات!$C$2:$C$2000=A724)*(المبيعات!$B$2:$B$2000&lt;&gt;"")/COUNTIFS(المبيعات!$B$2:$B$2000,المبيعات!$B$2:$B$2000&amp;"",المبيعات!$C$2:$C$2000,المبيعات!$C$2:$C$2000&amp;"")))</f>
        <v/>
      </c>
      <c r="D724">
        <f>IF(A724="","",SUMIFS(المبيعات!$H$2:$H$2000,المبيعات!$C$2:$C$2000,A724))</f>
        <v/>
      </c>
      <c r="E724" s="13">
        <f>IF(A724="","",IF(COUNTIF(المبيعات!$C$2:$C$2000,A724)=0,"",_xlfn.MAXIFS(المبيعات!$A$2:$A$2000,المبيعات!$C$2:$C$2000,A724)))</f>
        <v/>
      </c>
      <c r="F724">
        <f>IF(A724="","",SUMIFS(المبيعات!$H$2:$H$2000,المبيعات!$C$2:$C$2000,A724,المبيعات!$J$2:$J$2000,"آجل"))</f>
        <v/>
      </c>
      <c r="G724" s="4" t="n"/>
      <c r="H724">
        <f>IF(A724="","",F724-G724)</f>
        <v/>
      </c>
    </row>
    <row r="725">
      <c r="A725" s="4" t="n"/>
      <c r="B725" s="4" t="n"/>
      <c r="C725">
        <f>IF(A725="","",SUMPRODUCT((المبيعات!$C$2:$C$2000=A725)*(المبيعات!$B$2:$B$2000&lt;&gt;"")/COUNTIFS(المبيعات!$B$2:$B$2000,المبيعات!$B$2:$B$2000&amp;"",المبيعات!$C$2:$C$2000,المبيعات!$C$2:$C$2000&amp;"")))</f>
        <v/>
      </c>
      <c r="D725">
        <f>IF(A725="","",SUMIFS(المبيعات!$H$2:$H$2000,المبيعات!$C$2:$C$2000,A725))</f>
        <v/>
      </c>
      <c r="E725" s="13">
        <f>IF(A725="","",IF(COUNTIF(المبيعات!$C$2:$C$2000,A725)=0,"",_xlfn.MAXIFS(المبيعات!$A$2:$A$2000,المبيعات!$C$2:$C$2000,A725)))</f>
        <v/>
      </c>
      <c r="F725">
        <f>IF(A725="","",SUMIFS(المبيعات!$H$2:$H$2000,المبيعات!$C$2:$C$2000,A725,المبيعات!$J$2:$J$2000,"آجل"))</f>
        <v/>
      </c>
      <c r="G725" s="4" t="n"/>
      <c r="H725">
        <f>IF(A725="","",F725-G725)</f>
        <v/>
      </c>
    </row>
    <row r="726">
      <c r="A726" s="4" t="n"/>
      <c r="B726" s="4" t="n"/>
      <c r="C726">
        <f>IF(A726="","",SUMPRODUCT((المبيعات!$C$2:$C$2000=A726)*(المبيعات!$B$2:$B$2000&lt;&gt;"")/COUNTIFS(المبيعات!$B$2:$B$2000,المبيعات!$B$2:$B$2000&amp;"",المبيعات!$C$2:$C$2000,المبيعات!$C$2:$C$2000&amp;"")))</f>
        <v/>
      </c>
      <c r="D726">
        <f>IF(A726="","",SUMIFS(المبيعات!$H$2:$H$2000,المبيعات!$C$2:$C$2000,A726))</f>
        <v/>
      </c>
      <c r="E726" s="13">
        <f>IF(A726="","",IF(COUNTIF(المبيعات!$C$2:$C$2000,A726)=0,"",_xlfn.MAXIFS(المبيعات!$A$2:$A$2000,المبيعات!$C$2:$C$2000,A726)))</f>
        <v/>
      </c>
      <c r="F726">
        <f>IF(A726="","",SUMIFS(المبيعات!$H$2:$H$2000,المبيعات!$C$2:$C$2000,A726,المبيعات!$J$2:$J$2000,"آجل"))</f>
        <v/>
      </c>
      <c r="G726" s="4" t="n"/>
      <c r="H726">
        <f>IF(A726="","",F726-G726)</f>
        <v/>
      </c>
    </row>
    <row r="727">
      <c r="A727" s="4" t="n"/>
      <c r="B727" s="4" t="n"/>
      <c r="C727">
        <f>IF(A727="","",SUMPRODUCT((المبيعات!$C$2:$C$2000=A727)*(المبيعات!$B$2:$B$2000&lt;&gt;"")/COUNTIFS(المبيعات!$B$2:$B$2000,المبيعات!$B$2:$B$2000&amp;"",المبيعات!$C$2:$C$2000,المبيعات!$C$2:$C$2000&amp;"")))</f>
        <v/>
      </c>
      <c r="D727">
        <f>IF(A727="","",SUMIFS(المبيعات!$H$2:$H$2000,المبيعات!$C$2:$C$2000,A727))</f>
        <v/>
      </c>
      <c r="E727" s="13">
        <f>IF(A727="","",IF(COUNTIF(المبيعات!$C$2:$C$2000,A727)=0,"",_xlfn.MAXIFS(المبيعات!$A$2:$A$2000,المبيعات!$C$2:$C$2000,A727)))</f>
        <v/>
      </c>
      <c r="F727">
        <f>IF(A727="","",SUMIFS(المبيعات!$H$2:$H$2000,المبيعات!$C$2:$C$2000,A727,المبيعات!$J$2:$J$2000,"آجل"))</f>
        <v/>
      </c>
      <c r="G727" s="4" t="n"/>
      <c r="H727">
        <f>IF(A727="","",F727-G727)</f>
        <v/>
      </c>
    </row>
    <row r="728">
      <c r="A728" s="4" t="n"/>
      <c r="B728" s="4" t="n"/>
      <c r="C728">
        <f>IF(A728="","",SUMPRODUCT((المبيعات!$C$2:$C$2000=A728)*(المبيعات!$B$2:$B$2000&lt;&gt;"")/COUNTIFS(المبيعات!$B$2:$B$2000,المبيعات!$B$2:$B$2000&amp;"",المبيعات!$C$2:$C$2000,المبيعات!$C$2:$C$2000&amp;"")))</f>
        <v/>
      </c>
      <c r="D728">
        <f>IF(A728="","",SUMIFS(المبيعات!$H$2:$H$2000,المبيعات!$C$2:$C$2000,A728))</f>
        <v/>
      </c>
      <c r="E728" s="13">
        <f>IF(A728="","",IF(COUNTIF(المبيعات!$C$2:$C$2000,A728)=0,"",_xlfn.MAXIFS(المبيعات!$A$2:$A$2000,المبيعات!$C$2:$C$2000,A728)))</f>
        <v/>
      </c>
      <c r="F728">
        <f>IF(A728="","",SUMIFS(المبيعات!$H$2:$H$2000,المبيعات!$C$2:$C$2000,A728,المبيعات!$J$2:$J$2000,"آجل"))</f>
        <v/>
      </c>
      <c r="G728" s="4" t="n"/>
      <c r="H728">
        <f>IF(A728="","",F728-G728)</f>
        <v/>
      </c>
    </row>
    <row r="729">
      <c r="A729" s="4" t="n"/>
      <c r="B729" s="4" t="n"/>
      <c r="C729">
        <f>IF(A729="","",SUMPRODUCT((المبيعات!$C$2:$C$2000=A729)*(المبيعات!$B$2:$B$2000&lt;&gt;"")/COUNTIFS(المبيعات!$B$2:$B$2000,المبيعات!$B$2:$B$2000&amp;"",المبيعات!$C$2:$C$2000,المبيعات!$C$2:$C$2000&amp;"")))</f>
        <v/>
      </c>
      <c r="D729">
        <f>IF(A729="","",SUMIFS(المبيعات!$H$2:$H$2000,المبيعات!$C$2:$C$2000,A729))</f>
        <v/>
      </c>
      <c r="E729" s="13">
        <f>IF(A729="","",IF(COUNTIF(المبيعات!$C$2:$C$2000,A729)=0,"",_xlfn.MAXIFS(المبيعات!$A$2:$A$2000,المبيعات!$C$2:$C$2000,A729)))</f>
        <v/>
      </c>
      <c r="F729">
        <f>IF(A729="","",SUMIFS(المبيعات!$H$2:$H$2000,المبيعات!$C$2:$C$2000,A729,المبيعات!$J$2:$J$2000,"آجل"))</f>
        <v/>
      </c>
      <c r="G729" s="4" t="n"/>
      <c r="H729">
        <f>IF(A729="","",F729-G729)</f>
        <v/>
      </c>
    </row>
    <row r="730">
      <c r="A730" s="4" t="n"/>
      <c r="B730" s="4" t="n"/>
      <c r="C730">
        <f>IF(A730="","",SUMPRODUCT((المبيعات!$C$2:$C$2000=A730)*(المبيعات!$B$2:$B$2000&lt;&gt;"")/COUNTIFS(المبيعات!$B$2:$B$2000,المبيعات!$B$2:$B$2000&amp;"",المبيعات!$C$2:$C$2000,المبيعات!$C$2:$C$2000&amp;"")))</f>
        <v/>
      </c>
      <c r="D730">
        <f>IF(A730="","",SUMIFS(المبيعات!$H$2:$H$2000,المبيعات!$C$2:$C$2000,A730))</f>
        <v/>
      </c>
      <c r="E730" s="13">
        <f>IF(A730="","",IF(COUNTIF(المبيعات!$C$2:$C$2000,A730)=0,"",_xlfn.MAXIFS(المبيعات!$A$2:$A$2000,المبيعات!$C$2:$C$2000,A730)))</f>
        <v/>
      </c>
      <c r="F730">
        <f>IF(A730="","",SUMIFS(المبيعات!$H$2:$H$2000,المبيعات!$C$2:$C$2000,A730,المبيعات!$J$2:$J$2000,"آجل"))</f>
        <v/>
      </c>
      <c r="G730" s="4" t="n"/>
      <c r="H730">
        <f>IF(A730="","",F730-G730)</f>
        <v/>
      </c>
    </row>
    <row r="731">
      <c r="A731" s="4" t="n"/>
      <c r="B731" s="4" t="n"/>
      <c r="C731">
        <f>IF(A731="","",SUMPRODUCT((المبيعات!$C$2:$C$2000=A731)*(المبيعات!$B$2:$B$2000&lt;&gt;"")/COUNTIFS(المبيعات!$B$2:$B$2000,المبيعات!$B$2:$B$2000&amp;"",المبيعات!$C$2:$C$2000,المبيعات!$C$2:$C$2000&amp;"")))</f>
        <v/>
      </c>
      <c r="D731">
        <f>IF(A731="","",SUMIFS(المبيعات!$H$2:$H$2000,المبيعات!$C$2:$C$2000,A731))</f>
        <v/>
      </c>
      <c r="E731" s="13">
        <f>IF(A731="","",IF(COUNTIF(المبيعات!$C$2:$C$2000,A731)=0,"",_xlfn.MAXIFS(المبيعات!$A$2:$A$2000,المبيعات!$C$2:$C$2000,A731)))</f>
        <v/>
      </c>
      <c r="F731">
        <f>IF(A731="","",SUMIFS(المبيعات!$H$2:$H$2000,المبيعات!$C$2:$C$2000,A731,المبيعات!$J$2:$J$2000,"آجل"))</f>
        <v/>
      </c>
      <c r="G731" s="4" t="n"/>
      <c r="H731">
        <f>IF(A731="","",F731-G731)</f>
        <v/>
      </c>
    </row>
    <row r="732">
      <c r="A732" s="4" t="n"/>
      <c r="B732" s="4" t="n"/>
      <c r="C732">
        <f>IF(A732="","",SUMPRODUCT((المبيعات!$C$2:$C$2000=A732)*(المبيعات!$B$2:$B$2000&lt;&gt;"")/COUNTIFS(المبيعات!$B$2:$B$2000,المبيعات!$B$2:$B$2000&amp;"",المبيعات!$C$2:$C$2000,المبيعات!$C$2:$C$2000&amp;"")))</f>
        <v/>
      </c>
      <c r="D732">
        <f>IF(A732="","",SUMIFS(المبيعات!$H$2:$H$2000,المبيعات!$C$2:$C$2000,A732))</f>
        <v/>
      </c>
      <c r="E732" s="13">
        <f>IF(A732="","",IF(COUNTIF(المبيعات!$C$2:$C$2000,A732)=0,"",_xlfn.MAXIFS(المبيعات!$A$2:$A$2000,المبيعات!$C$2:$C$2000,A732)))</f>
        <v/>
      </c>
      <c r="F732">
        <f>IF(A732="","",SUMIFS(المبيعات!$H$2:$H$2000,المبيعات!$C$2:$C$2000,A732,المبيعات!$J$2:$J$2000,"آجل"))</f>
        <v/>
      </c>
      <c r="G732" s="4" t="n"/>
      <c r="H732">
        <f>IF(A732="","",F732-G732)</f>
        <v/>
      </c>
    </row>
    <row r="733">
      <c r="A733" s="4" t="n"/>
      <c r="B733" s="4" t="n"/>
      <c r="C733">
        <f>IF(A733="","",SUMPRODUCT((المبيعات!$C$2:$C$2000=A733)*(المبيعات!$B$2:$B$2000&lt;&gt;"")/COUNTIFS(المبيعات!$B$2:$B$2000,المبيعات!$B$2:$B$2000&amp;"",المبيعات!$C$2:$C$2000,المبيعات!$C$2:$C$2000&amp;"")))</f>
        <v/>
      </c>
      <c r="D733">
        <f>IF(A733="","",SUMIFS(المبيعات!$H$2:$H$2000,المبيعات!$C$2:$C$2000,A733))</f>
        <v/>
      </c>
      <c r="E733" s="13">
        <f>IF(A733="","",IF(COUNTIF(المبيعات!$C$2:$C$2000,A733)=0,"",_xlfn.MAXIFS(المبيعات!$A$2:$A$2000,المبيعات!$C$2:$C$2000,A733)))</f>
        <v/>
      </c>
      <c r="F733">
        <f>IF(A733="","",SUMIFS(المبيعات!$H$2:$H$2000,المبيعات!$C$2:$C$2000,A733,المبيعات!$J$2:$J$2000,"آجل"))</f>
        <v/>
      </c>
      <c r="G733" s="4" t="n"/>
      <c r="H733">
        <f>IF(A733="","",F733-G733)</f>
        <v/>
      </c>
    </row>
    <row r="734">
      <c r="A734" s="4" t="n"/>
      <c r="B734" s="4" t="n"/>
      <c r="C734">
        <f>IF(A734="","",SUMPRODUCT((المبيعات!$C$2:$C$2000=A734)*(المبيعات!$B$2:$B$2000&lt;&gt;"")/COUNTIFS(المبيعات!$B$2:$B$2000,المبيعات!$B$2:$B$2000&amp;"",المبيعات!$C$2:$C$2000,المبيعات!$C$2:$C$2000&amp;"")))</f>
        <v/>
      </c>
      <c r="D734">
        <f>IF(A734="","",SUMIFS(المبيعات!$H$2:$H$2000,المبيعات!$C$2:$C$2000,A734))</f>
        <v/>
      </c>
      <c r="E734" s="13">
        <f>IF(A734="","",IF(COUNTIF(المبيعات!$C$2:$C$2000,A734)=0,"",_xlfn.MAXIFS(المبيعات!$A$2:$A$2000,المبيعات!$C$2:$C$2000,A734)))</f>
        <v/>
      </c>
      <c r="F734">
        <f>IF(A734="","",SUMIFS(المبيعات!$H$2:$H$2000,المبيعات!$C$2:$C$2000,A734,المبيعات!$J$2:$J$2000,"آجل"))</f>
        <v/>
      </c>
      <c r="G734" s="4" t="n"/>
      <c r="H734">
        <f>IF(A734="","",F734-G734)</f>
        <v/>
      </c>
    </row>
    <row r="735">
      <c r="A735" s="4" t="n"/>
      <c r="B735" s="4" t="n"/>
      <c r="C735">
        <f>IF(A735="","",SUMPRODUCT((المبيعات!$C$2:$C$2000=A735)*(المبيعات!$B$2:$B$2000&lt;&gt;"")/COUNTIFS(المبيعات!$B$2:$B$2000,المبيعات!$B$2:$B$2000&amp;"",المبيعات!$C$2:$C$2000,المبيعات!$C$2:$C$2000&amp;"")))</f>
        <v/>
      </c>
      <c r="D735">
        <f>IF(A735="","",SUMIFS(المبيعات!$H$2:$H$2000,المبيعات!$C$2:$C$2000,A735))</f>
        <v/>
      </c>
      <c r="E735" s="13">
        <f>IF(A735="","",IF(COUNTIF(المبيعات!$C$2:$C$2000,A735)=0,"",_xlfn.MAXIFS(المبيعات!$A$2:$A$2000,المبيعات!$C$2:$C$2000,A735)))</f>
        <v/>
      </c>
      <c r="F735">
        <f>IF(A735="","",SUMIFS(المبيعات!$H$2:$H$2000,المبيعات!$C$2:$C$2000,A735,المبيعات!$J$2:$J$2000,"آجل"))</f>
        <v/>
      </c>
      <c r="G735" s="4" t="n"/>
      <c r="H735">
        <f>IF(A735="","",F735-G735)</f>
        <v/>
      </c>
    </row>
    <row r="736">
      <c r="A736" s="4" t="n"/>
      <c r="B736" s="4" t="n"/>
      <c r="C736">
        <f>IF(A736="","",SUMPRODUCT((المبيعات!$C$2:$C$2000=A736)*(المبيعات!$B$2:$B$2000&lt;&gt;"")/COUNTIFS(المبيعات!$B$2:$B$2000,المبيعات!$B$2:$B$2000&amp;"",المبيعات!$C$2:$C$2000,المبيعات!$C$2:$C$2000&amp;"")))</f>
        <v/>
      </c>
      <c r="D736">
        <f>IF(A736="","",SUMIFS(المبيعات!$H$2:$H$2000,المبيعات!$C$2:$C$2000,A736))</f>
        <v/>
      </c>
      <c r="E736" s="13">
        <f>IF(A736="","",IF(COUNTIF(المبيعات!$C$2:$C$2000,A736)=0,"",_xlfn.MAXIFS(المبيعات!$A$2:$A$2000,المبيعات!$C$2:$C$2000,A736)))</f>
        <v/>
      </c>
      <c r="F736">
        <f>IF(A736="","",SUMIFS(المبيعات!$H$2:$H$2000,المبيعات!$C$2:$C$2000,A736,المبيعات!$J$2:$J$2000,"آجل"))</f>
        <v/>
      </c>
      <c r="G736" s="4" t="n"/>
      <c r="H736">
        <f>IF(A736="","",F736-G736)</f>
        <v/>
      </c>
    </row>
    <row r="737">
      <c r="A737" s="4" t="n"/>
      <c r="B737" s="4" t="n"/>
      <c r="C737">
        <f>IF(A737="","",SUMPRODUCT((المبيعات!$C$2:$C$2000=A737)*(المبيعات!$B$2:$B$2000&lt;&gt;"")/COUNTIFS(المبيعات!$B$2:$B$2000,المبيعات!$B$2:$B$2000&amp;"",المبيعات!$C$2:$C$2000,المبيعات!$C$2:$C$2000&amp;"")))</f>
        <v/>
      </c>
      <c r="D737">
        <f>IF(A737="","",SUMIFS(المبيعات!$H$2:$H$2000,المبيعات!$C$2:$C$2000,A737))</f>
        <v/>
      </c>
      <c r="E737" s="13">
        <f>IF(A737="","",IF(COUNTIF(المبيعات!$C$2:$C$2000,A737)=0,"",_xlfn.MAXIFS(المبيعات!$A$2:$A$2000,المبيعات!$C$2:$C$2000,A737)))</f>
        <v/>
      </c>
      <c r="F737">
        <f>IF(A737="","",SUMIFS(المبيعات!$H$2:$H$2000,المبيعات!$C$2:$C$2000,A737,المبيعات!$J$2:$J$2000,"آجل"))</f>
        <v/>
      </c>
      <c r="G737" s="4" t="n"/>
      <c r="H737">
        <f>IF(A737="","",F737-G737)</f>
        <v/>
      </c>
    </row>
    <row r="738">
      <c r="A738" s="4" t="n"/>
      <c r="B738" s="4" t="n"/>
      <c r="C738">
        <f>IF(A738="","",SUMPRODUCT((المبيعات!$C$2:$C$2000=A738)*(المبيعات!$B$2:$B$2000&lt;&gt;"")/COUNTIFS(المبيعات!$B$2:$B$2000,المبيعات!$B$2:$B$2000&amp;"",المبيعات!$C$2:$C$2000,المبيعات!$C$2:$C$2000&amp;"")))</f>
        <v/>
      </c>
      <c r="D738">
        <f>IF(A738="","",SUMIFS(المبيعات!$H$2:$H$2000,المبيعات!$C$2:$C$2000,A738))</f>
        <v/>
      </c>
      <c r="E738" s="13">
        <f>IF(A738="","",IF(COUNTIF(المبيعات!$C$2:$C$2000,A738)=0,"",_xlfn.MAXIFS(المبيعات!$A$2:$A$2000,المبيعات!$C$2:$C$2000,A738)))</f>
        <v/>
      </c>
      <c r="F738">
        <f>IF(A738="","",SUMIFS(المبيعات!$H$2:$H$2000,المبيعات!$C$2:$C$2000,A738,المبيعات!$J$2:$J$2000,"آجل"))</f>
        <v/>
      </c>
      <c r="G738" s="4" t="n"/>
      <c r="H738">
        <f>IF(A738="","",F738-G738)</f>
        <v/>
      </c>
    </row>
    <row r="739">
      <c r="A739" s="4" t="n"/>
      <c r="B739" s="4" t="n"/>
      <c r="C739">
        <f>IF(A739="","",SUMPRODUCT((المبيعات!$C$2:$C$2000=A739)*(المبيعات!$B$2:$B$2000&lt;&gt;"")/COUNTIFS(المبيعات!$B$2:$B$2000,المبيعات!$B$2:$B$2000&amp;"",المبيعات!$C$2:$C$2000,المبيعات!$C$2:$C$2000&amp;"")))</f>
        <v/>
      </c>
      <c r="D739">
        <f>IF(A739="","",SUMIFS(المبيعات!$H$2:$H$2000,المبيعات!$C$2:$C$2000,A739))</f>
        <v/>
      </c>
      <c r="E739" s="13">
        <f>IF(A739="","",IF(COUNTIF(المبيعات!$C$2:$C$2000,A739)=0,"",_xlfn.MAXIFS(المبيعات!$A$2:$A$2000,المبيعات!$C$2:$C$2000,A739)))</f>
        <v/>
      </c>
      <c r="F739">
        <f>IF(A739="","",SUMIFS(المبيعات!$H$2:$H$2000,المبيعات!$C$2:$C$2000,A739,المبيعات!$J$2:$J$2000,"آجل"))</f>
        <v/>
      </c>
      <c r="G739" s="4" t="n"/>
      <c r="H739">
        <f>IF(A739="","",F739-G739)</f>
        <v/>
      </c>
    </row>
    <row r="740">
      <c r="A740" s="4" t="n"/>
      <c r="B740" s="4" t="n"/>
      <c r="C740">
        <f>IF(A740="","",SUMPRODUCT((المبيعات!$C$2:$C$2000=A740)*(المبيعات!$B$2:$B$2000&lt;&gt;"")/COUNTIFS(المبيعات!$B$2:$B$2000,المبيعات!$B$2:$B$2000&amp;"",المبيعات!$C$2:$C$2000,المبيعات!$C$2:$C$2000&amp;"")))</f>
        <v/>
      </c>
      <c r="D740">
        <f>IF(A740="","",SUMIFS(المبيعات!$H$2:$H$2000,المبيعات!$C$2:$C$2000,A740))</f>
        <v/>
      </c>
      <c r="E740" s="13">
        <f>IF(A740="","",IF(COUNTIF(المبيعات!$C$2:$C$2000,A740)=0,"",_xlfn.MAXIFS(المبيعات!$A$2:$A$2000,المبيعات!$C$2:$C$2000,A740)))</f>
        <v/>
      </c>
      <c r="F740">
        <f>IF(A740="","",SUMIFS(المبيعات!$H$2:$H$2000,المبيعات!$C$2:$C$2000,A740,المبيعات!$J$2:$J$2000,"آجل"))</f>
        <v/>
      </c>
      <c r="G740" s="4" t="n"/>
      <c r="H740">
        <f>IF(A740="","",F740-G740)</f>
        <v/>
      </c>
    </row>
    <row r="741">
      <c r="A741" s="4" t="n"/>
      <c r="B741" s="4" t="n"/>
      <c r="C741">
        <f>IF(A741="","",SUMPRODUCT((المبيعات!$C$2:$C$2000=A741)*(المبيعات!$B$2:$B$2000&lt;&gt;"")/COUNTIFS(المبيعات!$B$2:$B$2000,المبيعات!$B$2:$B$2000&amp;"",المبيعات!$C$2:$C$2000,المبيعات!$C$2:$C$2000&amp;"")))</f>
        <v/>
      </c>
      <c r="D741">
        <f>IF(A741="","",SUMIFS(المبيعات!$H$2:$H$2000,المبيعات!$C$2:$C$2000,A741))</f>
        <v/>
      </c>
      <c r="E741" s="13">
        <f>IF(A741="","",IF(COUNTIF(المبيعات!$C$2:$C$2000,A741)=0,"",_xlfn.MAXIFS(المبيعات!$A$2:$A$2000,المبيعات!$C$2:$C$2000,A741)))</f>
        <v/>
      </c>
      <c r="F741">
        <f>IF(A741="","",SUMIFS(المبيعات!$H$2:$H$2000,المبيعات!$C$2:$C$2000,A741,المبيعات!$J$2:$J$2000,"آجل"))</f>
        <v/>
      </c>
      <c r="G741" s="4" t="n"/>
      <c r="H741">
        <f>IF(A741="","",F741-G741)</f>
        <v/>
      </c>
    </row>
    <row r="742">
      <c r="A742" s="4" t="n"/>
      <c r="B742" s="4" t="n"/>
      <c r="C742">
        <f>IF(A742="","",SUMPRODUCT((المبيعات!$C$2:$C$2000=A742)*(المبيعات!$B$2:$B$2000&lt;&gt;"")/COUNTIFS(المبيعات!$B$2:$B$2000,المبيعات!$B$2:$B$2000&amp;"",المبيعات!$C$2:$C$2000,المبيعات!$C$2:$C$2000&amp;"")))</f>
        <v/>
      </c>
      <c r="D742">
        <f>IF(A742="","",SUMIFS(المبيعات!$H$2:$H$2000,المبيعات!$C$2:$C$2000,A742))</f>
        <v/>
      </c>
      <c r="E742" s="13">
        <f>IF(A742="","",IF(COUNTIF(المبيعات!$C$2:$C$2000,A742)=0,"",_xlfn.MAXIFS(المبيعات!$A$2:$A$2000,المبيعات!$C$2:$C$2000,A742)))</f>
        <v/>
      </c>
      <c r="F742">
        <f>IF(A742="","",SUMIFS(المبيعات!$H$2:$H$2000,المبيعات!$C$2:$C$2000,A742,المبيعات!$J$2:$J$2000,"آجل"))</f>
        <v/>
      </c>
      <c r="G742" s="4" t="n"/>
      <c r="H742">
        <f>IF(A742="","",F742-G742)</f>
        <v/>
      </c>
    </row>
    <row r="743">
      <c r="A743" s="4" t="n"/>
      <c r="B743" s="4" t="n"/>
      <c r="C743">
        <f>IF(A743="","",SUMPRODUCT((المبيعات!$C$2:$C$2000=A743)*(المبيعات!$B$2:$B$2000&lt;&gt;"")/COUNTIFS(المبيعات!$B$2:$B$2000,المبيعات!$B$2:$B$2000&amp;"",المبيعات!$C$2:$C$2000,المبيعات!$C$2:$C$2000&amp;"")))</f>
        <v/>
      </c>
      <c r="D743">
        <f>IF(A743="","",SUMIFS(المبيعات!$H$2:$H$2000,المبيعات!$C$2:$C$2000,A743))</f>
        <v/>
      </c>
      <c r="E743" s="13">
        <f>IF(A743="","",IF(COUNTIF(المبيعات!$C$2:$C$2000,A743)=0,"",_xlfn.MAXIFS(المبيعات!$A$2:$A$2000,المبيعات!$C$2:$C$2000,A743)))</f>
        <v/>
      </c>
      <c r="F743">
        <f>IF(A743="","",SUMIFS(المبيعات!$H$2:$H$2000,المبيعات!$C$2:$C$2000,A743,المبيعات!$J$2:$J$2000,"آجل"))</f>
        <v/>
      </c>
      <c r="G743" s="4" t="n"/>
      <c r="H743">
        <f>IF(A743="","",F743-G743)</f>
        <v/>
      </c>
    </row>
    <row r="744">
      <c r="A744" s="4" t="n"/>
      <c r="B744" s="4" t="n"/>
      <c r="C744">
        <f>IF(A744="","",SUMPRODUCT((المبيعات!$C$2:$C$2000=A744)*(المبيعات!$B$2:$B$2000&lt;&gt;"")/COUNTIFS(المبيعات!$B$2:$B$2000,المبيعات!$B$2:$B$2000&amp;"",المبيعات!$C$2:$C$2000,المبيعات!$C$2:$C$2000&amp;"")))</f>
        <v/>
      </c>
      <c r="D744">
        <f>IF(A744="","",SUMIFS(المبيعات!$H$2:$H$2000,المبيعات!$C$2:$C$2000,A744))</f>
        <v/>
      </c>
      <c r="E744" s="13">
        <f>IF(A744="","",IF(COUNTIF(المبيعات!$C$2:$C$2000,A744)=0,"",_xlfn.MAXIFS(المبيعات!$A$2:$A$2000,المبيعات!$C$2:$C$2000,A744)))</f>
        <v/>
      </c>
      <c r="F744">
        <f>IF(A744="","",SUMIFS(المبيعات!$H$2:$H$2000,المبيعات!$C$2:$C$2000,A744,المبيعات!$J$2:$J$2000,"آجل"))</f>
        <v/>
      </c>
      <c r="G744" s="4" t="n"/>
      <c r="H744">
        <f>IF(A744="","",F744-G744)</f>
        <v/>
      </c>
    </row>
    <row r="745">
      <c r="A745" s="4" t="n"/>
      <c r="B745" s="4" t="n"/>
      <c r="C745">
        <f>IF(A745="","",SUMPRODUCT((المبيعات!$C$2:$C$2000=A745)*(المبيعات!$B$2:$B$2000&lt;&gt;"")/COUNTIFS(المبيعات!$B$2:$B$2000,المبيعات!$B$2:$B$2000&amp;"",المبيعات!$C$2:$C$2000,المبيعات!$C$2:$C$2000&amp;"")))</f>
        <v/>
      </c>
      <c r="D745">
        <f>IF(A745="","",SUMIFS(المبيعات!$H$2:$H$2000,المبيعات!$C$2:$C$2000,A745))</f>
        <v/>
      </c>
      <c r="E745" s="13">
        <f>IF(A745="","",IF(COUNTIF(المبيعات!$C$2:$C$2000,A745)=0,"",_xlfn.MAXIFS(المبيعات!$A$2:$A$2000,المبيعات!$C$2:$C$2000,A745)))</f>
        <v/>
      </c>
      <c r="F745">
        <f>IF(A745="","",SUMIFS(المبيعات!$H$2:$H$2000,المبيعات!$C$2:$C$2000,A745,المبيعات!$J$2:$J$2000,"آجل"))</f>
        <v/>
      </c>
      <c r="G745" s="4" t="n"/>
      <c r="H745">
        <f>IF(A745="","",F745-G745)</f>
        <v/>
      </c>
    </row>
    <row r="746">
      <c r="A746" s="4" t="n"/>
      <c r="B746" s="4" t="n"/>
      <c r="C746">
        <f>IF(A746="","",SUMPRODUCT((المبيعات!$C$2:$C$2000=A746)*(المبيعات!$B$2:$B$2000&lt;&gt;"")/COUNTIFS(المبيعات!$B$2:$B$2000,المبيعات!$B$2:$B$2000&amp;"",المبيعات!$C$2:$C$2000,المبيعات!$C$2:$C$2000&amp;"")))</f>
        <v/>
      </c>
      <c r="D746">
        <f>IF(A746="","",SUMIFS(المبيعات!$H$2:$H$2000,المبيعات!$C$2:$C$2000,A746))</f>
        <v/>
      </c>
      <c r="E746" s="13">
        <f>IF(A746="","",IF(COUNTIF(المبيعات!$C$2:$C$2000,A746)=0,"",_xlfn.MAXIFS(المبيعات!$A$2:$A$2000,المبيعات!$C$2:$C$2000,A746)))</f>
        <v/>
      </c>
      <c r="F746">
        <f>IF(A746="","",SUMIFS(المبيعات!$H$2:$H$2000,المبيعات!$C$2:$C$2000,A746,المبيعات!$J$2:$J$2000,"آجل"))</f>
        <v/>
      </c>
      <c r="G746" s="4" t="n"/>
      <c r="H746">
        <f>IF(A746="","",F746-G746)</f>
        <v/>
      </c>
    </row>
    <row r="747">
      <c r="A747" s="4" t="n"/>
      <c r="B747" s="4" t="n"/>
      <c r="C747">
        <f>IF(A747="","",SUMPRODUCT((المبيعات!$C$2:$C$2000=A747)*(المبيعات!$B$2:$B$2000&lt;&gt;"")/COUNTIFS(المبيعات!$B$2:$B$2000,المبيعات!$B$2:$B$2000&amp;"",المبيعات!$C$2:$C$2000,المبيعات!$C$2:$C$2000&amp;"")))</f>
        <v/>
      </c>
      <c r="D747">
        <f>IF(A747="","",SUMIFS(المبيعات!$H$2:$H$2000,المبيعات!$C$2:$C$2000,A747))</f>
        <v/>
      </c>
      <c r="E747" s="13">
        <f>IF(A747="","",IF(COUNTIF(المبيعات!$C$2:$C$2000,A747)=0,"",_xlfn.MAXIFS(المبيعات!$A$2:$A$2000,المبيعات!$C$2:$C$2000,A747)))</f>
        <v/>
      </c>
      <c r="F747">
        <f>IF(A747="","",SUMIFS(المبيعات!$H$2:$H$2000,المبيعات!$C$2:$C$2000,A747,المبيعات!$J$2:$J$2000,"آجل"))</f>
        <v/>
      </c>
      <c r="G747" s="4" t="n"/>
      <c r="H747">
        <f>IF(A747="","",F747-G747)</f>
        <v/>
      </c>
    </row>
    <row r="748">
      <c r="A748" s="4" t="n"/>
      <c r="B748" s="4" t="n"/>
      <c r="C748">
        <f>IF(A748="","",SUMPRODUCT((المبيعات!$C$2:$C$2000=A748)*(المبيعات!$B$2:$B$2000&lt;&gt;"")/COUNTIFS(المبيعات!$B$2:$B$2000,المبيعات!$B$2:$B$2000&amp;"",المبيعات!$C$2:$C$2000,المبيعات!$C$2:$C$2000&amp;"")))</f>
        <v/>
      </c>
      <c r="D748">
        <f>IF(A748="","",SUMIFS(المبيعات!$H$2:$H$2000,المبيعات!$C$2:$C$2000,A748))</f>
        <v/>
      </c>
      <c r="E748" s="13">
        <f>IF(A748="","",IF(COUNTIF(المبيعات!$C$2:$C$2000,A748)=0,"",_xlfn.MAXIFS(المبيعات!$A$2:$A$2000,المبيعات!$C$2:$C$2000,A748)))</f>
        <v/>
      </c>
      <c r="F748">
        <f>IF(A748="","",SUMIFS(المبيعات!$H$2:$H$2000,المبيعات!$C$2:$C$2000,A748,المبيعات!$J$2:$J$2000,"آجل"))</f>
        <v/>
      </c>
      <c r="G748" s="4" t="n"/>
      <c r="H748">
        <f>IF(A748="","",F748-G748)</f>
        <v/>
      </c>
    </row>
    <row r="749">
      <c r="A749" s="4" t="n"/>
      <c r="B749" s="4" t="n"/>
      <c r="C749">
        <f>IF(A749="","",SUMPRODUCT((المبيعات!$C$2:$C$2000=A749)*(المبيعات!$B$2:$B$2000&lt;&gt;"")/COUNTIFS(المبيعات!$B$2:$B$2000,المبيعات!$B$2:$B$2000&amp;"",المبيعات!$C$2:$C$2000,المبيعات!$C$2:$C$2000&amp;"")))</f>
        <v/>
      </c>
      <c r="D749">
        <f>IF(A749="","",SUMIFS(المبيعات!$H$2:$H$2000,المبيعات!$C$2:$C$2000,A749))</f>
        <v/>
      </c>
      <c r="E749" s="13">
        <f>IF(A749="","",IF(COUNTIF(المبيعات!$C$2:$C$2000,A749)=0,"",_xlfn.MAXIFS(المبيعات!$A$2:$A$2000,المبيعات!$C$2:$C$2000,A749)))</f>
        <v/>
      </c>
      <c r="F749">
        <f>IF(A749="","",SUMIFS(المبيعات!$H$2:$H$2000,المبيعات!$C$2:$C$2000,A749,المبيعات!$J$2:$J$2000,"آجل"))</f>
        <v/>
      </c>
      <c r="G749" s="4" t="n"/>
      <c r="H749">
        <f>IF(A749="","",F749-G749)</f>
        <v/>
      </c>
    </row>
    <row r="750">
      <c r="A750" s="4" t="n"/>
      <c r="B750" s="4" t="n"/>
      <c r="C750">
        <f>IF(A750="","",SUMPRODUCT((المبيعات!$C$2:$C$2000=A750)*(المبيعات!$B$2:$B$2000&lt;&gt;"")/COUNTIFS(المبيعات!$B$2:$B$2000,المبيعات!$B$2:$B$2000&amp;"",المبيعات!$C$2:$C$2000,المبيعات!$C$2:$C$2000&amp;"")))</f>
        <v/>
      </c>
      <c r="D750">
        <f>IF(A750="","",SUMIFS(المبيعات!$H$2:$H$2000,المبيعات!$C$2:$C$2000,A750))</f>
        <v/>
      </c>
      <c r="E750" s="13">
        <f>IF(A750="","",IF(COUNTIF(المبيعات!$C$2:$C$2000,A750)=0,"",_xlfn.MAXIFS(المبيعات!$A$2:$A$2000,المبيعات!$C$2:$C$2000,A750)))</f>
        <v/>
      </c>
      <c r="F750">
        <f>IF(A750="","",SUMIFS(المبيعات!$H$2:$H$2000,المبيعات!$C$2:$C$2000,A750,المبيعات!$J$2:$J$2000,"آجل"))</f>
        <v/>
      </c>
      <c r="G750" s="4" t="n"/>
      <c r="H750">
        <f>IF(A750="","",F750-G750)</f>
        <v/>
      </c>
    </row>
    <row r="751">
      <c r="A751" s="4" t="n"/>
      <c r="B751" s="4" t="n"/>
      <c r="C751">
        <f>IF(A751="","",SUMPRODUCT((المبيعات!$C$2:$C$2000=A751)*(المبيعات!$B$2:$B$2000&lt;&gt;"")/COUNTIFS(المبيعات!$B$2:$B$2000,المبيعات!$B$2:$B$2000&amp;"",المبيعات!$C$2:$C$2000,المبيعات!$C$2:$C$2000&amp;"")))</f>
        <v/>
      </c>
      <c r="D751">
        <f>IF(A751="","",SUMIFS(المبيعات!$H$2:$H$2000,المبيعات!$C$2:$C$2000,A751))</f>
        <v/>
      </c>
      <c r="E751" s="13">
        <f>IF(A751="","",IF(COUNTIF(المبيعات!$C$2:$C$2000,A751)=0,"",_xlfn.MAXIFS(المبيعات!$A$2:$A$2000,المبيعات!$C$2:$C$2000,A751)))</f>
        <v/>
      </c>
      <c r="F751">
        <f>IF(A751="","",SUMIFS(المبيعات!$H$2:$H$2000,المبيعات!$C$2:$C$2000,A751,المبيعات!$J$2:$J$2000,"آجل"))</f>
        <v/>
      </c>
      <c r="G751" s="4" t="n"/>
      <c r="H751">
        <f>IF(A751="","",F751-G751)</f>
        <v/>
      </c>
    </row>
    <row r="752">
      <c r="A752" s="4" t="n"/>
      <c r="B752" s="4" t="n"/>
      <c r="C752">
        <f>IF(A752="","",SUMPRODUCT((المبيعات!$C$2:$C$2000=A752)*(المبيعات!$B$2:$B$2000&lt;&gt;"")/COUNTIFS(المبيعات!$B$2:$B$2000,المبيعات!$B$2:$B$2000&amp;"",المبيعات!$C$2:$C$2000,المبيعات!$C$2:$C$2000&amp;"")))</f>
        <v/>
      </c>
      <c r="D752">
        <f>IF(A752="","",SUMIFS(المبيعات!$H$2:$H$2000,المبيعات!$C$2:$C$2000,A752))</f>
        <v/>
      </c>
      <c r="E752" s="13">
        <f>IF(A752="","",IF(COUNTIF(المبيعات!$C$2:$C$2000,A752)=0,"",_xlfn.MAXIFS(المبيعات!$A$2:$A$2000,المبيعات!$C$2:$C$2000,A752)))</f>
        <v/>
      </c>
      <c r="F752">
        <f>IF(A752="","",SUMIFS(المبيعات!$H$2:$H$2000,المبيعات!$C$2:$C$2000,A752,المبيعات!$J$2:$J$2000,"آجل"))</f>
        <v/>
      </c>
      <c r="G752" s="4" t="n"/>
      <c r="H752">
        <f>IF(A752="","",F752-G752)</f>
        <v/>
      </c>
    </row>
    <row r="753">
      <c r="A753" s="4" t="n"/>
      <c r="B753" s="4" t="n"/>
      <c r="C753">
        <f>IF(A753="","",SUMPRODUCT((المبيعات!$C$2:$C$2000=A753)*(المبيعات!$B$2:$B$2000&lt;&gt;"")/COUNTIFS(المبيعات!$B$2:$B$2000,المبيعات!$B$2:$B$2000&amp;"",المبيعات!$C$2:$C$2000,المبيعات!$C$2:$C$2000&amp;"")))</f>
        <v/>
      </c>
      <c r="D753">
        <f>IF(A753="","",SUMIFS(المبيعات!$H$2:$H$2000,المبيعات!$C$2:$C$2000,A753))</f>
        <v/>
      </c>
      <c r="E753" s="13">
        <f>IF(A753="","",IF(COUNTIF(المبيعات!$C$2:$C$2000,A753)=0,"",_xlfn.MAXIFS(المبيعات!$A$2:$A$2000,المبيعات!$C$2:$C$2000,A753)))</f>
        <v/>
      </c>
      <c r="F753">
        <f>IF(A753="","",SUMIFS(المبيعات!$H$2:$H$2000,المبيعات!$C$2:$C$2000,A753,المبيعات!$J$2:$J$2000,"آجل"))</f>
        <v/>
      </c>
      <c r="G753" s="4" t="n"/>
      <c r="H753">
        <f>IF(A753="","",F753-G753)</f>
        <v/>
      </c>
    </row>
    <row r="754">
      <c r="A754" s="4" t="n"/>
      <c r="B754" s="4" t="n"/>
      <c r="C754">
        <f>IF(A754="","",SUMPRODUCT((المبيعات!$C$2:$C$2000=A754)*(المبيعات!$B$2:$B$2000&lt;&gt;"")/COUNTIFS(المبيعات!$B$2:$B$2000,المبيعات!$B$2:$B$2000&amp;"",المبيعات!$C$2:$C$2000,المبيعات!$C$2:$C$2000&amp;"")))</f>
        <v/>
      </c>
      <c r="D754">
        <f>IF(A754="","",SUMIFS(المبيعات!$H$2:$H$2000,المبيعات!$C$2:$C$2000,A754))</f>
        <v/>
      </c>
      <c r="E754" s="13">
        <f>IF(A754="","",IF(COUNTIF(المبيعات!$C$2:$C$2000,A754)=0,"",_xlfn.MAXIFS(المبيعات!$A$2:$A$2000,المبيعات!$C$2:$C$2000,A754)))</f>
        <v/>
      </c>
      <c r="F754">
        <f>IF(A754="","",SUMIFS(المبيعات!$H$2:$H$2000,المبيعات!$C$2:$C$2000,A754,المبيعات!$J$2:$J$2000,"آجل"))</f>
        <v/>
      </c>
      <c r="G754" s="4" t="n"/>
      <c r="H754">
        <f>IF(A754="","",F754-G754)</f>
        <v/>
      </c>
    </row>
    <row r="755">
      <c r="A755" s="4" t="n"/>
      <c r="B755" s="4" t="n"/>
      <c r="C755">
        <f>IF(A755="","",SUMPRODUCT((المبيعات!$C$2:$C$2000=A755)*(المبيعات!$B$2:$B$2000&lt;&gt;"")/COUNTIFS(المبيعات!$B$2:$B$2000,المبيعات!$B$2:$B$2000&amp;"",المبيعات!$C$2:$C$2000,المبيعات!$C$2:$C$2000&amp;"")))</f>
        <v/>
      </c>
      <c r="D755">
        <f>IF(A755="","",SUMIFS(المبيعات!$H$2:$H$2000,المبيعات!$C$2:$C$2000,A755))</f>
        <v/>
      </c>
      <c r="E755" s="13">
        <f>IF(A755="","",IF(COUNTIF(المبيعات!$C$2:$C$2000,A755)=0,"",_xlfn.MAXIFS(المبيعات!$A$2:$A$2000,المبيعات!$C$2:$C$2000,A755)))</f>
        <v/>
      </c>
      <c r="F755">
        <f>IF(A755="","",SUMIFS(المبيعات!$H$2:$H$2000,المبيعات!$C$2:$C$2000,A755,المبيعات!$J$2:$J$2000,"آجل"))</f>
        <v/>
      </c>
      <c r="G755" s="4" t="n"/>
      <c r="H755">
        <f>IF(A755="","",F755-G755)</f>
        <v/>
      </c>
    </row>
    <row r="756">
      <c r="A756" s="4" t="n"/>
      <c r="B756" s="4" t="n"/>
      <c r="C756">
        <f>IF(A756="","",SUMPRODUCT((المبيعات!$C$2:$C$2000=A756)*(المبيعات!$B$2:$B$2000&lt;&gt;"")/COUNTIFS(المبيعات!$B$2:$B$2000,المبيعات!$B$2:$B$2000&amp;"",المبيعات!$C$2:$C$2000,المبيعات!$C$2:$C$2000&amp;"")))</f>
        <v/>
      </c>
      <c r="D756">
        <f>IF(A756="","",SUMIFS(المبيعات!$H$2:$H$2000,المبيعات!$C$2:$C$2000,A756))</f>
        <v/>
      </c>
      <c r="E756" s="13">
        <f>IF(A756="","",IF(COUNTIF(المبيعات!$C$2:$C$2000,A756)=0,"",_xlfn.MAXIFS(المبيعات!$A$2:$A$2000,المبيعات!$C$2:$C$2000,A756)))</f>
        <v/>
      </c>
      <c r="F756">
        <f>IF(A756="","",SUMIFS(المبيعات!$H$2:$H$2000,المبيعات!$C$2:$C$2000,A756,المبيعات!$J$2:$J$2000,"آجل"))</f>
        <v/>
      </c>
      <c r="G756" s="4" t="n"/>
      <c r="H756">
        <f>IF(A756="","",F756-G756)</f>
        <v/>
      </c>
    </row>
    <row r="757">
      <c r="A757" s="4" t="n"/>
      <c r="B757" s="4" t="n"/>
      <c r="C757">
        <f>IF(A757="","",SUMPRODUCT((المبيعات!$C$2:$C$2000=A757)*(المبيعات!$B$2:$B$2000&lt;&gt;"")/COUNTIFS(المبيعات!$B$2:$B$2000,المبيعات!$B$2:$B$2000&amp;"",المبيعات!$C$2:$C$2000,المبيعات!$C$2:$C$2000&amp;"")))</f>
        <v/>
      </c>
      <c r="D757">
        <f>IF(A757="","",SUMIFS(المبيعات!$H$2:$H$2000,المبيعات!$C$2:$C$2000,A757))</f>
        <v/>
      </c>
      <c r="E757" s="13">
        <f>IF(A757="","",IF(COUNTIF(المبيعات!$C$2:$C$2000,A757)=0,"",_xlfn.MAXIFS(المبيعات!$A$2:$A$2000,المبيعات!$C$2:$C$2000,A757)))</f>
        <v/>
      </c>
      <c r="F757">
        <f>IF(A757="","",SUMIFS(المبيعات!$H$2:$H$2000,المبيعات!$C$2:$C$2000,A757,المبيعات!$J$2:$J$2000,"آجل"))</f>
        <v/>
      </c>
      <c r="G757" s="4" t="n"/>
      <c r="H757">
        <f>IF(A757="","",F757-G757)</f>
        <v/>
      </c>
    </row>
    <row r="758">
      <c r="A758" s="4" t="n"/>
      <c r="B758" s="4" t="n"/>
      <c r="C758">
        <f>IF(A758="","",SUMPRODUCT((المبيعات!$C$2:$C$2000=A758)*(المبيعات!$B$2:$B$2000&lt;&gt;"")/COUNTIFS(المبيعات!$B$2:$B$2000,المبيعات!$B$2:$B$2000&amp;"",المبيعات!$C$2:$C$2000,المبيعات!$C$2:$C$2000&amp;"")))</f>
        <v/>
      </c>
      <c r="D758">
        <f>IF(A758="","",SUMIFS(المبيعات!$H$2:$H$2000,المبيعات!$C$2:$C$2000,A758))</f>
        <v/>
      </c>
      <c r="E758" s="13">
        <f>IF(A758="","",IF(COUNTIF(المبيعات!$C$2:$C$2000,A758)=0,"",_xlfn.MAXIFS(المبيعات!$A$2:$A$2000,المبيعات!$C$2:$C$2000,A758)))</f>
        <v/>
      </c>
      <c r="F758">
        <f>IF(A758="","",SUMIFS(المبيعات!$H$2:$H$2000,المبيعات!$C$2:$C$2000,A758,المبيعات!$J$2:$J$2000,"آجل"))</f>
        <v/>
      </c>
      <c r="G758" s="4" t="n"/>
      <c r="H758">
        <f>IF(A758="","",F758-G758)</f>
        <v/>
      </c>
    </row>
    <row r="759">
      <c r="A759" s="4" t="n"/>
      <c r="B759" s="4" t="n"/>
      <c r="C759">
        <f>IF(A759="","",SUMPRODUCT((المبيعات!$C$2:$C$2000=A759)*(المبيعات!$B$2:$B$2000&lt;&gt;"")/COUNTIFS(المبيعات!$B$2:$B$2000,المبيعات!$B$2:$B$2000&amp;"",المبيعات!$C$2:$C$2000,المبيعات!$C$2:$C$2000&amp;"")))</f>
        <v/>
      </c>
      <c r="D759">
        <f>IF(A759="","",SUMIFS(المبيعات!$H$2:$H$2000,المبيعات!$C$2:$C$2000,A759))</f>
        <v/>
      </c>
      <c r="E759" s="13">
        <f>IF(A759="","",IF(COUNTIF(المبيعات!$C$2:$C$2000,A759)=0,"",_xlfn.MAXIFS(المبيعات!$A$2:$A$2000,المبيعات!$C$2:$C$2000,A759)))</f>
        <v/>
      </c>
      <c r="F759">
        <f>IF(A759="","",SUMIFS(المبيعات!$H$2:$H$2000,المبيعات!$C$2:$C$2000,A759,المبيعات!$J$2:$J$2000,"آجل"))</f>
        <v/>
      </c>
      <c r="G759" s="4" t="n"/>
      <c r="H759">
        <f>IF(A759="","",F759-G759)</f>
        <v/>
      </c>
    </row>
    <row r="760">
      <c r="A760" s="4" t="n"/>
      <c r="B760" s="4" t="n"/>
      <c r="C760">
        <f>IF(A760="","",SUMPRODUCT((المبيعات!$C$2:$C$2000=A760)*(المبيعات!$B$2:$B$2000&lt;&gt;"")/COUNTIFS(المبيعات!$B$2:$B$2000,المبيعات!$B$2:$B$2000&amp;"",المبيعات!$C$2:$C$2000,المبيعات!$C$2:$C$2000&amp;"")))</f>
        <v/>
      </c>
      <c r="D760">
        <f>IF(A760="","",SUMIFS(المبيعات!$H$2:$H$2000,المبيعات!$C$2:$C$2000,A760))</f>
        <v/>
      </c>
      <c r="E760" s="13">
        <f>IF(A760="","",IF(COUNTIF(المبيعات!$C$2:$C$2000,A760)=0,"",_xlfn.MAXIFS(المبيعات!$A$2:$A$2000,المبيعات!$C$2:$C$2000,A760)))</f>
        <v/>
      </c>
      <c r="F760">
        <f>IF(A760="","",SUMIFS(المبيعات!$H$2:$H$2000,المبيعات!$C$2:$C$2000,A760,المبيعات!$J$2:$J$2000,"آجل"))</f>
        <v/>
      </c>
      <c r="G760" s="4" t="n"/>
      <c r="H760">
        <f>IF(A760="","",F760-G760)</f>
        <v/>
      </c>
    </row>
    <row r="761">
      <c r="A761" s="4" t="n"/>
      <c r="B761" s="4" t="n"/>
      <c r="C761">
        <f>IF(A761="","",SUMPRODUCT((المبيعات!$C$2:$C$2000=A761)*(المبيعات!$B$2:$B$2000&lt;&gt;"")/COUNTIFS(المبيعات!$B$2:$B$2000,المبيعات!$B$2:$B$2000&amp;"",المبيعات!$C$2:$C$2000,المبيعات!$C$2:$C$2000&amp;"")))</f>
        <v/>
      </c>
      <c r="D761">
        <f>IF(A761="","",SUMIFS(المبيعات!$H$2:$H$2000,المبيعات!$C$2:$C$2000,A761))</f>
        <v/>
      </c>
      <c r="E761" s="13">
        <f>IF(A761="","",IF(COUNTIF(المبيعات!$C$2:$C$2000,A761)=0,"",_xlfn.MAXIFS(المبيعات!$A$2:$A$2000,المبيعات!$C$2:$C$2000,A761)))</f>
        <v/>
      </c>
      <c r="F761">
        <f>IF(A761="","",SUMIFS(المبيعات!$H$2:$H$2000,المبيعات!$C$2:$C$2000,A761,المبيعات!$J$2:$J$2000,"آجل"))</f>
        <v/>
      </c>
      <c r="G761" s="4" t="n"/>
      <c r="H761">
        <f>IF(A761="","",F761-G761)</f>
        <v/>
      </c>
    </row>
    <row r="762">
      <c r="A762" s="4" t="n"/>
      <c r="B762" s="4" t="n"/>
      <c r="C762">
        <f>IF(A762="","",SUMPRODUCT((المبيعات!$C$2:$C$2000=A762)*(المبيعات!$B$2:$B$2000&lt;&gt;"")/COUNTIFS(المبيعات!$B$2:$B$2000,المبيعات!$B$2:$B$2000&amp;"",المبيعات!$C$2:$C$2000,المبيعات!$C$2:$C$2000&amp;"")))</f>
        <v/>
      </c>
      <c r="D762">
        <f>IF(A762="","",SUMIFS(المبيعات!$H$2:$H$2000,المبيعات!$C$2:$C$2000,A762))</f>
        <v/>
      </c>
      <c r="E762" s="13">
        <f>IF(A762="","",IF(COUNTIF(المبيعات!$C$2:$C$2000,A762)=0,"",_xlfn.MAXIFS(المبيعات!$A$2:$A$2000,المبيعات!$C$2:$C$2000,A762)))</f>
        <v/>
      </c>
      <c r="F762">
        <f>IF(A762="","",SUMIFS(المبيعات!$H$2:$H$2000,المبيعات!$C$2:$C$2000,A762,المبيعات!$J$2:$J$2000,"آجل"))</f>
        <v/>
      </c>
      <c r="G762" s="4" t="n"/>
      <c r="H762">
        <f>IF(A762="","",F762-G762)</f>
        <v/>
      </c>
    </row>
    <row r="763">
      <c r="A763" s="4" t="n"/>
      <c r="B763" s="4" t="n"/>
      <c r="C763">
        <f>IF(A763="","",SUMPRODUCT((المبيعات!$C$2:$C$2000=A763)*(المبيعات!$B$2:$B$2000&lt;&gt;"")/COUNTIFS(المبيعات!$B$2:$B$2000,المبيعات!$B$2:$B$2000&amp;"",المبيعات!$C$2:$C$2000,المبيعات!$C$2:$C$2000&amp;"")))</f>
        <v/>
      </c>
      <c r="D763">
        <f>IF(A763="","",SUMIFS(المبيعات!$H$2:$H$2000,المبيعات!$C$2:$C$2000,A763))</f>
        <v/>
      </c>
      <c r="E763" s="13">
        <f>IF(A763="","",IF(COUNTIF(المبيعات!$C$2:$C$2000,A763)=0,"",_xlfn.MAXIFS(المبيعات!$A$2:$A$2000,المبيعات!$C$2:$C$2000,A763)))</f>
        <v/>
      </c>
      <c r="F763">
        <f>IF(A763="","",SUMIFS(المبيعات!$H$2:$H$2000,المبيعات!$C$2:$C$2000,A763,المبيعات!$J$2:$J$2000,"آجل"))</f>
        <v/>
      </c>
      <c r="G763" s="4" t="n"/>
      <c r="H763">
        <f>IF(A763="","",F763-G763)</f>
        <v/>
      </c>
    </row>
    <row r="764">
      <c r="A764" s="4" t="n"/>
      <c r="B764" s="4" t="n"/>
      <c r="C764">
        <f>IF(A764="","",SUMPRODUCT((المبيعات!$C$2:$C$2000=A764)*(المبيعات!$B$2:$B$2000&lt;&gt;"")/COUNTIFS(المبيعات!$B$2:$B$2000,المبيعات!$B$2:$B$2000&amp;"",المبيعات!$C$2:$C$2000,المبيعات!$C$2:$C$2000&amp;"")))</f>
        <v/>
      </c>
      <c r="D764">
        <f>IF(A764="","",SUMIFS(المبيعات!$H$2:$H$2000,المبيعات!$C$2:$C$2000,A764))</f>
        <v/>
      </c>
      <c r="E764" s="13">
        <f>IF(A764="","",IF(COUNTIF(المبيعات!$C$2:$C$2000,A764)=0,"",_xlfn.MAXIFS(المبيعات!$A$2:$A$2000,المبيعات!$C$2:$C$2000,A764)))</f>
        <v/>
      </c>
      <c r="F764">
        <f>IF(A764="","",SUMIFS(المبيعات!$H$2:$H$2000,المبيعات!$C$2:$C$2000,A764,المبيعات!$J$2:$J$2000,"آجل"))</f>
        <v/>
      </c>
      <c r="G764" s="4" t="n"/>
      <c r="H764">
        <f>IF(A764="","",F764-G764)</f>
        <v/>
      </c>
    </row>
    <row r="765">
      <c r="A765" s="4" t="n"/>
      <c r="B765" s="4" t="n"/>
      <c r="C765">
        <f>IF(A765="","",SUMPRODUCT((المبيعات!$C$2:$C$2000=A765)*(المبيعات!$B$2:$B$2000&lt;&gt;"")/COUNTIFS(المبيعات!$B$2:$B$2000,المبيعات!$B$2:$B$2000&amp;"",المبيعات!$C$2:$C$2000,المبيعات!$C$2:$C$2000&amp;"")))</f>
        <v/>
      </c>
      <c r="D765">
        <f>IF(A765="","",SUMIFS(المبيعات!$H$2:$H$2000,المبيعات!$C$2:$C$2000,A765))</f>
        <v/>
      </c>
      <c r="E765" s="13">
        <f>IF(A765="","",IF(COUNTIF(المبيعات!$C$2:$C$2000,A765)=0,"",_xlfn.MAXIFS(المبيعات!$A$2:$A$2000,المبيعات!$C$2:$C$2000,A765)))</f>
        <v/>
      </c>
      <c r="F765">
        <f>IF(A765="","",SUMIFS(المبيعات!$H$2:$H$2000,المبيعات!$C$2:$C$2000,A765,المبيعات!$J$2:$J$2000,"آجل"))</f>
        <v/>
      </c>
      <c r="G765" s="4" t="n"/>
      <c r="H765">
        <f>IF(A765="","",F765-G765)</f>
        <v/>
      </c>
    </row>
    <row r="766">
      <c r="A766" s="4" t="n"/>
      <c r="B766" s="4" t="n"/>
      <c r="C766">
        <f>IF(A766="","",SUMPRODUCT((المبيعات!$C$2:$C$2000=A766)*(المبيعات!$B$2:$B$2000&lt;&gt;"")/COUNTIFS(المبيعات!$B$2:$B$2000,المبيعات!$B$2:$B$2000&amp;"",المبيعات!$C$2:$C$2000,المبيعات!$C$2:$C$2000&amp;"")))</f>
        <v/>
      </c>
      <c r="D766">
        <f>IF(A766="","",SUMIFS(المبيعات!$H$2:$H$2000,المبيعات!$C$2:$C$2000,A766))</f>
        <v/>
      </c>
      <c r="E766" s="13">
        <f>IF(A766="","",IF(COUNTIF(المبيعات!$C$2:$C$2000,A766)=0,"",_xlfn.MAXIFS(المبيعات!$A$2:$A$2000,المبيعات!$C$2:$C$2000,A766)))</f>
        <v/>
      </c>
      <c r="F766">
        <f>IF(A766="","",SUMIFS(المبيعات!$H$2:$H$2000,المبيعات!$C$2:$C$2000,A766,المبيعات!$J$2:$J$2000,"آجل"))</f>
        <v/>
      </c>
      <c r="G766" s="4" t="n"/>
      <c r="H766">
        <f>IF(A766="","",F766-G766)</f>
        <v/>
      </c>
    </row>
    <row r="767">
      <c r="A767" s="4" t="n"/>
      <c r="B767" s="4" t="n"/>
      <c r="C767">
        <f>IF(A767="","",SUMPRODUCT((المبيعات!$C$2:$C$2000=A767)*(المبيعات!$B$2:$B$2000&lt;&gt;"")/COUNTIFS(المبيعات!$B$2:$B$2000,المبيعات!$B$2:$B$2000&amp;"",المبيعات!$C$2:$C$2000,المبيعات!$C$2:$C$2000&amp;"")))</f>
        <v/>
      </c>
      <c r="D767">
        <f>IF(A767="","",SUMIFS(المبيعات!$H$2:$H$2000,المبيعات!$C$2:$C$2000,A767))</f>
        <v/>
      </c>
      <c r="E767" s="13">
        <f>IF(A767="","",IF(COUNTIF(المبيعات!$C$2:$C$2000,A767)=0,"",_xlfn.MAXIFS(المبيعات!$A$2:$A$2000,المبيعات!$C$2:$C$2000,A767)))</f>
        <v/>
      </c>
      <c r="F767">
        <f>IF(A767="","",SUMIFS(المبيعات!$H$2:$H$2000,المبيعات!$C$2:$C$2000,A767,المبيعات!$J$2:$J$2000,"آجل"))</f>
        <v/>
      </c>
      <c r="G767" s="4" t="n"/>
      <c r="H767">
        <f>IF(A767="","",F767-G767)</f>
        <v/>
      </c>
    </row>
    <row r="768">
      <c r="A768" s="4" t="n"/>
      <c r="B768" s="4" t="n"/>
      <c r="C768">
        <f>IF(A768="","",SUMPRODUCT((المبيعات!$C$2:$C$2000=A768)*(المبيعات!$B$2:$B$2000&lt;&gt;"")/COUNTIFS(المبيعات!$B$2:$B$2000,المبيعات!$B$2:$B$2000&amp;"",المبيعات!$C$2:$C$2000,المبيعات!$C$2:$C$2000&amp;"")))</f>
        <v/>
      </c>
      <c r="D768">
        <f>IF(A768="","",SUMIFS(المبيعات!$H$2:$H$2000,المبيعات!$C$2:$C$2000,A768))</f>
        <v/>
      </c>
      <c r="E768" s="13">
        <f>IF(A768="","",IF(COUNTIF(المبيعات!$C$2:$C$2000,A768)=0,"",_xlfn.MAXIFS(المبيعات!$A$2:$A$2000,المبيعات!$C$2:$C$2000,A768)))</f>
        <v/>
      </c>
      <c r="F768">
        <f>IF(A768="","",SUMIFS(المبيعات!$H$2:$H$2000,المبيعات!$C$2:$C$2000,A768,المبيعات!$J$2:$J$2000,"آجل"))</f>
        <v/>
      </c>
      <c r="G768" s="4" t="n"/>
      <c r="H768">
        <f>IF(A768="","",F768-G768)</f>
        <v/>
      </c>
    </row>
    <row r="769">
      <c r="A769" s="4" t="n"/>
      <c r="B769" s="4" t="n"/>
      <c r="C769">
        <f>IF(A769="","",SUMPRODUCT((المبيعات!$C$2:$C$2000=A769)*(المبيعات!$B$2:$B$2000&lt;&gt;"")/COUNTIFS(المبيعات!$B$2:$B$2000,المبيعات!$B$2:$B$2000&amp;"",المبيعات!$C$2:$C$2000,المبيعات!$C$2:$C$2000&amp;"")))</f>
        <v/>
      </c>
      <c r="D769">
        <f>IF(A769="","",SUMIFS(المبيعات!$H$2:$H$2000,المبيعات!$C$2:$C$2000,A769))</f>
        <v/>
      </c>
      <c r="E769" s="13">
        <f>IF(A769="","",IF(COUNTIF(المبيعات!$C$2:$C$2000,A769)=0,"",_xlfn.MAXIFS(المبيعات!$A$2:$A$2000,المبيعات!$C$2:$C$2000,A769)))</f>
        <v/>
      </c>
      <c r="F769">
        <f>IF(A769="","",SUMIFS(المبيعات!$H$2:$H$2000,المبيعات!$C$2:$C$2000,A769,المبيعات!$J$2:$J$2000,"آجل"))</f>
        <v/>
      </c>
      <c r="G769" s="4" t="n"/>
      <c r="H769">
        <f>IF(A769="","",F769-G769)</f>
        <v/>
      </c>
    </row>
    <row r="770">
      <c r="A770" s="4" t="n"/>
      <c r="B770" s="4" t="n"/>
      <c r="C770">
        <f>IF(A770="","",SUMPRODUCT((المبيعات!$C$2:$C$2000=A770)*(المبيعات!$B$2:$B$2000&lt;&gt;"")/COUNTIFS(المبيعات!$B$2:$B$2000,المبيعات!$B$2:$B$2000&amp;"",المبيعات!$C$2:$C$2000,المبيعات!$C$2:$C$2000&amp;"")))</f>
        <v/>
      </c>
      <c r="D770">
        <f>IF(A770="","",SUMIFS(المبيعات!$H$2:$H$2000,المبيعات!$C$2:$C$2000,A770))</f>
        <v/>
      </c>
      <c r="E770" s="13">
        <f>IF(A770="","",IF(COUNTIF(المبيعات!$C$2:$C$2000,A770)=0,"",_xlfn.MAXIFS(المبيعات!$A$2:$A$2000,المبيعات!$C$2:$C$2000,A770)))</f>
        <v/>
      </c>
      <c r="F770">
        <f>IF(A770="","",SUMIFS(المبيعات!$H$2:$H$2000,المبيعات!$C$2:$C$2000,A770,المبيعات!$J$2:$J$2000,"آجل"))</f>
        <v/>
      </c>
      <c r="G770" s="4" t="n"/>
      <c r="H770">
        <f>IF(A770="","",F770-G770)</f>
        <v/>
      </c>
    </row>
    <row r="771">
      <c r="A771" s="4" t="n"/>
      <c r="B771" s="4" t="n"/>
      <c r="C771">
        <f>IF(A771="","",SUMPRODUCT((المبيعات!$C$2:$C$2000=A771)*(المبيعات!$B$2:$B$2000&lt;&gt;"")/COUNTIFS(المبيعات!$B$2:$B$2000,المبيعات!$B$2:$B$2000&amp;"",المبيعات!$C$2:$C$2000,المبيعات!$C$2:$C$2000&amp;"")))</f>
        <v/>
      </c>
      <c r="D771">
        <f>IF(A771="","",SUMIFS(المبيعات!$H$2:$H$2000,المبيعات!$C$2:$C$2000,A771))</f>
        <v/>
      </c>
      <c r="E771" s="13">
        <f>IF(A771="","",IF(COUNTIF(المبيعات!$C$2:$C$2000,A771)=0,"",_xlfn.MAXIFS(المبيعات!$A$2:$A$2000,المبيعات!$C$2:$C$2000,A771)))</f>
        <v/>
      </c>
      <c r="F771">
        <f>IF(A771="","",SUMIFS(المبيعات!$H$2:$H$2000,المبيعات!$C$2:$C$2000,A771,المبيعات!$J$2:$J$2000,"آجل"))</f>
        <v/>
      </c>
      <c r="G771" s="4" t="n"/>
      <c r="H771">
        <f>IF(A771="","",F771-G771)</f>
        <v/>
      </c>
    </row>
    <row r="772">
      <c r="A772" s="4" t="n"/>
      <c r="B772" s="4" t="n"/>
      <c r="C772">
        <f>IF(A772="","",SUMPRODUCT((المبيعات!$C$2:$C$2000=A772)*(المبيعات!$B$2:$B$2000&lt;&gt;"")/COUNTIFS(المبيعات!$B$2:$B$2000,المبيعات!$B$2:$B$2000&amp;"",المبيعات!$C$2:$C$2000,المبيعات!$C$2:$C$2000&amp;"")))</f>
        <v/>
      </c>
      <c r="D772">
        <f>IF(A772="","",SUMIFS(المبيعات!$H$2:$H$2000,المبيعات!$C$2:$C$2000,A772))</f>
        <v/>
      </c>
      <c r="E772" s="13">
        <f>IF(A772="","",IF(COUNTIF(المبيعات!$C$2:$C$2000,A772)=0,"",_xlfn.MAXIFS(المبيعات!$A$2:$A$2000,المبيعات!$C$2:$C$2000,A772)))</f>
        <v/>
      </c>
      <c r="F772">
        <f>IF(A772="","",SUMIFS(المبيعات!$H$2:$H$2000,المبيعات!$C$2:$C$2000,A772,المبيعات!$J$2:$J$2000,"آجل"))</f>
        <v/>
      </c>
      <c r="G772" s="4" t="n"/>
      <c r="H772">
        <f>IF(A772="","",F772-G772)</f>
        <v/>
      </c>
    </row>
    <row r="773">
      <c r="A773" s="4" t="n"/>
      <c r="B773" s="4" t="n"/>
      <c r="C773">
        <f>IF(A773="","",SUMPRODUCT((المبيعات!$C$2:$C$2000=A773)*(المبيعات!$B$2:$B$2000&lt;&gt;"")/COUNTIFS(المبيعات!$B$2:$B$2000,المبيعات!$B$2:$B$2000&amp;"",المبيعات!$C$2:$C$2000,المبيعات!$C$2:$C$2000&amp;"")))</f>
        <v/>
      </c>
      <c r="D773">
        <f>IF(A773="","",SUMIFS(المبيعات!$H$2:$H$2000,المبيعات!$C$2:$C$2000,A773))</f>
        <v/>
      </c>
      <c r="E773" s="13">
        <f>IF(A773="","",IF(COUNTIF(المبيعات!$C$2:$C$2000,A773)=0,"",_xlfn.MAXIFS(المبيعات!$A$2:$A$2000,المبيعات!$C$2:$C$2000,A773)))</f>
        <v/>
      </c>
      <c r="F773">
        <f>IF(A773="","",SUMIFS(المبيعات!$H$2:$H$2000,المبيعات!$C$2:$C$2000,A773,المبيعات!$J$2:$J$2000,"آجل"))</f>
        <v/>
      </c>
      <c r="G773" s="4" t="n"/>
      <c r="H773">
        <f>IF(A773="","",F773-G773)</f>
        <v/>
      </c>
    </row>
    <row r="774">
      <c r="A774" s="4" t="n"/>
      <c r="B774" s="4" t="n"/>
      <c r="C774">
        <f>IF(A774="","",SUMPRODUCT((المبيعات!$C$2:$C$2000=A774)*(المبيعات!$B$2:$B$2000&lt;&gt;"")/COUNTIFS(المبيعات!$B$2:$B$2000,المبيعات!$B$2:$B$2000&amp;"",المبيعات!$C$2:$C$2000,المبيعات!$C$2:$C$2000&amp;"")))</f>
        <v/>
      </c>
      <c r="D774">
        <f>IF(A774="","",SUMIFS(المبيعات!$H$2:$H$2000,المبيعات!$C$2:$C$2000,A774))</f>
        <v/>
      </c>
      <c r="E774" s="13">
        <f>IF(A774="","",IF(COUNTIF(المبيعات!$C$2:$C$2000,A774)=0,"",_xlfn.MAXIFS(المبيعات!$A$2:$A$2000,المبيعات!$C$2:$C$2000,A774)))</f>
        <v/>
      </c>
      <c r="F774">
        <f>IF(A774="","",SUMIFS(المبيعات!$H$2:$H$2000,المبيعات!$C$2:$C$2000,A774,المبيعات!$J$2:$J$2000,"آجل"))</f>
        <v/>
      </c>
      <c r="G774" s="4" t="n"/>
      <c r="H774">
        <f>IF(A774="","",F774-G774)</f>
        <v/>
      </c>
    </row>
    <row r="775">
      <c r="A775" s="4" t="n"/>
      <c r="B775" s="4" t="n"/>
      <c r="C775">
        <f>IF(A775="","",SUMPRODUCT((المبيعات!$C$2:$C$2000=A775)*(المبيعات!$B$2:$B$2000&lt;&gt;"")/COUNTIFS(المبيعات!$B$2:$B$2000,المبيعات!$B$2:$B$2000&amp;"",المبيعات!$C$2:$C$2000,المبيعات!$C$2:$C$2000&amp;"")))</f>
        <v/>
      </c>
      <c r="D775">
        <f>IF(A775="","",SUMIFS(المبيعات!$H$2:$H$2000,المبيعات!$C$2:$C$2000,A775))</f>
        <v/>
      </c>
      <c r="E775" s="13">
        <f>IF(A775="","",IF(COUNTIF(المبيعات!$C$2:$C$2000,A775)=0,"",_xlfn.MAXIFS(المبيعات!$A$2:$A$2000,المبيعات!$C$2:$C$2000,A775)))</f>
        <v/>
      </c>
      <c r="F775">
        <f>IF(A775="","",SUMIFS(المبيعات!$H$2:$H$2000,المبيعات!$C$2:$C$2000,A775,المبيعات!$J$2:$J$2000,"آجل"))</f>
        <v/>
      </c>
      <c r="G775" s="4" t="n"/>
      <c r="H775">
        <f>IF(A775="","",F775-G775)</f>
        <v/>
      </c>
    </row>
    <row r="776">
      <c r="A776" s="4" t="n"/>
      <c r="B776" s="4" t="n"/>
      <c r="C776">
        <f>IF(A776="","",SUMPRODUCT((المبيعات!$C$2:$C$2000=A776)*(المبيعات!$B$2:$B$2000&lt;&gt;"")/COUNTIFS(المبيعات!$B$2:$B$2000,المبيعات!$B$2:$B$2000&amp;"",المبيعات!$C$2:$C$2000,المبيعات!$C$2:$C$2000&amp;"")))</f>
        <v/>
      </c>
      <c r="D776">
        <f>IF(A776="","",SUMIFS(المبيعات!$H$2:$H$2000,المبيعات!$C$2:$C$2000,A776))</f>
        <v/>
      </c>
      <c r="E776" s="13">
        <f>IF(A776="","",IF(COUNTIF(المبيعات!$C$2:$C$2000,A776)=0,"",_xlfn.MAXIFS(المبيعات!$A$2:$A$2000,المبيعات!$C$2:$C$2000,A776)))</f>
        <v/>
      </c>
      <c r="F776">
        <f>IF(A776="","",SUMIFS(المبيعات!$H$2:$H$2000,المبيعات!$C$2:$C$2000,A776,المبيعات!$J$2:$J$2000,"آجل"))</f>
        <v/>
      </c>
      <c r="G776" s="4" t="n"/>
      <c r="H776">
        <f>IF(A776="","",F776-G776)</f>
        <v/>
      </c>
    </row>
    <row r="777">
      <c r="A777" s="4" t="n"/>
      <c r="B777" s="4" t="n"/>
      <c r="C777">
        <f>IF(A777="","",SUMPRODUCT((المبيعات!$C$2:$C$2000=A777)*(المبيعات!$B$2:$B$2000&lt;&gt;"")/COUNTIFS(المبيعات!$B$2:$B$2000,المبيعات!$B$2:$B$2000&amp;"",المبيعات!$C$2:$C$2000,المبيعات!$C$2:$C$2000&amp;"")))</f>
        <v/>
      </c>
      <c r="D777">
        <f>IF(A777="","",SUMIFS(المبيعات!$H$2:$H$2000,المبيعات!$C$2:$C$2000,A777))</f>
        <v/>
      </c>
      <c r="E777" s="13">
        <f>IF(A777="","",IF(COUNTIF(المبيعات!$C$2:$C$2000,A777)=0,"",_xlfn.MAXIFS(المبيعات!$A$2:$A$2000,المبيعات!$C$2:$C$2000,A777)))</f>
        <v/>
      </c>
      <c r="F777">
        <f>IF(A777="","",SUMIFS(المبيعات!$H$2:$H$2000,المبيعات!$C$2:$C$2000,A777,المبيعات!$J$2:$J$2000,"آجل"))</f>
        <v/>
      </c>
      <c r="G777" s="4" t="n"/>
      <c r="H777">
        <f>IF(A777="","",F777-G777)</f>
        <v/>
      </c>
    </row>
    <row r="778">
      <c r="A778" s="4" t="n"/>
      <c r="B778" s="4" t="n"/>
      <c r="C778">
        <f>IF(A778="","",SUMPRODUCT((المبيعات!$C$2:$C$2000=A778)*(المبيعات!$B$2:$B$2000&lt;&gt;"")/COUNTIFS(المبيعات!$B$2:$B$2000,المبيعات!$B$2:$B$2000&amp;"",المبيعات!$C$2:$C$2000,المبيعات!$C$2:$C$2000&amp;"")))</f>
        <v/>
      </c>
      <c r="D778">
        <f>IF(A778="","",SUMIFS(المبيعات!$H$2:$H$2000,المبيعات!$C$2:$C$2000,A778))</f>
        <v/>
      </c>
      <c r="E778" s="13">
        <f>IF(A778="","",IF(COUNTIF(المبيعات!$C$2:$C$2000,A778)=0,"",_xlfn.MAXIFS(المبيعات!$A$2:$A$2000,المبيعات!$C$2:$C$2000,A778)))</f>
        <v/>
      </c>
      <c r="F778">
        <f>IF(A778="","",SUMIFS(المبيعات!$H$2:$H$2000,المبيعات!$C$2:$C$2000,A778,المبيعات!$J$2:$J$2000,"آجل"))</f>
        <v/>
      </c>
      <c r="G778" s="4" t="n"/>
      <c r="H778">
        <f>IF(A778="","",F778-G778)</f>
        <v/>
      </c>
    </row>
    <row r="779">
      <c r="A779" s="4" t="n"/>
      <c r="B779" s="4" t="n"/>
      <c r="C779">
        <f>IF(A779="","",SUMPRODUCT((المبيعات!$C$2:$C$2000=A779)*(المبيعات!$B$2:$B$2000&lt;&gt;"")/COUNTIFS(المبيعات!$B$2:$B$2000,المبيعات!$B$2:$B$2000&amp;"",المبيعات!$C$2:$C$2000,المبيعات!$C$2:$C$2000&amp;"")))</f>
        <v/>
      </c>
      <c r="D779">
        <f>IF(A779="","",SUMIFS(المبيعات!$H$2:$H$2000,المبيعات!$C$2:$C$2000,A779))</f>
        <v/>
      </c>
      <c r="E779" s="13">
        <f>IF(A779="","",IF(COUNTIF(المبيعات!$C$2:$C$2000,A779)=0,"",_xlfn.MAXIFS(المبيعات!$A$2:$A$2000,المبيعات!$C$2:$C$2000,A779)))</f>
        <v/>
      </c>
      <c r="F779">
        <f>IF(A779="","",SUMIFS(المبيعات!$H$2:$H$2000,المبيعات!$C$2:$C$2000,A779,المبيعات!$J$2:$J$2000,"آجل"))</f>
        <v/>
      </c>
      <c r="G779" s="4" t="n"/>
      <c r="H779">
        <f>IF(A779="","",F779-G779)</f>
        <v/>
      </c>
    </row>
    <row r="780">
      <c r="A780" s="4" t="n"/>
      <c r="B780" s="4" t="n"/>
      <c r="C780">
        <f>IF(A780="","",SUMPRODUCT((المبيعات!$C$2:$C$2000=A780)*(المبيعات!$B$2:$B$2000&lt;&gt;"")/COUNTIFS(المبيعات!$B$2:$B$2000,المبيعات!$B$2:$B$2000&amp;"",المبيعات!$C$2:$C$2000,المبيعات!$C$2:$C$2000&amp;"")))</f>
        <v/>
      </c>
      <c r="D780">
        <f>IF(A780="","",SUMIFS(المبيعات!$H$2:$H$2000,المبيعات!$C$2:$C$2000,A780))</f>
        <v/>
      </c>
      <c r="E780" s="13">
        <f>IF(A780="","",IF(COUNTIF(المبيعات!$C$2:$C$2000,A780)=0,"",_xlfn.MAXIFS(المبيعات!$A$2:$A$2000,المبيعات!$C$2:$C$2000,A780)))</f>
        <v/>
      </c>
      <c r="F780">
        <f>IF(A780="","",SUMIFS(المبيعات!$H$2:$H$2000,المبيعات!$C$2:$C$2000,A780,المبيعات!$J$2:$J$2000,"آجل"))</f>
        <v/>
      </c>
      <c r="G780" s="4" t="n"/>
      <c r="H780">
        <f>IF(A780="","",F780-G780)</f>
        <v/>
      </c>
    </row>
    <row r="781">
      <c r="A781" s="4" t="n"/>
      <c r="B781" s="4" t="n"/>
      <c r="C781">
        <f>IF(A781="","",SUMPRODUCT((المبيعات!$C$2:$C$2000=A781)*(المبيعات!$B$2:$B$2000&lt;&gt;"")/COUNTIFS(المبيعات!$B$2:$B$2000,المبيعات!$B$2:$B$2000&amp;"",المبيعات!$C$2:$C$2000,المبيعات!$C$2:$C$2000&amp;"")))</f>
        <v/>
      </c>
      <c r="D781">
        <f>IF(A781="","",SUMIFS(المبيعات!$H$2:$H$2000,المبيعات!$C$2:$C$2000,A781))</f>
        <v/>
      </c>
      <c r="E781" s="13">
        <f>IF(A781="","",IF(COUNTIF(المبيعات!$C$2:$C$2000,A781)=0,"",_xlfn.MAXIFS(المبيعات!$A$2:$A$2000,المبيعات!$C$2:$C$2000,A781)))</f>
        <v/>
      </c>
      <c r="F781">
        <f>IF(A781="","",SUMIFS(المبيعات!$H$2:$H$2000,المبيعات!$C$2:$C$2000,A781,المبيعات!$J$2:$J$2000,"آجل"))</f>
        <v/>
      </c>
      <c r="G781" s="4" t="n"/>
      <c r="H781">
        <f>IF(A781="","",F781-G781)</f>
        <v/>
      </c>
    </row>
    <row r="782">
      <c r="A782" s="4" t="n"/>
      <c r="B782" s="4" t="n"/>
      <c r="C782">
        <f>IF(A782="","",SUMPRODUCT((المبيعات!$C$2:$C$2000=A782)*(المبيعات!$B$2:$B$2000&lt;&gt;"")/COUNTIFS(المبيعات!$B$2:$B$2000,المبيعات!$B$2:$B$2000&amp;"",المبيعات!$C$2:$C$2000,المبيعات!$C$2:$C$2000&amp;"")))</f>
        <v/>
      </c>
      <c r="D782">
        <f>IF(A782="","",SUMIFS(المبيعات!$H$2:$H$2000,المبيعات!$C$2:$C$2000,A782))</f>
        <v/>
      </c>
      <c r="E782" s="13">
        <f>IF(A782="","",IF(COUNTIF(المبيعات!$C$2:$C$2000,A782)=0,"",_xlfn.MAXIFS(المبيعات!$A$2:$A$2000,المبيعات!$C$2:$C$2000,A782)))</f>
        <v/>
      </c>
      <c r="F782">
        <f>IF(A782="","",SUMIFS(المبيعات!$H$2:$H$2000,المبيعات!$C$2:$C$2000,A782,المبيعات!$J$2:$J$2000,"آجل"))</f>
        <v/>
      </c>
      <c r="G782" s="4" t="n"/>
      <c r="H782">
        <f>IF(A782="","",F782-G782)</f>
        <v/>
      </c>
    </row>
    <row r="783">
      <c r="A783" s="4" t="n"/>
      <c r="B783" s="4" t="n"/>
      <c r="C783">
        <f>IF(A783="","",SUMPRODUCT((المبيعات!$C$2:$C$2000=A783)*(المبيعات!$B$2:$B$2000&lt;&gt;"")/COUNTIFS(المبيعات!$B$2:$B$2000,المبيعات!$B$2:$B$2000&amp;"",المبيعات!$C$2:$C$2000,المبيعات!$C$2:$C$2000&amp;"")))</f>
        <v/>
      </c>
      <c r="D783">
        <f>IF(A783="","",SUMIFS(المبيعات!$H$2:$H$2000,المبيعات!$C$2:$C$2000,A783))</f>
        <v/>
      </c>
      <c r="E783" s="13">
        <f>IF(A783="","",IF(COUNTIF(المبيعات!$C$2:$C$2000,A783)=0,"",_xlfn.MAXIFS(المبيعات!$A$2:$A$2000,المبيعات!$C$2:$C$2000,A783)))</f>
        <v/>
      </c>
      <c r="F783">
        <f>IF(A783="","",SUMIFS(المبيعات!$H$2:$H$2000,المبيعات!$C$2:$C$2000,A783,المبيعات!$J$2:$J$2000,"آجل"))</f>
        <v/>
      </c>
      <c r="G783" s="4" t="n"/>
      <c r="H783">
        <f>IF(A783="","",F783-G783)</f>
        <v/>
      </c>
    </row>
    <row r="784">
      <c r="A784" s="4" t="n"/>
      <c r="B784" s="4" t="n"/>
      <c r="C784">
        <f>IF(A784="","",SUMPRODUCT((المبيعات!$C$2:$C$2000=A784)*(المبيعات!$B$2:$B$2000&lt;&gt;"")/COUNTIFS(المبيعات!$B$2:$B$2000,المبيعات!$B$2:$B$2000&amp;"",المبيعات!$C$2:$C$2000,المبيعات!$C$2:$C$2000&amp;"")))</f>
        <v/>
      </c>
      <c r="D784">
        <f>IF(A784="","",SUMIFS(المبيعات!$H$2:$H$2000,المبيعات!$C$2:$C$2000,A784))</f>
        <v/>
      </c>
      <c r="E784" s="13">
        <f>IF(A784="","",IF(COUNTIF(المبيعات!$C$2:$C$2000,A784)=0,"",_xlfn.MAXIFS(المبيعات!$A$2:$A$2000,المبيعات!$C$2:$C$2000,A784)))</f>
        <v/>
      </c>
      <c r="F784">
        <f>IF(A784="","",SUMIFS(المبيعات!$H$2:$H$2000,المبيعات!$C$2:$C$2000,A784,المبيعات!$J$2:$J$2000,"آجل"))</f>
        <v/>
      </c>
      <c r="G784" s="4" t="n"/>
      <c r="H784">
        <f>IF(A784="","",F784-G784)</f>
        <v/>
      </c>
    </row>
    <row r="785">
      <c r="A785" s="4" t="n"/>
      <c r="B785" s="4" t="n"/>
      <c r="C785">
        <f>IF(A785="","",SUMPRODUCT((المبيعات!$C$2:$C$2000=A785)*(المبيعات!$B$2:$B$2000&lt;&gt;"")/COUNTIFS(المبيعات!$B$2:$B$2000,المبيعات!$B$2:$B$2000&amp;"",المبيعات!$C$2:$C$2000,المبيعات!$C$2:$C$2000&amp;"")))</f>
        <v/>
      </c>
      <c r="D785">
        <f>IF(A785="","",SUMIFS(المبيعات!$H$2:$H$2000,المبيعات!$C$2:$C$2000,A785))</f>
        <v/>
      </c>
      <c r="E785" s="13">
        <f>IF(A785="","",IF(COUNTIF(المبيعات!$C$2:$C$2000,A785)=0,"",_xlfn.MAXIFS(المبيعات!$A$2:$A$2000,المبيعات!$C$2:$C$2000,A785)))</f>
        <v/>
      </c>
      <c r="F785">
        <f>IF(A785="","",SUMIFS(المبيعات!$H$2:$H$2000,المبيعات!$C$2:$C$2000,A785,المبيعات!$J$2:$J$2000,"آجل"))</f>
        <v/>
      </c>
      <c r="G785" s="4" t="n"/>
      <c r="H785">
        <f>IF(A785="","",F785-G785)</f>
        <v/>
      </c>
    </row>
    <row r="786">
      <c r="A786" s="4" t="n"/>
      <c r="B786" s="4" t="n"/>
      <c r="C786">
        <f>IF(A786="","",SUMPRODUCT((المبيعات!$C$2:$C$2000=A786)*(المبيعات!$B$2:$B$2000&lt;&gt;"")/COUNTIFS(المبيعات!$B$2:$B$2000,المبيعات!$B$2:$B$2000&amp;"",المبيعات!$C$2:$C$2000,المبيعات!$C$2:$C$2000&amp;"")))</f>
        <v/>
      </c>
      <c r="D786">
        <f>IF(A786="","",SUMIFS(المبيعات!$H$2:$H$2000,المبيعات!$C$2:$C$2000,A786))</f>
        <v/>
      </c>
      <c r="E786" s="13">
        <f>IF(A786="","",IF(COUNTIF(المبيعات!$C$2:$C$2000,A786)=0,"",_xlfn.MAXIFS(المبيعات!$A$2:$A$2000,المبيعات!$C$2:$C$2000,A786)))</f>
        <v/>
      </c>
      <c r="F786">
        <f>IF(A786="","",SUMIFS(المبيعات!$H$2:$H$2000,المبيعات!$C$2:$C$2000,A786,المبيعات!$J$2:$J$2000,"آجل"))</f>
        <v/>
      </c>
      <c r="G786" s="4" t="n"/>
      <c r="H786">
        <f>IF(A786="","",F786-G786)</f>
        <v/>
      </c>
    </row>
    <row r="787">
      <c r="A787" s="4" t="n"/>
      <c r="B787" s="4" t="n"/>
      <c r="C787">
        <f>IF(A787="","",SUMPRODUCT((المبيعات!$C$2:$C$2000=A787)*(المبيعات!$B$2:$B$2000&lt;&gt;"")/COUNTIFS(المبيعات!$B$2:$B$2000,المبيعات!$B$2:$B$2000&amp;"",المبيعات!$C$2:$C$2000,المبيعات!$C$2:$C$2000&amp;"")))</f>
        <v/>
      </c>
      <c r="D787">
        <f>IF(A787="","",SUMIFS(المبيعات!$H$2:$H$2000,المبيعات!$C$2:$C$2000,A787))</f>
        <v/>
      </c>
      <c r="E787" s="13">
        <f>IF(A787="","",IF(COUNTIF(المبيعات!$C$2:$C$2000,A787)=0,"",_xlfn.MAXIFS(المبيعات!$A$2:$A$2000,المبيعات!$C$2:$C$2000,A787)))</f>
        <v/>
      </c>
      <c r="F787">
        <f>IF(A787="","",SUMIFS(المبيعات!$H$2:$H$2000,المبيعات!$C$2:$C$2000,A787,المبيعات!$J$2:$J$2000,"آجل"))</f>
        <v/>
      </c>
      <c r="G787" s="4" t="n"/>
      <c r="H787">
        <f>IF(A787="","",F787-G787)</f>
        <v/>
      </c>
    </row>
    <row r="788">
      <c r="A788" s="4" t="n"/>
      <c r="B788" s="4" t="n"/>
      <c r="C788">
        <f>IF(A788="","",SUMPRODUCT((المبيعات!$C$2:$C$2000=A788)*(المبيعات!$B$2:$B$2000&lt;&gt;"")/COUNTIFS(المبيعات!$B$2:$B$2000,المبيعات!$B$2:$B$2000&amp;"",المبيعات!$C$2:$C$2000,المبيعات!$C$2:$C$2000&amp;"")))</f>
        <v/>
      </c>
      <c r="D788">
        <f>IF(A788="","",SUMIFS(المبيعات!$H$2:$H$2000,المبيعات!$C$2:$C$2000,A788))</f>
        <v/>
      </c>
      <c r="E788" s="13">
        <f>IF(A788="","",IF(COUNTIF(المبيعات!$C$2:$C$2000,A788)=0,"",_xlfn.MAXIFS(المبيعات!$A$2:$A$2000,المبيعات!$C$2:$C$2000,A788)))</f>
        <v/>
      </c>
      <c r="F788">
        <f>IF(A788="","",SUMIFS(المبيعات!$H$2:$H$2000,المبيعات!$C$2:$C$2000,A788,المبيعات!$J$2:$J$2000,"آجل"))</f>
        <v/>
      </c>
      <c r="G788" s="4" t="n"/>
      <c r="H788">
        <f>IF(A788="","",F788-G788)</f>
        <v/>
      </c>
    </row>
    <row r="789">
      <c r="A789" s="4" t="n"/>
      <c r="B789" s="4" t="n"/>
      <c r="C789">
        <f>IF(A789="","",SUMPRODUCT((المبيعات!$C$2:$C$2000=A789)*(المبيعات!$B$2:$B$2000&lt;&gt;"")/COUNTIFS(المبيعات!$B$2:$B$2000,المبيعات!$B$2:$B$2000&amp;"",المبيعات!$C$2:$C$2000,المبيعات!$C$2:$C$2000&amp;"")))</f>
        <v/>
      </c>
      <c r="D789">
        <f>IF(A789="","",SUMIFS(المبيعات!$H$2:$H$2000,المبيعات!$C$2:$C$2000,A789))</f>
        <v/>
      </c>
      <c r="E789" s="13">
        <f>IF(A789="","",IF(COUNTIF(المبيعات!$C$2:$C$2000,A789)=0,"",_xlfn.MAXIFS(المبيعات!$A$2:$A$2000,المبيعات!$C$2:$C$2000,A789)))</f>
        <v/>
      </c>
      <c r="F789">
        <f>IF(A789="","",SUMIFS(المبيعات!$H$2:$H$2000,المبيعات!$C$2:$C$2000,A789,المبيعات!$J$2:$J$2000,"آجل"))</f>
        <v/>
      </c>
      <c r="G789" s="4" t="n"/>
      <c r="H789">
        <f>IF(A789="","",F789-G789)</f>
        <v/>
      </c>
    </row>
    <row r="790">
      <c r="A790" s="4" t="n"/>
      <c r="B790" s="4" t="n"/>
      <c r="C790">
        <f>IF(A790="","",SUMPRODUCT((المبيعات!$C$2:$C$2000=A790)*(المبيعات!$B$2:$B$2000&lt;&gt;"")/COUNTIFS(المبيعات!$B$2:$B$2000,المبيعات!$B$2:$B$2000&amp;"",المبيعات!$C$2:$C$2000,المبيعات!$C$2:$C$2000&amp;"")))</f>
        <v/>
      </c>
      <c r="D790">
        <f>IF(A790="","",SUMIFS(المبيعات!$H$2:$H$2000,المبيعات!$C$2:$C$2000,A790))</f>
        <v/>
      </c>
      <c r="E790" s="13">
        <f>IF(A790="","",IF(COUNTIF(المبيعات!$C$2:$C$2000,A790)=0,"",_xlfn.MAXIFS(المبيعات!$A$2:$A$2000,المبيعات!$C$2:$C$2000,A790)))</f>
        <v/>
      </c>
      <c r="F790">
        <f>IF(A790="","",SUMIFS(المبيعات!$H$2:$H$2000,المبيعات!$C$2:$C$2000,A790,المبيعات!$J$2:$J$2000,"آجل"))</f>
        <v/>
      </c>
      <c r="G790" s="4" t="n"/>
      <c r="H790">
        <f>IF(A790="","",F790-G790)</f>
        <v/>
      </c>
    </row>
    <row r="791">
      <c r="A791" s="4" t="n"/>
      <c r="B791" s="4" t="n"/>
      <c r="C791">
        <f>IF(A791="","",SUMPRODUCT((المبيعات!$C$2:$C$2000=A791)*(المبيعات!$B$2:$B$2000&lt;&gt;"")/COUNTIFS(المبيعات!$B$2:$B$2000,المبيعات!$B$2:$B$2000&amp;"",المبيعات!$C$2:$C$2000,المبيعات!$C$2:$C$2000&amp;"")))</f>
        <v/>
      </c>
      <c r="D791">
        <f>IF(A791="","",SUMIFS(المبيعات!$H$2:$H$2000,المبيعات!$C$2:$C$2000,A791))</f>
        <v/>
      </c>
      <c r="E791" s="13">
        <f>IF(A791="","",IF(COUNTIF(المبيعات!$C$2:$C$2000,A791)=0,"",_xlfn.MAXIFS(المبيعات!$A$2:$A$2000,المبيعات!$C$2:$C$2000,A791)))</f>
        <v/>
      </c>
      <c r="F791">
        <f>IF(A791="","",SUMIFS(المبيعات!$H$2:$H$2000,المبيعات!$C$2:$C$2000,A791,المبيعات!$J$2:$J$2000,"آجل"))</f>
        <v/>
      </c>
      <c r="G791" s="4" t="n"/>
      <c r="H791">
        <f>IF(A791="","",F791-G791)</f>
        <v/>
      </c>
    </row>
    <row r="792">
      <c r="A792" s="4" t="n"/>
      <c r="B792" s="4" t="n"/>
      <c r="C792">
        <f>IF(A792="","",SUMPRODUCT((المبيعات!$C$2:$C$2000=A792)*(المبيعات!$B$2:$B$2000&lt;&gt;"")/COUNTIFS(المبيعات!$B$2:$B$2000,المبيعات!$B$2:$B$2000&amp;"",المبيعات!$C$2:$C$2000,المبيعات!$C$2:$C$2000&amp;"")))</f>
        <v/>
      </c>
      <c r="D792">
        <f>IF(A792="","",SUMIFS(المبيعات!$H$2:$H$2000,المبيعات!$C$2:$C$2000,A792))</f>
        <v/>
      </c>
      <c r="E792" s="13">
        <f>IF(A792="","",IF(COUNTIF(المبيعات!$C$2:$C$2000,A792)=0,"",_xlfn.MAXIFS(المبيعات!$A$2:$A$2000,المبيعات!$C$2:$C$2000,A792)))</f>
        <v/>
      </c>
      <c r="F792">
        <f>IF(A792="","",SUMIFS(المبيعات!$H$2:$H$2000,المبيعات!$C$2:$C$2000,A792,المبيعات!$J$2:$J$2000,"آجل"))</f>
        <v/>
      </c>
      <c r="G792" s="4" t="n"/>
      <c r="H792">
        <f>IF(A792="","",F792-G792)</f>
        <v/>
      </c>
    </row>
    <row r="793">
      <c r="A793" s="4" t="n"/>
      <c r="B793" s="4" t="n"/>
      <c r="C793">
        <f>IF(A793="","",SUMPRODUCT((المبيعات!$C$2:$C$2000=A793)*(المبيعات!$B$2:$B$2000&lt;&gt;"")/COUNTIFS(المبيعات!$B$2:$B$2000,المبيعات!$B$2:$B$2000&amp;"",المبيعات!$C$2:$C$2000,المبيعات!$C$2:$C$2000&amp;"")))</f>
        <v/>
      </c>
      <c r="D793">
        <f>IF(A793="","",SUMIFS(المبيعات!$H$2:$H$2000,المبيعات!$C$2:$C$2000,A793))</f>
        <v/>
      </c>
      <c r="E793" s="13">
        <f>IF(A793="","",IF(COUNTIF(المبيعات!$C$2:$C$2000,A793)=0,"",_xlfn.MAXIFS(المبيعات!$A$2:$A$2000,المبيعات!$C$2:$C$2000,A793)))</f>
        <v/>
      </c>
      <c r="F793">
        <f>IF(A793="","",SUMIFS(المبيعات!$H$2:$H$2000,المبيعات!$C$2:$C$2000,A793,المبيعات!$J$2:$J$2000,"آجل"))</f>
        <v/>
      </c>
      <c r="G793" s="4" t="n"/>
      <c r="H793">
        <f>IF(A793="","",F793-G793)</f>
        <v/>
      </c>
    </row>
    <row r="794">
      <c r="A794" s="4" t="n"/>
      <c r="B794" s="4" t="n"/>
      <c r="C794">
        <f>IF(A794="","",SUMPRODUCT((المبيعات!$C$2:$C$2000=A794)*(المبيعات!$B$2:$B$2000&lt;&gt;"")/COUNTIFS(المبيعات!$B$2:$B$2000,المبيعات!$B$2:$B$2000&amp;"",المبيعات!$C$2:$C$2000,المبيعات!$C$2:$C$2000&amp;"")))</f>
        <v/>
      </c>
      <c r="D794">
        <f>IF(A794="","",SUMIFS(المبيعات!$H$2:$H$2000,المبيعات!$C$2:$C$2000,A794))</f>
        <v/>
      </c>
      <c r="E794" s="13">
        <f>IF(A794="","",IF(COUNTIF(المبيعات!$C$2:$C$2000,A794)=0,"",_xlfn.MAXIFS(المبيعات!$A$2:$A$2000,المبيعات!$C$2:$C$2000,A794)))</f>
        <v/>
      </c>
      <c r="F794">
        <f>IF(A794="","",SUMIFS(المبيعات!$H$2:$H$2000,المبيعات!$C$2:$C$2000,A794,المبيعات!$J$2:$J$2000,"آجل"))</f>
        <v/>
      </c>
      <c r="G794" s="4" t="n"/>
      <c r="H794">
        <f>IF(A794="","",F794-G794)</f>
        <v/>
      </c>
    </row>
    <row r="795">
      <c r="A795" s="4" t="n"/>
      <c r="B795" s="4" t="n"/>
      <c r="C795">
        <f>IF(A795="","",SUMPRODUCT((المبيعات!$C$2:$C$2000=A795)*(المبيعات!$B$2:$B$2000&lt;&gt;"")/COUNTIFS(المبيعات!$B$2:$B$2000,المبيعات!$B$2:$B$2000&amp;"",المبيعات!$C$2:$C$2000,المبيعات!$C$2:$C$2000&amp;"")))</f>
        <v/>
      </c>
      <c r="D795">
        <f>IF(A795="","",SUMIFS(المبيعات!$H$2:$H$2000,المبيعات!$C$2:$C$2000,A795))</f>
        <v/>
      </c>
      <c r="E795" s="13">
        <f>IF(A795="","",IF(COUNTIF(المبيعات!$C$2:$C$2000,A795)=0,"",_xlfn.MAXIFS(المبيعات!$A$2:$A$2000,المبيعات!$C$2:$C$2000,A795)))</f>
        <v/>
      </c>
      <c r="F795">
        <f>IF(A795="","",SUMIFS(المبيعات!$H$2:$H$2000,المبيعات!$C$2:$C$2000,A795,المبيعات!$J$2:$J$2000,"آجل"))</f>
        <v/>
      </c>
      <c r="G795" s="4" t="n"/>
      <c r="H795">
        <f>IF(A795="","",F795-G795)</f>
        <v/>
      </c>
    </row>
    <row r="796">
      <c r="A796" s="4" t="n"/>
      <c r="B796" s="4" t="n"/>
      <c r="C796">
        <f>IF(A796="","",SUMPRODUCT((المبيعات!$C$2:$C$2000=A796)*(المبيعات!$B$2:$B$2000&lt;&gt;"")/COUNTIFS(المبيعات!$B$2:$B$2000,المبيعات!$B$2:$B$2000&amp;"",المبيعات!$C$2:$C$2000,المبيعات!$C$2:$C$2000&amp;"")))</f>
        <v/>
      </c>
      <c r="D796">
        <f>IF(A796="","",SUMIFS(المبيعات!$H$2:$H$2000,المبيعات!$C$2:$C$2000,A796))</f>
        <v/>
      </c>
      <c r="E796" s="13">
        <f>IF(A796="","",IF(COUNTIF(المبيعات!$C$2:$C$2000,A796)=0,"",_xlfn.MAXIFS(المبيعات!$A$2:$A$2000,المبيعات!$C$2:$C$2000,A796)))</f>
        <v/>
      </c>
      <c r="F796">
        <f>IF(A796="","",SUMIFS(المبيعات!$H$2:$H$2000,المبيعات!$C$2:$C$2000,A796,المبيعات!$J$2:$J$2000,"آجل"))</f>
        <v/>
      </c>
      <c r="G796" s="4" t="n"/>
      <c r="H796">
        <f>IF(A796="","",F796-G796)</f>
        <v/>
      </c>
    </row>
    <row r="797">
      <c r="A797" s="4" t="n"/>
      <c r="B797" s="4" t="n"/>
      <c r="C797">
        <f>IF(A797="","",SUMPRODUCT((المبيعات!$C$2:$C$2000=A797)*(المبيعات!$B$2:$B$2000&lt;&gt;"")/COUNTIFS(المبيعات!$B$2:$B$2000,المبيعات!$B$2:$B$2000&amp;"",المبيعات!$C$2:$C$2000,المبيعات!$C$2:$C$2000&amp;"")))</f>
        <v/>
      </c>
      <c r="D797">
        <f>IF(A797="","",SUMIFS(المبيعات!$H$2:$H$2000,المبيعات!$C$2:$C$2000,A797))</f>
        <v/>
      </c>
      <c r="E797" s="13">
        <f>IF(A797="","",IF(COUNTIF(المبيعات!$C$2:$C$2000,A797)=0,"",_xlfn.MAXIFS(المبيعات!$A$2:$A$2000,المبيعات!$C$2:$C$2000,A797)))</f>
        <v/>
      </c>
      <c r="F797">
        <f>IF(A797="","",SUMIFS(المبيعات!$H$2:$H$2000,المبيعات!$C$2:$C$2000,A797,المبيعات!$J$2:$J$2000,"آجل"))</f>
        <v/>
      </c>
      <c r="G797" s="4" t="n"/>
      <c r="H797">
        <f>IF(A797="","",F797-G797)</f>
        <v/>
      </c>
    </row>
    <row r="798">
      <c r="A798" s="4" t="n"/>
      <c r="B798" s="4" t="n"/>
      <c r="C798">
        <f>IF(A798="","",SUMPRODUCT((المبيعات!$C$2:$C$2000=A798)*(المبيعات!$B$2:$B$2000&lt;&gt;"")/COUNTIFS(المبيعات!$B$2:$B$2000,المبيعات!$B$2:$B$2000&amp;"",المبيعات!$C$2:$C$2000,المبيعات!$C$2:$C$2000&amp;"")))</f>
        <v/>
      </c>
      <c r="D798">
        <f>IF(A798="","",SUMIFS(المبيعات!$H$2:$H$2000,المبيعات!$C$2:$C$2000,A798))</f>
        <v/>
      </c>
      <c r="E798" s="13">
        <f>IF(A798="","",IF(COUNTIF(المبيعات!$C$2:$C$2000,A798)=0,"",_xlfn.MAXIFS(المبيعات!$A$2:$A$2000,المبيعات!$C$2:$C$2000,A798)))</f>
        <v/>
      </c>
      <c r="F798">
        <f>IF(A798="","",SUMIFS(المبيعات!$H$2:$H$2000,المبيعات!$C$2:$C$2000,A798,المبيعات!$J$2:$J$2000,"آجل"))</f>
        <v/>
      </c>
      <c r="G798" s="4" t="n"/>
      <c r="H798">
        <f>IF(A798="","",F798-G798)</f>
        <v/>
      </c>
    </row>
    <row r="799">
      <c r="A799" s="4" t="n"/>
      <c r="B799" s="4" t="n"/>
      <c r="C799">
        <f>IF(A799="","",SUMPRODUCT((المبيعات!$C$2:$C$2000=A799)*(المبيعات!$B$2:$B$2000&lt;&gt;"")/COUNTIFS(المبيعات!$B$2:$B$2000,المبيعات!$B$2:$B$2000&amp;"",المبيعات!$C$2:$C$2000,المبيعات!$C$2:$C$2000&amp;"")))</f>
        <v/>
      </c>
      <c r="D799">
        <f>IF(A799="","",SUMIFS(المبيعات!$H$2:$H$2000,المبيعات!$C$2:$C$2000,A799))</f>
        <v/>
      </c>
      <c r="E799" s="13">
        <f>IF(A799="","",IF(COUNTIF(المبيعات!$C$2:$C$2000,A799)=0,"",_xlfn.MAXIFS(المبيعات!$A$2:$A$2000,المبيعات!$C$2:$C$2000,A799)))</f>
        <v/>
      </c>
      <c r="F799">
        <f>IF(A799="","",SUMIFS(المبيعات!$H$2:$H$2000,المبيعات!$C$2:$C$2000,A799,المبيعات!$J$2:$J$2000,"آجل"))</f>
        <v/>
      </c>
      <c r="G799" s="4" t="n"/>
      <c r="H799">
        <f>IF(A799="","",F799-G799)</f>
        <v/>
      </c>
    </row>
    <row r="800">
      <c r="A800" s="4" t="n"/>
      <c r="B800" s="4" t="n"/>
      <c r="C800">
        <f>IF(A800="","",SUMPRODUCT((المبيعات!$C$2:$C$2000=A800)*(المبيعات!$B$2:$B$2000&lt;&gt;"")/COUNTIFS(المبيعات!$B$2:$B$2000,المبيعات!$B$2:$B$2000&amp;"",المبيعات!$C$2:$C$2000,المبيعات!$C$2:$C$2000&amp;"")))</f>
        <v/>
      </c>
      <c r="D800">
        <f>IF(A800="","",SUMIFS(المبيعات!$H$2:$H$2000,المبيعات!$C$2:$C$2000,A800))</f>
        <v/>
      </c>
      <c r="E800" s="13">
        <f>IF(A800="","",IF(COUNTIF(المبيعات!$C$2:$C$2000,A800)=0,"",_xlfn.MAXIFS(المبيعات!$A$2:$A$2000,المبيعات!$C$2:$C$2000,A800)))</f>
        <v/>
      </c>
      <c r="F800">
        <f>IF(A800="","",SUMIFS(المبيعات!$H$2:$H$2000,المبيعات!$C$2:$C$2000,A800,المبيعات!$J$2:$J$2000,"آجل"))</f>
        <v/>
      </c>
      <c r="G800" s="4" t="n"/>
      <c r="H800">
        <f>IF(A800="","",F800-G800)</f>
        <v/>
      </c>
    </row>
    <row r="801">
      <c r="A801" s="4" t="n"/>
      <c r="B801" s="4" t="n"/>
      <c r="C801">
        <f>IF(A801="","",SUMPRODUCT((المبيعات!$C$2:$C$2000=A801)*(المبيعات!$B$2:$B$2000&lt;&gt;"")/COUNTIFS(المبيعات!$B$2:$B$2000,المبيعات!$B$2:$B$2000&amp;"",المبيعات!$C$2:$C$2000,المبيعات!$C$2:$C$2000&amp;"")))</f>
        <v/>
      </c>
      <c r="D801">
        <f>IF(A801="","",SUMIFS(المبيعات!$H$2:$H$2000,المبيعات!$C$2:$C$2000,A801))</f>
        <v/>
      </c>
      <c r="E801" s="13">
        <f>IF(A801="","",IF(COUNTIF(المبيعات!$C$2:$C$2000,A801)=0,"",_xlfn.MAXIFS(المبيعات!$A$2:$A$2000,المبيعات!$C$2:$C$2000,A801)))</f>
        <v/>
      </c>
      <c r="F801">
        <f>IF(A801="","",SUMIFS(المبيعات!$H$2:$H$2000,المبيعات!$C$2:$C$2000,A801,المبيعات!$J$2:$J$2000,"آجل"))</f>
        <v/>
      </c>
      <c r="G801" s="4" t="n"/>
      <c r="H801">
        <f>IF(A801="","",F801-G801)</f>
        <v/>
      </c>
    </row>
    <row r="802">
      <c r="A802" s="4" t="n"/>
      <c r="B802" s="4" t="n"/>
      <c r="C802">
        <f>IF(A802="","",SUMPRODUCT((المبيعات!$C$2:$C$2000=A802)*(المبيعات!$B$2:$B$2000&lt;&gt;"")/COUNTIFS(المبيعات!$B$2:$B$2000,المبيعات!$B$2:$B$2000&amp;"",المبيعات!$C$2:$C$2000,المبيعات!$C$2:$C$2000&amp;"")))</f>
        <v/>
      </c>
      <c r="D802">
        <f>IF(A802="","",SUMIFS(المبيعات!$H$2:$H$2000,المبيعات!$C$2:$C$2000,A802))</f>
        <v/>
      </c>
      <c r="E802" s="13">
        <f>IF(A802="","",IF(COUNTIF(المبيعات!$C$2:$C$2000,A802)=0,"",_xlfn.MAXIFS(المبيعات!$A$2:$A$2000,المبيعات!$C$2:$C$2000,A802)))</f>
        <v/>
      </c>
      <c r="F802">
        <f>IF(A802="","",SUMIFS(المبيعات!$H$2:$H$2000,المبيعات!$C$2:$C$2000,A802,المبيعات!$J$2:$J$2000,"آجل"))</f>
        <v/>
      </c>
      <c r="G802" s="4" t="n"/>
      <c r="H802">
        <f>IF(A802="","",F802-G802)</f>
        <v/>
      </c>
    </row>
    <row r="803">
      <c r="A803" s="4" t="n"/>
      <c r="B803" s="4" t="n"/>
      <c r="C803">
        <f>IF(A803="","",SUMPRODUCT((المبيعات!$C$2:$C$2000=A803)*(المبيعات!$B$2:$B$2000&lt;&gt;"")/COUNTIFS(المبيعات!$B$2:$B$2000,المبيعات!$B$2:$B$2000&amp;"",المبيعات!$C$2:$C$2000,المبيعات!$C$2:$C$2000&amp;"")))</f>
        <v/>
      </c>
      <c r="D803">
        <f>IF(A803="","",SUMIFS(المبيعات!$H$2:$H$2000,المبيعات!$C$2:$C$2000,A803))</f>
        <v/>
      </c>
      <c r="E803" s="13">
        <f>IF(A803="","",IF(COUNTIF(المبيعات!$C$2:$C$2000,A803)=0,"",_xlfn.MAXIFS(المبيعات!$A$2:$A$2000,المبيعات!$C$2:$C$2000,A803)))</f>
        <v/>
      </c>
      <c r="F803">
        <f>IF(A803="","",SUMIFS(المبيعات!$H$2:$H$2000,المبيعات!$C$2:$C$2000,A803,المبيعات!$J$2:$J$2000,"آجل"))</f>
        <v/>
      </c>
      <c r="G803" s="4" t="n"/>
      <c r="H803">
        <f>IF(A803="","",F803-G803)</f>
        <v/>
      </c>
    </row>
    <row r="804">
      <c r="A804" s="4" t="n"/>
      <c r="B804" s="4" t="n"/>
      <c r="C804">
        <f>IF(A804="","",SUMPRODUCT((المبيعات!$C$2:$C$2000=A804)*(المبيعات!$B$2:$B$2000&lt;&gt;"")/COUNTIFS(المبيعات!$B$2:$B$2000,المبيعات!$B$2:$B$2000&amp;"",المبيعات!$C$2:$C$2000,المبيعات!$C$2:$C$2000&amp;"")))</f>
        <v/>
      </c>
      <c r="D804">
        <f>IF(A804="","",SUMIFS(المبيعات!$H$2:$H$2000,المبيعات!$C$2:$C$2000,A804))</f>
        <v/>
      </c>
      <c r="E804" s="13">
        <f>IF(A804="","",IF(COUNTIF(المبيعات!$C$2:$C$2000,A804)=0,"",_xlfn.MAXIFS(المبيعات!$A$2:$A$2000,المبيعات!$C$2:$C$2000,A804)))</f>
        <v/>
      </c>
      <c r="F804">
        <f>IF(A804="","",SUMIFS(المبيعات!$H$2:$H$2000,المبيعات!$C$2:$C$2000,A804,المبيعات!$J$2:$J$2000,"آجل"))</f>
        <v/>
      </c>
      <c r="G804" s="4" t="n"/>
      <c r="H804">
        <f>IF(A804="","",F804-G804)</f>
        <v/>
      </c>
    </row>
    <row r="805">
      <c r="A805" s="4" t="n"/>
      <c r="B805" s="4" t="n"/>
      <c r="C805">
        <f>IF(A805="","",SUMPRODUCT((المبيعات!$C$2:$C$2000=A805)*(المبيعات!$B$2:$B$2000&lt;&gt;"")/COUNTIFS(المبيعات!$B$2:$B$2000,المبيعات!$B$2:$B$2000&amp;"",المبيعات!$C$2:$C$2000,المبيعات!$C$2:$C$2000&amp;"")))</f>
        <v/>
      </c>
      <c r="D805">
        <f>IF(A805="","",SUMIFS(المبيعات!$H$2:$H$2000,المبيعات!$C$2:$C$2000,A805))</f>
        <v/>
      </c>
      <c r="E805" s="13">
        <f>IF(A805="","",IF(COUNTIF(المبيعات!$C$2:$C$2000,A805)=0,"",_xlfn.MAXIFS(المبيعات!$A$2:$A$2000,المبيعات!$C$2:$C$2000,A805)))</f>
        <v/>
      </c>
      <c r="F805">
        <f>IF(A805="","",SUMIFS(المبيعات!$H$2:$H$2000,المبيعات!$C$2:$C$2000,A805,المبيعات!$J$2:$J$2000,"آجل"))</f>
        <v/>
      </c>
      <c r="G805" s="4" t="n"/>
      <c r="H805">
        <f>IF(A805="","",F805-G805)</f>
        <v/>
      </c>
    </row>
    <row r="806">
      <c r="A806" s="4" t="n"/>
      <c r="B806" s="4" t="n"/>
      <c r="C806">
        <f>IF(A806="","",SUMPRODUCT((المبيعات!$C$2:$C$2000=A806)*(المبيعات!$B$2:$B$2000&lt;&gt;"")/COUNTIFS(المبيعات!$B$2:$B$2000,المبيعات!$B$2:$B$2000&amp;"",المبيعات!$C$2:$C$2000,المبيعات!$C$2:$C$2000&amp;"")))</f>
        <v/>
      </c>
      <c r="D806">
        <f>IF(A806="","",SUMIFS(المبيعات!$H$2:$H$2000,المبيعات!$C$2:$C$2000,A806))</f>
        <v/>
      </c>
      <c r="E806" s="13">
        <f>IF(A806="","",IF(COUNTIF(المبيعات!$C$2:$C$2000,A806)=0,"",_xlfn.MAXIFS(المبيعات!$A$2:$A$2000,المبيعات!$C$2:$C$2000,A806)))</f>
        <v/>
      </c>
      <c r="F806">
        <f>IF(A806="","",SUMIFS(المبيعات!$H$2:$H$2000,المبيعات!$C$2:$C$2000,A806,المبيعات!$J$2:$J$2000,"آجل"))</f>
        <v/>
      </c>
      <c r="G806" s="4" t="n"/>
      <c r="H806">
        <f>IF(A806="","",F806-G806)</f>
        <v/>
      </c>
    </row>
    <row r="807">
      <c r="A807" s="4" t="n"/>
      <c r="B807" s="4" t="n"/>
      <c r="C807">
        <f>IF(A807="","",SUMPRODUCT((المبيعات!$C$2:$C$2000=A807)*(المبيعات!$B$2:$B$2000&lt;&gt;"")/COUNTIFS(المبيعات!$B$2:$B$2000,المبيعات!$B$2:$B$2000&amp;"",المبيعات!$C$2:$C$2000,المبيعات!$C$2:$C$2000&amp;"")))</f>
        <v/>
      </c>
      <c r="D807">
        <f>IF(A807="","",SUMIFS(المبيعات!$H$2:$H$2000,المبيعات!$C$2:$C$2000,A807))</f>
        <v/>
      </c>
      <c r="E807" s="13">
        <f>IF(A807="","",IF(COUNTIF(المبيعات!$C$2:$C$2000,A807)=0,"",_xlfn.MAXIFS(المبيعات!$A$2:$A$2000,المبيعات!$C$2:$C$2000,A807)))</f>
        <v/>
      </c>
      <c r="F807">
        <f>IF(A807="","",SUMIFS(المبيعات!$H$2:$H$2000,المبيعات!$C$2:$C$2000,A807,المبيعات!$J$2:$J$2000,"آجل"))</f>
        <v/>
      </c>
      <c r="G807" s="4" t="n"/>
      <c r="H807">
        <f>IF(A807="","",F807-G807)</f>
        <v/>
      </c>
    </row>
    <row r="808">
      <c r="A808" s="4" t="n"/>
      <c r="B808" s="4" t="n"/>
      <c r="C808">
        <f>IF(A808="","",SUMPRODUCT((المبيعات!$C$2:$C$2000=A808)*(المبيعات!$B$2:$B$2000&lt;&gt;"")/COUNTIFS(المبيعات!$B$2:$B$2000,المبيعات!$B$2:$B$2000&amp;"",المبيعات!$C$2:$C$2000,المبيعات!$C$2:$C$2000&amp;"")))</f>
        <v/>
      </c>
      <c r="D808">
        <f>IF(A808="","",SUMIFS(المبيعات!$H$2:$H$2000,المبيعات!$C$2:$C$2000,A808))</f>
        <v/>
      </c>
      <c r="E808" s="13">
        <f>IF(A808="","",IF(COUNTIF(المبيعات!$C$2:$C$2000,A808)=0,"",_xlfn.MAXIFS(المبيعات!$A$2:$A$2000,المبيعات!$C$2:$C$2000,A808)))</f>
        <v/>
      </c>
      <c r="F808">
        <f>IF(A808="","",SUMIFS(المبيعات!$H$2:$H$2000,المبيعات!$C$2:$C$2000,A808,المبيعات!$J$2:$J$2000,"آجل"))</f>
        <v/>
      </c>
      <c r="G808" s="4" t="n"/>
      <c r="H808">
        <f>IF(A808="","",F808-G808)</f>
        <v/>
      </c>
    </row>
    <row r="809">
      <c r="A809" s="4" t="n"/>
      <c r="B809" s="4" t="n"/>
      <c r="C809">
        <f>IF(A809="","",SUMPRODUCT((المبيعات!$C$2:$C$2000=A809)*(المبيعات!$B$2:$B$2000&lt;&gt;"")/COUNTIFS(المبيعات!$B$2:$B$2000,المبيعات!$B$2:$B$2000&amp;"",المبيعات!$C$2:$C$2000,المبيعات!$C$2:$C$2000&amp;"")))</f>
        <v/>
      </c>
      <c r="D809">
        <f>IF(A809="","",SUMIFS(المبيعات!$H$2:$H$2000,المبيعات!$C$2:$C$2000,A809))</f>
        <v/>
      </c>
      <c r="E809" s="13">
        <f>IF(A809="","",IF(COUNTIF(المبيعات!$C$2:$C$2000,A809)=0,"",_xlfn.MAXIFS(المبيعات!$A$2:$A$2000,المبيعات!$C$2:$C$2000,A809)))</f>
        <v/>
      </c>
      <c r="F809">
        <f>IF(A809="","",SUMIFS(المبيعات!$H$2:$H$2000,المبيعات!$C$2:$C$2000,A809,المبيعات!$J$2:$J$2000,"آجل"))</f>
        <v/>
      </c>
      <c r="G809" s="4" t="n"/>
      <c r="H809">
        <f>IF(A809="","",F809-G809)</f>
        <v/>
      </c>
    </row>
    <row r="810">
      <c r="A810" s="4" t="n"/>
      <c r="B810" s="4" t="n"/>
      <c r="C810">
        <f>IF(A810="","",SUMPRODUCT((المبيعات!$C$2:$C$2000=A810)*(المبيعات!$B$2:$B$2000&lt;&gt;"")/COUNTIFS(المبيعات!$B$2:$B$2000,المبيعات!$B$2:$B$2000&amp;"",المبيعات!$C$2:$C$2000,المبيعات!$C$2:$C$2000&amp;"")))</f>
        <v/>
      </c>
      <c r="D810">
        <f>IF(A810="","",SUMIFS(المبيعات!$H$2:$H$2000,المبيعات!$C$2:$C$2000,A810))</f>
        <v/>
      </c>
      <c r="E810" s="13">
        <f>IF(A810="","",IF(COUNTIF(المبيعات!$C$2:$C$2000,A810)=0,"",_xlfn.MAXIFS(المبيعات!$A$2:$A$2000,المبيعات!$C$2:$C$2000,A810)))</f>
        <v/>
      </c>
      <c r="F810">
        <f>IF(A810="","",SUMIFS(المبيعات!$H$2:$H$2000,المبيعات!$C$2:$C$2000,A810,المبيعات!$J$2:$J$2000,"آجل"))</f>
        <v/>
      </c>
      <c r="G810" s="4" t="n"/>
      <c r="H810">
        <f>IF(A810="","",F810-G810)</f>
        <v/>
      </c>
    </row>
    <row r="811">
      <c r="A811" s="4" t="n"/>
      <c r="B811" s="4" t="n"/>
      <c r="C811">
        <f>IF(A811="","",SUMPRODUCT((المبيعات!$C$2:$C$2000=A811)*(المبيعات!$B$2:$B$2000&lt;&gt;"")/COUNTIFS(المبيعات!$B$2:$B$2000,المبيعات!$B$2:$B$2000&amp;"",المبيعات!$C$2:$C$2000,المبيعات!$C$2:$C$2000&amp;"")))</f>
        <v/>
      </c>
      <c r="D811">
        <f>IF(A811="","",SUMIFS(المبيعات!$H$2:$H$2000,المبيعات!$C$2:$C$2000,A811))</f>
        <v/>
      </c>
      <c r="E811" s="13">
        <f>IF(A811="","",IF(COUNTIF(المبيعات!$C$2:$C$2000,A811)=0,"",_xlfn.MAXIFS(المبيعات!$A$2:$A$2000,المبيعات!$C$2:$C$2000,A811)))</f>
        <v/>
      </c>
      <c r="F811">
        <f>IF(A811="","",SUMIFS(المبيعات!$H$2:$H$2000,المبيعات!$C$2:$C$2000,A811,المبيعات!$J$2:$J$2000,"آجل"))</f>
        <v/>
      </c>
      <c r="G811" s="4" t="n"/>
      <c r="H811">
        <f>IF(A811="","",F811-G811)</f>
        <v/>
      </c>
    </row>
    <row r="812">
      <c r="A812" s="4" t="n"/>
      <c r="B812" s="4" t="n"/>
      <c r="C812">
        <f>IF(A812="","",SUMPRODUCT((المبيعات!$C$2:$C$2000=A812)*(المبيعات!$B$2:$B$2000&lt;&gt;"")/COUNTIFS(المبيعات!$B$2:$B$2000,المبيعات!$B$2:$B$2000&amp;"",المبيعات!$C$2:$C$2000,المبيعات!$C$2:$C$2000&amp;"")))</f>
        <v/>
      </c>
      <c r="D812">
        <f>IF(A812="","",SUMIFS(المبيعات!$H$2:$H$2000,المبيعات!$C$2:$C$2000,A812))</f>
        <v/>
      </c>
      <c r="E812" s="13">
        <f>IF(A812="","",IF(COUNTIF(المبيعات!$C$2:$C$2000,A812)=0,"",_xlfn.MAXIFS(المبيعات!$A$2:$A$2000,المبيعات!$C$2:$C$2000,A812)))</f>
        <v/>
      </c>
      <c r="F812">
        <f>IF(A812="","",SUMIFS(المبيعات!$H$2:$H$2000,المبيعات!$C$2:$C$2000,A812,المبيعات!$J$2:$J$2000,"آجل"))</f>
        <v/>
      </c>
      <c r="G812" s="4" t="n"/>
      <c r="H812">
        <f>IF(A812="","",F812-G812)</f>
        <v/>
      </c>
    </row>
    <row r="813">
      <c r="A813" s="4" t="n"/>
      <c r="B813" s="4" t="n"/>
      <c r="C813">
        <f>IF(A813="","",SUMPRODUCT((المبيعات!$C$2:$C$2000=A813)*(المبيعات!$B$2:$B$2000&lt;&gt;"")/COUNTIFS(المبيعات!$B$2:$B$2000,المبيعات!$B$2:$B$2000&amp;"",المبيعات!$C$2:$C$2000,المبيعات!$C$2:$C$2000&amp;"")))</f>
        <v/>
      </c>
      <c r="D813">
        <f>IF(A813="","",SUMIFS(المبيعات!$H$2:$H$2000,المبيعات!$C$2:$C$2000,A813))</f>
        <v/>
      </c>
      <c r="E813" s="13">
        <f>IF(A813="","",IF(COUNTIF(المبيعات!$C$2:$C$2000,A813)=0,"",_xlfn.MAXIFS(المبيعات!$A$2:$A$2000,المبيعات!$C$2:$C$2000,A813)))</f>
        <v/>
      </c>
      <c r="F813">
        <f>IF(A813="","",SUMIFS(المبيعات!$H$2:$H$2000,المبيعات!$C$2:$C$2000,A813,المبيعات!$J$2:$J$2000,"آجل"))</f>
        <v/>
      </c>
      <c r="G813" s="4" t="n"/>
      <c r="H813">
        <f>IF(A813="","",F813-G813)</f>
        <v/>
      </c>
    </row>
    <row r="814">
      <c r="A814" s="4" t="n"/>
      <c r="B814" s="4" t="n"/>
      <c r="C814">
        <f>IF(A814="","",SUMPRODUCT((المبيعات!$C$2:$C$2000=A814)*(المبيعات!$B$2:$B$2000&lt;&gt;"")/COUNTIFS(المبيعات!$B$2:$B$2000,المبيعات!$B$2:$B$2000&amp;"",المبيعات!$C$2:$C$2000,المبيعات!$C$2:$C$2000&amp;"")))</f>
        <v/>
      </c>
      <c r="D814">
        <f>IF(A814="","",SUMIFS(المبيعات!$H$2:$H$2000,المبيعات!$C$2:$C$2000,A814))</f>
        <v/>
      </c>
      <c r="E814" s="13">
        <f>IF(A814="","",IF(COUNTIF(المبيعات!$C$2:$C$2000,A814)=0,"",_xlfn.MAXIFS(المبيعات!$A$2:$A$2000,المبيعات!$C$2:$C$2000,A814)))</f>
        <v/>
      </c>
      <c r="F814">
        <f>IF(A814="","",SUMIFS(المبيعات!$H$2:$H$2000,المبيعات!$C$2:$C$2000,A814,المبيعات!$J$2:$J$2000,"آجل"))</f>
        <v/>
      </c>
      <c r="G814" s="4" t="n"/>
      <c r="H814">
        <f>IF(A814="","",F814-G814)</f>
        <v/>
      </c>
    </row>
    <row r="815">
      <c r="A815" s="4" t="n"/>
      <c r="B815" s="4" t="n"/>
      <c r="C815">
        <f>IF(A815="","",SUMPRODUCT((المبيعات!$C$2:$C$2000=A815)*(المبيعات!$B$2:$B$2000&lt;&gt;"")/COUNTIFS(المبيعات!$B$2:$B$2000,المبيعات!$B$2:$B$2000&amp;"",المبيعات!$C$2:$C$2000,المبيعات!$C$2:$C$2000&amp;"")))</f>
        <v/>
      </c>
      <c r="D815">
        <f>IF(A815="","",SUMIFS(المبيعات!$H$2:$H$2000,المبيعات!$C$2:$C$2000,A815))</f>
        <v/>
      </c>
      <c r="E815" s="13">
        <f>IF(A815="","",IF(COUNTIF(المبيعات!$C$2:$C$2000,A815)=0,"",_xlfn.MAXIFS(المبيعات!$A$2:$A$2000,المبيعات!$C$2:$C$2000,A815)))</f>
        <v/>
      </c>
      <c r="F815">
        <f>IF(A815="","",SUMIFS(المبيعات!$H$2:$H$2000,المبيعات!$C$2:$C$2000,A815,المبيعات!$J$2:$J$2000,"آجل"))</f>
        <v/>
      </c>
      <c r="G815" s="4" t="n"/>
      <c r="H815">
        <f>IF(A815="","",F815-G815)</f>
        <v/>
      </c>
    </row>
    <row r="816">
      <c r="A816" s="4" t="n"/>
      <c r="B816" s="4" t="n"/>
      <c r="C816">
        <f>IF(A816="","",SUMPRODUCT((المبيعات!$C$2:$C$2000=A816)*(المبيعات!$B$2:$B$2000&lt;&gt;"")/COUNTIFS(المبيعات!$B$2:$B$2000,المبيعات!$B$2:$B$2000&amp;"",المبيعات!$C$2:$C$2000,المبيعات!$C$2:$C$2000&amp;"")))</f>
        <v/>
      </c>
      <c r="D816">
        <f>IF(A816="","",SUMIFS(المبيعات!$H$2:$H$2000,المبيعات!$C$2:$C$2000,A816))</f>
        <v/>
      </c>
      <c r="E816" s="13">
        <f>IF(A816="","",IF(COUNTIF(المبيعات!$C$2:$C$2000,A816)=0,"",_xlfn.MAXIFS(المبيعات!$A$2:$A$2000,المبيعات!$C$2:$C$2000,A816)))</f>
        <v/>
      </c>
      <c r="F816">
        <f>IF(A816="","",SUMIFS(المبيعات!$H$2:$H$2000,المبيعات!$C$2:$C$2000,A816,المبيعات!$J$2:$J$2000,"آجل"))</f>
        <v/>
      </c>
      <c r="G816" s="4" t="n"/>
      <c r="H816">
        <f>IF(A816="","",F816-G816)</f>
        <v/>
      </c>
    </row>
    <row r="817">
      <c r="A817" s="4" t="n"/>
      <c r="B817" s="4" t="n"/>
      <c r="C817">
        <f>IF(A817="","",SUMPRODUCT((المبيعات!$C$2:$C$2000=A817)*(المبيعات!$B$2:$B$2000&lt;&gt;"")/COUNTIFS(المبيعات!$B$2:$B$2000,المبيعات!$B$2:$B$2000&amp;"",المبيعات!$C$2:$C$2000,المبيعات!$C$2:$C$2000&amp;"")))</f>
        <v/>
      </c>
      <c r="D817">
        <f>IF(A817="","",SUMIFS(المبيعات!$H$2:$H$2000,المبيعات!$C$2:$C$2000,A817))</f>
        <v/>
      </c>
      <c r="E817" s="13">
        <f>IF(A817="","",IF(COUNTIF(المبيعات!$C$2:$C$2000,A817)=0,"",_xlfn.MAXIFS(المبيعات!$A$2:$A$2000,المبيعات!$C$2:$C$2000,A817)))</f>
        <v/>
      </c>
      <c r="F817">
        <f>IF(A817="","",SUMIFS(المبيعات!$H$2:$H$2000,المبيعات!$C$2:$C$2000,A817,المبيعات!$J$2:$J$2000,"آجل"))</f>
        <v/>
      </c>
      <c r="G817" s="4" t="n"/>
      <c r="H817">
        <f>IF(A817="","",F817-G817)</f>
        <v/>
      </c>
    </row>
    <row r="818">
      <c r="A818" s="4" t="n"/>
      <c r="B818" s="4" t="n"/>
      <c r="C818">
        <f>IF(A818="","",SUMPRODUCT((المبيعات!$C$2:$C$2000=A818)*(المبيعات!$B$2:$B$2000&lt;&gt;"")/COUNTIFS(المبيعات!$B$2:$B$2000,المبيعات!$B$2:$B$2000&amp;"",المبيعات!$C$2:$C$2000,المبيعات!$C$2:$C$2000&amp;"")))</f>
        <v/>
      </c>
      <c r="D818">
        <f>IF(A818="","",SUMIFS(المبيعات!$H$2:$H$2000,المبيعات!$C$2:$C$2000,A818))</f>
        <v/>
      </c>
      <c r="E818" s="13">
        <f>IF(A818="","",IF(COUNTIF(المبيعات!$C$2:$C$2000,A818)=0,"",_xlfn.MAXIFS(المبيعات!$A$2:$A$2000,المبيعات!$C$2:$C$2000,A818)))</f>
        <v/>
      </c>
      <c r="F818">
        <f>IF(A818="","",SUMIFS(المبيعات!$H$2:$H$2000,المبيعات!$C$2:$C$2000,A818,المبيعات!$J$2:$J$2000,"آجل"))</f>
        <v/>
      </c>
      <c r="G818" s="4" t="n"/>
      <c r="H818">
        <f>IF(A818="","",F818-G818)</f>
        <v/>
      </c>
    </row>
    <row r="819">
      <c r="A819" s="4" t="n"/>
      <c r="B819" s="4" t="n"/>
      <c r="C819">
        <f>IF(A819="","",SUMPRODUCT((المبيعات!$C$2:$C$2000=A819)*(المبيعات!$B$2:$B$2000&lt;&gt;"")/COUNTIFS(المبيعات!$B$2:$B$2000,المبيعات!$B$2:$B$2000&amp;"",المبيعات!$C$2:$C$2000,المبيعات!$C$2:$C$2000&amp;"")))</f>
        <v/>
      </c>
      <c r="D819">
        <f>IF(A819="","",SUMIFS(المبيعات!$H$2:$H$2000,المبيعات!$C$2:$C$2000,A819))</f>
        <v/>
      </c>
      <c r="E819" s="13">
        <f>IF(A819="","",IF(COUNTIF(المبيعات!$C$2:$C$2000,A819)=0,"",_xlfn.MAXIFS(المبيعات!$A$2:$A$2000,المبيعات!$C$2:$C$2000,A819)))</f>
        <v/>
      </c>
      <c r="F819">
        <f>IF(A819="","",SUMIFS(المبيعات!$H$2:$H$2000,المبيعات!$C$2:$C$2000,A819,المبيعات!$J$2:$J$2000,"آجل"))</f>
        <v/>
      </c>
      <c r="G819" s="4" t="n"/>
      <c r="H819">
        <f>IF(A819="","",F819-G819)</f>
        <v/>
      </c>
    </row>
    <row r="820">
      <c r="A820" s="4" t="n"/>
      <c r="B820" s="4" t="n"/>
      <c r="C820">
        <f>IF(A820="","",SUMPRODUCT((المبيعات!$C$2:$C$2000=A820)*(المبيعات!$B$2:$B$2000&lt;&gt;"")/COUNTIFS(المبيعات!$B$2:$B$2000,المبيعات!$B$2:$B$2000&amp;"",المبيعات!$C$2:$C$2000,المبيعات!$C$2:$C$2000&amp;"")))</f>
        <v/>
      </c>
      <c r="D820">
        <f>IF(A820="","",SUMIFS(المبيعات!$H$2:$H$2000,المبيعات!$C$2:$C$2000,A820))</f>
        <v/>
      </c>
      <c r="E820" s="13">
        <f>IF(A820="","",IF(COUNTIF(المبيعات!$C$2:$C$2000,A820)=0,"",_xlfn.MAXIFS(المبيعات!$A$2:$A$2000,المبيعات!$C$2:$C$2000,A820)))</f>
        <v/>
      </c>
      <c r="F820">
        <f>IF(A820="","",SUMIFS(المبيعات!$H$2:$H$2000,المبيعات!$C$2:$C$2000,A820,المبيعات!$J$2:$J$2000,"آجل"))</f>
        <v/>
      </c>
      <c r="G820" s="4" t="n"/>
      <c r="H820">
        <f>IF(A820="","",F820-G820)</f>
        <v/>
      </c>
    </row>
    <row r="821">
      <c r="A821" s="4" t="n"/>
      <c r="B821" s="4" t="n"/>
      <c r="C821">
        <f>IF(A821="","",SUMPRODUCT((المبيعات!$C$2:$C$2000=A821)*(المبيعات!$B$2:$B$2000&lt;&gt;"")/COUNTIFS(المبيعات!$B$2:$B$2000,المبيعات!$B$2:$B$2000&amp;"",المبيعات!$C$2:$C$2000,المبيعات!$C$2:$C$2000&amp;"")))</f>
        <v/>
      </c>
      <c r="D821">
        <f>IF(A821="","",SUMIFS(المبيعات!$H$2:$H$2000,المبيعات!$C$2:$C$2000,A821))</f>
        <v/>
      </c>
      <c r="E821" s="13">
        <f>IF(A821="","",IF(COUNTIF(المبيعات!$C$2:$C$2000,A821)=0,"",_xlfn.MAXIFS(المبيعات!$A$2:$A$2000,المبيعات!$C$2:$C$2000,A821)))</f>
        <v/>
      </c>
      <c r="F821">
        <f>IF(A821="","",SUMIFS(المبيعات!$H$2:$H$2000,المبيعات!$C$2:$C$2000,A821,المبيعات!$J$2:$J$2000,"آجل"))</f>
        <v/>
      </c>
      <c r="G821" s="4" t="n"/>
      <c r="H821">
        <f>IF(A821="","",F821-G821)</f>
        <v/>
      </c>
    </row>
    <row r="822">
      <c r="A822" s="4" t="n"/>
      <c r="B822" s="4" t="n"/>
      <c r="C822">
        <f>IF(A822="","",SUMPRODUCT((المبيعات!$C$2:$C$2000=A822)*(المبيعات!$B$2:$B$2000&lt;&gt;"")/COUNTIFS(المبيعات!$B$2:$B$2000,المبيعات!$B$2:$B$2000&amp;"",المبيعات!$C$2:$C$2000,المبيعات!$C$2:$C$2000&amp;"")))</f>
        <v/>
      </c>
      <c r="D822">
        <f>IF(A822="","",SUMIFS(المبيعات!$H$2:$H$2000,المبيعات!$C$2:$C$2000,A822))</f>
        <v/>
      </c>
      <c r="E822" s="13">
        <f>IF(A822="","",IF(COUNTIF(المبيعات!$C$2:$C$2000,A822)=0,"",_xlfn.MAXIFS(المبيعات!$A$2:$A$2000,المبيعات!$C$2:$C$2000,A822)))</f>
        <v/>
      </c>
      <c r="F822">
        <f>IF(A822="","",SUMIFS(المبيعات!$H$2:$H$2000,المبيعات!$C$2:$C$2000,A822,المبيعات!$J$2:$J$2000,"آجل"))</f>
        <v/>
      </c>
      <c r="G822" s="4" t="n"/>
      <c r="H822">
        <f>IF(A822="","",F822-G822)</f>
        <v/>
      </c>
    </row>
    <row r="823">
      <c r="A823" s="4" t="n"/>
      <c r="B823" s="4" t="n"/>
      <c r="C823">
        <f>IF(A823="","",SUMPRODUCT((المبيعات!$C$2:$C$2000=A823)*(المبيعات!$B$2:$B$2000&lt;&gt;"")/COUNTIFS(المبيعات!$B$2:$B$2000,المبيعات!$B$2:$B$2000&amp;"",المبيعات!$C$2:$C$2000,المبيعات!$C$2:$C$2000&amp;"")))</f>
        <v/>
      </c>
      <c r="D823">
        <f>IF(A823="","",SUMIFS(المبيعات!$H$2:$H$2000,المبيعات!$C$2:$C$2000,A823))</f>
        <v/>
      </c>
      <c r="E823" s="13">
        <f>IF(A823="","",IF(COUNTIF(المبيعات!$C$2:$C$2000,A823)=0,"",_xlfn.MAXIFS(المبيعات!$A$2:$A$2000,المبيعات!$C$2:$C$2000,A823)))</f>
        <v/>
      </c>
      <c r="F823">
        <f>IF(A823="","",SUMIFS(المبيعات!$H$2:$H$2000,المبيعات!$C$2:$C$2000,A823,المبيعات!$J$2:$J$2000,"آجل"))</f>
        <v/>
      </c>
      <c r="G823" s="4" t="n"/>
      <c r="H823">
        <f>IF(A823="","",F823-G823)</f>
        <v/>
      </c>
    </row>
    <row r="824">
      <c r="A824" s="4" t="n"/>
      <c r="B824" s="4" t="n"/>
      <c r="C824">
        <f>IF(A824="","",SUMPRODUCT((المبيعات!$C$2:$C$2000=A824)*(المبيعات!$B$2:$B$2000&lt;&gt;"")/COUNTIFS(المبيعات!$B$2:$B$2000,المبيعات!$B$2:$B$2000&amp;"",المبيعات!$C$2:$C$2000,المبيعات!$C$2:$C$2000&amp;"")))</f>
        <v/>
      </c>
      <c r="D824">
        <f>IF(A824="","",SUMIFS(المبيعات!$H$2:$H$2000,المبيعات!$C$2:$C$2000,A824))</f>
        <v/>
      </c>
      <c r="E824" s="13">
        <f>IF(A824="","",IF(COUNTIF(المبيعات!$C$2:$C$2000,A824)=0,"",_xlfn.MAXIFS(المبيعات!$A$2:$A$2000,المبيعات!$C$2:$C$2000,A824)))</f>
        <v/>
      </c>
      <c r="F824">
        <f>IF(A824="","",SUMIFS(المبيعات!$H$2:$H$2000,المبيعات!$C$2:$C$2000,A824,المبيعات!$J$2:$J$2000,"آجل"))</f>
        <v/>
      </c>
      <c r="G824" s="4" t="n"/>
      <c r="H824">
        <f>IF(A824="","",F824-G824)</f>
        <v/>
      </c>
    </row>
    <row r="825">
      <c r="A825" s="4" t="n"/>
      <c r="B825" s="4" t="n"/>
      <c r="C825">
        <f>IF(A825="","",SUMPRODUCT((المبيعات!$C$2:$C$2000=A825)*(المبيعات!$B$2:$B$2000&lt;&gt;"")/COUNTIFS(المبيعات!$B$2:$B$2000,المبيعات!$B$2:$B$2000&amp;"",المبيعات!$C$2:$C$2000,المبيعات!$C$2:$C$2000&amp;"")))</f>
        <v/>
      </c>
      <c r="D825">
        <f>IF(A825="","",SUMIFS(المبيعات!$H$2:$H$2000,المبيعات!$C$2:$C$2000,A825))</f>
        <v/>
      </c>
      <c r="E825" s="13">
        <f>IF(A825="","",IF(COUNTIF(المبيعات!$C$2:$C$2000,A825)=0,"",_xlfn.MAXIFS(المبيعات!$A$2:$A$2000,المبيعات!$C$2:$C$2000,A825)))</f>
        <v/>
      </c>
      <c r="F825">
        <f>IF(A825="","",SUMIFS(المبيعات!$H$2:$H$2000,المبيعات!$C$2:$C$2000,A825,المبيعات!$J$2:$J$2000,"آجل"))</f>
        <v/>
      </c>
      <c r="G825" s="4" t="n"/>
      <c r="H825">
        <f>IF(A825="","",F825-G825)</f>
        <v/>
      </c>
    </row>
    <row r="826">
      <c r="A826" s="4" t="n"/>
      <c r="B826" s="4" t="n"/>
      <c r="C826">
        <f>IF(A826="","",SUMPRODUCT((المبيعات!$C$2:$C$2000=A826)*(المبيعات!$B$2:$B$2000&lt;&gt;"")/COUNTIFS(المبيعات!$B$2:$B$2000,المبيعات!$B$2:$B$2000&amp;"",المبيعات!$C$2:$C$2000,المبيعات!$C$2:$C$2000&amp;"")))</f>
        <v/>
      </c>
      <c r="D826">
        <f>IF(A826="","",SUMIFS(المبيعات!$H$2:$H$2000,المبيعات!$C$2:$C$2000,A826))</f>
        <v/>
      </c>
      <c r="E826" s="13">
        <f>IF(A826="","",IF(COUNTIF(المبيعات!$C$2:$C$2000,A826)=0,"",_xlfn.MAXIFS(المبيعات!$A$2:$A$2000,المبيعات!$C$2:$C$2000,A826)))</f>
        <v/>
      </c>
      <c r="F826">
        <f>IF(A826="","",SUMIFS(المبيعات!$H$2:$H$2000,المبيعات!$C$2:$C$2000,A826,المبيعات!$J$2:$J$2000,"آجل"))</f>
        <v/>
      </c>
      <c r="G826" s="4" t="n"/>
      <c r="H826">
        <f>IF(A826="","",F826-G826)</f>
        <v/>
      </c>
    </row>
    <row r="827">
      <c r="A827" s="4" t="n"/>
      <c r="B827" s="4" t="n"/>
      <c r="C827">
        <f>IF(A827="","",SUMPRODUCT((المبيعات!$C$2:$C$2000=A827)*(المبيعات!$B$2:$B$2000&lt;&gt;"")/COUNTIFS(المبيعات!$B$2:$B$2000,المبيعات!$B$2:$B$2000&amp;"",المبيعات!$C$2:$C$2000,المبيعات!$C$2:$C$2000&amp;"")))</f>
        <v/>
      </c>
      <c r="D827">
        <f>IF(A827="","",SUMIFS(المبيعات!$H$2:$H$2000,المبيعات!$C$2:$C$2000,A827))</f>
        <v/>
      </c>
      <c r="E827" s="13">
        <f>IF(A827="","",IF(COUNTIF(المبيعات!$C$2:$C$2000,A827)=0,"",_xlfn.MAXIFS(المبيعات!$A$2:$A$2000,المبيعات!$C$2:$C$2000,A827)))</f>
        <v/>
      </c>
      <c r="F827">
        <f>IF(A827="","",SUMIFS(المبيعات!$H$2:$H$2000,المبيعات!$C$2:$C$2000,A827,المبيعات!$J$2:$J$2000,"آجل"))</f>
        <v/>
      </c>
      <c r="G827" s="4" t="n"/>
      <c r="H827">
        <f>IF(A827="","",F827-G827)</f>
        <v/>
      </c>
    </row>
    <row r="828">
      <c r="A828" s="4" t="n"/>
      <c r="B828" s="4" t="n"/>
      <c r="C828">
        <f>IF(A828="","",SUMPRODUCT((المبيعات!$C$2:$C$2000=A828)*(المبيعات!$B$2:$B$2000&lt;&gt;"")/COUNTIFS(المبيعات!$B$2:$B$2000,المبيعات!$B$2:$B$2000&amp;"",المبيعات!$C$2:$C$2000,المبيعات!$C$2:$C$2000&amp;"")))</f>
        <v/>
      </c>
      <c r="D828">
        <f>IF(A828="","",SUMIFS(المبيعات!$H$2:$H$2000,المبيعات!$C$2:$C$2000,A828))</f>
        <v/>
      </c>
      <c r="E828" s="13">
        <f>IF(A828="","",IF(COUNTIF(المبيعات!$C$2:$C$2000,A828)=0,"",_xlfn.MAXIFS(المبيعات!$A$2:$A$2000,المبيعات!$C$2:$C$2000,A828)))</f>
        <v/>
      </c>
      <c r="F828">
        <f>IF(A828="","",SUMIFS(المبيعات!$H$2:$H$2000,المبيعات!$C$2:$C$2000,A828,المبيعات!$J$2:$J$2000,"آجل"))</f>
        <v/>
      </c>
      <c r="G828" s="4" t="n"/>
      <c r="H828">
        <f>IF(A828="","",F828-G828)</f>
        <v/>
      </c>
    </row>
    <row r="829">
      <c r="A829" s="4" t="n"/>
      <c r="B829" s="4" t="n"/>
      <c r="C829">
        <f>IF(A829="","",SUMPRODUCT((المبيعات!$C$2:$C$2000=A829)*(المبيعات!$B$2:$B$2000&lt;&gt;"")/COUNTIFS(المبيعات!$B$2:$B$2000,المبيعات!$B$2:$B$2000&amp;"",المبيعات!$C$2:$C$2000,المبيعات!$C$2:$C$2000&amp;"")))</f>
        <v/>
      </c>
      <c r="D829">
        <f>IF(A829="","",SUMIFS(المبيعات!$H$2:$H$2000,المبيعات!$C$2:$C$2000,A829))</f>
        <v/>
      </c>
      <c r="E829" s="13">
        <f>IF(A829="","",IF(COUNTIF(المبيعات!$C$2:$C$2000,A829)=0,"",_xlfn.MAXIFS(المبيعات!$A$2:$A$2000,المبيعات!$C$2:$C$2000,A829)))</f>
        <v/>
      </c>
      <c r="F829">
        <f>IF(A829="","",SUMIFS(المبيعات!$H$2:$H$2000,المبيعات!$C$2:$C$2000,A829,المبيعات!$J$2:$J$2000,"آجل"))</f>
        <v/>
      </c>
      <c r="G829" s="4" t="n"/>
      <c r="H829">
        <f>IF(A829="","",F829-G829)</f>
        <v/>
      </c>
    </row>
    <row r="830">
      <c r="A830" s="4" t="n"/>
      <c r="B830" s="4" t="n"/>
      <c r="C830">
        <f>IF(A830="","",SUMPRODUCT((المبيعات!$C$2:$C$2000=A830)*(المبيعات!$B$2:$B$2000&lt;&gt;"")/COUNTIFS(المبيعات!$B$2:$B$2000,المبيعات!$B$2:$B$2000&amp;"",المبيعات!$C$2:$C$2000,المبيعات!$C$2:$C$2000&amp;"")))</f>
        <v/>
      </c>
      <c r="D830">
        <f>IF(A830="","",SUMIFS(المبيعات!$H$2:$H$2000,المبيعات!$C$2:$C$2000,A830))</f>
        <v/>
      </c>
      <c r="E830" s="13">
        <f>IF(A830="","",IF(COUNTIF(المبيعات!$C$2:$C$2000,A830)=0,"",_xlfn.MAXIFS(المبيعات!$A$2:$A$2000,المبيعات!$C$2:$C$2000,A830)))</f>
        <v/>
      </c>
      <c r="F830">
        <f>IF(A830="","",SUMIFS(المبيعات!$H$2:$H$2000,المبيعات!$C$2:$C$2000,A830,المبيعات!$J$2:$J$2000,"آجل"))</f>
        <v/>
      </c>
      <c r="G830" s="4" t="n"/>
      <c r="H830">
        <f>IF(A830="","",F830-G830)</f>
        <v/>
      </c>
    </row>
    <row r="831">
      <c r="A831" s="4" t="n"/>
      <c r="B831" s="4" t="n"/>
      <c r="C831">
        <f>IF(A831="","",SUMPRODUCT((المبيعات!$C$2:$C$2000=A831)*(المبيعات!$B$2:$B$2000&lt;&gt;"")/COUNTIFS(المبيعات!$B$2:$B$2000,المبيعات!$B$2:$B$2000&amp;"",المبيعات!$C$2:$C$2000,المبيعات!$C$2:$C$2000&amp;"")))</f>
        <v/>
      </c>
      <c r="D831">
        <f>IF(A831="","",SUMIFS(المبيعات!$H$2:$H$2000,المبيعات!$C$2:$C$2000,A831))</f>
        <v/>
      </c>
      <c r="E831" s="13">
        <f>IF(A831="","",IF(COUNTIF(المبيعات!$C$2:$C$2000,A831)=0,"",_xlfn.MAXIFS(المبيعات!$A$2:$A$2000,المبيعات!$C$2:$C$2000,A831)))</f>
        <v/>
      </c>
      <c r="F831">
        <f>IF(A831="","",SUMIFS(المبيعات!$H$2:$H$2000,المبيعات!$C$2:$C$2000,A831,المبيعات!$J$2:$J$2000,"آجل"))</f>
        <v/>
      </c>
      <c r="G831" s="4" t="n"/>
      <c r="H831">
        <f>IF(A831="","",F831-G831)</f>
        <v/>
      </c>
    </row>
    <row r="832">
      <c r="A832" s="4" t="n"/>
      <c r="B832" s="4" t="n"/>
      <c r="C832">
        <f>IF(A832="","",SUMPRODUCT((المبيعات!$C$2:$C$2000=A832)*(المبيعات!$B$2:$B$2000&lt;&gt;"")/COUNTIFS(المبيعات!$B$2:$B$2000,المبيعات!$B$2:$B$2000&amp;"",المبيعات!$C$2:$C$2000,المبيعات!$C$2:$C$2000&amp;"")))</f>
        <v/>
      </c>
      <c r="D832">
        <f>IF(A832="","",SUMIFS(المبيعات!$H$2:$H$2000,المبيعات!$C$2:$C$2000,A832))</f>
        <v/>
      </c>
      <c r="E832" s="13">
        <f>IF(A832="","",IF(COUNTIF(المبيعات!$C$2:$C$2000,A832)=0,"",_xlfn.MAXIFS(المبيعات!$A$2:$A$2000,المبيعات!$C$2:$C$2000,A832)))</f>
        <v/>
      </c>
      <c r="F832">
        <f>IF(A832="","",SUMIFS(المبيعات!$H$2:$H$2000,المبيعات!$C$2:$C$2000,A832,المبيعات!$J$2:$J$2000,"آجل"))</f>
        <v/>
      </c>
      <c r="G832" s="4" t="n"/>
      <c r="H832">
        <f>IF(A832="","",F832-G832)</f>
        <v/>
      </c>
    </row>
    <row r="833">
      <c r="A833" s="4" t="n"/>
      <c r="B833" s="4" t="n"/>
      <c r="C833">
        <f>IF(A833="","",SUMPRODUCT((المبيعات!$C$2:$C$2000=A833)*(المبيعات!$B$2:$B$2000&lt;&gt;"")/COUNTIFS(المبيعات!$B$2:$B$2000,المبيعات!$B$2:$B$2000&amp;"",المبيعات!$C$2:$C$2000,المبيعات!$C$2:$C$2000&amp;"")))</f>
        <v/>
      </c>
      <c r="D833">
        <f>IF(A833="","",SUMIFS(المبيعات!$H$2:$H$2000,المبيعات!$C$2:$C$2000,A833))</f>
        <v/>
      </c>
      <c r="E833" s="13">
        <f>IF(A833="","",IF(COUNTIF(المبيعات!$C$2:$C$2000,A833)=0,"",_xlfn.MAXIFS(المبيعات!$A$2:$A$2000,المبيعات!$C$2:$C$2000,A833)))</f>
        <v/>
      </c>
      <c r="F833">
        <f>IF(A833="","",SUMIFS(المبيعات!$H$2:$H$2000,المبيعات!$C$2:$C$2000,A833,المبيعات!$J$2:$J$2000,"آجل"))</f>
        <v/>
      </c>
      <c r="G833" s="4" t="n"/>
      <c r="H833">
        <f>IF(A833="","",F833-G833)</f>
        <v/>
      </c>
    </row>
    <row r="834">
      <c r="A834" s="4" t="n"/>
      <c r="B834" s="4" t="n"/>
      <c r="C834">
        <f>IF(A834="","",SUMPRODUCT((المبيعات!$C$2:$C$2000=A834)*(المبيعات!$B$2:$B$2000&lt;&gt;"")/COUNTIFS(المبيعات!$B$2:$B$2000,المبيعات!$B$2:$B$2000&amp;"",المبيعات!$C$2:$C$2000,المبيعات!$C$2:$C$2000&amp;"")))</f>
        <v/>
      </c>
      <c r="D834">
        <f>IF(A834="","",SUMIFS(المبيعات!$H$2:$H$2000,المبيعات!$C$2:$C$2000,A834))</f>
        <v/>
      </c>
      <c r="E834" s="13">
        <f>IF(A834="","",IF(COUNTIF(المبيعات!$C$2:$C$2000,A834)=0,"",_xlfn.MAXIFS(المبيعات!$A$2:$A$2000,المبيعات!$C$2:$C$2000,A834)))</f>
        <v/>
      </c>
      <c r="F834">
        <f>IF(A834="","",SUMIFS(المبيعات!$H$2:$H$2000,المبيعات!$C$2:$C$2000,A834,المبيعات!$J$2:$J$2000,"آجل"))</f>
        <v/>
      </c>
      <c r="G834" s="4" t="n"/>
      <c r="H834">
        <f>IF(A834="","",F834-G834)</f>
        <v/>
      </c>
    </row>
    <row r="835">
      <c r="A835" s="4" t="n"/>
      <c r="B835" s="4" t="n"/>
      <c r="C835">
        <f>IF(A835="","",SUMPRODUCT((المبيعات!$C$2:$C$2000=A835)*(المبيعات!$B$2:$B$2000&lt;&gt;"")/COUNTIFS(المبيعات!$B$2:$B$2000,المبيعات!$B$2:$B$2000&amp;"",المبيعات!$C$2:$C$2000,المبيعات!$C$2:$C$2000&amp;"")))</f>
        <v/>
      </c>
      <c r="D835">
        <f>IF(A835="","",SUMIFS(المبيعات!$H$2:$H$2000,المبيعات!$C$2:$C$2000,A835))</f>
        <v/>
      </c>
      <c r="E835" s="13">
        <f>IF(A835="","",IF(COUNTIF(المبيعات!$C$2:$C$2000,A835)=0,"",_xlfn.MAXIFS(المبيعات!$A$2:$A$2000,المبيعات!$C$2:$C$2000,A835)))</f>
        <v/>
      </c>
      <c r="F835">
        <f>IF(A835="","",SUMIFS(المبيعات!$H$2:$H$2000,المبيعات!$C$2:$C$2000,A835,المبيعات!$J$2:$J$2000,"آجل"))</f>
        <v/>
      </c>
      <c r="G835" s="4" t="n"/>
      <c r="H835">
        <f>IF(A835="","",F835-G835)</f>
        <v/>
      </c>
    </row>
    <row r="836">
      <c r="A836" s="4" t="n"/>
      <c r="B836" s="4" t="n"/>
      <c r="C836">
        <f>IF(A836="","",SUMPRODUCT((المبيعات!$C$2:$C$2000=A836)*(المبيعات!$B$2:$B$2000&lt;&gt;"")/COUNTIFS(المبيعات!$B$2:$B$2000,المبيعات!$B$2:$B$2000&amp;"",المبيعات!$C$2:$C$2000,المبيعات!$C$2:$C$2000&amp;"")))</f>
        <v/>
      </c>
      <c r="D836">
        <f>IF(A836="","",SUMIFS(المبيعات!$H$2:$H$2000,المبيعات!$C$2:$C$2000,A836))</f>
        <v/>
      </c>
      <c r="E836" s="13">
        <f>IF(A836="","",IF(COUNTIF(المبيعات!$C$2:$C$2000,A836)=0,"",_xlfn.MAXIFS(المبيعات!$A$2:$A$2000,المبيعات!$C$2:$C$2000,A836)))</f>
        <v/>
      </c>
      <c r="F836">
        <f>IF(A836="","",SUMIFS(المبيعات!$H$2:$H$2000,المبيعات!$C$2:$C$2000,A836,المبيعات!$J$2:$J$2000,"آجل"))</f>
        <v/>
      </c>
      <c r="G836" s="4" t="n"/>
      <c r="H836">
        <f>IF(A836="","",F836-G836)</f>
        <v/>
      </c>
    </row>
    <row r="837">
      <c r="A837" s="4" t="n"/>
      <c r="B837" s="4" t="n"/>
      <c r="C837">
        <f>IF(A837="","",SUMPRODUCT((المبيعات!$C$2:$C$2000=A837)*(المبيعات!$B$2:$B$2000&lt;&gt;"")/COUNTIFS(المبيعات!$B$2:$B$2000,المبيعات!$B$2:$B$2000&amp;"",المبيعات!$C$2:$C$2000,المبيعات!$C$2:$C$2000&amp;"")))</f>
        <v/>
      </c>
      <c r="D837">
        <f>IF(A837="","",SUMIFS(المبيعات!$H$2:$H$2000,المبيعات!$C$2:$C$2000,A837))</f>
        <v/>
      </c>
      <c r="E837" s="13">
        <f>IF(A837="","",IF(COUNTIF(المبيعات!$C$2:$C$2000,A837)=0,"",_xlfn.MAXIFS(المبيعات!$A$2:$A$2000,المبيعات!$C$2:$C$2000,A837)))</f>
        <v/>
      </c>
      <c r="F837">
        <f>IF(A837="","",SUMIFS(المبيعات!$H$2:$H$2000,المبيعات!$C$2:$C$2000,A837,المبيعات!$J$2:$J$2000,"آجل"))</f>
        <v/>
      </c>
      <c r="G837" s="4" t="n"/>
      <c r="H837">
        <f>IF(A837="","",F837-G837)</f>
        <v/>
      </c>
    </row>
    <row r="838">
      <c r="A838" s="4" t="n"/>
      <c r="B838" s="4" t="n"/>
      <c r="C838">
        <f>IF(A838="","",SUMPRODUCT((المبيعات!$C$2:$C$2000=A838)*(المبيعات!$B$2:$B$2000&lt;&gt;"")/COUNTIFS(المبيعات!$B$2:$B$2000,المبيعات!$B$2:$B$2000&amp;"",المبيعات!$C$2:$C$2000,المبيعات!$C$2:$C$2000&amp;"")))</f>
        <v/>
      </c>
      <c r="D838">
        <f>IF(A838="","",SUMIFS(المبيعات!$H$2:$H$2000,المبيعات!$C$2:$C$2000,A838))</f>
        <v/>
      </c>
      <c r="E838" s="13">
        <f>IF(A838="","",IF(COUNTIF(المبيعات!$C$2:$C$2000,A838)=0,"",_xlfn.MAXIFS(المبيعات!$A$2:$A$2000,المبيعات!$C$2:$C$2000,A838)))</f>
        <v/>
      </c>
      <c r="F838">
        <f>IF(A838="","",SUMIFS(المبيعات!$H$2:$H$2000,المبيعات!$C$2:$C$2000,A838,المبيعات!$J$2:$J$2000,"آجل"))</f>
        <v/>
      </c>
      <c r="G838" s="4" t="n"/>
      <c r="H838">
        <f>IF(A838="","",F838-G838)</f>
        <v/>
      </c>
    </row>
    <row r="839">
      <c r="A839" s="4" t="n"/>
      <c r="B839" s="4" t="n"/>
      <c r="C839">
        <f>IF(A839="","",SUMPRODUCT((المبيعات!$C$2:$C$2000=A839)*(المبيعات!$B$2:$B$2000&lt;&gt;"")/COUNTIFS(المبيعات!$B$2:$B$2000,المبيعات!$B$2:$B$2000&amp;"",المبيعات!$C$2:$C$2000,المبيعات!$C$2:$C$2000&amp;"")))</f>
        <v/>
      </c>
      <c r="D839">
        <f>IF(A839="","",SUMIFS(المبيعات!$H$2:$H$2000,المبيعات!$C$2:$C$2000,A839))</f>
        <v/>
      </c>
      <c r="E839" s="13">
        <f>IF(A839="","",IF(COUNTIF(المبيعات!$C$2:$C$2000,A839)=0,"",_xlfn.MAXIFS(المبيعات!$A$2:$A$2000,المبيعات!$C$2:$C$2000,A839)))</f>
        <v/>
      </c>
      <c r="F839">
        <f>IF(A839="","",SUMIFS(المبيعات!$H$2:$H$2000,المبيعات!$C$2:$C$2000,A839,المبيعات!$J$2:$J$2000,"آجل"))</f>
        <v/>
      </c>
      <c r="G839" s="4" t="n"/>
      <c r="H839">
        <f>IF(A839="","",F839-G839)</f>
        <v/>
      </c>
    </row>
    <row r="840">
      <c r="A840" s="4" t="n"/>
      <c r="B840" s="4" t="n"/>
      <c r="C840">
        <f>IF(A840="","",SUMPRODUCT((المبيعات!$C$2:$C$2000=A840)*(المبيعات!$B$2:$B$2000&lt;&gt;"")/COUNTIFS(المبيعات!$B$2:$B$2000,المبيعات!$B$2:$B$2000&amp;"",المبيعات!$C$2:$C$2000,المبيعات!$C$2:$C$2000&amp;"")))</f>
        <v/>
      </c>
      <c r="D840">
        <f>IF(A840="","",SUMIFS(المبيعات!$H$2:$H$2000,المبيعات!$C$2:$C$2000,A840))</f>
        <v/>
      </c>
      <c r="E840" s="13">
        <f>IF(A840="","",IF(COUNTIF(المبيعات!$C$2:$C$2000,A840)=0,"",_xlfn.MAXIFS(المبيعات!$A$2:$A$2000,المبيعات!$C$2:$C$2000,A840)))</f>
        <v/>
      </c>
      <c r="F840">
        <f>IF(A840="","",SUMIFS(المبيعات!$H$2:$H$2000,المبيعات!$C$2:$C$2000,A840,المبيعات!$J$2:$J$2000,"آجل"))</f>
        <v/>
      </c>
      <c r="G840" s="4" t="n"/>
      <c r="H840">
        <f>IF(A840="","",F840-G840)</f>
        <v/>
      </c>
    </row>
    <row r="841">
      <c r="A841" s="4" t="n"/>
      <c r="B841" s="4" t="n"/>
      <c r="C841">
        <f>IF(A841="","",SUMPRODUCT((المبيعات!$C$2:$C$2000=A841)*(المبيعات!$B$2:$B$2000&lt;&gt;"")/COUNTIFS(المبيعات!$B$2:$B$2000,المبيعات!$B$2:$B$2000&amp;"",المبيعات!$C$2:$C$2000,المبيعات!$C$2:$C$2000&amp;"")))</f>
        <v/>
      </c>
      <c r="D841">
        <f>IF(A841="","",SUMIFS(المبيعات!$H$2:$H$2000,المبيعات!$C$2:$C$2000,A841))</f>
        <v/>
      </c>
      <c r="E841" s="13">
        <f>IF(A841="","",IF(COUNTIF(المبيعات!$C$2:$C$2000,A841)=0,"",_xlfn.MAXIFS(المبيعات!$A$2:$A$2000,المبيعات!$C$2:$C$2000,A841)))</f>
        <v/>
      </c>
      <c r="F841">
        <f>IF(A841="","",SUMIFS(المبيعات!$H$2:$H$2000,المبيعات!$C$2:$C$2000,A841,المبيعات!$J$2:$J$2000,"آجل"))</f>
        <v/>
      </c>
      <c r="G841" s="4" t="n"/>
      <c r="H841">
        <f>IF(A841="","",F841-G841)</f>
        <v/>
      </c>
    </row>
    <row r="842">
      <c r="A842" s="4" t="n"/>
      <c r="B842" s="4" t="n"/>
      <c r="C842">
        <f>IF(A842="","",SUMPRODUCT((المبيعات!$C$2:$C$2000=A842)*(المبيعات!$B$2:$B$2000&lt;&gt;"")/COUNTIFS(المبيعات!$B$2:$B$2000,المبيعات!$B$2:$B$2000&amp;"",المبيعات!$C$2:$C$2000,المبيعات!$C$2:$C$2000&amp;"")))</f>
        <v/>
      </c>
      <c r="D842">
        <f>IF(A842="","",SUMIFS(المبيعات!$H$2:$H$2000,المبيعات!$C$2:$C$2000,A842))</f>
        <v/>
      </c>
      <c r="E842" s="13">
        <f>IF(A842="","",IF(COUNTIF(المبيعات!$C$2:$C$2000,A842)=0,"",_xlfn.MAXIFS(المبيعات!$A$2:$A$2000,المبيعات!$C$2:$C$2000,A842)))</f>
        <v/>
      </c>
      <c r="F842">
        <f>IF(A842="","",SUMIFS(المبيعات!$H$2:$H$2000,المبيعات!$C$2:$C$2000,A842,المبيعات!$J$2:$J$2000,"آجل"))</f>
        <v/>
      </c>
      <c r="G842" s="4" t="n"/>
      <c r="H842">
        <f>IF(A842="","",F842-G842)</f>
        <v/>
      </c>
    </row>
    <row r="843">
      <c r="A843" s="4" t="n"/>
      <c r="B843" s="4" t="n"/>
      <c r="C843">
        <f>IF(A843="","",SUMPRODUCT((المبيعات!$C$2:$C$2000=A843)*(المبيعات!$B$2:$B$2000&lt;&gt;"")/COUNTIFS(المبيعات!$B$2:$B$2000,المبيعات!$B$2:$B$2000&amp;"",المبيعات!$C$2:$C$2000,المبيعات!$C$2:$C$2000&amp;"")))</f>
        <v/>
      </c>
      <c r="D843">
        <f>IF(A843="","",SUMIFS(المبيعات!$H$2:$H$2000,المبيعات!$C$2:$C$2000,A843))</f>
        <v/>
      </c>
      <c r="E843" s="13">
        <f>IF(A843="","",IF(COUNTIF(المبيعات!$C$2:$C$2000,A843)=0,"",_xlfn.MAXIFS(المبيعات!$A$2:$A$2000,المبيعات!$C$2:$C$2000,A843)))</f>
        <v/>
      </c>
      <c r="F843">
        <f>IF(A843="","",SUMIFS(المبيعات!$H$2:$H$2000,المبيعات!$C$2:$C$2000,A843,المبيعات!$J$2:$J$2000,"آجل"))</f>
        <v/>
      </c>
      <c r="G843" s="4" t="n"/>
      <c r="H843">
        <f>IF(A843="","",F843-G843)</f>
        <v/>
      </c>
    </row>
    <row r="844">
      <c r="A844" s="4" t="n"/>
      <c r="B844" s="4" t="n"/>
      <c r="C844">
        <f>IF(A844="","",SUMPRODUCT((المبيعات!$C$2:$C$2000=A844)*(المبيعات!$B$2:$B$2000&lt;&gt;"")/COUNTIFS(المبيعات!$B$2:$B$2000,المبيعات!$B$2:$B$2000&amp;"",المبيعات!$C$2:$C$2000,المبيعات!$C$2:$C$2000&amp;"")))</f>
        <v/>
      </c>
      <c r="D844">
        <f>IF(A844="","",SUMIFS(المبيعات!$H$2:$H$2000,المبيعات!$C$2:$C$2000,A844))</f>
        <v/>
      </c>
      <c r="E844" s="13">
        <f>IF(A844="","",IF(COUNTIF(المبيعات!$C$2:$C$2000,A844)=0,"",_xlfn.MAXIFS(المبيعات!$A$2:$A$2000,المبيعات!$C$2:$C$2000,A844)))</f>
        <v/>
      </c>
      <c r="F844">
        <f>IF(A844="","",SUMIFS(المبيعات!$H$2:$H$2000,المبيعات!$C$2:$C$2000,A844,المبيعات!$J$2:$J$2000,"آجل"))</f>
        <v/>
      </c>
      <c r="G844" s="4" t="n"/>
      <c r="H844">
        <f>IF(A844="","",F844-G844)</f>
        <v/>
      </c>
    </row>
    <row r="845">
      <c r="A845" s="4" t="n"/>
      <c r="B845" s="4" t="n"/>
      <c r="C845">
        <f>IF(A845="","",SUMPRODUCT((المبيعات!$C$2:$C$2000=A845)*(المبيعات!$B$2:$B$2000&lt;&gt;"")/COUNTIFS(المبيعات!$B$2:$B$2000,المبيعات!$B$2:$B$2000&amp;"",المبيعات!$C$2:$C$2000,المبيعات!$C$2:$C$2000&amp;"")))</f>
        <v/>
      </c>
      <c r="D845">
        <f>IF(A845="","",SUMIFS(المبيعات!$H$2:$H$2000,المبيعات!$C$2:$C$2000,A845))</f>
        <v/>
      </c>
      <c r="E845" s="13">
        <f>IF(A845="","",IF(COUNTIF(المبيعات!$C$2:$C$2000,A845)=0,"",_xlfn.MAXIFS(المبيعات!$A$2:$A$2000,المبيعات!$C$2:$C$2000,A845)))</f>
        <v/>
      </c>
      <c r="F845">
        <f>IF(A845="","",SUMIFS(المبيعات!$H$2:$H$2000,المبيعات!$C$2:$C$2000,A845,المبيعات!$J$2:$J$2000,"آجل"))</f>
        <v/>
      </c>
      <c r="G845" s="4" t="n"/>
      <c r="H845">
        <f>IF(A845="","",F845-G845)</f>
        <v/>
      </c>
    </row>
    <row r="846">
      <c r="A846" s="4" t="n"/>
      <c r="B846" s="4" t="n"/>
      <c r="C846">
        <f>IF(A846="","",SUMPRODUCT((المبيعات!$C$2:$C$2000=A846)*(المبيعات!$B$2:$B$2000&lt;&gt;"")/COUNTIFS(المبيعات!$B$2:$B$2000,المبيعات!$B$2:$B$2000&amp;"",المبيعات!$C$2:$C$2000,المبيعات!$C$2:$C$2000&amp;"")))</f>
        <v/>
      </c>
      <c r="D846">
        <f>IF(A846="","",SUMIFS(المبيعات!$H$2:$H$2000,المبيعات!$C$2:$C$2000,A846))</f>
        <v/>
      </c>
      <c r="E846" s="13">
        <f>IF(A846="","",IF(COUNTIF(المبيعات!$C$2:$C$2000,A846)=0,"",_xlfn.MAXIFS(المبيعات!$A$2:$A$2000,المبيعات!$C$2:$C$2000,A846)))</f>
        <v/>
      </c>
      <c r="F846">
        <f>IF(A846="","",SUMIFS(المبيعات!$H$2:$H$2000,المبيعات!$C$2:$C$2000,A846,المبيعات!$J$2:$J$2000,"آجل"))</f>
        <v/>
      </c>
      <c r="G846" s="4" t="n"/>
      <c r="H846">
        <f>IF(A846="","",F846-G846)</f>
        <v/>
      </c>
    </row>
    <row r="847">
      <c r="A847" s="4" t="n"/>
      <c r="B847" s="4" t="n"/>
      <c r="C847">
        <f>IF(A847="","",SUMPRODUCT((المبيعات!$C$2:$C$2000=A847)*(المبيعات!$B$2:$B$2000&lt;&gt;"")/COUNTIFS(المبيعات!$B$2:$B$2000,المبيعات!$B$2:$B$2000&amp;"",المبيعات!$C$2:$C$2000,المبيعات!$C$2:$C$2000&amp;"")))</f>
        <v/>
      </c>
      <c r="D847">
        <f>IF(A847="","",SUMIFS(المبيعات!$H$2:$H$2000,المبيعات!$C$2:$C$2000,A847))</f>
        <v/>
      </c>
      <c r="E847" s="13">
        <f>IF(A847="","",IF(COUNTIF(المبيعات!$C$2:$C$2000,A847)=0,"",_xlfn.MAXIFS(المبيعات!$A$2:$A$2000,المبيعات!$C$2:$C$2000,A847)))</f>
        <v/>
      </c>
      <c r="F847">
        <f>IF(A847="","",SUMIFS(المبيعات!$H$2:$H$2000,المبيعات!$C$2:$C$2000,A847,المبيعات!$J$2:$J$2000,"آجل"))</f>
        <v/>
      </c>
      <c r="G847" s="4" t="n"/>
      <c r="H847">
        <f>IF(A847="","",F847-G847)</f>
        <v/>
      </c>
    </row>
    <row r="848">
      <c r="A848" s="4" t="n"/>
      <c r="B848" s="4" t="n"/>
      <c r="C848">
        <f>IF(A848="","",SUMPRODUCT((المبيعات!$C$2:$C$2000=A848)*(المبيعات!$B$2:$B$2000&lt;&gt;"")/COUNTIFS(المبيعات!$B$2:$B$2000,المبيعات!$B$2:$B$2000&amp;"",المبيعات!$C$2:$C$2000,المبيعات!$C$2:$C$2000&amp;"")))</f>
        <v/>
      </c>
      <c r="D848">
        <f>IF(A848="","",SUMIFS(المبيعات!$H$2:$H$2000,المبيعات!$C$2:$C$2000,A848))</f>
        <v/>
      </c>
      <c r="E848" s="13">
        <f>IF(A848="","",IF(COUNTIF(المبيعات!$C$2:$C$2000,A848)=0,"",_xlfn.MAXIFS(المبيعات!$A$2:$A$2000,المبيعات!$C$2:$C$2000,A848)))</f>
        <v/>
      </c>
      <c r="F848">
        <f>IF(A848="","",SUMIFS(المبيعات!$H$2:$H$2000,المبيعات!$C$2:$C$2000,A848,المبيعات!$J$2:$J$2000,"آجل"))</f>
        <v/>
      </c>
      <c r="G848" s="4" t="n"/>
      <c r="H848">
        <f>IF(A848="","",F848-G848)</f>
        <v/>
      </c>
    </row>
    <row r="849">
      <c r="A849" s="4" t="n"/>
      <c r="B849" s="4" t="n"/>
      <c r="C849">
        <f>IF(A849="","",SUMPRODUCT((المبيعات!$C$2:$C$2000=A849)*(المبيعات!$B$2:$B$2000&lt;&gt;"")/COUNTIFS(المبيعات!$B$2:$B$2000,المبيعات!$B$2:$B$2000&amp;"",المبيعات!$C$2:$C$2000,المبيعات!$C$2:$C$2000&amp;"")))</f>
        <v/>
      </c>
      <c r="D849">
        <f>IF(A849="","",SUMIFS(المبيعات!$H$2:$H$2000,المبيعات!$C$2:$C$2000,A849))</f>
        <v/>
      </c>
      <c r="E849" s="13">
        <f>IF(A849="","",IF(COUNTIF(المبيعات!$C$2:$C$2000,A849)=0,"",_xlfn.MAXIFS(المبيعات!$A$2:$A$2000,المبيعات!$C$2:$C$2000,A849)))</f>
        <v/>
      </c>
      <c r="F849">
        <f>IF(A849="","",SUMIFS(المبيعات!$H$2:$H$2000,المبيعات!$C$2:$C$2000,A849,المبيعات!$J$2:$J$2000,"آجل"))</f>
        <v/>
      </c>
      <c r="G849" s="4" t="n"/>
      <c r="H849">
        <f>IF(A849="","",F849-G849)</f>
        <v/>
      </c>
    </row>
    <row r="850">
      <c r="A850" s="4" t="n"/>
      <c r="B850" s="4" t="n"/>
      <c r="C850">
        <f>IF(A850="","",SUMPRODUCT((المبيعات!$C$2:$C$2000=A850)*(المبيعات!$B$2:$B$2000&lt;&gt;"")/COUNTIFS(المبيعات!$B$2:$B$2000,المبيعات!$B$2:$B$2000&amp;"",المبيعات!$C$2:$C$2000,المبيعات!$C$2:$C$2000&amp;"")))</f>
        <v/>
      </c>
      <c r="D850">
        <f>IF(A850="","",SUMIFS(المبيعات!$H$2:$H$2000,المبيعات!$C$2:$C$2000,A850))</f>
        <v/>
      </c>
      <c r="E850" s="13">
        <f>IF(A850="","",IF(COUNTIF(المبيعات!$C$2:$C$2000,A850)=0,"",_xlfn.MAXIFS(المبيعات!$A$2:$A$2000,المبيعات!$C$2:$C$2000,A850)))</f>
        <v/>
      </c>
      <c r="F850">
        <f>IF(A850="","",SUMIFS(المبيعات!$H$2:$H$2000,المبيعات!$C$2:$C$2000,A850,المبيعات!$J$2:$J$2000,"آجل"))</f>
        <v/>
      </c>
      <c r="G850" s="4" t="n"/>
      <c r="H850">
        <f>IF(A850="","",F850-G850)</f>
        <v/>
      </c>
    </row>
    <row r="851">
      <c r="A851" s="4" t="n"/>
      <c r="B851" s="4" t="n"/>
      <c r="C851">
        <f>IF(A851="","",SUMPRODUCT((المبيعات!$C$2:$C$2000=A851)*(المبيعات!$B$2:$B$2000&lt;&gt;"")/COUNTIFS(المبيعات!$B$2:$B$2000,المبيعات!$B$2:$B$2000&amp;"",المبيعات!$C$2:$C$2000,المبيعات!$C$2:$C$2000&amp;"")))</f>
        <v/>
      </c>
      <c r="D851">
        <f>IF(A851="","",SUMIFS(المبيعات!$H$2:$H$2000,المبيعات!$C$2:$C$2000,A851))</f>
        <v/>
      </c>
      <c r="E851" s="13">
        <f>IF(A851="","",IF(COUNTIF(المبيعات!$C$2:$C$2000,A851)=0,"",_xlfn.MAXIFS(المبيعات!$A$2:$A$2000,المبيعات!$C$2:$C$2000,A851)))</f>
        <v/>
      </c>
      <c r="F851">
        <f>IF(A851="","",SUMIFS(المبيعات!$H$2:$H$2000,المبيعات!$C$2:$C$2000,A851,المبيعات!$J$2:$J$2000,"آجل"))</f>
        <v/>
      </c>
      <c r="G851" s="4" t="n"/>
      <c r="H851">
        <f>IF(A851="","",F851-G851)</f>
        <v/>
      </c>
    </row>
    <row r="852">
      <c r="A852" s="4" t="n"/>
      <c r="B852" s="4" t="n"/>
      <c r="C852">
        <f>IF(A852="","",SUMPRODUCT((المبيعات!$C$2:$C$2000=A852)*(المبيعات!$B$2:$B$2000&lt;&gt;"")/COUNTIFS(المبيعات!$B$2:$B$2000,المبيعات!$B$2:$B$2000&amp;"",المبيعات!$C$2:$C$2000,المبيعات!$C$2:$C$2000&amp;"")))</f>
        <v/>
      </c>
      <c r="D852">
        <f>IF(A852="","",SUMIFS(المبيعات!$H$2:$H$2000,المبيعات!$C$2:$C$2000,A852))</f>
        <v/>
      </c>
      <c r="E852" s="13">
        <f>IF(A852="","",IF(COUNTIF(المبيعات!$C$2:$C$2000,A852)=0,"",_xlfn.MAXIFS(المبيعات!$A$2:$A$2000,المبيعات!$C$2:$C$2000,A852)))</f>
        <v/>
      </c>
      <c r="F852">
        <f>IF(A852="","",SUMIFS(المبيعات!$H$2:$H$2000,المبيعات!$C$2:$C$2000,A852,المبيعات!$J$2:$J$2000,"آجل"))</f>
        <v/>
      </c>
      <c r="G852" s="4" t="n"/>
      <c r="H852">
        <f>IF(A852="","",F852-G852)</f>
        <v/>
      </c>
    </row>
    <row r="853">
      <c r="A853" s="4" t="n"/>
      <c r="B853" s="4" t="n"/>
      <c r="C853">
        <f>IF(A853="","",SUMPRODUCT((المبيعات!$C$2:$C$2000=A853)*(المبيعات!$B$2:$B$2000&lt;&gt;"")/COUNTIFS(المبيعات!$B$2:$B$2000,المبيعات!$B$2:$B$2000&amp;"",المبيعات!$C$2:$C$2000,المبيعات!$C$2:$C$2000&amp;"")))</f>
        <v/>
      </c>
      <c r="D853">
        <f>IF(A853="","",SUMIFS(المبيعات!$H$2:$H$2000,المبيعات!$C$2:$C$2000,A853))</f>
        <v/>
      </c>
      <c r="E853" s="13">
        <f>IF(A853="","",IF(COUNTIF(المبيعات!$C$2:$C$2000,A853)=0,"",_xlfn.MAXIFS(المبيعات!$A$2:$A$2000,المبيعات!$C$2:$C$2000,A853)))</f>
        <v/>
      </c>
      <c r="F853">
        <f>IF(A853="","",SUMIFS(المبيعات!$H$2:$H$2000,المبيعات!$C$2:$C$2000,A853,المبيعات!$J$2:$J$2000,"آجل"))</f>
        <v/>
      </c>
      <c r="G853" s="4" t="n"/>
      <c r="H853">
        <f>IF(A853="","",F853-G853)</f>
        <v/>
      </c>
    </row>
    <row r="854">
      <c r="A854" s="4" t="n"/>
      <c r="B854" s="4" t="n"/>
      <c r="C854">
        <f>IF(A854="","",SUMPRODUCT((المبيعات!$C$2:$C$2000=A854)*(المبيعات!$B$2:$B$2000&lt;&gt;"")/COUNTIFS(المبيعات!$B$2:$B$2000,المبيعات!$B$2:$B$2000&amp;"",المبيعات!$C$2:$C$2000,المبيعات!$C$2:$C$2000&amp;"")))</f>
        <v/>
      </c>
      <c r="D854">
        <f>IF(A854="","",SUMIFS(المبيعات!$H$2:$H$2000,المبيعات!$C$2:$C$2000,A854))</f>
        <v/>
      </c>
      <c r="E854" s="13">
        <f>IF(A854="","",IF(COUNTIF(المبيعات!$C$2:$C$2000,A854)=0,"",_xlfn.MAXIFS(المبيعات!$A$2:$A$2000,المبيعات!$C$2:$C$2000,A854)))</f>
        <v/>
      </c>
      <c r="F854">
        <f>IF(A854="","",SUMIFS(المبيعات!$H$2:$H$2000,المبيعات!$C$2:$C$2000,A854,المبيعات!$J$2:$J$2000,"آجل"))</f>
        <v/>
      </c>
      <c r="G854" s="4" t="n"/>
      <c r="H854">
        <f>IF(A854="","",F854-G854)</f>
        <v/>
      </c>
    </row>
    <row r="855">
      <c r="A855" s="4" t="n"/>
      <c r="B855" s="4" t="n"/>
      <c r="C855">
        <f>IF(A855="","",SUMPRODUCT((المبيعات!$C$2:$C$2000=A855)*(المبيعات!$B$2:$B$2000&lt;&gt;"")/COUNTIFS(المبيعات!$B$2:$B$2000,المبيعات!$B$2:$B$2000&amp;"",المبيعات!$C$2:$C$2000,المبيعات!$C$2:$C$2000&amp;"")))</f>
        <v/>
      </c>
      <c r="D855">
        <f>IF(A855="","",SUMIFS(المبيعات!$H$2:$H$2000,المبيعات!$C$2:$C$2000,A855))</f>
        <v/>
      </c>
      <c r="E855" s="13">
        <f>IF(A855="","",IF(COUNTIF(المبيعات!$C$2:$C$2000,A855)=0,"",_xlfn.MAXIFS(المبيعات!$A$2:$A$2000,المبيعات!$C$2:$C$2000,A855)))</f>
        <v/>
      </c>
      <c r="F855">
        <f>IF(A855="","",SUMIFS(المبيعات!$H$2:$H$2000,المبيعات!$C$2:$C$2000,A855,المبيعات!$J$2:$J$2000,"آجل"))</f>
        <v/>
      </c>
      <c r="G855" s="4" t="n"/>
      <c r="H855">
        <f>IF(A855="","",F855-G855)</f>
        <v/>
      </c>
    </row>
    <row r="856">
      <c r="A856" s="4" t="n"/>
      <c r="B856" s="4" t="n"/>
      <c r="C856">
        <f>IF(A856="","",SUMPRODUCT((المبيعات!$C$2:$C$2000=A856)*(المبيعات!$B$2:$B$2000&lt;&gt;"")/COUNTIFS(المبيعات!$B$2:$B$2000,المبيعات!$B$2:$B$2000&amp;"",المبيعات!$C$2:$C$2000,المبيعات!$C$2:$C$2000&amp;"")))</f>
        <v/>
      </c>
      <c r="D856">
        <f>IF(A856="","",SUMIFS(المبيعات!$H$2:$H$2000,المبيعات!$C$2:$C$2000,A856))</f>
        <v/>
      </c>
      <c r="E856" s="13">
        <f>IF(A856="","",IF(COUNTIF(المبيعات!$C$2:$C$2000,A856)=0,"",_xlfn.MAXIFS(المبيعات!$A$2:$A$2000,المبيعات!$C$2:$C$2000,A856)))</f>
        <v/>
      </c>
      <c r="F856">
        <f>IF(A856="","",SUMIFS(المبيعات!$H$2:$H$2000,المبيعات!$C$2:$C$2000,A856,المبيعات!$J$2:$J$2000,"آجل"))</f>
        <v/>
      </c>
      <c r="G856" s="4" t="n"/>
      <c r="H856">
        <f>IF(A856="","",F856-G856)</f>
        <v/>
      </c>
    </row>
    <row r="857">
      <c r="A857" s="4" t="n"/>
      <c r="B857" s="4" t="n"/>
      <c r="C857">
        <f>IF(A857="","",SUMPRODUCT((المبيعات!$C$2:$C$2000=A857)*(المبيعات!$B$2:$B$2000&lt;&gt;"")/COUNTIFS(المبيعات!$B$2:$B$2000,المبيعات!$B$2:$B$2000&amp;"",المبيعات!$C$2:$C$2000,المبيعات!$C$2:$C$2000&amp;"")))</f>
        <v/>
      </c>
      <c r="D857">
        <f>IF(A857="","",SUMIFS(المبيعات!$H$2:$H$2000,المبيعات!$C$2:$C$2000,A857))</f>
        <v/>
      </c>
      <c r="E857" s="13">
        <f>IF(A857="","",IF(COUNTIF(المبيعات!$C$2:$C$2000,A857)=0,"",_xlfn.MAXIFS(المبيعات!$A$2:$A$2000,المبيعات!$C$2:$C$2000,A857)))</f>
        <v/>
      </c>
      <c r="F857">
        <f>IF(A857="","",SUMIFS(المبيعات!$H$2:$H$2000,المبيعات!$C$2:$C$2000,A857,المبيعات!$J$2:$J$2000,"آجل"))</f>
        <v/>
      </c>
      <c r="G857" s="4" t="n"/>
      <c r="H857">
        <f>IF(A857="","",F857-G857)</f>
        <v/>
      </c>
    </row>
    <row r="858">
      <c r="A858" s="4" t="n"/>
      <c r="B858" s="4" t="n"/>
      <c r="C858">
        <f>IF(A858="","",SUMPRODUCT((المبيعات!$C$2:$C$2000=A858)*(المبيعات!$B$2:$B$2000&lt;&gt;"")/COUNTIFS(المبيعات!$B$2:$B$2000,المبيعات!$B$2:$B$2000&amp;"",المبيعات!$C$2:$C$2000,المبيعات!$C$2:$C$2000&amp;"")))</f>
        <v/>
      </c>
      <c r="D858">
        <f>IF(A858="","",SUMIFS(المبيعات!$H$2:$H$2000,المبيعات!$C$2:$C$2000,A858))</f>
        <v/>
      </c>
      <c r="E858" s="13">
        <f>IF(A858="","",IF(COUNTIF(المبيعات!$C$2:$C$2000,A858)=0,"",_xlfn.MAXIFS(المبيعات!$A$2:$A$2000,المبيعات!$C$2:$C$2000,A858)))</f>
        <v/>
      </c>
      <c r="F858">
        <f>IF(A858="","",SUMIFS(المبيعات!$H$2:$H$2000,المبيعات!$C$2:$C$2000,A858,المبيعات!$J$2:$J$2000,"آجل"))</f>
        <v/>
      </c>
      <c r="G858" s="4" t="n"/>
      <c r="H858">
        <f>IF(A858="","",F858-G858)</f>
        <v/>
      </c>
    </row>
    <row r="859">
      <c r="A859" s="4" t="n"/>
      <c r="B859" s="4" t="n"/>
      <c r="C859">
        <f>IF(A859="","",SUMPRODUCT((المبيعات!$C$2:$C$2000=A859)*(المبيعات!$B$2:$B$2000&lt;&gt;"")/COUNTIFS(المبيعات!$B$2:$B$2000,المبيعات!$B$2:$B$2000&amp;"",المبيعات!$C$2:$C$2000,المبيعات!$C$2:$C$2000&amp;"")))</f>
        <v/>
      </c>
      <c r="D859">
        <f>IF(A859="","",SUMIFS(المبيعات!$H$2:$H$2000,المبيعات!$C$2:$C$2000,A859))</f>
        <v/>
      </c>
      <c r="E859" s="13">
        <f>IF(A859="","",IF(COUNTIF(المبيعات!$C$2:$C$2000,A859)=0,"",_xlfn.MAXIFS(المبيعات!$A$2:$A$2000,المبيعات!$C$2:$C$2000,A859)))</f>
        <v/>
      </c>
      <c r="F859">
        <f>IF(A859="","",SUMIFS(المبيعات!$H$2:$H$2000,المبيعات!$C$2:$C$2000,A859,المبيعات!$J$2:$J$2000,"آجل"))</f>
        <v/>
      </c>
      <c r="G859" s="4" t="n"/>
      <c r="H859">
        <f>IF(A859="","",F859-G859)</f>
        <v/>
      </c>
    </row>
    <row r="860">
      <c r="A860" s="4" t="n"/>
      <c r="B860" s="4" t="n"/>
      <c r="C860">
        <f>IF(A860="","",SUMPRODUCT((المبيعات!$C$2:$C$2000=A860)*(المبيعات!$B$2:$B$2000&lt;&gt;"")/COUNTIFS(المبيعات!$B$2:$B$2000,المبيعات!$B$2:$B$2000&amp;"",المبيعات!$C$2:$C$2000,المبيعات!$C$2:$C$2000&amp;"")))</f>
        <v/>
      </c>
      <c r="D860">
        <f>IF(A860="","",SUMIFS(المبيعات!$H$2:$H$2000,المبيعات!$C$2:$C$2000,A860))</f>
        <v/>
      </c>
      <c r="E860" s="13">
        <f>IF(A860="","",IF(COUNTIF(المبيعات!$C$2:$C$2000,A860)=0,"",_xlfn.MAXIFS(المبيعات!$A$2:$A$2000,المبيعات!$C$2:$C$2000,A860)))</f>
        <v/>
      </c>
      <c r="F860">
        <f>IF(A860="","",SUMIFS(المبيعات!$H$2:$H$2000,المبيعات!$C$2:$C$2000,A860,المبيعات!$J$2:$J$2000,"آجل"))</f>
        <v/>
      </c>
      <c r="G860" s="4" t="n"/>
      <c r="H860">
        <f>IF(A860="","",F860-G860)</f>
        <v/>
      </c>
    </row>
    <row r="861">
      <c r="A861" s="4" t="n"/>
      <c r="B861" s="4" t="n"/>
      <c r="C861">
        <f>IF(A861="","",SUMPRODUCT((المبيعات!$C$2:$C$2000=A861)*(المبيعات!$B$2:$B$2000&lt;&gt;"")/COUNTIFS(المبيعات!$B$2:$B$2000,المبيعات!$B$2:$B$2000&amp;"",المبيعات!$C$2:$C$2000,المبيعات!$C$2:$C$2000&amp;"")))</f>
        <v/>
      </c>
      <c r="D861">
        <f>IF(A861="","",SUMIFS(المبيعات!$H$2:$H$2000,المبيعات!$C$2:$C$2000,A861))</f>
        <v/>
      </c>
      <c r="E861" s="13">
        <f>IF(A861="","",IF(COUNTIF(المبيعات!$C$2:$C$2000,A861)=0,"",_xlfn.MAXIFS(المبيعات!$A$2:$A$2000,المبيعات!$C$2:$C$2000,A861)))</f>
        <v/>
      </c>
      <c r="F861">
        <f>IF(A861="","",SUMIFS(المبيعات!$H$2:$H$2000,المبيعات!$C$2:$C$2000,A861,المبيعات!$J$2:$J$2000,"آجل"))</f>
        <v/>
      </c>
      <c r="G861" s="4" t="n"/>
      <c r="H861">
        <f>IF(A861="","",F861-G861)</f>
        <v/>
      </c>
    </row>
    <row r="862">
      <c r="A862" s="4" t="n"/>
      <c r="B862" s="4" t="n"/>
      <c r="C862">
        <f>IF(A862="","",SUMPRODUCT((المبيعات!$C$2:$C$2000=A862)*(المبيعات!$B$2:$B$2000&lt;&gt;"")/COUNTIFS(المبيعات!$B$2:$B$2000,المبيعات!$B$2:$B$2000&amp;"",المبيعات!$C$2:$C$2000,المبيعات!$C$2:$C$2000&amp;"")))</f>
        <v/>
      </c>
      <c r="D862">
        <f>IF(A862="","",SUMIFS(المبيعات!$H$2:$H$2000,المبيعات!$C$2:$C$2000,A862))</f>
        <v/>
      </c>
      <c r="E862" s="13">
        <f>IF(A862="","",IF(COUNTIF(المبيعات!$C$2:$C$2000,A862)=0,"",_xlfn.MAXIFS(المبيعات!$A$2:$A$2000,المبيعات!$C$2:$C$2000,A862)))</f>
        <v/>
      </c>
      <c r="F862">
        <f>IF(A862="","",SUMIFS(المبيعات!$H$2:$H$2000,المبيعات!$C$2:$C$2000,A862,المبيعات!$J$2:$J$2000,"آجل"))</f>
        <v/>
      </c>
      <c r="G862" s="4" t="n"/>
      <c r="H862">
        <f>IF(A862="","",F862-G862)</f>
        <v/>
      </c>
    </row>
    <row r="863">
      <c r="A863" s="4" t="n"/>
      <c r="B863" s="4" t="n"/>
      <c r="C863">
        <f>IF(A863="","",SUMPRODUCT((المبيعات!$C$2:$C$2000=A863)*(المبيعات!$B$2:$B$2000&lt;&gt;"")/COUNTIFS(المبيعات!$B$2:$B$2000,المبيعات!$B$2:$B$2000&amp;"",المبيعات!$C$2:$C$2000,المبيعات!$C$2:$C$2000&amp;"")))</f>
        <v/>
      </c>
      <c r="D863">
        <f>IF(A863="","",SUMIFS(المبيعات!$H$2:$H$2000,المبيعات!$C$2:$C$2000,A863))</f>
        <v/>
      </c>
      <c r="E863" s="13">
        <f>IF(A863="","",IF(COUNTIF(المبيعات!$C$2:$C$2000,A863)=0,"",_xlfn.MAXIFS(المبيعات!$A$2:$A$2000,المبيعات!$C$2:$C$2000,A863)))</f>
        <v/>
      </c>
      <c r="F863">
        <f>IF(A863="","",SUMIFS(المبيعات!$H$2:$H$2000,المبيعات!$C$2:$C$2000,A863,المبيعات!$J$2:$J$2000,"آجل"))</f>
        <v/>
      </c>
      <c r="G863" s="4" t="n"/>
      <c r="H863">
        <f>IF(A863="","",F863-G863)</f>
        <v/>
      </c>
    </row>
    <row r="864">
      <c r="A864" s="4" t="n"/>
      <c r="B864" s="4" t="n"/>
      <c r="C864">
        <f>IF(A864="","",SUMPRODUCT((المبيعات!$C$2:$C$2000=A864)*(المبيعات!$B$2:$B$2000&lt;&gt;"")/COUNTIFS(المبيعات!$B$2:$B$2000,المبيعات!$B$2:$B$2000&amp;"",المبيعات!$C$2:$C$2000,المبيعات!$C$2:$C$2000&amp;"")))</f>
        <v/>
      </c>
      <c r="D864">
        <f>IF(A864="","",SUMIFS(المبيعات!$H$2:$H$2000,المبيعات!$C$2:$C$2000,A864))</f>
        <v/>
      </c>
      <c r="E864" s="13">
        <f>IF(A864="","",IF(COUNTIF(المبيعات!$C$2:$C$2000,A864)=0,"",_xlfn.MAXIFS(المبيعات!$A$2:$A$2000,المبيعات!$C$2:$C$2000,A864)))</f>
        <v/>
      </c>
      <c r="F864">
        <f>IF(A864="","",SUMIFS(المبيعات!$H$2:$H$2000,المبيعات!$C$2:$C$2000,A864,المبيعات!$J$2:$J$2000,"آجل"))</f>
        <v/>
      </c>
      <c r="G864" s="4" t="n"/>
      <c r="H864">
        <f>IF(A864="","",F864-G864)</f>
        <v/>
      </c>
    </row>
    <row r="865">
      <c r="A865" s="4" t="n"/>
      <c r="B865" s="4" t="n"/>
      <c r="C865">
        <f>IF(A865="","",SUMPRODUCT((المبيعات!$C$2:$C$2000=A865)*(المبيعات!$B$2:$B$2000&lt;&gt;"")/COUNTIFS(المبيعات!$B$2:$B$2000,المبيعات!$B$2:$B$2000&amp;"",المبيعات!$C$2:$C$2000,المبيعات!$C$2:$C$2000&amp;"")))</f>
        <v/>
      </c>
      <c r="D865">
        <f>IF(A865="","",SUMIFS(المبيعات!$H$2:$H$2000,المبيعات!$C$2:$C$2000,A865))</f>
        <v/>
      </c>
      <c r="E865" s="13">
        <f>IF(A865="","",IF(COUNTIF(المبيعات!$C$2:$C$2000,A865)=0,"",_xlfn.MAXIFS(المبيعات!$A$2:$A$2000,المبيعات!$C$2:$C$2000,A865)))</f>
        <v/>
      </c>
      <c r="F865">
        <f>IF(A865="","",SUMIFS(المبيعات!$H$2:$H$2000,المبيعات!$C$2:$C$2000,A865,المبيعات!$J$2:$J$2000,"آجل"))</f>
        <v/>
      </c>
      <c r="G865" s="4" t="n"/>
      <c r="H865">
        <f>IF(A865="","",F865-G865)</f>
        <v/>
      </c>
    </row>
    <row r="866">
      <c r="A866" s="4" t="n"/>
      <c r="B866" s="4" t="n"/>
      <c r="C866">
        <f>IF(A866="","",SUMPRODUCT((المبيعات!$C$2:$C$2000=A866)*(المبيعات!$B$2:$B$2000&lt;&gt;"")/COUNTIFS(المبيعات!$B$2:$B$2000,المبيعات!$B$2:$B$2000&amp;"",المبيعات!$C$2:$C$2000,المبيعات!$C$2:$C$2000&amp;"")))</f>
        <v/>
      </c>
      <c r="D866">
        <f>IF(A866="","",SUMIFS(المبيعات!$H$2:$H$2000,المبيعات!$C$2:$C$2000,A866))</f>
        <v/>
      </c>
      <c r="E866" s="13">
        <f>IF(A866="","",IF(COUNTIF(المبيعات!$C$2:$C$2000,A866)=0,"",_xlfn.MAXIFS(المبيعات!$A$2:$A$2000,المبيعات!$C$2:$C$2000,A866)))</f>
        <v/>
      </c>
      <c r="F866">
        <f>IF(A866="","",SUMIFS(المبيعات!$H$2:$H$2000,المبيعات!$C$2:$C$2000,A866,المبيعات!$J$2:$J$2000,"آجل"))</f>
        <v/>
      </c>
      <c r="G866" s="4" t="n"/>
      <c r="H866">
        <f>IF(A866="","",F866-G866)</f>
        <v/>
      </c>
    </row>
    <row r="867">
      <c r="A867" s="4" t="n"/>
      <c r="B867" s="4" t="n"/>
      <c r="C867">
        <f>IF(A867="","",SUMPRODUCT((المبيعات!$C$2:$C$2000=A867)*(المبيعات!$B$2:$B$2000&lt;&gt;"")/COUNTIFS(المبيعات!$B$2:$B$2000,المبيعات!$B$2:$B$2000&amp;"",المبيعات!$C$2:$C$2000,المبيعات!$C$2:$C$2000&amp;"")))</f>
        <v/>
      </c>
      <c r="D867">
        <f>IF(A867="","",SUMIFS(المبيعات!$H$2:$H$2000,المبيعات!$C$2:$C$2000,A867))</f>
        <v/>
      </c>
      <c r="E867" s="13">
        <f>IF(A867="","",IF(COUNTIF(المبيعات!$C$2:$C$2000,A867)=0,"",_xlfn.MAXIFS(المبيعات!$A$2:$A$2000,المبيعات!$C$2:$C$2000,A867)))</f>
        <v/>
      </c>
      <c r="F867">
        <f>IF(A867="","",SUMIFS(المبيعات!$H$2:$H$2000,المبيعات!$C$2:$C$2000,A867,المبيعات!$J$2:$J$2000,"آجل"))</f>
        <v/>
      </c>
      <c r="G867" s="4" t="n"/>
      <c r="H867">
        <f>IF(A867="","",F867-G867)</f>
        <v/>
      </c>
    </row>
    <row r="868">
      <c r="A868" s="4" t="n"/>
      <c r="B868" s="4" t="n"/>
      <c r="C868">
        <f>IF(A868="","",SUMPRODUCT((المبيعات!$C$2:$C$2000=A868)*(المبيعات!$B$2:$B$2000&lt;&gt;"")/COUNTIFS(المبيعات!$B$2:$B$2000,المبيعات!$B$2:$B$2000&amp;"",المبيعات!$C$2:$C$2000,المبيعات!$C$2:$C$2000&amp;"")))</f>
        <v/>
      </c>
      <c r="D868">
        <f>IF(A868="","",SUMIFS(المبيعات!$H$2:$H$2000,المبيعات!$C$2:$C$2000,A868))</f>
        <v/>
      </c>
      <c r="E868" s="13">
        <f>IF(A868="","",IF(COUNTIF(المبيعات!$C$2:$C$2000,A868)=0,"",_xlfn.MAXIFS(المبيعات!$A$2:$A$2000,المبيعات!$C$2:$C$2000,A868)))</f>
        <v/>
      </c>
      <c r="F868">
        <f>IF(A868="","",SUMIFS(المبيعات!$H$2:$H$2000,المبيعات!$C$2:$C$2000,A868,المبيعات!$J$2:$J$2000,"آجل"))</f>
        <v/>
      </c>
      <c r="G868" s="4" t="n"/>
      <c r="H868">
        <f>IF(A868="","",F868-G868)</f>
        <v/>
      </c>
    </row>
    <row r="869">
      <c r="A869" s="4" t="n"/>
      <c r="B869" s="4" t="n"/>
      <c r="C869">
        <f>IF(A869="","",SUMPRODUCT((المبيعات!$C$2:$C$2000=A869)*(المبيعات!$B$2:$B$2000&lt;&gt;"")/COUNTIFS(المبيعات!$B$2:$B$2000,المبيعات!$B$2:$B$2000&amp;"",المبيعات!$C$2:$C$2000,المبيعات!$C$2:$C$2000&amp;"")))</f>
        <v/>
      </c>
      <c r="D869">
        <f>IF(A869="","",SUMIFS(المبيعات!$H$2:$H$2000,المبيعات!$C$2:$C$2000,A869))</f>
        <v/>
      </c>
      <c r="E869" s="13">
        <f>IF(A869="","",IF(COUNTIF(المبيعات!$C$2:$C$2000,A869)=0,"",_xlfn.MAXIFS(المبيعات!$A$2:$A$2000,المبيعات!$C$2:$C$2000,A869)))</f>
        <v/>
      </c>
      <c r="F869">
        <f>IF(A869="","",SUMIFS(المبيعات!$H$2:$H$2000,المبيعات!$C$2:$C$2000,A869,المبيعات!$J$2:$J$2000,"آجل"))</f>
        <v/>
      </c>
      <c r="G869" s="4" t="n"/>
      <c r="H869">
        <f>IF(A869="","",F869-G869)</f>
        <v/>
      </c>
    </row>
    <row r="870">
      <c r="A870" s="4" t="n"/>
      <c r="B870" s="4" t="n"/>
      <c r="C870">
        <f>IF(A870="","",SUMPRODUCT((المبيعات!$C$2:$C$2000=A870)*(المبيعات!$B$2:$B$2000&lt;&gt;"")/COUNTIFS(المبيعات!$B$2:$B$2000,المبيعات!$B$2:$B$2000&amp;"",المبيعات!$C$2:$C$2000,المبيعات!$C$2:$C$2000&amp;"")))</f>
        <v/>
      </c>
      <c r="D870">
        <f>IF(A870="","",SUMIFS(المبيعات!$H$2:$H$2000,المبيعات!$C$2:$C$2000,A870))</f>
        <v/>
      </c>
      <c r="E870" s="13">
        <f>IF(A870="","",IF(COUNTIF(المبيعات!$C$2:$C$2000,A870)=0,"",_xlfn.MAXIFS(المبيعات!$A$2:$A$2000,المبيعات!$C$2:$C$2000,A870)))</f>
        <v/>
      </c>
      <c r="F870">
        <f>IF(A870="","",SUMIFS(المبيعات!$H$2:$H$2000,المبيعات!$C$2:$C$2000,A870,المبيعات!$J$2:$J$2000,"آجل"))</f>
        <v/>
      </c>
      <c r="G870" s="4" t="n"/>
      <c r="H870">
        <f>IF(A870="","",F870-G870)</f>
        <v/>
      </c>
    </row>
    <row r="871">
      <c r="A871" s="4" t="n"/>
      <c r="B871" s="4" t="n"/>
      <c r="C871">
        <f>IF(A871="","",SUMPRODUCT((المبيعات!$C$2:$C$2000=A871)*(المبيعات!$B$2:$B$2000&lt;&gt;"")/COUNTIFS(المبيعات!$B$2:$B$2000,المبيعات!$B$2:$B$2000&amp;"",المبيعات!$C$2:$C$2000,المبيعات!$C$2:$C$2000&amp;"")))</f>
        <v/>
      </c>
      <c r="D871">
        <f>IF(A871="","",SUMIFS(المبيعات!$H$2:$H$2000,المبيعات!$C$2:$C$2000,A871))</f>
        <v/>
      </c>
      <c r="E871" s="13">
        <f>IF(A871="","",IF(COUNTIF(المبيعات!$C$2:$C$2000,A871)=0,"",_xlfn.MAXIFS(المبيعات!$A$2:$A$2000,المبيعات!$C$2:$C$2000,A871)))</f>
        <v/>
      </c>
      <c r="F871">
        <f>IF(A871="","",SUMIFS(المبيعات!$H$2:$H$2000,المبيعات!$C$2:$C$2000,A871,المبيعات!$J$2:$J$2000,"آجل"))</f>
        <v/>
      </c>
      <c r="G871" s="4" t="n"/>
      <c r="H871">
        <f>IF(A871="","",F871-G871)</f>
        <v/>
      </c>
    </row>
    <row r="872">
      <c r="A872" s="4" t="n"/>
      <c r="B872" s="4" t="n"/>
      <c r="C872">
        <f>IF(A872="","",SUMPRODUCT((المبيعات!$C$2:$C$2000=A872)*(المبيعات!$B$2:$B$2000&lt;&gt;"")/COUNTIFS(المبيعات!$B$2:$B$2000,المبيعات!$B$2:$B$2000&amp;"",المبيعات!$C$2:$C$2000,المبيعات!$C$2:$C$2000&amp;"")))</f>
        <v/>
      </c>
      <c r="D872">
        <f>IF(A872="","",SUMIFS(المبيعات!$H$2:$H$2000,المبيعات!$C$2:$C$2000,A872))</f>
        <v/>
      </c>
      <c r="E872" s="13">
        <f>IF(A872="","",IF(COUNTIF(المبيعات!$C$2:$C$2000,A872)=0,"",_xlfn.MAXIFS(المبيعات!$A$2:$A$2000,المبيعات!$C$2:$C$2000,A872)))</f>
        <v/>
      </c>
      <c r="F872">
        <f>IF(A872="","",SUMIFS(المبيعات!$H$2:$H$2000,المبيعات!$C$2:$C$2000,A872,المبيعات!$J$2:$J$2000,"آجل"))</f>
        <v/>
      </c>
      <c r="G872" s="4" t="n"/>
      <c r="H872">
        <f>IF(A872="","",F872-G872)</f>
        <v/>
      </c>
    </row>
    <row r="873">
      <c r="A873" s="4" t="n"/>
      <c r="B873" s="4" t="n"/>
      <c r="C873">
        <f>IF(A873="","",SUMPRODUCT((المبيعات!$C$2:$C$2000=A873)*(المبيعات!$B$2:$B$2000&lt;&gt;"")/COUNTIFS(المبيعات!$B$2:$B$2000,المبيعات!$B$2:$B$2000&amp;"",المبيعات!$C$2:$C$2000,المبيعات!$C$2:$C$2000&amp;"")))</f>
        <v/>
      </c>
      <c r="D873">
        <f>IF(A873="","",SUMIFS(المبيعات!$H$2:$H$2000,المبيعات!$C$2:$C$2000,A873))</f>
        <v/>
      </c>
      <c r="E873" s="13">
        <f>IF(A873="","",IF(COUNTIF(المبيعات!$C$2:$C$2000,A873)=0,"",_xlfn.MAXIFS(المبيعات!$A$2:$A$2000,المبيعات!$C$2:$C$2000,A873)))</f>
        <v/>
      </c>
      <c r="F873">
        <f>IF(A873="","",SUMIFS(المبيعات!$H$2:$H$2000,المبيعات!$C$2:$C$2000,A873,المبيعات!$J$2:$J$2000,"آجل"))</f>
        <v/>
      </c>
      <c r="G873" s="4" t="n"/>
      <c r="H873">
        <f>IF(A873="","",F873-G873)</f>
        <v/>
      </c>
    </row>
    <row r="874">
      <c r="A874" s="4" t="n"/>
      <c r="B874" s="4" t="n"/>
      <c r="C874">
        <f>IF(A874="","",SUMPRODUCT((المبيعات!$C$2:$C$2000=A874)*(المبيعات!$B$2:$B$2000&lt;&gt;"")/COUNTIFS(المبيعات!$B$2:$B$2000,المبيعات!$B$2:$B$2000&amp;"",المبيعات!$C$2:$C$2000,المبيعات!$C$2:$C$2000&amp;"")))</f>
        <v/>
      </c>
      <c r="D874">
        <f>IF(A874="","",SUMIFS(المبيعات!$H$2:$H$2000,المبيعات!$C$2:$C$2000,A874))</f>
        <v/>
      </c>
      <c r="E874" s="13">
        <f>IF(A874="","",IF(COUNTIF(المبيعات!$C$2:$C$2000,A874)=0,"",_xlfn.MAXIFS(المبيعات!$A$2:$A$2000,المبيعات!$C$2:$C$2000,A874)))</f>
        <v/>
      </c>
      <c r="F874">
        <f>IF(A874="","",SUMIFS(المبيعات!$H$2:$H$2000,المبيعات!$C$2:$C$2000,A874,المبيعات!$J$2:$J$2000,"آجل"))</f>
        <v/>
      </c>
      <c r="G874" s="4" t="n"/>
      <c r="H874">
        <f>IF(A874="","",F874-G874)</f>
        <v/>
      </c>
    </row>
    <row r="875">
      <c r="A875" s="4" t="n"/>
      <c r="B875" s="4" t="n"/>
      <c r="C875">
        <f>IF(A875="","",SUMPRODUCT((المبيعات!$C$2:$C$2000=A875)*(المبيعات!$B$2:$B$2000&lt;&gt;"")/COUNTIFS(المبيعات!$B$2:$B$2000,المبيعات!$B$2:$B$2000&amp;"",المبيعات!$C$2:$C$2000,المبيعات!$C$2:$C$2000&amp;"")))</f>
        <v/>
      </c>
      <c r="D875">
        <f>IF(A875="","",SUMIFS(المبيعات!$H$2:$H$2000,المبيعات!$C$2:$C$2000,A875))</f>
        <v/>
      </c>
      <c r="E875" s="13">
        <f>IF(A875="","",IF(COUNTIF(المبيعات!$C$2:$C$2000,A875)=0,"",_xlfn.MAXIFS(المبيعات!$A$2:$A$2000,المبيعات!$C$2:$C$2000,A875)))</f>
        <v/>
      </c>
      <c r="F875">
        <f>IF(A875="","",SUMIFS(المبيعات!$H$2:$H$2000,المبيعات!$C$2:$C$2000,A875,المبيعات!$J$2:$J$2000,"آجل"))</f>
        <v/>
      </c>
      <c r="G875" s="4" t="n"/>
      <c r="H875">
        <f>IF(A875="","",F875-G875)</f>
        <v/>
      </c>
    </row>
    <row r="876">
      <c r="A876" s="4" t="n"/>
      <c r="B876" s="4" t="n"/>
      <c r="C876">
        <f>IF(A876="","",SUMPRODUCT((المبيعات!$C$2:$C$2000=A876)*(المبيعات!$B$2:$B$2000&lt;&gt;"")/COUNTIFS(المبيعات!$B$2:$B$2000,المبيعات!$B$2:$B$2000&amp;"",المبيعات!$C$2:$C$2000,المبيعات!$C$2:$C$2000&amp;"")))</f>
        <v/>
      </c>
      <c r="D876">
        <f>IF(A876="","",SUMIFS(المبيعات!$H$2:$H$2000,المبيعات!$C$2:$C$2000,A876))</f>
        <v/>
      </c>
      <c r="E876" s="13">
        <f>IF(A876="","",IF(COUNTIF(المبيعات!$C$2:$C$2000,A876)=0,"",_xlfn.MAXIFS(المبيعات!$A$2:$A$2000,المبيعات!$C$2:$C$2000,A876)))</f>
        <v/>
      </c>
      <c r="F876">
        <f>IF(A876="","",SUMIFS(المبيعات!$H$2:$H$2000,المبيعات!$C$2:$C$2000,A876,المبيعات!$J$2:$J$2000,"آجل"))</f>
        <v/>
      </c>
      <c r="G876" s="4" t="n"/>
      <c r="H876">
        <f>IF(A876="","",F876-G876)</f>
        <v/>
      </c>
    </row>
    <row r="877">
      <c r="A877" s="4" t="n"/>
      <c r="B877" s="4" t="n"/>
      <c r="C877">
        <f>IF(A877="","",SUMPRODUCT((المبيعات!$C$2:$C$2000=A877)*(المبيعات!$B$2:$B$2000&lt;&gt;"")/COUNTIFS(المبيعات!$B$2:$B$2000,المبيعات!$B$2:$B$2000&amp;"",المبيعات!$C$2:$C$2000,المبيعات!$C$2:$C$2000&amp;"")))</f>
        <v/>
      </c>
      <c r="D877">
        <f>IF(A877="","",SUMIFS(المبيعات!$H$2:$H$2000,المبيعات!$C$2:$C$2000,A877))</f>
        <v/>
      </c>
      <c r="E877" s="13">
        <f>IF(A877="","",IF(COUNTIF(المبيعات!$C$2:$C$2000,A877)=0,"",_xlfn.MAXIFS(المبيعات!$A$2:$A$2000,المبيعات!$C$2:$C$2000,A877)))</f>
        <v/>
      </c>
      <c r="F877">
        <f>IF(A877="","",SUMIFS(المبيعات!$H$2:$H$2000,المبيعات!$C$2:$C$2000,A877,المبيعات!$J$2:$J$2000,"آجل"))</f>
        <v/>
      </c>
      <c r="G877" s="4" t="n"/>
      <c r="H877">
        <f>IF(A877="","",F877-G877)</f>
        <v/>
      </c>
    </row>
    <row r="878">
      <c r="A878" s="4" t="n"/>
      <c r="B878" s="4" t="n"/>
      <c r="C878">
        <f>IF(A878="","",SUMPRODUCT((المبيعات!$C$2:$C$2000=A878)*(المبيعات!$B$2:$B$2000&lt;&gt;"")/COUNTIFS(المبيعات!$B$2:$B$2000,المبيعات!$B$2:$B$2000&amp;"",المبيعات!$C$2:$C$2000,المبيعات!$C$2:$C$2000&amp;"")))</f>
        <v/>
      </c>
      <c r="D878">
        <f>IF(A878="","",SUMIFS(المبيعات!$H$2:$H$2000,المبيعات!$C$2:$C$2000,A878))</f>
        <v/>
      </c>
      <c r="E878" s="13">
        <f>IF(A878="","",IF(COUNTIF(المبيعات!$C$2:$C$2000,A878)=0,"",_xlfn.MAXIFS(المبيعات!$A$2:$A$2000,المبيعات!$C$2:$C$2000,A878)))</f>
        <v/>
      </c>
      <c r="F878">
        <f>IF(A878="","",SUMIFS(المبيعات!$H$2:$H$2000,المبيعات!$C$2:$C$2000,A878,المبيعات!$J$2:$J$2000,"آجل"))</f>
        <v/>
      </c>
      <c r="G878" s="4" t="n"/>
      <c r="H878">
        <f>IF(A878="","",F878-G878)</f>
        <v/>
      </c>
    </row>
    <row r="879">
      <c r="A879" s="4" t="n"/>
      <c r="B879" s="4" t="n"/>
      <c r="C879">
        <f>IF(A879="","",SUMPRODUCT((المبيعات!$C$2:$C$2000=A879)*(المبيعات!$B$2:$B$2000&lt;&gt;"")/COUNTIFS(المبيعات!$B$2:$B$2000,المبيعات!$B$2:$B$2000&amp;"",المبيعات!$C$2:$C$2000,المبيعات!$C$2:$C$2000&amp;"")))</f>
        <v/>
      </c>
      <c r="D879">
        <f>IF(A879="","",SUMIFS(المبيعات!$H$2:$H$2000,المبيعات!$C$2:$C$2000,A879))</f>
        <v/>
      </c>
      <c r="E879" s="13">
        <f>IF(A879="","",IF(COUNTIF(المبيعات!$C$2:$C$2000,A879)=0,"",_xlfn.MAXIFS(المبيعات!$A$2:$A$2000,المبيعات!$C$2:$C$2000,A879)))</f>
        <v/>
      </c>
      <c r="F879">
        <f>IF(A879="","",SUMIFS(المبيعات!$H$2:$H$2000,المبيعات!$C$2:$C$2000,A879,المبيعات!$J$2:$J$2000,"آجل"))</f>
        <v/>
      </c>
      <c r="G879" s="4" t="n"/>
      <c r="H879">
        <f>IF(A879="","",F879-G879)</f>
        <v/>
      </c>
    </row>
    <row r="880">
      <c r="A880" s="4" t="n"/>
      <c r="B880" s="4" t="n"/>
      <c r="C880">
        <f>IF(A880="","",SUMPRODUCT((المبيعات!$C$2:$C$2000=A880)*(المبيعات!$B$2:$B$2000&lt;&gt;"")/COUNTIFS(المبيعات!$B$2:$B$2000,المبيعات!$B$2:$B$2000&amp;"",المبيعات!$C$2:$C$2000,المبيعات!$C$2:$C$2000&amp;"")))</f>
        <v/>
      </c>
      <c r="D880">
        <f>IF(A880="","",SUMIFS(المبيعات!$H$2:$H$2000,المبيعات!$C$2:$C$2000,A880))</f>
        <v/>
      </c>
      <c r="E880" s="13">
        <f>IF(A880="","",IF(COUNTIF(المبيعات!$C$2:$C$2000,A880)=0,"",_xlfn.MAXIFS(المبيعات!$A$2:$A$2000,المبيعات!$C$2:$C$2000,A880)))</f>
        <v/>
      </c>
      <c r="F880">
        <f>IF(A880="","",SUMIFS(المبيعات!$H$2:$H$2000,المبيعات!$C$2:$C$2000,A880,المبيعات!$J$2:$J$2000,"آجل"))</f>
        <v/>
      </c>
      <c r="G880" s="4" t="n"/>
      <c r="H880">
        <f>IF(A880="","",F880-G880)</f>
        <v/>
      </c>
    </row>
    <row r="881">
      <c r="A881" s="4" t="n"/>
      <c r="B881" s="4" t="n"/>
      <c r="C881">
        <f>IF(A881="","",SUMPRODUCT((المبيعات!$C$2:$C$2000=A881)*(المبيعات!$B$2:$B$2000&lt;&gt;"")/COUNTIFS(المبيعات!$B$2:$B$2000,المبيعات!$B$2:$B$2000&amp;"",المبيعات!$C$2:$C$2000,المبيعات!$C$2:$C$2000&amp;"")))</f>
        <v/>
      </c>
      <c r="D881">
        <f>IF(A881="","",SUMIFS(المبيعات!$H$2:$H$2000,المبيعات!$C$2:$C$2000,A881))</f>
        <v/>
      </c>
      <c r="E881" s="13">
        <f>IF(A881="","",IF(COUNTIF(المبيعات!$C$2:$C$2000,A881)=0,"",_xlfn.MAXIFS(المبيعات!$A$2:$A$2000,المبيعات!$C$2:$C$2000,A881)))</f>
        <v/>
      </c>
      <c r="F881">
        <f>IF(A881="","",SUMIFS(المبيعات!$H$2:$H$2000,المبيعات!$C$2:$C$2000,A881,المبيعات!$J$2:$J$2000,"آجل"))</f>
        <v/>
      </c>
      <c r="G881" s="4" t="n"/>
      <c r="H881">
        <f>IF(A881="","",F881-G881)</f>
        <v/>
      </c>
    </row>
    <row r="882">
      <c r="A882" s="4" t="n"/>
      <c r="B882" s="4" t="n"/>
      <c r="C882">
        <f>IF(A882="","",SUMPRODUCT((المبيعات!$C$2:$C$2000=A882)*(المبيعات!$B$2:$B$2000&lt;&gt;"")/COUNTIFS(المبيعات!$B$2:$B$2000,المبيعات!$B$2:$B$2000&amp;"",المبيعات!$C$2:$C$2000,المبيعات!$C$2:$C$2000&amp;"")))</f>
        <v/>
      </c>
      <c r="D882">
        <f>IF(A882="","",SUMIFS(المبيعات!$H$2:$H$2000,المبيعات!$C$2:$C$2000,A882))</f>
        <v/>
      </c>
      <c r="E882" s="13">
        <f>IF(A882="","",IF(COUNTIF(المبيعات!$C$2:$C$2000,A882)=0,"",_xlfn.MAXIFS(المبيعات!$A$2:$A$2000,المبيعات!$C$2:$C$2000,A882)))</f>
        <v/>
      </c>
      <c r="F882">
        <f>IF(A882="","",SUMIFS(المبيعات!$H$2:$H$2000,المبيعات!$C$2:$C$2000,A882,المبيعات!$J$2:$J$2000,"آجل"))</f>
        <v/>
      </c>
      <c r="G882" s="4" t="n"/>
      <c r="H882">
        <f>IF(A882="","",F882-G882)</f>
        <v/>
      </c>
    </row>
    <row r="883">
      <c r="A883" s="4" t="n"/>
      <c r="B883" s="4" t="n"/>
      <c r="C883">
        <f>IF(A883="","",SUMPRODUCT((المبيعات!$C$2:$C$2000=A883)*(المبيعات!$B$2:$B$2000&lt;&gt;"")/COUNTIFS(المبيعات!$B$2:$B$2000,المبيعات!$B$2:$B$2000&amp;"",المبيعات!$C$2:$C$2000,المبيعات!$C$2:$C$2000&amp;"")))</f>
        <v/>
      </c>
      <c r="D883">
        <f>IF(A883="","",SUMIFS(المبيعات!$H$2:$H$2000,المبيعات!$C$2:$C$2000,A883))</f>
        <v/>
      </c>
      <c r="E883" s="13">
        <f>IF(A883="","",IF(COUNTIF(المبيعات!$C$2:$C$2000,A883)=0,"",_xlfn.MAXIFS(المبيعات!$A$2:$A$2000,المبيعات!$C$2:$C$2000,A883)))</f>
        <v/>
      </c>
      <c r="F883">
        <f>IF(A883="","",SUMIFS(المبيعات!$H$2:$H$2000,المبيعات!$C$2:$C$2000,A883,المبيعات!$J$2:$J$2000,"آجل"))</f>
        <v/>
      </c>
      <c r="G883" s="4" t="n"/>
      <c r="H883">
        <f>IF(A883="","",F883-G883)</f>
        <v/>
      </c>
    </row>
    <row r="884">
      <c r="A884" s="4" t="n"/>
      <c r="B884" s="4" t="n"/>
      <c r="C884">
        <f>IF(A884="","",SUMPRODUCT((المبيعات!$C$2:$C$2000=A884)*(المبيعات!$B$2:$B$2000&lt;&gt;"")/COUNTIFS(المبيعات!$B$2:$B$2000,المبيعات!$B$2:$B$2000&amp;"",المبيعات!$C$2:$C$2000,المبيعات!$C$2:$C$2000&amp;"")))</f>
        <v/>
      </c>
      <c r="D884">
        <f>IF(A884="","",SUMIFS(المبيعات!$H$2:$H$2000,المبيعات!$C$2:$C$2000,A884))</f>
        <v/>
      </c>
      <c r="E884" s="13">
        <f>IF(A884="","",IF(COUNTIF(المبيعات!$C$2:$C$2000,A884)=0,"",_xlfn.MAXIFS(المبيعات!$A$2:$A$2000,المبيعات!$C$2:$C$2000,A884)))</f>
        <v/>
      </c>
      <c r="F884">
        <f>IF(A884="","",SUMIFS(المبيعات!$H$2:$H$2000,المبيعات!$C$2:$C$2000,A884,المبيعات!$J$2:$J$2000,"آجل"))</f>
        <v/>
      </c>
      <c r="G884" s="4" t="n"/>
      <c r="H884">
        <f>IF(A884="","",F884-G884)</f>
        <v/>
      </c>
    </row>
    <row r="885">
      <c r="A885" s="4" t="n"/>
      <c r="B885" s="4" t="n"/>
      <c r="C885">
        <f>IF(A885="","",SUMPRODUCT((المبيعات!$C$2:$C$2000=A885)*(المبيعات!$B$2:$B$2000&lt;&gt;"")/COUNTIFS(المبيعات!$B$2:$B$2000,المبيعات!$B$2:$B$2000&amp;"",المبيعات!$C$2:$C$2000,المبيعات!$C$2:$C$2000&amp;"")))</f>
        <v/>
      </c>
      <c r="D885">
        <f>IF(A885="","",SUMIFS(المبيعات!$H$2:$H$2000,المبيعات!$C$2:$C$2000,A885))</f>
        <v/>
      </c>
      <c r="E885" s="13">
        <f>IF(A885="","",IF(COUNTIF(المبيعات!$C$2:$C$2000,A885)=0,"",_xlfn.MAXIFS(المبيعات!$A$2:$A$2000,المبيعات!$C$2:$C$2000,A885)))</f>
        <v/>
      </c>
      <c r="F885">
        <f>IF(A885="","",SUMIFS(المبيعات!$H$2:$H$2000,المبيعات!$C$2:$C$2000,A885,المبيعات!$J$2:$J$2000,"آجل"))</f>
        <v/>
      </c>
      <c r="G885" s="4" t="n"/>
      <c r="H885">
        <f>IF(A885="","",F885-G885)</f>
        <v/>
      </c>
    </row>
    <row r="886">
      <c r="A886" s="4" t="n"/>
      <c r="B886" s="4" t="n"/>
      <c r="C886">
        <f>IF(A886="","",SUMPRODUCT((المبيعات!$C$2:$C$2000=A886)*(المبيعات!$B$2:$B$2000&lt;&gt;"")/COUNTIFS(المبيعات!$B$2:$B$2000,المبيعات!$B$2:$B$2000&amp;"",المبيعات!$C$2:$C$2000,المبيعات!$C$2:$C$2000&amp;"")))</f>
        <v/>
      </c>
      <c r="D886">
        <f>IF(A886="","",SUMIFS(المبيعات!$H$2:$H$2000,المبيعات!$C$2:$C$2000,A886))</f>
        <v/>
      </c>
      <c r="E886" s="13">
        <f>IF(A886="","",IF(COUNTIF(المبيعات!$C$2:$C$2000,A886)=0,"",_xlfn.MAXIFS(المبيعات!$A$2:$A$2000,المبيعات!$C$2:$C$2000,A886)))</f>
        <v/>
      </c>
      <c r="F886">
        <f>IF(A886="","",SUMIFS(المبيعات!$H$2:$H$2000,المبيعات!$C$2:$C$2000,A886,المبيعات!$J$2:$J$2000,"آجل"))</f>
        <v/>
      </c>
      <c r="G886" s="4" t="n"/>
      <c r="H886">
        <f>IF(A886="","",F886-G886)</f>
        <v/>
      </c>
    </row>
    <row r="887">
      <c r="A887" s="4" t="n"/>
      <c r="B887" s="4" t="n"/>
      <c r="C887">
        <f>IF(A887="","",SUMPRODUCT((المبيعات!$C$2:$C$2000=A887)*(المبيعات!$B$2:$B$2000&lt;&gt;"")/COUNTIFS(المبيعات!$B$2:$B$2000,المبيعات!$B$2:$B$2000&amp;"",المبيعات!$C$2:$C$2000,المبيعات!$C$2:$C$2000&amp;"")))</f>
        <v/>
      </c>
      <c r="D887">
        <f>IF(A887="","",SUMIFS(المبيعات!$H$2:$H$2000,المبيعات!$C$2:$C$2000,A887))</f>
        <v/>
      </c>
      <c r="E887" s="13">
        <f>IF(A887="","",IF(COUNTIF(المبيعات!$C$2:$C$2000,A887)=0,"",_xlfn.MAXIFS(المبيعات!$A$2:$A$2000,المبيعات!$C$2:$C$2000,A887)))</f>
        <v/>
      </c>
      <c r="F887">
        <f>IF(A887="","",SUMIFS(المبيعات!$H$2:$H$2000,المبيعات!$C$2:$C$2000,A887,المبيعات!$J$2:$J$2000,"آجل"))</f>
        <v/>
      </c>
      <c r="G887" s="4" t="n"/>
      <c r="H887">
        <f>IF(A887="","",F887-G887)</f>
        <v/>
      </c>
    </row>
    <row r="888">
      <c r="A888" s="4" t="n"/>
      <c r="B888" s="4" t="n"/>
      <c r="C888">
        <f>IF(A888="","",SUMPRODUCT((المبيعات!$C$2:$C$2000=A888)*(المبيعات!$B$2:$B$2000&lt;&gt;"")/COUNTIFS(المبيعات!$B$2:$B$2000,المبيعات!$B$2:$B$2000&amp;"",المبيعات!$C$2:$C$2000,المبيعات!$C$2:$C$2000&amp;"")))</f>
        <v/>
      </c>
      <c r="D888">
        <f>IF(A888="","",SUMIFS(المبيعات!$H$2:$H$2000,المبيعات!$C$2:$C$2000,A888))</f>
        <v/>
      </c>
      <c r="E888" s="13">
        <f>IF(A888="","",IF(COUNTIF(المبيعات!$C$2:$C$2000,A888)=0,"",_xlfn.MAXIFS(المبيعات!$A$2:$A$2000,المبيعات!$C$2:$C$2000,A888)))</f>
        <v/>
      </c>
      <c r="F888">
        <f>IF(A888="","",SUMIFS(المبيعات!$H$2:$H$2000,المبيعات!$C$2:$C$2000,A888,المبيعات!$J$2:$J$2000,"آجل"))</f>
        <v/>
      </c>
      <c r="G888" s="4" t="n"/>
      <c r="H888">
        <f>IF(A888="","",F888-G888)</f>
        <v/>
      </c>
    </row>
    <row r="889">
      <c r="A889" s="4" t="n"/>
      <c r="B889" s="4" t="n"/>
      <c r="C889">
        <f>IF(A889="","",SUMPRODUCT((المبيعات!$C$2:$C$2000=A889)*(المبيعات!$B$2:$B$2000&lt;&gt;"")/COUNTIFS(المبيعات!$B$2:$B$2000,المبيعات!$B$2:$B$2000&amp;"",المبيعات!$C$2:$C$2000,المبيعات!$C$2:$C$2000&amp;"")))</f>
        <v/>
      </c>
      <c r="D889">
        <f>IF(A889="","",SUMIFS(المبيعات!$H$2:$H$2000,المبيعات!$C$2:$C$2000,A889))</f>
        <v/>
      </c>
      <c r="E889" s="13">
        <f>IF(A889="","",IF(COUNTIF(المبيعات!$C$2:$C$2000,A889)=0,"",_xlfn.MAXIFS(المبيعات!$A$2:$A$2000,المبيعات!$C$2:$C$2000,A889)))</f>
        <v/>
      </c>
      <c r="F889">
        <f>IF(A889="","",SUMIFS(المبيعات!$H$2:$H$2000,المبيعات!$C$2:$C$2000,A889,المبيعات!$J$2:$J$2000,"آجل"))</f>
        <v/>
      </c>
      <c r="G889" s="4" t="n"/>
      <c r="H889">
        <f>IF(A889="","",F889-G889)</f>
        <v/>
      </c>
    </row>
    <row r="890">
      <c r="A890" s="4" t="n"/>
      <c r="B890" s="4" t="n"/>
      <c r="C890">
        <f>IF(A890="","",SUMPRODUCT((المبيعات!$C$2:$C$2000=A890)*(المبيعات!$B$2:$B$2000&lt;&gt;"")/COUNTIFS(المبيعات!$B$2:$B$2000,المبيعات!$B$2:$B$2000&amp;"",المبيعات!$C$2:$C$2000,المبيعات!$C$2:$C$2000&amp;"")))</f>
        <v/>
      </c>
      <c r="D890">
        <f>IF(A890="","",SUMIFS(المبيعات!$H$2:$H$2000,المبيعات!$C$2:$C$2000,A890))</f>
        <v/>
      </c>
      <c r="E890" s="13">
        <f>IF(A890="","",IF(COUNTIF(المبيعات!$C$2:$C$2000,A890)=0,"",_xlfn.MAXIFS(المبيعات!$A$2:$A$2000,المبيعات!$C$2:$C$2000,A890)))</f>
        <v/>
      </c>
      <c r="F890">
        <f>IF(A890="","",SUMIFS(المبيعات!$H$2:$H$2000,المبيعات!$C$2:$C$2000,A890,المبيعات!$J$2:$J$2000,"آجل"))</f>
        <v/>
      </c>
      <c r="G890" s="4" t="n"/>
      <c r="H890">
        <f>IF(A890="","",F890-G890)</f>
        <v/>
      </c>
    </row>
    <row r="891">
      <c r="A891" s="4" t="n"/>
      <c r="B891" s="4" t="n"/>
      <c r="C891">
        <f>IF(A891="","",SUMPRODUCT((المبيعات!$C$2:$C$2000=A891)*(المبيعات!$B$2:$B$2000&lt;&gt;"")/COUNTIFS(المبيعات!$B$2:$B$2000,المبيعات!$B$2:$B$2000&amp;"",المبيعات!$C$2:$C$2000,المبيعات!$C$2:$C$2000&amp;"")))</f>
        <v/>
      </c>
      <c r="D891">
        <f>IF(A891="","",SUMIFS(المبيعات!$H$2:$H$2000,المبيعات!$C$2:$C$2000,A891))</f>
        <v/>
      </c>
      <c r="E891" s="13">
        <f>IF(A891="","",IF(COUNTIF(المبيعات!$C$2:$C$2000,A891)=0,"",_xlfn.MAXIFS(المبيعات!$A$2:$A$2000,المبيعات!$C$2:$C$2000,A891)))</f>
        <v/>
      </c>
      <c r="F891">
        <f>IF(A891="","",SUMIFS(المبيعات!$H$2:$H$2000,المبيعات!$C$2:$C$2000,A891,المبيعات!$J$2:$J$2000,"آجل"))</f>
        <v/>
      </c>
      <c r="G891" s="4" t="n"/>
      <c r="H891">
        <f>IF(A891="","",F891-G891)</f>
        <v/>
      </c>
    </row>
    <row r="892">
      <c r="A892" s="4" t="n"/>
      <c r="B892" s="4" t="n"/>
      <c r="C892">
        <f>IF(A892="","",SUMPRODUCT((المبيعات!$C$2:$C$2000=A892)*(المبيعات!$B$2:$B$2000&lt;&gt;"")/COUNTIFS(المبيعات!$B$2:$B$2000,المبيعات!$B$2:$B$2000&amp;"",المبيعات!$C$2:$C$2000,المبيعات!$C$2:$C$2000&amp;"")))</f>
        <v/>
      </c>
      <c r="D892">
        <f>IF(A892="","",SUMIFS(المبيعات!$H$2:$H$2000,المبيعات!$C$2:$C$2000,A892))</f>
        <v/>
      </c>
      <c r="E892" s="13">
        <f>IF(A892="","",IF(COUNTIF(المبيعات!$C$2:$C$2000,A892)=0,"",_xlfn.MAXIFS(المبيعات!$A$2:$A$2000,المبيعات!$C$2:$C$2000,A892)))</f>
        <v/>
      </c>
      <c r="F892">
        <f>IF(A892="","",SUMIFS(المبيعات!$H$2:$H$2000,المبيعات!$C$2:$C$2000,A892,المبيعات!$J$2:$J$2000,"آجل"))</f>
        <v/>
      </c>
      <c r="G892" s="4" t="n"/>
      <c r="H892">
        <f>IF(A892="","",F892-G892)</f>
        <v/>
      </c>
    </row>
    <row r="893">
      <c r="A893" s="4" t="n"/>
      <c r="B893" s="4" t="n"/>
      <c r="C893">
        <f>IF(A893="","",SUMPRODUCT((المبيعات!$C$2:$C$2000=A893)*(المبيعات!$B$2:$B$2000&lt;&gt;"")/COUNTIFS(المبيعات!$B$2:$B$2000,المبيعات!$B$2:$B$2000&amp;"",المبيعات!$C$2:$C$2000,المبيعات!$C$2:$C$2000&amp;"")))</f>
        <v/>
      </c>
      <c r="D893">
        <f>IF(A893="","",SUMIFS(المبيعات!$H$2:$H$2000,المبيعات!$C$2:$C$2000,A893))</f>
        <v/>
      </c>
      <c r="E893" s="13">
        <f>IF(A893="","",IF(COUNTIF(المبيعات!$C$2:$C$2000,A893)=0,"",_xlfn.MAXIFS(المبيعات!$A$2:$A$2000,المبيعات!$C$2:$C$2000,A893)))</f>
        <v/>
      </c>
      <c r="F893">
        <f>IF(A893="","",SUMIFS(المبيعات!$H$2:$H$2000,المبيعات!$C$2:$C$2000,A893,المبيعات!$J$2:$J$2000,"آجل"))</f>
        <v/>
      </c>
      <c r="G893" s="4" t="n"/>
      <c r="H893">
        <f>IF(A893="","",F893-G893)</f>
        <v/>
      </c>
    </row>
    <row r="894">
      <c r="A894" s="4" t="n"/>
      <c r="B894" s="4" t="n"/>
      <c r="C894">
        <f>IF(A894="","",SUMPRODUCT((المبيعات!$C$2:$C$2000=A894)*(المبيعات!$B$2:$B$2000&lt;&gt;"")/COUNTIFS(المبيعات!$B$2:$B$2000,المبيعات!$B$2:$B$2000&amp;"",المبيعات!$C$2:$C$2000,المبيعات!$C$2:$C$2000&amp;"")))</f>
        <v/>
      </c>
      <c r="D894">
        <f>IF(A894="","",SUMIFS(المبيعات!$H$2:$H$2000,المبيعات!$C$2:$C$2000,A894))</f>
        <v/>
      </c>
      <c r="E894" s="13">
        <f>IF(A894="","",IF(COUNTIF(المبيعات!$C$2:$C$2000,A894)=0,"",_xlfn.MAXIFS(المبيعات!$A$2:$A$2000,المبيعات!$C$2:$C$2000,A894)))</f>
        <v/>
      </c>
      <c r="F894">
        <f>IF(A894="","",SUMIFS(المبيعات!$H$2:$H$2000,المبيعات!$C$2:$C$2000,A894,المبيعات!$J$2:$J$2000,"آجل"))</f>
        <v/>
      </c>
      <c r="G894" s="4" t="n"/>
      <c r="H894">
        <f>IF(A894="","",F894-G894)</f>
        <v/>
      </c>
    </row>
    <row r="895">
      <c r="A895" s="4" t="n"/>
      <c r="B895" s="4" t="n"/>
      <c r="C895">
        <f>IF(A895="","",SUMPRODUCT((المبيعات!$C$2:$C$2000=A895)*(المبيعات!$B$2:$B$2000&lt;&gt;"")/COUNTIFS(المبيعات!$B$2:$B$2000,المبيعات!$B$2:$B$2000&amp;"",المبيعات!$C$2:$C$2000,المبيعات!$C$2:$C$2000&amp;"")))</f>
        <v/>
      </c>
      <c r="D895">
        <f>IF(A895="","",SUMIFS(المبيعات!$H$2:$H$2000,المبيعات!$C$2:$C$2000,A895))</f>
        <v/>
      </c>
      <c r="E895" s="13">
        <f>IF(A895="","",IF(COUNTIF(المبيعات!$C$2:$C$2000,A895)=0,"",_xlfn.MAXIFS(المبيعات!$A$2:$A$2000,المبيعات!$C$2:$C$2000,A895)))</f>
        <v/>
      </c>
      <c r="F895">
        <f>IF(A895="","",SUMIFS(المبيعات!$H$2:$H$2000,المبيعات!$C$2:$C$2000,A895,المبيعات!$J$2:$J$2000,"آجل"))</f>
        <v/>
      </c>
      <c r="G895" s="4" t="n"/>
      <c r="H895">
        <f>IF(A895="","",F895-G895)</f>
        <v/>
      </c>
    </row>
    <row r="896">
      <c r="A896" s="4" t="n"/>
      <c r="B896" s="4" t="n"/>
      <c r="C896">
        <f>IF(A896="","",SUMPRODUCT((المبيعات!$C$2:$C$2000=A896)*(المبيعات!$B$2:$B$2000&lt;&gt;"")/COUNTIFS(المبيعات!$B$2:$B$2000,المبيعات!$B$2:$B$2000&amp;"",المبيعات!$C$2:$C$2000,المبيعات!$C$2:$C$2000&amp;"")))</f>
        <v/>
      </c>
      <c r="D896">
        <f>IF(A896="","",SUMIFS(المبيعات!$H$2:$H$2000,المبيعات!$C$2:$C$2000,A896))</f>
        <v/>
      </c>
      <c r="E896" s="13">
        <f>IF(A896="","",IF(COUNTIF(المبيعات!$C$2:$C$2000,A896)=0,"",_xlfn.MAXIFS(المبيعات!$A$2:$A$2000,المبيعات!$C$2:$C$2000,A896)))</f>
        <v/>
      </c>
      <c r="F896">
        <f>IF(A896="","",SUMIFS(المبيعات!$H$2:$H$2000,المبيعات!$C$2:$C$2000,A896,المبيعات!$J$2:$J$2000,"آجل"))</f>
        <v/>
      </c>
      <c r="G896" s="4" t="n"/>
      <c r="H896">
        <f>IF(A896="","",F896-G896)</f>
        <v/>
      </c>
    </row>
    <row r="897">
      <c r="A897" s="4" t="n"/>
      <c r="B897" s="4" t="n"/>
      <c r="C897">
        <f>IF(A897="","",SUMPRODUCT((المبيعات!$C$2:$C$2000=A897)*(المبيعات!$B$2:$B$2000&lt;&gt;"")/COUNTIFS(المبيعات!$B$2:$B$2000,المبيعات!$B$2:$B$2000&amp;"",المبيعات!$C$2:$C$2000,المبيعات!$C$2:$C$2000&amp;"")))</f>
        <v/>
      </c>
      <c r="D897">
        <f>IF(A897="","",SUMIFS(المبيعات!$H$2:$H$2000,المبيعات!$C$2:$C$2000,A897))</f>
        <v/>
      </c>
      <c r="E897" s="13">
        <f>IF(A897="","",IF(COUNTIF(المبيعات!$C$2:$C$2000,A897)=0,"",_xlfn.MAXIFS(المبيعات!$A$2:$A$2000,المبيعات!$C$2:$C$2000,A897)))</f>
        <v/>
      </c>
      <c r="F897">
        <f>IF(A897="","",SUMIFS(المبيعات!$H$2:$H$2000,المبيعات!$C$2:$C$2000,A897,المبيعات!$J$2:$J$2000,"آجل"))</f>
        <v/>
      </c>
      <c r="G897" s="4" t="n"/>
      <c r="H897">
        <f>IF(A897="","",F897-G897)</f>
        <v/>
      </c>
    </row>
    <row r="898">
      <c r="A898" s="4" t="n"/>
      <c r="B898" s="4" t="n"/>
      <c r="C898">
        <f>IF(A898="","",SUMPRODUCT((المبيعات!$C$2:$C$2000=A898)*(المبيعات!$B$2:$B$2000&lt;&gt;"")/COUNTIFS(المبيعات!$B$2:$B$2000,المبيعات!$B$2:$B$2000&amp;"",المبيعات!$C$2:$C$2000,المبيعات!$C$2:$C$2000&amp;"")))</f>
        <v/>
      </c>
      <c r="D898">
        <f>IF(A898="","",SUMIFS(المبيعات!$H$2:$H$2000,المبيعات!$C$2:$C$2000,A898))</f>
        <v/>
      </c>
      <c r="E898" s="13">
        <f>IF(A898="","",IF(COUNTIF(المبيعات!$C$2:$C$2000,A898)=0,"",_xlfn.MAXIFS(المبيعات!$A$2:$A$2000,المبيعات!$C$2:$C$2000,A898)))</f>
        <v/>
      </c>
      <c r="F898">
        <f>IF(A898="","",SUMIFS(المبيعات!$H$2:$H$2000,المبيعات!$C$2:$C$2000,A898,المبيعات!$J$2:$J$2000,"آجل"))</f>
        <v/>
      </c>
      <c r="G898" s="4" t="n"/>
      <c r="H898">
        <f>IF(A898="","",F898-G898)</f>
        <v/>
      </c>
    </row>
    <row r="899">
      <c r="A899" s="4" t="n"/>
      <c r="B899" s="4" t="n"/>
      <c r="C899">
        <f>IF(A899="","",SUMPRODUCT((المبيعات!$C$2:$C$2000=A899)*(المبيعات!$B$2:$B$2000&lt;&gt;"")/COUNTIFS(المبيعات!$B$2:$B$2000,المبيعات!$B$2:$B$2000&amp;"",المبيعات!$C$2:$C$2000,المبيعات!$C$2:$C$2000&amp;"")))</f>
        <v/>
      </c>
      <c r="D899">
        <f>IF(A899="","",SUMIFS(المبيعات!$H$2:$H$2000,المبيعات!$C$2:$C$2000,A899))</f>
        <v/>
      </c>
      <c r="E899" s="13">
        <f>IF(A899="","",IF(COUNTIF(المبيعات!$C$2:$C$2000,A899)=0,"",_xlfn.MAXIFS(المبيعات!$A$2:$A$2000,المبيعات!$C$2:$C$2000,A899)))</f>
        <v/>
      </c>
      <c r="F899">
        <f>IF(A899="","",SUMIFS(المبيعات!$H$2:$H$2000,المبيعات!$C$2:$C$2000,A899,المبيعات!$J$2:$J$2000,"آجل"))</f>
        <v/>
      </c>
      <c r="G899" s="4" t="n"/>
      <c r="H899">
        <f>IF(A899="","",F899-G899)</f>
        <v/>
      </c>
    </row>
    <row r="900">
      <c r="A900" s="4" t="n"/>
      <c r="B900" s="4" t="n"/>
      <c r="C900">
        <f>IF(A900="","",SUMPRODUCT((المبيعات!$C$2:$C$2000=A900)*(المبيعات!$B$2:$B$2000&lt;&gt;"")/COUNTIFS(المبيعات!$B$2:$B$2000,المبيعات!$B$2:$B$2000&amp;"",المبيعات!$C$2:$C$2000,المبيعات!$C$2:$C$2000&amp;"")))</f>
        <v/>
      </c>
      <c r="D900">
        <f>IF(A900="","",SUMIFS(المبيعات!$H$2:$H$2000,المبيعات!$C$2:$C$2000,A900))</f>
        <v/>
      </c>
      <c r="E900" s="13">
        <f>IF(A900="","",IF(COUNTIF(المبيعات!$C$2:$C$2000,A900)=0,"",_xlfn.MAXIFS(المبيعات!$A$2:$A$2000,المبيعات!$C$2:$C$2000,A900)))</f>
        <v/>
      </c>
      <c r="F900">
        <f>IF(A900="","",SUMIFS(المبيعات!$H$2:$H$2000,المبيعات!$C$2:$C$2000,A900,المبيعات!$J$2:$J$2000,"آجل"))</f>
        <v/>
      </c>
      <c r="G900" s="4" t="n"/>
      <c r="H900">
        <f>IF(A900="","",F900-G900)</f>
        <v/>
      </c>
    </row>
    <row r="901">
      <c r="A901" s="4" t="n"/>
      <c r="B901" s="4" t="n"/>
      <c r="C901">
        <f>IF(A901="","",SUMPRODUCT((المبيعات!$C$2:$C$2000=A901)*(المبيعات!$B$2:$B$2000&lt;&gt;"")/COUNTIFS(المبيعات!$B$2:$B$2000,المبيعات!$B$2:$B$2000&amp;"",المبيعات!$C$2:$C$2000,المبيعات!$C$2:$C$2000&amp;"")))</f>
        <v/>
      </c>
      <c r="D901">
        <f>IF(A901="","",SUMIFS(المبيعات!$H$2:$H$2000,المبيعات!$C$2:$C$2000,A901))</f>
        <v/>
      </c>
      <c r="E901" s="13">
        <f>IF(A901="","",IF(COUNTIF(المبيعات!$C$2:$C$2000,A901)=0,"",_xlfn.MAXIFS(المبيعات!$A$2:$A$2000,المبيعات!$C$2:$C$2000,A901)))</f>
        <v/>
      </c>
      <c r="F901">
        <f>IF(A901="","",SUMIFS(المبيعات!$H$2:$H$2000,المبيعات!$C$2:$C$2000,A901,المبيعات!$J$2:$J$2000,"آجل"))</f>
        <v/>
      </c>
      <c r="G901" s="4" t="n"/>
      <c r="H901">
        <f>IF(A901="","",F901-G901)</f>
        <v/>
      </c>
    </row>
    <row r="902">
      <c r="A902" s="4" t="n"/>
      <c r="B902" s="4" t="n"/>
      <c r="C902">
        <f>IF(A902="","",SUMPRODUCT((المبيعات!$C$2:$C$2000=A902)*(المبيعات!$B$2:$B$2000&lt;&gt;"")/COUNTIFS(المبيعات!$B$2:$B$2000,المبيعات!$B$2:$B$2000&amp;"",المبيعات!$C$2:$C$2000,المبيعات!$C$2:$C$2000&amp;"")))</f>
        <v/>
      </c>
      <c r="D902">
        <f>IF(A902="","",SUMIFS(المبيعات!$H$2:$H$2000,المبيعات!$C$2:$C$2000,A902))</f>
        <v/>
      </c>
      <c r="E902" s="13">
        <f>IF(A902="","",IF(COUNTIF(المبيعات!$C$2:$C$2000,A902)=0,"",_xlfn.MAXIFS(المبيعات!$A$2:$A$2000,المبيعات!$C$2:$C$2000,A902)))</f>
        <v/>
      </c>
      <c r="F902">
        <f>IF(A902="","",SUMIFS(المبيعات!$H$2:$H$2000,المبيعات!$C$2:$C$2000,A902,المبيعات!$J$2:$J$2000,"آجل"))</f>
        <v/>
      </c>
      <c r="G902" s="4" t="n"/>
      <c r="H902">
        <f>IF(A902="","",F902-G902)</f>
        <v/>
      </c>
    </row>
    <row r="903">
      <c r="A903" s="4" t="n"/>
      <c r="B903" s="4" t="n"/>
      <c r="C903">
        <f>IF(A903="","",SUMPRODUCT((المبيعات!$C$2:$C$2000=A903)*(المبيعات!$B$2:$B$2000&lt;&gt;"")/COUNTIFS(المبيعات!$B$2:$B$2000,المبيعات!$B$2:$B$2000&amp;"",المبيعات!$C$2:$C$2000,المبيعات!$C$2:$C$2000&amp;"")))</f>
        <v/>
      </c>
      <c r="D903">
        <f>IF(A903="","",SUMIFS(المبيعات!$H$2:$H$2000,المبيعات!$C$2:$C$2000,A903))</f>
        <v/>
      </c>
      <c r="E903" s="13">
        <f>IF(A903="","",IF(COUNTIF(المبيعات!$C$2:$C$2000,A903)=0,"",_xlfn.MAXIFS(المبيعات!$A$2:$A$2000,المبيعات!$C$2:$C$2000,A903)))</f>
        <v/>
      </c>
      <c r="F903">
        <f>IF(A903="","",SUMIFS(المبيعات!$H$2:$H$2000,المبيعات!$C$2:$C$2000,A903,المبيعات!$J$2:$J$2000,"آجل"))</f>
        <v/>
      </c>
      <c r="G903" s="4" t="n"/>
      <c r="H903">
        <f>IF(A903="","",F903-G903)</f>
        <v/>
      </c>
    </row>
    <row r="904">
      <c r="A904" s="4" t="n"/>
      <c r="B904" s="4" t="n"/>
      <c r="C904">
        <f>IF(A904="","",SUMPRODUCT((المبيعات!$C$2:$C$2000=A904)*(المبيعات!$B$2:$B$2000&lt;&gt;"")/COUNTIFS(المبيعات!$B$2:$B$2000,المبيعات!$B$2:$B$2000&amp;"",المبيعات!$C$2:$C$2000,المبيعات!$C$2:$C$2000&amp;"")))</f>
        <v/>
      </c>
      <c r="D904">
        <f>IF(A904="","",SUMIFS(المبيعات!$H$2:$H$2000,المبيعات!$C$2:$C$2000,A904))</f>
        <v/>
      </c>
      <c r="E904" s="13">
        <f>IF(A904="","",IF(COUNTIF(المبيعات!$C$2:$C$2000,A904)=0,"",_xlfn.MAXIFS(المبيعات!$A$2:$A$2000,المبيعات!$C$2:$C$2000,A904)))</f>
        <v/>
      </c>
      <c r="F904">
        <f>IF(A904="","",SUMIFS(المبيعات!$H$2:$H$2000,المبيعات!$C$2:$C$2000,A904,المبيعات!$J$2:$J$2000,"آجل"))</f>
        <v/>
      </c>
      <c r="G904" s="4" t="n"/>
      <c r="H904">
        <f>IF(A904="","",F904-G904)</f>
        <v/>
      </c>
    </row>
    <row r="905">
      <c r="A905" s="4" t="n"/>
      <c r="B905" s="4" t="n"/>
      <c r="C905">
        <f>IF(A905="","",SUMPRODUCT((المبيعات!$C$2:$C$2000=A905)*(المبيعات!$B$2:$B$2000&lt;&gt;"")/COUNTIFS(المبيعات!$B$2:$B$2000,المبيعات!$B$2:$B$2000&amp;"",المبيعات!$C$2:$C$2000,المبيعات!$C$2:$C$2000&amp;"")))</f>
        <v/>
      </c>
      <c r="D905">
        <f>IF(A905="","",SUMIFS(المبيعات!$H$2:$H$2000,المبيعات!$C$2:$C$2000,A905))</f>
        <v/>
      </c>
      <c r="E905" s="13">
        <f>IF(A905="","",IF(COUNTIF(المبيعات!$C$2:$C$2000,A905)=0,"",_xlfn.MAXIFS(المبيعات!$A$2:$A$2000,المبيعات!$C$2:$C$2000,A905)))</f>
        <v/>
      </c>
      <c r="F905">
        <f>IF(A905="","",SUMIFS(المبيعات!$H$2:$H$2000,المبيعات!$C$2:$C$2000,A905,المبيعات!$J$2:$J$2000,"آجل"))</f>
        <v/>
      </c>
      <c r="G905" s="4" t="n"/>
      <c r="H905">
        <f>IF(A905="","",F905-G905)</f>
        <v/>
      </c>
    </row>
    <row r="906">
      <c r="A906" s="4" t="n"/>
      <c r="B906" s="4" t="n"/>
      <c r="C906">
        <f>IF(A906="","",SUMPRODUCT((المبيعات!$C$2:$C$2000=A906)*(المبيعات!$B$2:$B$2000&lt;&gt;"")/COUNTIFS(المبيعات!$B$2:$B$2000,المبيعات!$B$2:$B$2000&amp;"",المبيعات!$C$2:$C$2000,المبيعات!$C$2:$C$2000&amp;"")))</f>
        <v/>
      </c>
      <c r="D906">
        <f>IF(A906="","",SUMIFS(المبيعات!$H$2:$H$2000,المبيعات!$C$2:$C$2000,A906))</f>
        <v/>
      </c>
      <c r="E906" s="13">
        <f>IF(A906="","",IF(COUNTIF(المبيعات!$C$2:$C$2000,A906)=0,"",_xlfn.MAXIFS(المبيعات!$A$2:$A$2000,المبيعات!$C$2:$C$2000,A906)))</f>
        <v/>
      </c>
      <c r="F906">
        <f>IF(A906="","",SUMIFS(المبيعات!$H$2:$H$2000,المبيعات!$C$2:$C$2000,A906,المبيعات!$J$2:$J$2000,"آجل"))</f>
        <v/>
      </c>
      <c r="G906" s="4" t="n"/>
      <c r="H906">
        <f>IF(A906="","",F906-G906)</f>
        <v/>
      </c>
    </row>
    <row r="907">
      <c r="A907" s="4" t="n"/>
      <c r="B907" s="4" t="n"/>
      <c r="C907">
        <f>IF(A907="","",SUMPRODUCT((المبيعات!$C$2:$C$2000=A907)*(المبيعات!$B$2:$B$2000&lt;&gt;"")/COUNTIFS(المبيعات!$B$2:$B$2000,المبيعات!$B$2:$B$2000&amp;"",المبيعات!$C$2:$C$2000,المبيعات!$C$2:$C$2000&amp;"")))</f>
        <v/>
      </c>
      <c r="D907">
        <f>IF(A907="","",SUMIFS(المبيعات!$H$2:$H$2000,المبيعات!$C$2:$C$2000,A907))</f>
        <v/>
      </c>
      <c r="E907" s="13">
        <f>IF(A907="","",IF(COUNTIF(المبيعات!$C$2:$C$2000,A907)=0,"",_xlfn.MAXIFS(المبيعات!$A$2:$A$2000,المبيعات!$C$2:$C$2000,A907)))</f>
        <v/>
      </c>
      <c r="F907">
        <f>IF(A907="","",SUMIFS(المبيعات!$H$2:$H$2000,المبيعات!$C$2:$C$2000,A907,المبيعات!$J$2:$J$2000,"آجل"))</f>
        <v/>
      </c>
      <c r="G907" s="4" t="n"/>
      <c r="H907">
        <f>IF(A907="","",F907-G907)</f>
        <v/>
      </c>
    </row>
    <row r="908">
      <c r="A908" s="4" t="n"/>
      <c r="B908" s="4" t="n"/>
      <c r="C908">
        <f>IF(A908="","",SUMPRODUCT((المبيعات!$C$2:$C$2000=A908)*(المبيعات!$B$2:$B$2000&lt;&gt;"")/COUNTIFS(المبيعات!$B$2:$B$2000,المبيعات!$B$2:$B$2000&amp;"",المبيعات!$C$2:$C$2000,المبيعات!$C$2:$C$2000&amp;"")))</f>
        <v/>
      </c>
      <c r="D908">
        <f>IF(A908="","",SUMIFS(المبيعات!$H$2:$H$2000,المبيعات!$C$2:$C$2000,A908))</f>
        <v/>
      </c>
      <c r="E908" s="13">
        <f>IF(A908="","",IF(COUNTIF(المبيعات!$C$2:$C$2000,A908)=0,"",_xlfn.MAXIFS(المبيعات!$A$2:$A$2000,المبيعات!$C$2:$C$2000,A908)))</f>
        <v/>
      </c>
      <c r="F908">
        <f>IF(A908="","",SUMIFS(المبيعات!$H$2:$H$2000,المبيعات!$C$2:$C$2000,A908,المبيعات!$J$2:$J$2000,"آجل"))</f>
        <v/>
      </c>
      <c r="G908" s="4" t="n"/>
      <c r="H908">
        <f>IF(A908="","",F908-G908)</f>
        <v/>
      </c>
    </row>
    <row r="909">
      <c r="A909" s="4" t="n"/>
      <c r="B909" s="4" t="n"/>
      <c r="C909">
        <f>IF(A909="","",SUMPRODUCT((المبيعات!$C$2:$C$2000=A909)*(المبيعات!$B$2:$B$2000&lt;&gt;"")/COUNTIFS(المبيعات!$B$2:$B$2000,المبيعات!$B$2:$B$2000&amp;"",المبيعات!$C$2:$C$2000,المبيعات!$C$2:$C$2000&amp;"")))</f>
        <v/>
      </c>
      <c r="D909">
        <f>IF(A909="","",SUMIFS(المبيعات!$H$2:$H$2000,المبيعات!$C$2:$C$2000,A909))</f>
        <v/>
      </c>
      <c r="E909" s="13">
        <f>IF(A909="","",IF(COUNTIF(المبيعات!$C$2:$C$2000,A909)=0,"",_xlfn.MAXIFS(المبيعات!$A$2:$A$2000,المبيعات!$C$2:$C$2000,A909)))</f>
        <v/>
      </c>
      <c r="F909">
        <f>IF(A909="","",SUMIFS(المبيعات!$H$2:$H$2000,المبيعات!$C$2:$C$2000,A909,المبيعات!$J$2:$J$2000,"آجل"))</f>
        <v/>
      </c>
      <c r="G909" s="4" t="n"/>
      <c r="H909">
        <f>IF(A909="","",F909-G909)</f>
        <v/>
      </c>
    </row>
    <row r="910">
      <c r="A910" s="4" t="n"/>
      <c r="B910" s="4" t="n"/>
      <c r="C910">
        <f>IF(A910="","",SUMPRODUCT((المبيعات!$C$2:$C$2000=A910)*(المبيعات!$B$2:$B$2000&lt;&gt;"")/COUNTIFS(المبيعات!$B$2:$B$2000,المبيعات!$B$2:$B$2000&amp;"",المبيعات!$C$2:$C$2000,المبيعات!$C$2:$C$2000&amp;"")))</f>
        <v/>
      </c>
      <c r="D910">
        <f>IF(A910="","",SUMIFS(المبيعات!$H$2:$H$2000,المبيعات!$C$2:$C$2000,A910))</f>
        <v/>
      </c>
      <c r="E910" s="13">
        <f>IF(A910="","",IF(COUNTIF(المبيعات!$C$2:$C$2000,A910)=0,"",_xlfn.MAXIFS(المبيعات!$A$2:$A$2000,المبيعات!$C$2:$C$2000,A910)))</f>
        <v/>
      </c>
      <c r="F910">
        <f>IF(A910="","",SUMIFS(المبيعات!$H$2:$H$2000,المبيعات!$C$2:$C$2000,A910,المبيعات!$J$2:$J$2000,"آجل"))</f>
        <v/>
      </c>
      <c r="G910" s="4" t="n"/>
      <c r="H910">
        <f>IF(A910="","",F910-G910)</f>
        <v/>
      </c>
    </row>
    <row r="911">
      <c r="A911" s="4" t="n"/>
      <c r="B911" s="4" t="n"/>
      <c r="C911">
        <f>IF(A911="","",SUMPRODUCT((المبيعات!$C$2:$C$2000=A911)*(المبيعات!$B$2:$B$2000&lt;&gt;"")/COUNTIFS(المبيعات!$B$2:$B$2000,المبيعات!$B$2:$B$2000&amp;"",المبيعات!$C$2:$C$2000,المبيعات!$C$2:$C$2000&amp;"")))</f>
        <v/>
      </c>
      <c r="D911">
        <f>IF(A911="","",SUMIFS(المبيعات!$H$2:$H$2000,المبيعات!$C$2:$C$2000,A911))</f>
        <v/>
      </c>
      <c r="E911" s="13">
        <f>IF(A911="","",IF(COUNTIF(المبيعات!$C$2:$C$2000,A911)=0,"",_xlfn.MAXIFS(المبيعات!$A$2:$A$2000,المبيعات!$C$2:$C$2000,A911)))</f>
        <v/>
      </c>
      <c r="F911">
        <f>IF(A911="","",SUMIFS(المبيعات!$H$2:$H$2000,المبيعات!$C$2:$C$2000,A911,المبيعات!$J$2:$J$2000,"آجل"))</f>
        <v/>
      </c>
      <c r="G911" s="4" t="n"/>
      <c r="H911">
        <f>IF(A911="","",F911-G911)</f>
        <v/>
      </c>
    </row>
    <row r="912">
      <c r="A912" s="4" t="n"/>
      <c r="B912" s="4" t="n"/>
      <c r="C912">
        <f>IF(A912="","",SUMPRODUCT((المبيعات!$C$2:$C$2000=A912)*(المبيعات!$B$2:$B$2000&lt;&gt;"")/COUNTIFS(المبيعات!$B$2:$B$2000,المبيعات!$B$2:$B$2000&amp;"",المبيعات!$C$2:$C$2000,المبيعات!$C$2:$C$2000&amp;"")))</f>
        <v/>
      </c>
      <c r="D912">
        <f>IF(A912="","",SUMIFS(المبيعات!$H$2:$H$2000,المبيعات!$C$2:$C$2000,A912))</f>
        <v/>
      </c>
      <c r="E912" s="13">
        <f>IF(A912="","",IF(COUNTIF(المبيعات!$C$2:$C$2000,A912)=0,"",_xlfn.MAXIFS(المبيعات!$A$2:$A$2000,المبيعات!$C$2:$C$2000,A912)))</f>
        <v/>
      </c>
      <c r="F912">
        <f>IF(A912="","",SUMIFS(المبيعات!$H$2:$H$2000,المبيعات!$C$2:$C$2000,A912,المبيعات!$J$2:$J$2000,"آجل"))</f>
        <v/>
      </c>
      <c r="G912" s="4" t="n"/>
      <c r="H912">
        <f>IF(A912="","",F912-G912)</f>
        <v/>
      </c>
    </row>
    <row r="913">
      <c r="A913" s="4" t="n"/>
      <c r="B913" s="4" t="n"/>
      <c r="C913">
        <f>IF(A913="","",SUMPRODUCT((المبيعات!$C$2:$C$2000=A913)*(المبيعات!$B$2:$B$2000&lt;&gt;"")/COUNTIFS(المبيعات!$B$2:$B$2000,المبيعات!$B$2:$B$2000&amp;"",المبيعات!$C$2:$C$2000,المبيعات!$C$2:$C$2000&amp;"")))</f>
        <v/>
      </c>
      <c r="D913">
        <f>IF(A913="","",SUMIFS(المبيعات!$H$2:$H$2000,المبيعات!$C$2:$C$2000,A913))</f>
        <v/>
      </c>
      <c r="E913" s="13">
        <f>IF(A913="","",IF(COUNTIF(المبيعات!$C$2:$C$2000,A913)=0,"",_xlfn.MAXIFS(المبيعات!$A$2:$A$2000,المبيعات!$C$2:$C$2000,A913)))</f>
        <v/>
      </c>
      <c r="F913">
        <f>IF(A913="","",SUMIFS(المبيعات!$H$2:$H$2000,المبيعات!$C$2:$C$2000,A913,المبيعات!$J$2:$J$2000,"آجل"))</f>
        <v/>
      </c>
      <c r="G913" s="4" t="n"/>
      <c r="H913">
        <f>IF(A913="","",F913-G913)</f>
        <v/>
      </c>
    </row>
    <row r="914">
      <c r="A914" s="4" t="n"/>
      <c r="B914" s="4" t="n"/>
      <c r="C914">
        <f>IF(A914="","",SUMPRODUCT((المبيعات!$C$2:$C$2000=A914)*(المبيعات!$B$2:$B$2000&lt;&gt;"")/COUNTIFS(المبيعات!$B$2:$B$2000,المبيعات!$B$2:$B$2000&amp;"",المبيعات!$C$2:$C$2000,المبيعات!$C$2:$C$2000&amp;"")))</f>
        <v/>
      </c>
      <c r="D914">
        <f>IF(A914="","",SUMIFS(المبيعات!$H$2:$H$2000,المبيعات!$C$2:$C$2000,A914))</f>
        <v/>
      </c>
      <c r="E914" s="13">
        <f>IF(A914="","",IF(COUNTIF(المبيعات!$C$2:$C$2000,A914)=0,"",_xlfn.MAXIFS(المبيعات!$A$2:$A$2000,المبيعات!$C$2:$C$2000,A914)))</f>
        <v/>
      </c>
      <c r="F914">
        <f>IF(A914="","",SUMIFS(المبيعات!$H$2:$H$2000,المبيعات!$C$2:$C$2000,A914,المبيعات!$J$2:$J$2000,"آجل"))</f>
        <v/>
      </c>
      <c r="G914" s="4" t="n"/>
      <c r="H914">
        <f>IF(A914="","",F914-G914)</f>
        <v/>
      </c>
    </row>
    <row r="915">
      <c r="A915" s="4" t="n"/>
      <c r="B915" s="4" t="n"/>
      <c r="C915">
        <f>IF(A915="","",SUMPRODUCT((المبيعات!$C$2:$C$2000=A915)*(المبيعات!$B$2:$B$2000&lt;&gt;"")/COUNTIFS(المبيعات!$B$2:$B$2000,المبيعات!$B$2:$B$2000&amp;"",المبيعات!$C$2:$C$2000,المبيعات!$C$2:$C$2000&amp;"")))</f>
        <v/>
      </c>
      <c r="D915">
        <f>IF(A915="","",SUMIFS(المبيعات!$H$2:$H$2000,المبيعات!$C$2:$C$2000,A915))</f>
        <v/>
      </c>
      <c r="E915" s="13">
        <f>IF(A915="","",IF(COUNTIF(المبيعات!$C$2:$C$2000,A915)=0,"",_xlfn.MAXIFS(المبيعات!$A$2:$A$2000,المبيعات!$C$2:$C$2000,A915)))</f>
        <v/>
      </c>
      <c r="F915">
        <f>IF(A915="","",SUMIFS(المبيعات!$H$2:$H$2000,المبيعات!$C$2:$C$2000,A915,المبيعات!$J$2:$J$2000,"آجل"))</f>
        <v/>
      </c>
      <c r="G915" s="4" t="n"/>
      <c r="H915">
        <f>IF(A915="","",F915-G915)</f>
        <v/>
      </c>
    </row>
    <row r="916">
      <c r="A916" s="4" t="n"/>
      <c r="B916" s="4" t="n"/>
      <c r="C916">
        <f>IF(A916="","",SUMPRODUCT((المبيعات!$C$2:$C$2000=A916)*(المبيعات!$B$2:$B$2000&lt;&gt;"")/COUNTIFS(المبيعات!$B$2:$B$2000,المبيعات!$B$2:$B$2000&amp;"",المبيعات!$C$2:$C$2000,المبيعات!$C$2:$C$2000&amp;"")))</f>
        <v/>
      </c>
      <c r="D916">
        <f>IF(A916="","",SUMIFS(المبيعات!$H$2:$H$2000,المبيعات!$C$2:$C$2000,A916))</f>
        <v/>
      </c>
      <c r="E916" s="13">
        <f>IF(A916="","",IF(COUNTIF(المبيعات!$C$2:$C$2000,A916)=0,"",_xlfn.MAXIFS(المبيعات!$A$2:$A$2000,المبيعات!$C$2:$C$2000,A916)))</f>
        <v/>
      </c>
      <c r="F916">
        <f>IF(A916="","",SUMIFS(المبيعات!$H$2:$H$2000,المبيعات!$C$2:$C$2000,A916,المبيعات!$J$2:$J$2000,"آجل"))</f>
        <v/>
      </c>
      <c r="G916" s="4" t="n"/>
      <c r="H916">
        <f>IF(A916="","",F916-G916)</f>
        <v/>
      </c>
    </row>
    <row r="917">
      <c r="A917" s="4" t="n"/>
      <c r="B917" s="4" t="n"/>
      <c r="C917">
        <f>IF(A917="","",SUMPRODUCT((المبيعات!$C$2:$C$2000=A917)*(المبيعات!$B$2:$B$2000&lt;&gt;"")/COUNTIFS(المبيعات!$B$2:$B$2000,المبيعات!$B$2:$B$2000&amp;"",المبيعات!$C$2:$C$2000,المبيعات!$C$2:$C$2000&amp;"")))</f>
        <v/>
      </c>
      <c r="D917">
        <f>IF(A917="","",SUMIFS(المبيعات!$H$2:$H$2000,المبيعات!$C$2:$C$2000,A917))</f>
        <v/>
      </c>
      <c r="E917" s="13">
        <f>IF(A917="","",IF(COUNTIF(المبيعات!$C$2:$C$2000,A917)=0,"",_xlfn.MAXIFS(المبيعات!$A$2:$A$2000,المبيعات!$C$2:$C$2000,A917)))</f>
        <v/>
      </c>
      <c r="F917">
        <f>IF(A917="","",SUMIFS(المبيعات!$H$2:$H$2000,المبيعات!$C$2:$C$2000,A917,المبيعات!$J$2:$J$2000,"آجل"))</f>
        <v/>
      </c>
      <c r="G917" s="4" t="n"/>
      <c r="H917">
        <f>IF(A917="","",F917-G917)</f>
        <v/>
      </c>
    </row>
    <row r="918">
      <c r="A918" s="4" t="n"/>
      <c r="B918" s="4" t="n"/>
      <c r="C918">
        <f>IF(A918="","",SUMPRODUCT((المبيعات!$C$2:$C$2000=A918)*(المبيعات!$B$2:$B$2000&lt;&gt;"")/COUNTIFS(المبيعات!$B$2:$B$2000,المبيعات!$B$2:$B$2000&amp;"",المبيعات!$C$2:$C$2000,المبيعات!$C$2:$C$2000&amp;"")))</f>
        <v/>
      </c>
      <c r="D918">
        <f>IF(A918="","",SUMIFS(المبيعات!$H$2:$H$2000,المبيعات!$C$2:$C$2000,A918))</f>
        <v/>
      </c>
      <c r="E918" s="13">
        <f>IF(A918="","",IF(COUNTIF(المبيعات!$C$2:$C$2000,A918)=0,"",_xlfn.MAXIFS(المبيعات!$A$2:$A$2000,المبيعات!$C$2:$C$2000,A918)))</f>
        <v/>
      </c>
      <c r="F918">
        <f>IF(A918="","",SUMIFS(المبيعات!$H$2:$H$2000,المبيعات!$C$2:$C$2000,A918,المبيعات!$J$2:$J$2000,"آجل"))</f>
        <v/>
      </c>
      <c r="G918" s="4" t="n"/>
      <c r="H918">
        <f>IF(A918="","",F918-G918)</f>
        <v/>
      </c>
    </row>
    <row r="919">
      <c r="A919" s="4" t="n"/>
      <c r="B919" s="4" t="n"/>
      <c r="C919">
        <f>IF(A919="","",SUMPRODUCT((المبيعات!$C$2:$C$2000=A919)*(المبيعات!$B$2:$B$2000&lt;&gt;"")/COUNTIFS(المبيعات!$B$2:$B$2000,المبيعات!$B$2:$B$2000&amp;"",المبيعات!$C$2:$C$2000,المبيعات!$C$2:$C$2000&amp;"")))</f>
        <v/>
      </c>
      <c r="D919">
        <f>IF(A919="","",SUMIFS(المبيعات!$H$2:$H$2000,المبيعات!$C$2:$C$2000,A919))</f>
        <v/>
      </c>
      <c r="E919" s="13">
        <f>IF(A919="","",IF(COUNTIF(المبيعات!$C$2:$C$2000,A919)=0,"",_xlfn.MAXIFS(المبيعات!$A$2:$A$2000,المبيعات!$C$2:$C$2000,A919)))</f>
        <v/>
      </c>
      <c r="F919">
        <f>IF(A919="","",SUMIFS(المبيعات!$H$2:$H$2000,المبيعات!$C$2:$C$2000,A919,المبيعات!$J$2:$J$2000,"آجل"))</f>
        <v/>
      </c>
      <c r="G919" s="4" t="n"/>
      <c r="H919">
        <f>IF(A919="","",F919-G919)</f>
        <v/>
      </c>
    </row>
    <row r="920">
      <c r="A920" s="4" t="n"/>
      <c r="B920" s="4" t="n"/>
      <c r="C920">
        <f>IF(A920="","",SUMPRODUCT((المبيعات!$C$2:$C$2000=A920)*(المبيعات!$B$2:$B$2000&lt;&gt;"")/COUNTIFS(المبيعات!$B$2:$B$2000,المبيعات!$B$2:$B$2000&amp;"",المبيعات!$C$2:$C$2000,المبيعات!$C$2:$C$2000&amp;"")))</f>
        <v/>
      </c>
      <c r="D920">
        <f>IF(A920="","",SUMIFS(المبيعات!$H$2:$H$2000,المبيعات!$C$2:$C$2000,A920))</f>
        <v/>
      </c>
      <c r="E920" s="13">
        <f>IF(A920="","",IF(COUNTIF(المبيعات!$C$2:$C$2000,A920)=0,"",_xlfn.MAXIFS(المبيعات!$A$2:$A$2000,المبيعات!$C$2:$C$2000,A920)))</f>
        <v/>
      </c>
      <c r="F920">
        <f>IF(A920="","",SUMIFS(المبيعات!$H$2:$H$2000,المبيعات!$C$2:$C$2000,A920,المبيعات!$J$2:$J$2000,"آجل"))</f>
        <v/>
      </c>
      <c r="G920" s="4" t="n"/>
      <c r="H920">
        <f>IF(A920="","",F920-G920)</f>
        <v/>
      </c>
    </row>
    <row r="921">
      <c r="A921" s="4" t="n"/>
      <c r="B921" s="4" t="n"/>
      <c r="C921">
        <f>IF(A921="","",SUMPRODUCT((المبيعات!$C$2:$C$2000=A921)*(المبيعات!$B$2:$B$2000&lt;&gt;"")/COUNTIFS(المبيعات!$B$2:$B$2000,المبيعات!$B$2:$B$2000&amp;"",المبيعات!$C$2:$C$2000,المبيعات!$C$2:$C$2000&amp;"")))</f>
        <v/>
      </c>
      <c r="D921">
        <f>IF(A921="","",SUMIFS(المبيعات!$H$2:$H$2000,المبيعات!$C$2:$C$2000,A921))</f>
        <v/>
      </c>
      <c r="E921" s="13">
        <f>IF(A921="","",IF(COUNTIF(المبيعات!$C$2:$C$2000,A921)=0,"",_xlfn.MAXIFS(المبيعات!$A$2:$A$2000,المبيعات!$C$2:$C$2000,A921)))</f>
        <v/>
      </c>
      <c r="F921">
        <f>IF(A921="","",SUMIFS(المبيعات!$H$2:$H$2000,المبيعات!$C$2:$C$2000,A921,المبيعات!$J$2:$J$2000,"آجل"))</f>
        <v/>
      </c>
      <c r="G921" s="4" t="n"/>
      <c r="H921">
        <f>IF(A921="","",F921-G921)</f>
        <v/>
      </c>
    </row>
    <row r="922">
      <c r="A922" s="4" t="n"/>
      <c r="B922" s="4" t="n"/>
      <c r="C922">
        <f>IF(A922="","",SUMPRODUCT((المبيعات!$C$2:$C$2000=A922)*(المبيعات!$B$2:$B$2000&lt;&gt;"")/COUNTIFS(المبيعات!$B$2:$B$2000,المبيعات!$B$2:$B$2000&amp;"",المبيعات!$C$2:$C$2000,المبيعات!$C$2:$C$2000&amp;"")))</f>
        <v/>
      </c>
      <c r="D922">
        <f>IF(A922="","",SUMIFS(المبيعات!$H$2:$H$2000,المبيعات!$C$2:$C$2000,A922))</f>
        <v/>
      </c>
      <c r="E922" s="13">
        <f>IF(A922="","",IF(COUNTIF(المبيعات!$C$2:$C$2000,A922)=0,"",_xlfn.MAXIFS(المبيعات!$A$2:$A$2000,المبيعات!$C$2:$C$2000,A922)))</f>
        <v/>
      </c>
      <c r="F922">
        <f>IF(A922="","",SUMIFS(المبيعات!$H$2:$H$2000,المبيعات!$C$2:$C$2000,A922,المبيعات!$J$2:$J$2000,"آجل"))</f>
        <v/>
      </c>
      <c r="G922" s="4" t="n"/>
      <c r="H922">
        <f>IF(A922="","",F922-G922)</f>
        <v/>
      </c>
    </row>
    <row r="923">
      <c r="A923" s="4" t="n"/>
      <c r="B923" s="4" t="n"/>
      <c r="C923">
        <f>IF(A923="","",SUMPRODUCT((المبيعات!$C$2:$C$2000=A923)*(المبيعات!$B$2:$B$2000&lt;&gt;"")/COUNTIFS(المبيعات!$B$2:$B$2000,المبيعات!$B$2:$B$2000&amp;"",المبيعات!$C$2:$C$2000,المبيعات!$C$2:$C$2000&amp;"")))</f>
        <v/>
      </c>
      <c r="D923">
        <f>IF(A923="","",SUMIFS(المبيعات!$H$2:$H$2000,المبيعات!$C$2:$C$2000,A923))</f>
        <v/>
      </c>
      <c r="E923" s="13">
        <f>IF(A923="","",IF(COUNTIF(المبيعات!$C$2:$C$2000,A923)=0,"",_xlfn.MAXIFS(المبيعات!$A$2:$A$2000,المبيعات!$C$2:$C$2000,A923)))</f>
        <v/>
      </c>
      <c r="F923">
        <f>IF(A923="","",SUMIFS(المبيعات!$H$2:$H$2000,المبيعات!$C$2:$C$2000,A923,المبيعات!$J$2:$J$2000,"آجل"))</f>
        <v/>
      </c>
      <c r="G923" s="4" t="n"/>
      <c r="H923">
        <f>IF(A923="","",F923-G923)</f>
        <v/>
      </c>
    </row>
    <row r="924">
      <c r="A924" s="4" t="n"/>
      <c r="B924" s="4" t="n"/>
      <c r="C924">
        <f>IF(A924="","",SUMPRODUCT((المبيعات!$C$2:$C$2000=A924)*(المبيعات!$B$2:$B$2000&lt;&gt;"")/COUNTIFS(المبيعات!$B$2:$B$2000,المبيعات!$B$2:$B$2000&amp;"",المبيعات!$C$2:$C$2000,المبيعات!$C$2:$C$2000&amp;"")))</f>
        <v/>
      </c>
      <c r="D924">
        <f>IF(A924="","",SUMIFS(المبيعات!$H$2:$H$2000,المبيعات!$C$2:$C$2000,A924))</f>
        <v/>
      </c>
      <c r="E924" s="13">
        <f>IF(A924="","",IF(COUNTIF(المبيعات!$C$2:$C$2000,A924)=0,"",_xlfn.MAXIFS(المبيعات!$A$2:$A$2000,المبيعات!$C$2:$C$2000,A924)))</f>
        <v/>
      </c>
      <c r="F924">
        <f>IF(A924="","",SUMIFS(المبيعات!$H$2:$H$2000,المبيعات!$C$2:$C$2000,A924,المبيعات!$J$2:$J$2000,"آجل"))</f>
        <v/>
      </c>
      <c r="G924" s="4" t="n"/>
      <c r="H924">
        <f>IF(A924="","",F924-G924)</f>
        <v/>
      </c>
    </row>
    <row r="925">
      <c r="A925" s="4" t="n"/>
      <c r="B925" s="4" t="n"/>
      <c r="C925">
        <f>IF(A925="","",SUMPRODUCT((المبيعات!$C$2:$C$2000=A925)*(المبيعات!$B$2:$B$2000&lt;&gt;"")/COUNTIFS(المبيعات!$B$2:$B$2000,المبيعات!$B$2:$B$2000&amp;"",المبيعات!$C$2:$C$2000,المبيعات!$C$2:$C$2000&amp;"")))</f>
        <v/>
      </c>
      <c r="D925">
        <f>IF(A925="","",SUMIFS(المبيعات!$H$2:$H$2000,المبيعات!$C$2:$C$2000,A925))</f>
        <v/>
      </c>
      <c r="E925" s="13">
        <f>IF(A925="","",IF(COUNTIF(المبيعات!$C$2:$C$2000,A925)=0,"",_xlfn.MAXIFS(المبيعات!$A$2:$A$2000,المبيعات!$C$2:$C$2000,A925)))</f>
        <v/>
      </c>
      <c r="F925">
        <f>IF(A925="","",SUMIFS(المبيعات!$H$2:$H$2000,المبيعات!$C$2:$C$2000,A925,المبيعات!$J$2:$J$2000,"آجل"))</f>
        <v/>
      </c>
      <c r="G925" s="4" t="n"/>
      <c r="H925">
        <f>IF(A925="","",F925-G925)</f>
        <v/>
      </c>
    </row>
    <row r="926">
      <c r="A926" s="4" t="n"/>
      <c r="B926" s="4" t="n"/>
      <c r="C926">
        <f>IF(A926="","",SUMPRODUCT((المبيعات!$C$2:$C$2000=A926)*(المبيعات!$B$2:$B$2000&lt;&gt;"")/COUNTIFS(المبيعات!$B$2:$B$2000,المبيعات!$B$2:$B$2000&amp;"",المبيعات!$C$2:$C$2000,المبيعات!$C$2:$C$2000&amp;"")))</f>
        <v/>
      </c>
      <c r="D926">
        <f>IF(A926="","",SUMIFS(المبيعات!$H$2:$H$2000,المبيعات!$C$2:$C$2000,A926))</f>
        <v/>
      </c>
      <c r="E926" s="13">
        <f>IF(A926="","",IF(COUNTIF(المبيعات!$C$2:$C$2000,A926)=0,"",_xlfn.MAXIFS(المبيعات!$A$2:$A$2000,المبيعات!$C$2:$C$2000,A926)))</f>
        <v/>
      </c>
      <c r="F926">
        <f>IF(A926="","",SUMIFS(المبيعات!$H$2:$H$2000,المبيعات!$C$2:$C$2000,A926,المبيعات!$J$2:$J$2000,"آجل"))</f>
        <v/>
      </c>
      <c r="G926" s="4" t="n"/>
      <c r="H926">
        <f>IF(A926="","",F926-G926)</f>
        <v/>
      </c>
    </row>
    <row r="927">
      <c r="A927" s="4" t="n"/>
      <c r="B927" s="4" t="n"/>
      <c r="C927">
        <f>IF(A927="","",SUMPRODUCT((المبيعات!$C$2:$C$2000=A927)*(المبيعات!$B$2:$B$2000&lt;&gt;"")/COUNTIFS(المبيعات!$B$2:$B$2000,المبيعات!$B$2:$B$2000&amp;"",المبيعات!$C$2:$C$2000,المبيعات!$C$2:$C$2000&amp;"")))</f>
        <v/>
      </c>
      <c r="D927">
        <f>IF(A927="","",SUMIFS(المبيعات!$H$2:$H$2000,المبيعات!$C$2:$C$2000,A927))</f>
        <v/>
      </c>
      <c r="E927" s="13">
        <f>IF(A927="","",IF(COUNTIF(المبيعات!$C$2:$C$2000,A927)=0,"",_xlfn.MAXIFS(المبيعات!$A$2:$A$2000,المبيعات!$C$2:$C$2000,A927)))</f>
        <v/>
      </c>
      <c r="F927">
        <f>IF(A927="","",SUMIFS(المبيعات!$H$2:$H$2000,المبيعات!$C$2:$C$2000,A927,المبيعات!$J$2:$J$2000,"آجل"))</f>
        <v/>
      </c>
      <c r="G927" s="4" t="n"/>
      <c r="H927">
        <f>IF(A927="","",F927-G927)</f>
        <v/>
      </c>
    </row>
    <row r="928">
      <c r="A928" s="4" t="n"/>
      <c r="B928" s="4" t="n"/>
      <c r="C928">
        <f>IF(A928="","",SUMPRODUCT((المبيعات!$C$2:$C$2000=A928)*(المبيعات!$B$2:$B$2000&lt;&gt;"")/COUNTIFS(المبيعات!$B$2:$B$2000,المبيعات!$B$2:$B$2000&amp;"",المبيعات!$C$2:$C$2000,المبيعات!$C$2:$C$2000&amp;"")))</f>
        <v/>
      </c>
      <c r="D928">
        <f>IF(A928="","",SUMIFS(المبيعات!$H$2:$H$2000,المبيعات!$C$2:$C$2000,A928))</f>
        <v/>
      </c>
      <c r="E928" s="13">
        <f>IF(A928="","",IF(COUNTIF(المبيعات!$C$2:$C$2000,A928)=0,"",_xlfn.MAXIFS(المبيعات!$A$2:$A$2000,المبيعات!$C$2:$C$2000,A928)))</f>
        <v/>
      </c>
      <c r="F928">
        <f>IF(A928="","",SUMIFS(المبيعات!$H$2:$H$2000,المبيعات!$C$2:$C$2000,A928,المبيعات!$J$2:$J$2000,"آجل"))</f>
        <v/>
      </c>
      <c r="G928" s="4" t="n"/>
      <c r="H928">
        <f>IF(A928="","",F928-G928)</f>
        <v/>
      </c>
    </row>
    <row r="929">
      <c r="A929" s="4" t="n"/>
      <c r="B929" s="4" t="n"/>
      <c r="C929">
        <f>IF(A929="","",SUMPRODUCT((المبيعات!$C$2:$C$2000=A929)*(المبيعات!$B$2:$B$2000&lt;&gt;"")/COUNTIFS(المبيعات!$B$2:$B$2000,المبيعات!$B$2:$B$2000&amp;"",المبيعات!$C$2:$C$2000,المبيعات!$C$2:$C$2000&amp;"")))</f>
        <v/>
      </c>
      <c r="D929">
        <f>IF(A929="","",SUMIFS(المبيعات!$H$2:$H$2000,المبيعات!$C$2:$C$2000,A929))</f>
        <v/>
      </c>
      <c r="E929" s="13">
        <f>IF(A929="","",IF(COUNTIF(المبيعات!$C$2:$C$2000,A929)=0,"",_xlfn.MAXIFS(المبيعات!$A$2:$A$2000,المبيعات!$C$2:$C$2000,A929)))</f>
        <v/>
      </c>
      <c r="F929">
        <f>IF(A929="","",SUMIFS(المبيعات!$H$2:$H$2000,المبيعات!$C$2:$C$2000,A929,المبيعات!$J$2:$J$2000,"آجل"))</f>
        <v/>
      </c>
      <c r="G929" s="4" t="n"/>
      <c r="H929">
        <f>IF(A929="","",F929-G929)</f>
        <v/>
      </c>
    </row>
    <row r="930">
      <c r="A930" s="4" t="n"/>
      <c r="B930" s="4" t="n"/>
      <c r="C930">
        <f>IF(A930="","",SUMPRODUCT((المبيعات!$C$2:$C$2000=A930)*(المبيعات!$B$2:$B$2000&lt;&gt;"")/COUNTIFS(المبيعات!$B$2:$B$2000,المبيعات!$B$2:$B$2000&amp;"",المبيعات!$C$2:$C$2000,المبيعات!$C$2:$C$2000&amp;"")))</f>
        <v/>
      </c>
      <c r="D930">
        <f>IF(A930="","",SUMIFS(المبيعات!$H$2:$H$2000,المبيعات!$C$2:$C$2000,A930))</f>
        <v/>
      </c>
      <c r="E930" s="13">
        <f>IF(A930="","",IF(COUNTIF(المبيعات!$C$2:$C$2000,A930)=0,"",_xlfn.MAXIFS(المبيعات!$A$2:$A$2000,المبيعات!$C$2:$C$2000,A930)))</f>
        <v/>
      </c>
      <c r="F930">
        <f>IF(A930="","",SUMIFS(المبيعات!$H$2:$H$2000,المبيعات!$C$2:$C$2000,A930,المبيعات!$J$2:$J$2000,"آجل"))</f>
        <v/>
      </c>
      <c r="G930" s="4" t="n"/>
      <c r="H930">
        <f>IF(A930="","",F930-G930)</f>
        <v/>
      </c>
    </row>
    <row r="931">
      <c r="A931" s="4" t="n"/>
      <c r="B931" s="4" t="n"/>
      <c r="C931">
        <f>IF(A931="","",SUMPRODUCT((المبيعات!$C$2:$C$2000=A931)*(المبيعات!$B$2:$B$2000&lt;&gt;"")/COUNTIFS(المبيعات!$B$2:$B$2000,المبيعات!$B$2:$B$2000&amp;"",المبيعات!$C$2:$C$2000,المبيعات!$C$2:$C$2000&amp;"")))</f>
        <v/>
      </c>
      <c r="D931">
        <f>IF(A931="","",SUMIFS(المبيعات!$H$2:$H$2000,المبيعات!$C$2:$C$2000,A931))</f>
        <v/>
      </c>
      <c r="E931" s="13">
        <f>IF(A931="","",IF(COUNTIF(المبيعات!$C$2:$C$2000,A931)=0,"",_xlfn.MAXIFS(المبيعات!$A$2:$A$2000,المبيعات!$C$2:$C$2000,A931)))</f>
        <v/>
      </c>
      <c r="F931">
        <f>IF(A931="","",SUMIFS(المبيعات!$H$2:$H$2000,المبيعات!$C$2:$C$2000,A931,المبيعات!$J$2:$J$2000,"آجل"))</f>
        <v/>
      </c>
      <c r="G931" s="4" t="n"/>
      <c r="H931">
        <f>IF(A931="","",F931-G931)</f>
        <v/>
      </c>
    </row>
    <row r="932">
      <c r="A932" s="4" t="n"/>
      <c r="B932" s="4" t="n"/>
      <c r="C932">
        <f>IF(A932="","",SUMPRODUCT((المبيعات!$C$2:$C$2000=A932)*(المبيعات!$B$2:$B$2000&lt;&gt;"")/COUNTIFS(المبيعات!$B$2:$B$2000,المبيعات!$B$2:$B$2000&amp;"",المبيعات!$C$2:$C$2000,المبيعات!$C$2:$C$2000&amp;"")))</f>
        <v/>
      </c>
      <c r="D932">
        <f>IF(A932="","",SUMIFS(المبيعات!$H$2:$H$2000,المبيعات!$C$2:$C$2000,A932))</f>
        <v/>
      </c>
      <c r="E932" s="13">
        <f>IF(A932="","",IF(COUNTIF(المبيعات!$C$2:$C$2000,A932)=0,"",_xlfn.MAXIFS(المبيعات!$A$2:$A$2000,المبيعات!$C$2:$C$2000,A932)))</f>
        <v/>
      </c>
      <c r="F932">
        <f>IF(A932="","",SUMIFS(المبيعات!$H$2:$H$2000,المبيعات!$C$2:$C$2000,A932,المبيعات!$J$2:$J$2000,"آجل"))</f>
        <v/>
      </c>
      <c r="G932" s="4" t="n"/>
      <c r="H932">
        <f>IF(A932="","",F932-G932)</f>
        <v/>
      </c>
    </row>
    <row r="933">
      <c r="A933" s="4" t="n"/>
      <c r="B933" s="4" t="n"/>
      <c r="C933">
        <f>IF(A933="","",SUMPRODUCT((المبيعات!$C$2:$C$2000=A933)*(المبيعات!$B$2:$B$2000&lt;&gt;"")/COUNTIFS(المبيعات!$B$2:$B$2000,المبيعات!$B$2:$B$2000&amp;"",المبيعات!$C$2:$C$2000,المبيعات!$C$2:$C$2000&amp;"")))</f>
        <v/>
      </c>
      <c r="D933">
        <f>IF(A933="","",SUMIFS(المبيعات!$H$2:$H$2000,المبيعات!$C$2:$C$2000,A933))</f>
        <v/>
      </c>
      <c r="E933" s="13">
        <f>IF(A933="","",IF(COUNTIF(المبيعات!$C$2:$C$2000,A933)=0,"",_xlfn.MAXIFS(المبيعات!$A$2:$A$2000,المبيعات!$C$2:$C$2000,A933)))</f>
        <v/>
      </c>
      <c r="F933">
        <f>IF(A933="","",SUMIFS(المبيعات!$H$2:$H$2000,المبيعات!$C$2:$C$2000,A933,المبيعات!$J$2:$J$2000,"آجل"))</f>
        <v/>
      </c>
      <c r="G933" s="4" t="n"/>
      <c r="H933">
        <f>IF(A933="","",F933-G933)</f>
        <v/>
      </c>
    </row>
    <row r="934">
      <c r="A934" s="4" t="n"/>
      <c r="B934" s="4" t="n"/>
      <c r="C934">
        <f>IF(A934="","",SUMPRODUCT((المبيعات!$C$2:$C$2000=A934)*(المبيعات!$B$2:$B$2000&lt;&gt;"")/COUNTIFS(المبيعات!$B$2:$B$2000,المبيعات!$B$2:$B$2000&amp;"",المبيعات!$C$2:$C$2000,المبيعات!$C$2:$C$2000&amp;"")))</f>
        <v/>
      </c>
      <c r="D934">
        <f>IF(A934="","",SUMIFS(المبيعات!$H$2:$H$2000,المبيعات!$C$2:$C$2000,A934))</f>
        <v/>
      </c>
      <c r="E934" s="13">
        <f>IF(A934="","",IF(COUNTIF(المبيعات!$C$2:$C$2000,A934)=0,"",_xlfn.MAXIFS(المبيعات!$A$2:$A$2000,المبيعات!$C$2:$C$2000,A934)))</f>
        <v/>
      </c>
      <c r="F934">
        <f>IF(A934="","",SUMIFS(المبيعات!$H$2:$H$2000,المبيعات!$C$2:$C$2000,A934,المبيعات!$J$2:$J$2000,"آجل"))</f>
        <v/>
      </c>
      <c r="G934" s="4" t="n"/>
      <c r="H934">
        <f>IF(A934="","",F934-G934)</f>
        <v/>
      </c>
    </row>
    <row r="935">
      <c r="A935" s="4" t="n"/>
      <c r="B935" s="4" t="n"/>
      <c r="C935">
        <f>IF(A935="","",SUMPRODUCT((المبيعات!$C$2:$C$2000=A935)*(المبيعات!$B$2:$B$2000&lt;&gt;"")/COUNTIFS(المبيعات!$B$2:$B$2000,المبيعات!$B$2:$B$2000&amp;"",المبيعات!$C$2:$C$2000,المبيعات!$C$2:$C$2000&amp;"")))</f>
        <v/>
      </c>
      <c r="D935">
        <f>IF(A935="","",SUMIFS(المبيعات!$H$2:$H$2000,المبيعات!$C$2:$C$2000,A935))</f>
        <v/>
      </c>
      <c r="E935" s="13">
        <f>IF(A935="","",IF(COUNTIF(المبيعات!$C$2:$C$2000,A935)=0,"",_xlfn.MAXIFS(المبيعات!$A$2:$A$2000,المبيعات!$C$2:$C$2000,A935)))</f>
        <v/>
      </c>
      <c r="F935">
        <f>IF(A935="","",SUMIFS(المبيعات!$H$2:$H$2000,المبيعات!$C$2:$C$2000,A935,المبيعات!$J$2:$J$2000,"آجل"))</f>
        <v/>
      </c>
      <c r="G935" s="4" t="n"/>
      <c r="H935">
        <f>IF(A935="","",F935-G935)</f>
        <v/>
      </c>
    </row>
    <row r="936">
      <c r="A936" s="4" t="n"/>
      <c r="B936" s="4" t="n"/>
      <c r="C936">
        <f>IF(A936="","",SUMPRODUCT((المبيعات!$C$2:$C$2000=A936)*(المبيعات!$B$2:$B$2000&lt;&gt;"")/COUNTIFS(المبيعات!$B$2:$B$2000,المبيعات!$B$2:$B$2000&amp;"",المبيعات!$C$2:$C$2000,المبيعات!$C$2:$C$2000&amp;"")))</f>
        <v/>
      </c>
      <c r="D936">
        <f>IF(A936="","",SUMIFS(المبيعات!$H$2:$H$2000,المبيعات!$C$2:$C$2000,A936))</f>
        <v/>
      </c>
      <c r="E936" s="13">
        <f>IF(A936="","",IF(COUNTIF(المبيعات!$C$2:$C$2000,A936)=0,"",_xlfn.MAXIFS(المبيعات!$A$2:$A$2000,المبيعات!$C$2:$C$2000,A936)))</f>
        <v/>
      </c>
      <c r="F936">
        <f>IF(A936="","",SUMIFS(المبيعات!$H$2:$H$2000,المبيعات!$C$2:$C$2000,A936,المبيعات!$J$2:$J$2000,"آجل"))</f>
        <v/>
      </c>
      <c r="G936" s="4" t="n"/>
      <c r="H936">
        <f>IF(A936="","",F936-G936)</f>
        <v/>
      </c>
    </row>
    <row r="937">
      <c r="A937" s="4" t="n"/>
      <c r="B937" s="4" t="n"/>
      <c r="C937">
        <f>IF(A937="","",SUMPRODUCT((المبيعات!$C$2:$C$2000=A937)*(المبيعات!$B$2:$B$2000&lt;&gt;"")/COUNTIFS(المبيعات!$B$2:$B$2000,المبيعات!$B$2:$B$2000&amp;"",المبيعات!$C$2:$C$2000,المبيعات!$C$2:$C$2000&amp;"")))</f>
        <v/>
      </c>
      <c r="D937">
        <f>IF(A937="","",SUMIFS(المبيعات!$H$2:$H$2000,المبيعات!$C$2:$C$2000,A937))</f>
        <v/>
      </c>
      <c r="E937" s="13">
        <f>IF(A937="","",IF(COUNTIF(المبيعات!$C$2:$C$2000,A937)=0,"",_xlfn.MAXIFS(المبيعات!$A$2:$A$2000,المبيعات!$C$2:$C$2000,A937)))</f>
        <v/>
      </c>
      <c r="F937">
        <f>IF(A937="","",SUMIFS(المبيعات!$H$2:$H$2000,المبيعات!$C$2:$C$2000,A937,المبيعات!$J$2:$J$2000,"آجل"))</f>
        <v/>
      </c>
      <c r="G937" s="4" t="n"/>
      <c r="H937">
        <f>IF(A937="","",F937-G937)</f>
        <v/>
      </c>
    </row>
    <row r="938">
      <c r="A938" s="4" t="n"/>
      <c r="B938" s="4" t="n"/>
      <c r="C938">
        <f>IF(A938="","",SUMPRODUCT((المبيعات!$C$2:$C$2000=A938)*(المبيعات!$B$2:$B$2000&lt;&gt;"")/COUNTIFS(المبيعات!$B$2:$B$2000,المبيعات!$B$2:$B$2000&amp;"",المبيعات!$C$2:$C$2000,المبيعات!$C$2:$C$2000&amp;"")))</f>
        <v/>
      </c>
      <c r="D938">
        <f>IF(A938="","",SUMIFS(المبيعات!$H$2:$H$2000,المبيعات!$C$2:$C$2000,A938))</f>
        <v/>
      </c>
      <c r="E938" s="13">
        <f>IF(A938="","",IF(COUNTIF(المبيعات!$C$2:$C$2000,A938)=0,"",_xlfn.MAXIFS(المبيعات!$A$2:$A$2000,المبيعات!$C$2:$C$2000,A938)))</f>
        <v/>
      </c>
      <c r="F938">
        <f>IF(A938="","",SUMIFS(المبيعات!$H$2:$H$2000,المبيعات!$C$2:$C$2000,A938,المبيعات!$J$2:$J$2000,"آجل"))</f>
        <v/>
      </c>
      <c r="G938" s="4" t="n"/>
      <c r="H938">
        <f>IF(A938="","",F938-G938)</f>
        <v/>
      </c>
    </row>
    <row r="939">
      <c r="A939" s="4" t="n"/>
      <c r="B939" s="4" t="n"/>
      <c r="C939">
        <f>IF(A939="","",SUMPRODUCT((المبيعات!$C$2:$C$2000=A939)*(المبيعات!$B$2:$B$2000&lt;&gt;"")/COUNTIFS(المبيعات!$B$2:$B$2000,المبيعات!$B$2:$B$2000&amp;"",المبيعات!$C$2:$C$2000,المبيعات!$C$2:$C$2000&amp;"")))</f>
        <v/>
      </c>
      <c r="D939">
        <f>IF(A939="","",SUMIFS(المبيعات!$H$2:$H$2000,المبيعات!$C$2:$C$2000,A939))</f>
        <v/>
      </c>
      <c r="E939" s="13">
        <f>IF(A939="","",IF(COUNTIF(المبيعات!$C$2:$C$2000,A939)=0,"",_xlfn.MAXIFS(المبيعات!$A$2:$A$2000,المبيعات!$C$2:$C$2000,A939)))</f>
        <v/>
      </c>
      <c r="F939">
        <f>IF(A939="","",SUMIFS(المبيعات!$H$2:$H$2000,المبيعات!$C$2:$C$2000,A939,المبيعات!$J$2:$J$2000,"آجل"))</f>
        <v/>
      </c>
      <c r="G939" s="4" t="n"/>
      <c r="H939">
        <f>IF(A939="","",F939-G939)</f>
        <v/>
      </c>
    </row>
    <row r="940">
      <c r="A940" s="4" t="n"/>
      <c r="B940" s="4" t="n"/>
      <c r="C940">
        <f>IF(A940="","",SUMPRODUCT((المبيعات!$C$2:$C$2000=A940)*(المبيعات!$B$2:$B$2000&lt;&gt;"")/COUNTIFS(المبيعات!$B$2:$B$2000,المبيعات!$B$2:$B$2000&amp;"",المبيعات!$C$2:$C$2000,المبيعات!$C$2:$C$2000&amp;"")))</f>
        <v/>
      </c>
      <c r="D940">
        <f>IF(A940="","",SUMIFS(المبيعات!$H$2:$H$2000,المبيعات!$C$2:$C$2000,A940))</f>
        <v/>
      </c>
      <c r="E940" s="13">
        <f>IF(A940="","",IF(COUNTIF(المبيعات!$C$2:$C$2000,A940)=0,"",_xlfn.MAXIFS(المبيعات!$A$2:$A$2000,المبيعات!$C$2:$C$2000,A940)))</f>
        <v/>
      </c>
      <c r="F940">
        <f>IF(A940="","",SUMIFS(المبيعات!$H$2:$H$2000,المبيعات!$C$2:$C$2000,A940,المبيعات!$J$2:$J$2000,"آجل"))</f>
        <v/>
      </c>
      <c r="G940" s="4" t="n"/>
      <c r="H940">
        <f>IF(A940="","",F940-G940)</f>
        <v/>
      </c>
    </row>
    <row r="941">
      <c r="A941" s="4" t="n"/>
      <c r="B941" s="4" t="n"/>
      <c r="C941">
        <f>IF(A941="","",SUMPRODUCT((المبيعات!$C$2:$C$2000=A941)*(المبيعات!$B$2:$B$2000&lt;&gt;"")/COUNTIFS(المبيعات!$B$2:$B$2000,المبيعات!$B$2:$B$2000&amp;"",المبيعات!$C$2:$C$2000,المبيعات!$C$2:$C$2000&amp;"")))</f>
        <v/>
      </c>
      <c r="D941">
        <f>IF(A941="","",SUMIFS(المبيعات!$H$2:$H$2000,المبيعات!$C$2:$C$2000,A941))</f>
        <v/>
      </c>
      <c r="E941" s="13">
        <f>IF(A941="","",IF(COUNTIF(المبيعات!$C$2:$C$2000,A941)=0,"",_xlfn.MAXIFS(المبيعات!$A$2:$A$2000,المبيعات!$C$2:$C$2000,A941)))</f>
        <v/>
      </c>
      <c r="F941">
        <f>IF(A941="","",SUMIFS(المبيعات!$H$2:$H$2000,المبيعات!$C$2:$C$2000,A941,المبيعات!$J$2:$J$2000,"آجل"))</f>
        <v/>
      </c>
      <c r="G941" s="4" t="n"/>
      <c r="H941">
        <f>IF(A941="","",F941-G941)</f>
        <v/>
      </c>
    </row>
    <row r="942">
      <c r="A942" s="4" t="n"/>
      <c r="B942" s="4" t="n"/>
      <c r="C942">
        <f>IF(A942="","",SUMPRODUCT((المبيعات!$C$2:$C$2000=A942)*(المبيعات!$B$2:$B$2000&lt;&gt;"")/COUNTIFS(المبيعات!$B$2:$B$2000,المبيعات!$B$2:$B$2000&amp;"",المبيعات!$C$2:$C$2000,المبيعات!$C$2:$C$2000&amp;"")))</f>
        <v/>
      </c>
      <c r="D942">
        <f>IF(A942="","",SUMIFS(المبيعات!$H$2:$H$2000,المبيعات!$C$2:$C$2000,A942))</f>
        <v/>
      </c>
      <c r="E942" s="13">
        <f>IF(A942="","",IF(COUNTIF(المبيعات!$C$2:$C$2000,A942)=0,"",_xlfn.MAXIFS(المبيعات!$A$2:$A$2000,المبيعات!$C$2:$C$2000,A942)))</f>
        <v/>
      </c>
      <c r="F942">
        <f>IF(A942="","",SUMIFS(المبيعات!$H$2:$H$2000,المبيعات!$C$2:$C$2000,A942,المبيعات!$J$2:$J$2000,"آجل"))</f>
        <v/>
      </c>
      <c r="G942" s="4" t="n"/>
      <c r="H942">
        <f>IF(A942="","",F942-G942)</f>
        <v/>
      </c>
    </row>
    <row r="943">
      <c r="A943" s="4" t="n"/>
      <c r="B943" s="4" t="n"/>
      <c r="C943">
        <f>IF(A943="","",SUMPRODUCT((المبيعات!$C$2:$C$2000=A943)*(المبيعات!$B$2:$B$2000&lt;&gt;"")/COUNTIFS(المبيعات!$B$2:$B$2000,المبيعات!$B$2:$B$2000&amp;"",المبيعات!$C$2:$C$2000,المبيعات!$C$2:$C$2000&amp;"")))</f>
        <v/>
      </c>
      <c r="D943">
        <f>IF(A943="","",SUMIFS(المبيعات!$H$2:$H$2000,المبيعات!$C$2:$C$2000,A943))</f>
        <v/>
      </c>
      <c r="E943" s="13">
        <f>IF(A943="","",IF(COUNTIF(المبيعات!$C$2:$C$2000,A943)=0,"",_xlfn.MAXIFS(المبيعات!$A$2:$A$2000,المبيعات!$C$2:$C$2000,A943)))</f>
        <v/>
      </c>
      <c r="F943">
        <f>IF(A943="","",SUMIFS(المبيعات!$H$2:$H$2000,المبيعات!$C$2:$C$2000,A943,المبيعات!$J$2:$J$2000,"آجل"))</f>
        <v/>
      </c>
      <c r="G943" s="4" t="n"/>
      <c r="H943">
        <f>IF(A943="","",F943-G943)</f>
        <v/>
      </c>
    </row>
    <row r="944">
      <c r="A944" s="4" t="n"/>
      <c r="B944" s="4" t="n"/>
      <c r="C944">
        <f>IF(A944="","",SUMPRODUCT((المبيعات!$C$2:$C$2000=A944)*(المبيعات!$B$2:$B$2000&lt;&gt;"")/COUNTIFS(المبيعات!$B$2:$B$2000,المبيعات!$B$2:$B$2000&amp;"",المبيعات!$C$2:$C$2000,المبيعات!$C$2:$C$2000&amp;"")))</f>
        <v/>
      </c>
      <c r="D944">
        <f>IF(A944="","",SUMIFS(المبيعات!$H$2:$H$2000,المبيعات!$C$2:$C$2000,A944))</f>
        <v/>
      </c>
      <c r="E944" s="13">
        <f>IF(A944="","",IF(COUNTIF(المبيعات!$C$2:$C$2000,A944)=0,"",_xlfn.MAXIFS(المبيعات!$A$2:$A$2000,المبيعات!$C$2:$C$2000,A944)))</f>
        <v/>
      </c>
      <c r="F944">
        <f>IF(A944="","",SUMIFS(المبيعات!$H$2:$H$2000,المبيعات!$C$2:$C$2000,A944,المبيعات!$J$2:$J$2000,"آجل"))</f>
        <v/>
      </c>
      <c r="G944" s="4" t="n"/>
      <c r="H944">
        <f>IF(A944="","",F944-G944)</f>
        <v/>
      </c>
    </row>
    <row r="945">
      <c r="A945" s="4" t="n"/>
      <c r="B945" s="4" t="n"/>
      <c r="C945">
        <f>IF(A945="","",SUMPRODUCT((المبيعات!$C$2:$C$2000=A945)*(المبيعات!$B$2:$B$2000&lt;&gt;"")/COUNTIFS(المبيعات!$B$2:$B$2000,المبيعات!$B$2:$B$2000&amp;"",المبيعات!$C$2:$C$2000,المبيعات!$C$2:$C$2000&amp;"")))</f>
        <v/>
      </c>
      <c r="D945">
        <f>IF(A945="","",SUMIFS(المبيعات!$H$2:$H$2000,المبيعات!$C$2:$C$2000,A945))</f>
        <v/>
      </c>
      <c r="E945" s="13">
        <f>IF(A945="","",IF(COUNTIF(المبيعات!$C$2:$C$2000,A945)=0,"",_xlfn.MAXIFS(المبيعات!$A$2:$A$2000,المبيعات!$C$2:$C$2000,A945)))</f>
        <v/>
      </c>
      <c r="F945">
        <f>IF(A945="","",SUMIFS(المبيعات!$H$2:$H$2000,المبيعات!$C$2:$C$2000,A945,المبيعات!$J$2:$J$2000,"آجل"))</f>
        <v/>
      </c>
      <c r="G945" s="4" t="n"/>
      <c r="H945">
        <f>IF(A945="","",F945-G945)</f>
        <v/>
      </c>
    </row>
    <row r="946">
      <c r="A946" s="4" t="n"/>
      <c r="B946" s="4" t="n"/>
      <c r="C946">
        <f>IF(A946="","",SUMPRODUCT((المبيعات!$C$2:$C$2000=A946)*(المبيعات!$B$2:$B$2000&lt;&gt;"")/COUNTIFS(المبيعات!$B$2:$B$2000,المبيعات!$B$2:$B$2000&amp;"",المبيعات!$C$2:$C$2000,المبيعات!$C$2:$C$2000&amp;"")))</f>
        <v/>
      </c>
      <c r="D946">
        <f>IF(A946="","",SUMIFS(المبيعات!$H$2:$H$2000,المبيعات!$C$2:$C$2000,A946))</f>
        <v/>
      </c>
      <c r="E946" s="13">
        <f>IF(A946="","",IF(COUNTIF(المبيعات!$C$2:$C$2000,A946)=0,"",_xlfn.MAXIFS(المبيعات!$A$2:$A$2000,المبيعات!$C$2:$C$2000,A946)))</f>
        <v/>
      </c>
      <c r="F946">
        <f>IF(A946="","",SUMIFS(المبيعات!$H$2:$H$2000,المبيعات!$C$2:$C$2000,A946,المبيعات!$J$2:$J$2000,"آجل"))</f>
        <v/>
      </c>
      <c r="G946" s="4" t="n"/>
      <c r="H946">
        <f>IF(A946="","",F946-G946)</f>
        <v/>
      </c>
    </row>
    <row r="947">
      <c r="A947" s="4" t="n"/>
      <c r="B947" s="4" t="n"/>
      <c r="C947">
        <f>IF(A947="","",SUMPRODUCT((المبيعات!$C$2:$C$2000=A947)*(المبيعات!$B$2:$B$2000&lt;&gt;"")/COUNTIFS(المبيعات!$B$2:$B$2000,المبيعات!$B$2:$B$2000&amp;"",المبيعات!$C$2:$C$2000,المبيعات!$C$2:$C$2000&amp;"")))</f>
        <v/>
      </c>
      <c r="D947">
        <f>IF(A947="","",SUMIFS(المبيعات!$H$2:$H$2000,المبيعات!$C$2:$C$2000,A947))</f>
        <v/>
      </c>
      <c r="E947" s="13">
        <f>IF(A947="","",IF(COUNTIF(المبيعات!$C$2:$C$2000,A947)=0,"",_xlfn.MAXIFS(المبيعات!$A$2:$A$2000,المبيعات!$C$2:$C$2000,A947)))</f>
        <v/>
      </c>
      <c r="F947">
        <f>IF(A947="","",SUMIFS(المبيعات!$H$2:$H$2000,المبيعات!$C$2:$C$2000,A947,المبيعات!$J$2:$J$2000,"آجل"))</f>
        <v/>
      </c>
      <c r="G947" s="4" t="n"/>
      <c r="H947">
        <f>IF(A947="","",F947-G947)</f>
        <v/>
      </c>
    </row>
    <row r="948">
      <c r="A948" s="4" t="n"/>
      <c r="B948" s="4" t="n"/>
      <c r="C948">
        <f>IF(A948="","",SUMPRODUCT((المبيعات!$C$2:$C$2000=A948)*(المبيعات!$B$2:$B$2000&lt;&gt;"")/COUNTIFS(المبيعات!$B$2:$B$2000,المبيعات!$B$2:$B$2000&amp;"",المبيعات!$C$2:$C$2000,المبيعات!$C$2:$C$2000&amp;"")))</f>
        <v/>
      </c>
      <c r="D948">
        <f>IF(A948="","",SUMIFS(المبيعات!$H$2:$H$2000,المبيعات!$C$2:$C$2000,A948))</f>
        <v/>
      </c>
      <c r="E948" s="13">
        <f>IF(A948="","",IF(COUNTIF(المبيعات!$C$2:$C$2000,A948)=0,"",_xlfn.MAXIFS(المبيعات!$A$2:$A$2000,المبيعات!$C$2:$C$2000,A948)))</f>
        <v/>
      </c>
      <c r="F948">
        <f>IF(A948="","",SUMIFS(المبيعات!$H$2:$H$2000,المبيعات!$C$2:$C$2000,A948,المبيعات!$J$2:$J$2000,"آجل"))</f>
        <v/>
      </c>
      <c r="G948" s="4" t="n"/>
      <c r="H948">
        <f>IF(A948="","",F948-G948)</f>
        <v/>
      </c>
    </row>
    <row r="949">
      <c r="A949" s="4" t="n"/>
      <c r="B949" s="4" t="n"/>
      <c r="C949">
        <f>IF(A949="","",SUMPRODUCT((المبيعات!$C$2:$C$2000=A949)*(المبيعات!$B$2:$B$2000&lt;&gt;"")/COUNTIFS(المبيعات!$B$2:$B$2000,المبيعات!$B$2:$B$2000&amp;"",المبيعات!$C$2:$C$2000,المبيعات!$C$2:$C$2000&amp;"")))</f>
        <v/>
      </c>
      <c r="D949">
        <f>IF(A949="","",SUMIFS(المبيعات!$H$2:$H$2000,المبيعات!$C$2:$C$2000,A949))</f>
        <v/>
      </c>
      <c r="E949" s="13">
        <f>IF(A949="","",IF(COUNTIF(المبيعات!$C$2:$C$2000,A949)=0,"",_xlfn.MAXIFS(المبيعات!$A$2:$A$2000,المبيعات!$C$2:$C$2000,A949)))</f>
        <v/>
      </c>
      <c r="F949">
        <f>IF(A949="","",SUMIFS(المبيعات!$H$2:$H$2000,المبيعات!$C$2:$C$2000,A949,المبيعات!$J$2:$J$2000,"آجل"))</f>
        <v/>
      </c>
      <c r="G949" s="4" t="n"/>
      <c r="H949">
        <f>IF(A949="","",F949-G949)</f>
        <v/>
      </c>
    </row>
    <row r="950">
      <c r="A950" s="4" t="n"/>
      <c r="B950" s="4" t="n"/>
      <c r="C950">
        <f>IF(A950="","",SUMPRODUCT((المبيعات!$C$2:$C$2000=A950)*(المبيعات!$B$2:$B$2000&lt;&gt;"")/COUNTIFS(المبيعات!$B$2:$B$2000,المبيعات!$B$2:$B$2000&amp;"",المبيعات!$C$2:$C$2000,المبيعات!$C$2:$C$2000&amp;"")))</f>
        <v/>
      </c>
      <c r="D950">
        <f>IF(A950="","",SUMIFS(المبيعات!$H$2:$H$2000,المبيعات!$C$2:$C$2000,A950))</f>
        <v/>
      </c>
      <c r="E950" s="13">
        <f>IF(A950="","",IF(COUNTIF(المبيعات!$C$2:$C$2000,A950)=0,"",_xlfn.MAXIFS(المبيعات!$A$2:$A$2000,المبيعات!$C$2:$C$2000,A950)))</f>
        <v/>
      </c>
      <c r="F950">
        <f>IF(A950="","",SUMIFS(المبيعات!$H$2:$H$2000,المبيعات!$C$2:$C$2000,A950,المبيعات!$J$2:$J$2000,"آجل"))</f>
        <v/>
      </c>
      <c r="G950" s="4" t="n"/>
      <c r="H950">
        <f>IF(A950="","",F950-G950)</f>
        <v/>
      </c>
    </row>
    <row r="951">
      <c r="A951" s="4" t="n"/>
      <c r="B951" s="4" t="n"/>
      <c r="C951">
        <f>IF(A951="","",SUMPRODUCT((المبيعات!$C$2:$C$2000=A951)*(المبيعات!$B$2:$B$2000&lt;&gt;"")/COUNTIFS(المبيعات!$B$2:$B$2000,المبيعات!$B$2:$B$2000&amp;"",المبيعات!$C$2:$C$2000,المبيعات!$C$2:$C$2000&amp;"")))</f>
        <v/>
      </c>
      <c r="D951">
        <f>IF(A951="","",SUMIFS(المبيعات!$H$2:$H$2000,المبيعات!$C$2:$C$2000,A951))</f>
        <v/>
      </c>
      <c r="E951" s="13">
        <f>IF(A951="","",IF(COUNTIF(المبيعات!$C$2:$C$2000,A951)=0,"",_xlfn.MAXIFS(المبيعات!$A$2:$A$2000,المبيعات!$C$2:$C$2000,A951)))</f>
        <v/>
      </c>
      <c r="F951">
        <f>IF(A951="","",SUMIFS(المبيعات!$H$2:$H$2000,المبيعات!$C$2:$C$2000,A951,المبيعات!$J$2:$J$2000,"آجل"))</f>
        <v/>
      </c>
      <c r="G951" s="4" t="n"/>
      <c r="H951">
        <f>IF(A951="","",F951-G951)</f>
        <v/>
      </c>
    </row>
    <row r="952">
      <c r="A952" s="4" t="n"/>
      <c r="B952" s="4" t="n"/>
      <c r="C952">
        <f>IF(A952="","",SUMPRODUCT((المبيعات!$C$2:$C$2000=A952)*(المبيعات!$B$2:$B$2000&lt;&gt;"")/COUNTIFS(المبيعات!$B$2:$B$2000,المبيعات!$B$2:$B$2000&amp;"",المبيعات!$C$2:$C$2000,المبيعات!$C$2:$C$2000&amp;"")))</f>
        <v/>
      </c>
      <c r="D952">
        <f>IF(A952="","",SUMIFS(المبيعات!$H$2:$H$2000,المبيعات!$C$2:$C$2000,A952))</f>
        <v/>
      </c>
      <c r="E952" s="13">
        <f>IF(A952="","",IF(COUNTIF(المبيعات!$C$2:$C$2000,A952)=0,"",_xlfn.MAXIFS(المبيعات!$A$2:$A$2000,المبيعات!$C$2:$C$2000,A952)))</f>
        <v/>
      </c>
      <c r="F952">
        <f>IF(A952="","",SUMIFS(المبيعات!$H$2:$H$2000,المبيعات!$C$2:$C$2000,A952,المبيعات!$J$2:$J$2000,"آجل"))</f>
        <v/>
      </c>
      <c r="G952" s="4" t="n"/>
      <c r="H952">
        <f>IF(A952="","",F952-G952)</f>
        <v/>
      </c>
    </row>
    <row r="953">
      <c r="A953" s="4" t="n"/>
      <c r="B953" s="4" t="n"/>
      <c r="C953">
        <f>IF(A953="","",SUMPRODUCT((المبيعات!$C$2:$C$2000=A953)*(المبيعات!$B$2:$B$2000&lt;&gt;"")/COUNTIFS(المبيعات!$B$2:$B$2000,المبيعات!$B$2:$B$2000&amp;"",المبيعات!$C$2:$C$2000,المبيعات!$C$2:$C$2000&amp;"")))</f>
        <v/>
      </c>
      <c r="D953">
        <f>IF(A953="","",SUMIFS(المبيعات!$H$2:$H$2000,المبيعات!$C$2:$C$2000,A953))</f>
        <v/>
      </c>
      <c r="E953" s="13">
        <f>IF(A953="","",IF(COUNTIF(المبيعات!$C$2:$C$2000,A953)=0,"",_xlfn.MAXIFS(المبيعات!$A$2:$A$2000,المبيعات!$C$2:$C$2000,A953)))</f>
        <v/>
      </c>
      <c r="F953">
        <f>IF(A953="","",SUMIFS(المبيعات!$H$2:$H$2000,المبيعات!$C$2:$C$2000,A953,المبيعات!$J$2:$J$2000,"آجل"))</f>
        <v/>
      </c>
      <c r="G953" s="4" t="n"/>
      <c r="H953">
        <f>IF(A953="","",F953-G953)</f>
        <v/>
      </c>
    </row>
    <row r="954">
      <c r="A954" s="4" t="n"/>
      <c r="B954" s="4" t="n"/>
      <c r="C954">
        <f>IF(A954="","",SUMPRODUCT((المبيعات!$C$2:$C$2000=A954)*(المبيعات!$B$2:$B$2000&lt;&gt;"")/COUNTIFS(المبيعات!$B$2:$B$2000,المبيعات!$B$2:$B$2000&amp;"",المبيعات!$C$2:$C$2000,المبيعات!$C$2:$C$2000&amp;"")))</f>
        <v/>
      </c>
      <c r="D954">
        <f>IF(A954="","",SUMIFS(المبيعات!$H$2:$H$2000,المبيعات!$C$2:$C$2000,A954))</f>
        <v/>
      </c>
      <c r="E954" s="13">
        <f>IF(A954="","",IF(COUNTIF(المبيعات!$C$2:$C$2000,A954)=0,"",_xlfn.MAXIFS(المبيعات!$A$2:$A$2000,المبيعات!$C$2:$C$2000,A954)))</f>
        <v/>
      </c>
      <c r="F954">
        <f>IF(A954="","",SUMIFS(المبيعات!$H$2:$H$2000,المبيعات!$C$2:$C$2000,A954,المبيعات!$J$2:$J$2000,"آجل"))</f>
        <v/>
      </c>
      <c r="G954" s="4" t="n"/>
      <c r="H954">
        <f>IF(A954="","",F954-G954)</f>
        <v/>
      </c>
    </row>
    <row r="955">
      <c r="A955" s="4" t="n"/>
      <c r="B955" s="4" t="n"/>
      <c r="C955">
        <f>IF(A955="","",SUMPRODUCT((المبيعات!$C$2:$C$2000=A955)*(المبيعات!$B$2:$B$2000&lt;&gt;"")/COUNTIFS(المبيعات!$B$2:$B$2000,المبيعات!$B$2:$B$2000&amp;"",المبيعات!$C$2:$C$2000,المبيعات!$C$2:$C$2000&amp;"")))</f>
        <v/>
      </c>
      <c r="D955">
        <f>IF(A955="","",SUMIFS(المبيعات!$H$2:$H$2000,المبيعات!$C$2:$C$2000,A955))</f>
        <v/>
      </c>
      <c r="E955" s="13">
        <f>IF(A955="","",IF(COUNTIF(المبيعات!$C$2:$C$2000,A955)=0,"",_xlfn.MAXIFS(المبيعات!$A$2:$A$2000,المبيعات!$C$2:$C$2000,A955)))</f>
        <v/>
      </c>
      <c r="F955">
        <f>IF(A955="","",SUMIFS(المبيعات!$H$2:$H$2000,المبيعات!$C$2:$C$2000,A955,المبيعات!$J$2:$J$2000,"آجل"))</f>
        <v/>
      </c>
      <c r="G955" s="4" t="n"/>
      <c r="H955">
        <f>IF(A955="","",F955-G955)</f>
        <v/>
      </c>
    </row>
    <row r="956">
      <c r="A956" s="4" t="n"/>
      <c r="B956" s="4" t="n"/>
      <c r="C956">
        <f>IF(A956="","",SUMPRODUCT((المبيعات!$C$2:$C$2000=A956)*(المبيعات!$B$2:$B$2000&lt;&gt;"")/COUNTIFS(المبيعات!$B$2:$B$2000,المبيعات!$B$2:$B$2000&amp;"",المبيعات!$C$2:$C$2000,المبيعات!$C$2:$C$2000&amp;"")))</f>
        <v/>
      </c>
      <c r="D956">
        <f>IF(A956="","",SUMIFS(المبيعات!$H$2:$H$2000,المبيعات!$C$2:$C$2000,A956))</f>
        <v/>
      </c>
      <c r="E956" s="13">
        <f>IF(A956="","",IF(COUNTIF(المبيعات!$C$2:$C$2000,A956)=0,"",_xlfn.MAXIFS(المبيعات!$A$2:$A$2000,المبيعات!$C$2:$C$2000,A956)))</f>
        <v/>
      </c>
      <c r="F956">
        <f>IF(A956="","",SUMIFS(المبيعات!$H$2:$H$2000,المبيعات!$C$2:$C$2000,A956,المبيعات!$J$2:$J$2000,"آجل"))</f>
        <v/>
      </c>
      <c r="G956" s="4" t="n"/>
      <c r="H956">
        <f>IF(A956="","",F956-G956)</f>
        <v/>
      </c>
    </row>
    <row r="957">
      <c r="A957" s="4" t="n"/>
      <c r="B957" s="4" t="n"/>
      <c r="C957">
        <f>IF(A957="","",SUMPRODUCT((المبيعات!$C$2:$C$2000=A957)*(المبيعات!$B$2:$B$2000&lt;&gt;"")/COUNTIFS(المبيعات!$B$2:$B$2000,المبيعات!$B$2:$B$2000&amp;"",المبيعات!$C$2:$C$2000,المبيعات!$C$2:$C$2000&amp;"")))</f>
        <v/>
      </c>
      <c r="D957">
        <f>IF(A957="","",SUMIFS(المبيعات!$H$2:$H$2000,المبيعات!$C$2:$C$2000,A957))</f>
        <v/>
      </c>
      <c r="E957" s="13">
        <f>IF(A957="","",IF(COUNTIF(المبيعات!$C$2:$C$2000,A957)=0,"",_xlfn.MAXIFS(المبيعات!$A$2:$A$2000,المبيعات!$C$2:$C$2000,A957)))</f>
        <v/>
      </c>
      <c r="F957">
        <f>IF(A957="","",SUMIFS(المبيعات!$H$2:$H$2000,المبيعات!$C$2:$C$2000,A957,المبيعات!$J$2:$J$2000,"آجل"))</f>
        <v/>
      </c>
      <c r="G957" s="4" t="n"/>
      <c r="H957">
        <f>IF(A957="","",F957-G957)</f>
        <v/>
      </c>
    </row>
    <row r="958">
      <c r="A958" s="4" t="n"/>
      <c r="B958" s="4" t="n"/>
      <c r="C958">
        <f>IF(A958="","",SUMPRODUCT((المبيعات!$C$2:$C$2000=A958)*(المبيعات!$B$2:$B$2000&lt;&gt;"")/COUNTIFS(المبيعات!$B$2:$B$2000,المبيعات!$B$2:$B$2000&amp;"",المبيعات!$C$2:$C$2000,المبيعات!$C$2:$C$2000&amp;"")))</f>
        <v/>
      </c>
      <c r="D958">
        <f>IF(A958="","",SUMIFS(المبيعات!$H$2:$H$2000,المبيعات!$C$2:$C$2000,A958))</f>
        <v/>
      </c>
      <c r="E958" s="13">
        <f>IF(A958="","",IF(COUNTIF(المبيعات!$C$2:$C$2000,A958)=0,"",_xlfn.MAXIFS(المبيعات!$A$2:$A$2000,المبيعات!$C$2:$C$2000,A958)))</f>
        <v/>
      </c>
      <c r="F958">
        <f>IF(A958="","",SUMIFS(المبيعات!$H$2:$H$2000,المبيعات!$C$2:$C$2000,A958,المبيعات!$J$2:$J$2000,"آجل"))</f>
        <v/>
      </c>
      <c r="G958" s="4" t="n"/>
      <c r="H958">
        <f>IF(A958="","",F958-G958)</f>
        <v/>
      </c>
    </row>
    <row r="959">
      <c r="A959" s="4" t="n"/>
      <c r="B959" s="4" t="n"/>
      <c r="C959">
        <f>IF(A959="","",SUMPRODUCT((المبيعات!$C$2:$C$2000=A959)*(المبيعات!$B$2:$B$2000&lt;&gt;"")/COUNTIFS(المبيعات!$B$2:$B$2000,المبيعات!$B$2:$B$2000&amp;"",المبيعات!$C$2:$C$2000,المبيعات!$C$2:$C$2000&amp;"")))</f>
        <v/>
      </c>
      <c r="D959">
        <f>IF(A959="","",SUMIFS(المبيعات!$H$2:$H$2000,المبيعات!$C$2:$C$2000,A959))</f>
        <v/>
      </c>
      <c r="E959" s="13">
        <f>IF(A959="","",IF(COUNTIF(المبيعات!$C$2:$C$2000,A959)=0,"",_xlfn.MAXIFS(المبيعات!$A$2:$A$2000,المبيعات!$C$2:$C$2000,A959)))</f>
        <v/>
      </c>
      <c r="F959">
        <f>IF(A959="","",SUMIFS(المبيعات!$H$2:$H$2000,المبيعات!$C$2:$C$2000,A959,المبيعات!$J$2:$J$2000,"آجل"))</f>
        <v/>
      </c>
      <c r="G959" s="4" t="n"/>
      <c r="H959">
        <f>IF(A959="","",F959-G959)</f>
        <v/>
      </c>
    </row>
    <row r="960">
      <c r="A960" s="4" t="n"/>
      <c r="B960" s="4" t="n"/>
      <c r="C960">
        <f>IF(A960="","",SUMPRODUCT((المبيعات!$C$2:$C$2000=A960)*(المبيعات!$B$2:$B$2000&lt;&gt;"")/COUNTIFS(المبيعات!$B$2:$B$2000,المبيعات!$B$2:$B$2000&amp;"",المبيعات!$C$2:$C$2000,المبيعات!$C$2:$C$2000&amp;"")))</f>
        <v/>
      </c>
      <c r="D960">
        <f>IF(A960="","",SUMIFS(المبيعات!$H$2:$H$2000,المبيعات!$C$2:$C$2000,A960))</f>
        <v/>
      </c>
      <c r="E960" s="13">
        <f>IF(A960="","",IF(COUNTIF(المبيعات!$C$2:$C$2000,A960)=0,"",_xlfn.MAXIFS(المبيعات!$A$2:$A$2000,المبيعات!$C$2:$C$2000,A960)))</f>
        <v/>
      </c>
      <c r="F960">
        <f>IF(A960="","",SUMIFS(المبيعات!$H$2:$H$2000,المبيعات!$C$2:$C$2000,A960,المبيعات!$J$2:$J$2000,"آجل"))</f>
        <v/>
      </c>
      <c r="G960" s="4" t="n"/>
      <c r="H960">
        <f>IF(A960="","",F960-G960)</f>
        <v/>
      </c>
    </row>
    <row r="961">
      <c r="A961" s="4" t="n"/>
      <c r="B961" s="4" t="n"/>
      <c r="C961">
        <f>IF(A961="","",SUMPRODUCT((المبيعات!$C$2:$C$2000=A961)*(المبيعات!$B$2:$B$2000&lt;&gt;"")/COUNTIFS(المبيعات!$B$2:$B$2000,المبيعات!$B$2:$B$2000&amp;"",المبيعات!$C$2:$C$2000,المبيعات!$C$2:$C$2000&amp;"")))</f>
        <v/>
      </c>
      <c r="D961">
        <f>IF(A961="","",SUMIFS(المبيعات!$H$2:$H$2000,المبيعات!$C$2:$C$2000,A961))</f>
        <v/>
      </c>
      <c r="E961" s="13">
        <f>IF(A961="","",IF(COUNTIF(المبيعات!$C$2:$C$2000,A961)=0,"",_xlfn.MAXIFS(المبيعات!$A$2:$A$2000,المبيعات!$C$2:$C$2000,A961)))</f>
        <v/>
      </c>
      <c r="F961">
        <f>IF(A961="","",SUMIFS(المبيعات!$H$2:$H$2000,المبيعات!$C$2:$C$2000,A961,المبيعات!$J$2:$J$2000,"آجل"))</f>
        <v/>
      </c>
      <c r="G961" s="4" t="n"/>
      <c r="H961">
        <f>IF(A961="","",F961-G961)</f>
        <v/>
      </c>
    </row>
    <row r="962">
      <c r="A962" s="4" t="n"/>
      <c r="B962" s="4" t="n"/>
      <c r="C962">
        <f>IF(A962="","",SUMPRODUCT((المبيعات!$C$2:$C$2000=A962)*(المبيعات!$B$2:$B$2000&lt;&gt;"")/COUNTIFS(المبيعات!$B$2:$B$2000,المبيعات!$B$2:$B$2000&amp;"",المبيعات!$C$2:$C$2000,المبيعات!$C$2:$C$2000&amp;"")))</f>
        <v/>
      </c>
      <c r="D962">
        <f>IF(A962="","",SUMIFS(المبيعات!$H$2:$H$2000,المبيعات!$C$2:$C$2000,A962))</f>
        <v/>
      </c>
      <c r="E962" s="13">
        <f>IF(A962="","",IF(COUNTIF(المبيعات!$C$2:$C$2000,A962)=0,"",_xlfn.MAXIFS(المبيعات!$A$2:$A$2000,المبيعات!$C$2:$C$2000,A962)))</f>
        <v/>
      </c>
      <c r="F962">
        <f>IF(A962="","",SUMIFS(المبيعات!$H$2:$H$2000,المبيعات!$C$2:$C$2000,A962,المبيعات!$J$2:$J$2000,"آجل"))</f>
        <v/>
      </c>
      <c r="G962" s="4" t="n"/>
      <c r="H962">
        <f>IF(A962="","",F962-G962)</f>
        <v/>
      </c>
    </row>
    <row r="963">
      <c r="A963" s="4" t="n"/>
      <c r="B963" s="4" t="n"/>
      <c r="C963">
        <f>IF(A963="","",SUMPRODUCT((المبيعات!$C$2:$C$2000=A963)*(المبيعات!$B$2:$B$2000&lt;&gt;"")/COUNTIFS(المبيعات!$B$2:$B$2000,المبيعات!$B$2:$B$2000&amp;"",المبيعات!$C$2:$C$2000,المبيعات!$C$2:$C$2000&amp;"")))</f>
        <v/>
      </c>
      <c r="D963">
        <f>IF(A963="","",SUMIFS(المبيعات!$H$2:$H$2000,المبيعات!$C$2:$C$2000,A963))</f>
        <v/>
      </c>
      <c r="E963" s="13">
        <f>IF(A963="","",IF(COUNTIF(المبيعات!$C$2:$C$2000,A963)=0,"",_xlfn.MAXIFS(المبيعات!$A$2:$A$2000,المبيعات!$C$2:$C$2000,A963)))</f>
        <v/>
      </c>
      <c r="F963">
        <f>IF(A963="","",SUMIFS(المبيعات!$H$2:$H$2000,المبيعات!$C$2:$C$2000,A963,المبيعات!$J$2:$J$2000,"آجل"))</f>
        <v/>
      </c>
      <c r="G963" s="4" t="n"/>
      <c r="H963">
        <f>IF(A963="","",F963-G963)</f>
        <v/>
      </c>
    </row>
    <row r="964">
      <c r="A964" s="4" t="n"/>
      <c r="B964" s="4" t="n"/>
      <c r="C964">
        <f>IF(A964="","",SUMPRODUCT((المبيعات!$C$2:$C$2000=A964)*(المبيعات!$B$2:$B$2000&lt;&gt;"")/COUNTIFS(المبيعات!$B$2:$B$2000,المبيعات!$B$2:$B$2000&amp;"",المبيعات!$C$2:$C$2000,المبيعات!$C$2:$C$2000&amp;"")))</f>
        <v/>
      </c>
      <c r="D964">
        <f>IF(A964="","",SUMIFS(المبيعات!$H$2:$H$2000,المبيعات!$C$2:$C$2000,A964))</f>
        <v/>
      </c>
      <c r="E964" s="13">
        <f>IF(A964="","",IF(COUNTIF(المبيعات!$C$2:$C$2000,A964)=0,"",_xlfn.MAXIFS(المبيعات!$A$2:$A$2000,المبيعات!$C$2:$C$2000,A964)))</f>
        <v/>
      </c>
      <c r="F964">
        <f>IF(A964="","",SUMIFS(المبيعات!$H$2:$H$2000,المبيعات!$C$2:$C$2000,A964,المبيعات!$J$2:$J$2000,"آجل"))</f>
        <v/>
      </c>
      <c r="G964" s="4" t="n"/>
      <c r="H964">
        <f>IF(A964="","",F964-G964)</f>
        <v/>
      </c>
    </row>
    <row r="965">
      <c r="A965" s="4" t="n"/>
      <c r="B965" s="4" t="n"/>
      <c r="C965">
        <f>IF(A965="","",SUMPRODUCT((المبيعات!$C$2:$C$2000=A965)*(المبيعات!$B$2:$B$2000&lt;&gt;"")/COUNTIFS(المبيعات!$B$2:$B$2000,المبيعات!$B$2:$B$2000&amp;"",المبيعات!$C$2:$C$2000,المبيعات!$C$2:$C$2000&amp;"")))</f>
        <v/>
      </c>
      <c r="D965">
        <f>IF(A965="","",SUMIFS(المبيعات!$H$2:$H$2000,المبيعات!$C$2:$C$2000,A965))</f>
        <v/>
      </c>
      <c r="E965" s="13">
        <f>IF(A965="","",IF(COUNTIF(المبيعات!$C$2:$C$2000,A965)=0,"",_xlfn.MAXIFS(المبيعات!$A$2:$A$2000,المبيعات!$C$2:$C$2000,A965)))</f>
        <v/>
      </c>
      <c r="F965">
        <f>IF(A965="","",SUMIFS(المبيعات!$H$2:$H$2000,المبيعات!$C$2:$C$2000,A965,المبيعات!$J$2:$J$2000,"آجل"))</f>
        <v/>
      </c>
      <c r="G965" s="4" t="n"/>
      <c r="H965">
        <f>IF(A965="","",F965-G965)</f>
        <v/>
      </c>
    </row>
    <row r="966">
      <c r="A966" s="4" t="n"/>
      <c r="B966" s="4" t="n"/>
      <c r="C966">
        <f>IF(A966="","",SUMPRODUCT((المبيعات!$C$2:$C$2000=A966)*(المبيعات!$B$2:$B$2000&lt;&gt;"")/COUNTIFS(المبيعات!$B$2:$B$2000,المبيعات!$B$2:$B$2000&amp;"",المبيعات!$C$2:$C$2000,المبيعات!$C$2:$C$2000&amp;"")))</f>
        <v/>
      </c>
      <c r="D966">
        <f>IF(A966="","",SUMIFS(المبيعات!$H$2:$H$2000,المبيعات!$C$2:$C$2000,A966))</f>
        <v/>
      </c>
      <c r="E966" s="13">
        <f>IF(A966="","",IF(COUNTIF(المبيعات!$C$2:$C$2000,A966)=0,"",_xlfn.MAXIFS(المبيعات!$A$2:$A$2000,المبيعات!$C$2:$C$2000,A966)))</f>
        <v/>
      </c>
      <c r="F966">
        <f>IF(A966="","",SUMIFS(المبيعات!$H$2:$H$2000,المبيعات!$C$2:$C$2000,A966,المبيعات!$J$2:$J$2000,"آجل"))</f>
        <v/>
      </c>
      <c r="G966" s="4" t="n"/>
      <c r="H966">
        <f>IF(A966="","",F966-G966)</f>
        <v/>
      </c>
    </row>
    <row r="967">
      <c r="A967" s="4" t="n"/>
      <c r="B967" s="4" t="n"/>
      <c r="C967">
        <f>IF(A967="","",SUMPRODUCT((المبيعات!$C$2:$C$2000=A967)*(المبيعات!$B$2:$B$2000&lt;&gt;"")/COUNTIFS(المبيعات!$B$2:$B$2000,المبيعات!$B$2:$B$2000&amp;"",المبيعات!$C$2:$C$2000,المبيعات!$C$2:$C$2000&amp;"")))</f>
        <v/>
      </c>
      <c r="D967">
        <f>IF(A967="","",SUMIFS(المبيعات!$H$2:$H$2000,المبيعات!$C$2:$C$2000,A967))</f>
        <v/>
      </c>
      <c r="E967" s="13">
        <f>IF(A967="","",IF(COUNTIF(المبيعات!$C$2:$C$2000,A967)=0,"",_xlfn.MAXIFS(المبيعات!$A$2:$A$2000,المبيعات!$C$2:$C$2000,A967)))</f>
        <v/>
      </c>
      <c r="F967">
        <f>IF(A967="","",SUMIFS(المبيعات!$H$2:$H$2000,المبيعات!$C$2:$C$2000,A967,المبيعات!$J$2:$J$2000,"آجل"))</f>
        <v/>
      </c>
      <c r="G967" s="4" t="n"/>
      <c r="H967">
        <f>IF(A967="","",F967-G967)</f>
        <v/>
      </c>
    </row>
    <row r="968">
      <c r="A968" s="4" t="n"/>
      <c r="B968" s="4" t="n"/>
      <c r="C968">
        <f>IF(A968="","",SUMPRODUCT((المبيعات!$C$2:$C$2000=A968)*(المبيعات!$B$2:$B$2000&lt;&gt;"")/COUNTIFS(المبيعات!$B$2:$B$2000,المبيعات!$B$2:$B$2000&amp;"",المبيعات!$C$2:$C$2000,المبيعات!$C$2:$C$2000&amp;"")))</f>
        <v/>
      </c>
      <c r="D968">
        <f>IF(A968="","",SUMIFS(المبيعات!$H$2:$H$2000,المبيعات!$C$2:$C$2000,A968))</f>
        <v/>
      </c>
      <c r="E968" s="13">
        <f>IF(A968="","",IF(COUNTIF(المبيعات!$C$2:$C$2000,A968)=0,"",_xlfn.MAXIFS(المبيعات!$A$2:$A$2000,المبيعات!$C$2:$C$2000,A968)))</f>
        <v/>
      </c>
      <c r="F968">
        <f>IF(A968="","",SUMIFS(المبيعات!$H$2:$H$2000,المبيعات!$C$2:$C$2000,A968,المبيعات!$J$2:$J$2000,"آجل"))</f>
        <v/>
      </c>
      <c r="G968" s="4" t="n"/>
      <c r="H968">
        <f>IF(A968="","",F968-G968)</f>
        <v/>
      </c>
    </row>
    <row r="969">
      <c r="A969" s="4" t="n"/>
      <c r="B969" s="4" t="n"/>
      <c r="C969">
        <f>IF(A969="","",SUMPRODUCT((المبيعات!$C$2:$C$2000=A969)*(المبيعات!$B$2:$B$2000&lt;&gt;"")/COUNTIFS(المبيعات!$B$2:$B$2000,المبيعات!$B$2:$B$2000&amp;"",المبيعات!$C$2:$C$2000,المبيعات!$C$2:$C$2000&amp;"")))</f>
        <v/>
      </c>
      <c r="D969">
        <f>IF(A969="","",SUMIFS(المبيعات!$H$2:$H$2000,المبيعات!$C$2:$C$2000,A969))</f>
        <v/>
      </c>
      <c r="E969" s="13">
        <f>IF(A969="","",IF(COUNTIF(المبيعات!$C$2:$C$2000,A969)=0,"",_xlfn.MAXIFS(المبيعات!$A$2:$A$2000,المبيعات!$C$2:$C$2000,A969)))</f>
        <v/>
      </c>
      <c r="F969">
        <f>IF(A969="","",SUMIFS(المبيعات!$H$2:$H$2000,المبيعات!$C$2:$C$2000,A969,المبيعات!$J$2:$J$2000,"آجل"))</f>
        <v/>
      </c>
      <c r="G969" s="4" t="n"/>
      <c r="H969">
        <f>IF(A969="","",F969-G969)</f>
        <v/>
      </c>
    </row>
    <row r="970">
      <c r="A970" s="4" t="n"/>
      <c r="B970" s="4" t="n"/>
      <c r="C970">
        <f>IF(A970="","",SUMPRODUCT((المبيعات!$C$2:$C$2000=A970)*(المبيعات!$B$2:$B$2000&lt;&gt;"")/COUNTIFS(المبيعات!$B$2:$B$2000,المبيعات!$B$2:$B$2000&amp;"",المبيعات!$C$2:$C$2000,المبيعات!$C$2:$C$2000&amp;"")))</f>
        <v/>
      </c>
      <c r="D970">
        <f>IF(A970="","",SUMIFS(المبيعات!$H$2:$H$2000,المبيعات!$C$2:$C$2000,A970))</f>
        <v/>
      </c>
      <c r="E970" s="13">
        <f>IF(A970="","",IF(COUNTIF(المبيعات!$C$2:$C$2000,A970)=0,"",_xlfn.MAXIFS(المبيعات!$A$2:$A$2000,المبيعات!$C$2:$C$2000,A970)))</f>
        <v/>
      </c>
      <c r="F970">
        <f>IF(A970="","",SUMIFS(المبيعات!$H$2:$H$2000,المبيعات!$C$2:$C$2000,A970,المبيعات!$J$2:$J$2000,"آجل"))</f>
        <v/>
      </c>
      <c r="G970" s="4" t="n"/>
      <c r="H970">
        <f>IF(A970="","",F970-G970)</f>
        <v/>
      </c>
    </row>
    <row r="971">
      <c r="A971" s="4" t="n"/>
      <c r="B971" s="4" t="n"/>
      <c r="C971">
        <f>IF(A971="","",SUMPRODUCT((المبيعات!$C$2:$C$2000=A971)*(المبيعات!$B$2:$B$2000&lt;&gt;"")/COUNTIFS(المبيعات!$B$2:$B$2000,المبيعات!$B$2:$B$2000&amp;"",المبيعات!$C$2:$C$2000,المبيعات!$C$2:$C$2000&amp;"")))</f>
        <v/>
      </c>
      <c r="D971">
        <f>IF(A971="","",SUMIFS(المبيعات!$H$2:$H$2000,المبيعات!$C$2:$C$2000,A971))</f>
        <v/>
      </c>
      <c r="E971" s="13">
        <f>IF(A971="","",IF(COUNTIF(المبيعات!$C$2:$C$2000,A971)=0,"",_xlfn.MAXIFS(المبيعات!$A$2:$A$2000,المبيعات!$C$2:$C$2000,A971)))</f>
        <v/>
      </c>
      <c r="F971">
        <f>IF(A971="","",SUMIFS(المبيعات!$H$2:$H$2000,المبيعات!$C$2:$C$2000,A971,المبيعات!$J$2:$J$2000,"آجل"))</f>
        <v/>
      </c>
      <c r="G971" s="4" t="n"/>
      <c r="H971">
        <f>IF(A971="","",F971-G971)</f>
        <v/>
      </c>
    </row>
    <row r="972">
      <c r="A972" s="4" t="n"/>
      <c r="B972" s="4" t="n"/>
      <c r="C972">
        <f>IF(A972="","",SUMPRODUCT((المبيعات!$C$2:$C$2000=A972)*(المبيعات!$B$2:$B$2000&lt;&gt;"")/COUNTIFS(المبيعات!$B$2:$B$2000,المبيعات!$B$2:$B$2000&amp;"",المبيعات!$C$2:$C$2000,المبيعات!$C$2:$C$2000&amp;"")))</f>
        <v/>
      </c>
      <c r="D972">
        <f>IF(A972="","",SUMIFS(المبيعات!$H$2:$H$2000,المبيعات!$C$2:$C$2000,A972))</f>
        <v/>
      </c>
      <c r="E972" s="13">
        <f>IF(A972="","",IF(COUNTIF(المبيعات!$C$2:$C$2000,A972)=0,"",_xlfn.MAXIFS(المبيعات!$A$2:$A$2000,المبيعات!$C$2:$C$2000,A972)))</f>
        <v/>
      </c>
      <c r="F972">
        <f>IF(A972="","",SUMIFS(المبيعات!$H$2:$H$2000,المبيعات!$C$2:$C$2000,A972,المبيعات!$J$2:$J$2000,"آجل"))</f>
        <v/>
      </c>
      <c r="G972" s="4" t="n"/>
      <c r="H972">
        <f>IF(A972="","",F972-G972)</f>
        <v/>
      </c>
    </row>
    <row r="973">
      <c r="A973" s="4" t="n"/>
      <c r="B973" s="4" t="n"/>
      <c r="C973">
        <f>IF(A973="","",SUMPRODUCT((المبيعات!$C$2:$C$2000=A973)*(المبيعات!$B$2:$B$2000&lt;&gt;"")/COUNTIFS(المبيعات!$B$2:$B$2000,المبيعات!$B$2:$B$2000&amp;"",المبيعات!$C$2:$C$2000,المبيعات!$C$2:$C$2000&amp;"")))</f>
        <v/>
      </c>
      <c r="D973">
        <f>IF(A973="","",SUMIFS(المبيعات!$H$2:$H$2000,المبيعات!$C$2:$C$2000,A973))</f>
        <v/>
      </c>
      <c r="E973" s="13">
        <f>IF(A973="","",IF(COUNTIF(المبيعات!$C$2:$C$2000,A973)=0,"",_xlfn.MAXIFS(المبيعات!$A$2:$A$2000,المبيعات!$C$2:$C$2000,A973)))</f>
        <v/>
      </c>
      <c r="F973">
        <f>IF(A973="","",SUMIFS(المبيعات!$H$2:$H$2000,المبيعات!$C$2:$C$2000,A973,المبيعات!$J$2:$J$2000,"آجل"))</f>
        <v/>
      </c>
      <c r="G973" s="4" t="n"/>
      <c r="H973">
        <f>IF(A973="","",F973-G973)</f>
        <v/>
      </c>
    </row>
    <row r="974">
      <c r="A974" s="4" t="n"/>
      <c r="B974" s="4" t="n"/>
      <c r="C974">
        <f>IF(A974="","",SUMPRODUCT((المبيعات!$C$2:$C$2000=A974)*(المبيعات!$B$2:$B$2000&lt;&gt;"")/COUNTIFS(المبيعات!$B$2:$B$2000,المبيعات!$B$2:$B$2000&amp;"",المبيعات!$C$2:$C$2000,المبيعات!$C$2:$C$2000&amp;"")))</f>
        <v/>
      </c>
      <c r="D974">
        <f>IF(A974="","",SUMIFS(المبيعات!$H$2:$H$2000,المبيعات!$C$2:$C$2000,A974))</f>
        <v/>
      </c>
      <c r="E974" s="13">
        <f>IF(A974="","",IF(COUNTIF(المبيعات!$C$2:$C$2000,A974)=0,"",_xlfn.MAXIFS(المبيعات!$A$2:$A$2000,المبيعات!$C$2:$C$2000,A974)))</f>
        <v/>
      </c>
      <c r="F974">
        <f>IF(A974="","",SUMIFS(المبيعات!$H$2:$H$2000,المبيعات!$C$2:$C$2000,A974,المبيعات!$J$2:$J$2000,"آجل"))</f>
        <v/>
      </c>
      <c r="G974" s="4" t="n"/>
      <c r="H974">
        <f>IF(A974="","",F974-G974)</f>
        <v/>
      </c>
    </row>
    <row r="975">
      <c r="A975" s="4" t="n"/>
      <c r="B975" s="4" t="n"/>
      <c r="C975">
        <f>IF(A975="","",SUMPRODUCT((المبيعات!$C$2:$C$2000=A975)*(المبيعات!$B$2:$B$2000&lt;&gt;"")/COUNTIFS(المبيعات!$B$2:$B$2000,المبيعات!$B$2:$B$2000&amp;"",المبيعات!$C$2:$C$2000,المبيعات!$C$2:$C$2000&amp;"")))</f>
        <v/>
      </c>
      <c r="D975">
        <f>IF(A975="","",SUMIFS(المبيعات!$H$2:$H$2000,المبيعات!$C$2:$C$2000,A975))</f>
        <v/>
      </c>
      <c r="E975" s="13">
        <f>IF(A975="","",IF(COUNTIF(المبيعات!$C$2:$C$2000,A975)=0,"",_xlfn.MAXIFS(المبيعات!$A$2:$A$2000,المبيعات!$C$2:$C$2000,A975)))</f>
        <v/>
      </c>
      <c r="F975">
        <f>IF(A975="","",SUMIFS(المبيعات!$H$2:$H$2000,المبيعات!$C$2:$C$2000,A975,المبيعات!$J$2:$J$2000,"آجل"))</f>
        <v/>
      </c>
      <c r="G975" s="4" t="n"/>
      <c r="H975">
        <f>IF(A975="","",F975-G975)</f>
        <v/>
      </c>
    </row>
    <row r="976">
      <c r="A976" s="4" t="n"/>
      <c r="B976" s="4" t="n"/>
      <c r="C976">
        <f>IF(A976="","",SUMPRODUCT((المبيعات!$C$2:$C$2000=A976)*(المبيعات!$B$2:$B$2000&lt;&gt;"")/COUNTIFS(المبيعات!$B$2:$B$2000,المبيعات!$B$2:$B$2000&amp;"",المبيعات!$C$2:$C$2000,المبيعات!$C$2:$C$2000&amp;"")))</f>
        <v/>
      </c>
      <c r="D976">
        <f>IF(A976="","",SUMIFS(المبيعات!$H$2:$H$2000,المبيعات!$C$2:$C$2000,A976))</f>
        <v/>
      </c>
      <c r="E976" s="13">
        <f>IF(A976="","",IF(COUNTIF(المبيعات!$C$2:$C$2000,A976)=0,"",_xlfn.MAXIFS(المبيعات!$A$2:$A$2000,المبيعات!$C$2:$C$2000,A976)))</f>
        <v/>
      </c>
      <c r="F976">
        <f>IF(A976="","",SUMIFS(المبيعات!$H$2:$H$2000,المبيعات!$C$2:$C$2000,A976,المبيعات!$J$2:$J$2000,"آجل"))</f>
        <v/>
      </c>
      <c r="G976" s="4" t="n"/>
      <c r="H976">
        <f>IF(A976="","",F976-G976)</f>
        <v/>
      </c>
    </row>
    <row r="977">
      <c r="A977" s="4" t="n"/>
      <c r="B977" s="4" t="n"/>
      <c r="C977">
        <f>IF(A977="","",SUMPRODUCT((المبيعات!$C$2:$C$2000=A977)*(المبيعات!$B$2:$B$2000&lt;&gt;"")/COUNTIFS(المبيعات!$B$2:$B$2000,المبيعات!$B$2:$B$2000&amp;"",المبيعات!$C$2:$C$2000,المبيعات!$C$2:$C$2000&amp;"")))</f>
        <v/>
      </c>
      <c r="D977">
        <f>IF(A977="","",SUMIFS(المبيعات!$H$2:$H$2000,المبيعات!$C$2:$C$2000,A977))</f>
        <v/>
      </c>
      <c r="E977" s="13">
        <f>IF(A977="","",IF(COUNTIF(المبيعات!$C$2:$C$2000,A977)=0,"",_xlfn.MAXIFS(المبيعات!$A$2:$A$2000,المبيعات!$C$2:$C$2000,A977)))</f>
        <v/>
      </c>
      <c r="F977">
        <f>IF(A977="","",SUMIFS(المبيعات!$H$2:$H$2000,المبيعات!$C$2:$C$2000,A977,المبيعات!$J$2:$J$2000,"آجل"))</f>
        <v/>
      </c>
      <c r="G977" s="4" t="n"/>
      <c r="H977">
        <f>IF(A977="","",F977-G977)</f>
        <v/>
      </c>
    </row>
    <row r="978">
      <c r="A978" s="4" t="n"/>
      <c r="B978" s="4" t="n"/>
      <c r="C978">
        <f>IF(A978="","",SUMPRODUCT((المبيعات!$C$2:$C$2000=A978)*(المبيعات!$B$2:$B$2000&lt;&gt;"")/COUNTIFS(المبيعات!$B$2:$B$2000,المبيعات!$B$2:$B$2000&amp;"",المبيعات!$C$2:$C$2000,المبيعات!$C$2:$C$2000&amp;"")))</f>
        <v/>
      </c>
      <c r="D978">
        <f>IF(A978="","",SUMIFS(المبيعات!$H$2:$H$2000,المبيعات!$C$2:$C$2000,A978))</f>
        <v/>
      </c>
      <c r="E978" s="13">
        <f>IF(A978="","",IF(COUNTIF(المبيعات!$C$2:$C$2000,A978)=0,"",_xlfn.MAXIFS(المبيعات!$A$2:$A$2000,المبيعات!$C$2:$C$2000,A978)))</f>
        <v/>
      </c>
      <c r="F978">
        <f>IF(A978="","",SUMIFS(المبيعات!$H$2:$H$2000,المبيعات!$C$2:$C$2000,A978,المبيعات!$J$2:$J$2000,"آجل"))</f>
        <v/>
      </c>
      <c r="G978" s="4" t="n"/>
      <c r="H978">
        <f>IF(A978="","",F978-G978)</f>
        <v/>
      </c>
    </row>
    <row r="979">
      <c r="A979" s="4" t="n"/>
      <c r="B979" s="4" t="n"/>
      <c r="C979">
        <f>IF(A979="","",SUMPRODUCT((المبيعات!$C$2:$C$2000=A979)*(المبيعات!$B$2:$B$2000&lt;&gt;"")/COUNTIFS(المبيعات!$B$2:$B$2000,المبيعات!$B$2:$B$2000&amp;"",المبيعات!$C$2:$C$2000,المبيعات!$C$2:$C$2000&amp;"")))</f>
        <v/>
      </c>
      <c r="D979">
        <f>IF(A979="","",SUMIFS(المبيعات!$H$2:$H$2000,المبيعات!$C$2:$C$2000,A979))</f>
        <v/>
      </c>
      <c r="E979" s="13">
        <f>IF(A979="","",IF(COUNTIF(المبيعات!$C$2:$C$2000,A979)=0,"",_xlfn.MAXIFS(المبيعات!$A$2:$A$2000,المبيعات!$C$2:$C$2000,A979)))</f>
        <v/>
      </c>
      <c r="F979">
        <f>IF(A979="","",SUMIFS(المبيعات!$H$2:$H$2000,المبيعات!$C$2:$C$2000,A979,المبيعات!$J$2:$J$2000,"آجل"))</f>
        <v/>
      </c>
      <c r="G979" s="4" t="n"/>
      <c r="H979">
        <f>IF(A979="","",F979-G979)</f>
        <v/>
      </c>
    </row>
    <row r="980">
      <c r="A980" s="4" t="n"/>
      <c r="B980" s="4" t="n"/>
      <c r="C980">
        <f>IF(A980="","",SUMPRODUCT((المبيعات!$C$2:$C$2000=A980)*(المبيعات!$B$2:$B$2000&lt;&gt;"")/COUNTIFS(المبيعات!$B$2:$B$2000,المبيعات!$B$2:$B$2000&amp;"",المبيعات!$C$2:$C$2000,المبيعات!$C$2:$C$2000&amp;"")))</f>
        <v/>
      </c>
      <c r="D980">
        <f>IF(A980="","",SUMIFS(المبيعات!$H$2:$H$2000,المبيعات!$C$2:$C$2000,A980))</f>
        <v/>
      </c>
      <c r="E980" s="13">
        <f>IF(A980="","",IF(COUNTIF(المبيعات!$C$2:$C$2000,A980)=0,"",_xlfn.MAXIFS(المبيعات!$A$2:$A$2000,المبيعات!$C$2:$C$2000,A980)))</f>
        <v/>
      </c>
      <c r="F980">
        <f>IF(A980="","",SUMIFS(المبيعات!$H$2:$H$2000,المبيعات!$C$2:$C$2000,A980,المبيعات!$J$2:$J$2000,"آجل"))</f>
        <v/>
      </c>
      <c r="G980" s="4" t="n"/>
      <c r="H980">
        <f>IF(A980="","",F980-G980)</f>
        <v/>
      </c>
    </row>
    <row r="981">
      <c r="A981" s="4" t="n"/>
      <c r="B981" s="4" t="n"/>
      <c r="C981">
        <f>IF(A981="","",SUMPRODUCT((المبيعات!$C$2:$C$2000=A981)*(المبيعات!$B$2:$B$2000&lt;&gt;"")/COUNTIFS(المبيعات!$B$2:$B$2000,المبيعات!$B$2:$B$2000&amp;"",المبيعات!$C$2:$C$2000,المبيعات!$C$2:$C$2000&amp;"")))</f>
        <v/>
      </c>
      <c r="D981">
        <f>IF(A981="","",SUMIFS(المبيعات!$H$2:$H$2000,المبيعات!$C$2:$C$2000,A981))</f>
        <v/>
      </c>
      <c r="E981" s="13">
        <f>IF(A981="","",IF(COUNTIF(المبيعات!$C$2:$C$2000,A981)=0,"",_xlfn.MAXIFS(المبيعات!$A$2:$A$2000,المبيعات!$C$2:$C$2000,A981)))</f>
        <v/>
      </c>
      <c r="F981">
        <f>IF(A981="","",SUMIFS(المبيعات!$H$2:$H$2000,المبيعات!$C$2:$C$2000,A981,المبيعات!$J$2:$J$2000,"آجل"))</f>
        <v/>
      </c>
      <c r="G981" s="4" t="n"/>
      <c r="H981">
        <f>IF(A981="","",F981-G981)</f>
        <v/>
      </c>
    </row>
    <row r="982">
      <c r="A982" s="4" t="n"/>
      <c r="B982" s="4" t="n"/>
      <c r="C982">
        <f>IF(A982="","",SUMPRODUCT((المبيعات!$C$2:$C$2000=A982)*(المبيعات!$B$2:$B$2000&lt;&gt;"")/COUNTIFS(المبيعات!$B$2:$B$2000,المبيعات!$B$2:$B$2000&amp;"",المبيعات!$C$2:$C$2000,المبيعات!$C$2:$C$2000&amp;"")))</f>
        <v/>
      </c>
      <c r="D982">
        <f>IF(A982="","",SUMIFS(المبيعات!$H$2:$H$2000,المبيعات!$C$2:$C$2000,A982))</f>
        <v/>
      </c>
      <c r="E982" s="13">
        <f>IF(A982="","",IF(COUNTIF(المبيعات!$C$2:$C$2000,A982)=0,"",_xlfn.MAXIFS(المبيعات!$A$2:$A$2000,المبيعات!$C$2:$C$2000,A982)))</f>
        <v/>
      </c>
      <c r="F982">
        <f>IF(A982="","",SUMIFS(المبيعات!$H$2:$H$2000,المبيعات!$C$2:$C$2000,A982,المبيعات!$J$2:$J$2000,"آجل"))</f>
        <v/>
      </c>
      <c r="G982" s="4" t="n"/>
      <c r="H982">
        <f>IF(A982="","",F982-G982)</f>
        <v/>
      </c>
    </row>
    <row r="983">
      <c r="A983" s="4" t="n"/>
      <c r="B983" s="4" t="n"/>
      <c r="C983">
        <f>IF(A983="","",SUMPRODUCT((المبيعات!$C$2:$C$2000=A983)*(المبيعات!$B$2:$B$2000&lt;&gt;"")/COUNTIFS(المبيعات!$B$2:$B$2000,المبيعات!$B$2:$B$2000&amp;"",المبيعات!$C$2:$C$2000,المبيعات!$C$2:$C$2000&amp;"")))</f>
        <v/>
      </c>
      <c r="D983">
        <f>IF(A983="","",SUMIFS(المبيعات!$H$2:$H$2000,المبيعات!$C$2:$C$2000,A983))</f>
        <v/>
      </c>
      <c r="E983" s="13">
        <f>IF(A983="","",IF(COUNTIF(المبيعات!$C$2:$C$2000,A983)=0,"",_xlfn.MAXIFS(المبيعات!$A$2:$A$2000,المبيعات!$C$2:$C$2000,A983)))</f>
        <v/>
      </c>
      <c r="F983">
        <f>IF(A983="","",SUMIFS(المبيعات!$H$2:$H$2000,المبيعات!$C$2:$C$2000,A983,المبيعات!$J$2:$J$2000,"آجل"))</f>
        <v/>
      </c>
      <c r="G983" s="4" t="n"/>
      <c r="H983">
        <f>IF(A983="","",F983-G983)</f>
        <v/>
      </c>
    </row>
    <row r="984">
      <c r="A984" s="4" t="n"/>
      <c r="B984" s="4" t="n"/>
      <c r="C984">
        <f>IF(A984="","",SUMPRODUCT((المبيعات!$C$2:$C$2000=A984)*(المبيعات!$B$2:$B$2000&lt;&gt;"")/COUNTIFS(المبيعات!$B$2:$B$2000,المبيعات!$B$2:$B$2000&amp;"",المبيعات!$C$2:$C$2000,المبيعات!$C$2:$C$2000&amp;"")))</f>
        <v/>
      </c>
      <c r="D984">
        <f>IF(A984="","",SUMIFS(المبيعات!$H$2:$H$2000,المبيعات!$C$2:$C$2000,A984))</f>
        <v/>
      </c>
      <c r="E984" s="13">
        <f>IF(A984="","",IF(COUNTIF(المبيعات!$C$2:$C$2000,A984)=0,"",_xlfn.MAXIFS(المبيعات!$A$2:$A$2000,المبيعات!$C$2:$C$2000,A984)))</f>
        <v/>
      </c>
      <c r="F984">
        <f>IF(A984="","",SUMIFS(المبيعات!$H$2:$H$2000,المبيعات!$C$2:$C$2000,A984,المبيعات!$J$2:$J$2000,"آجل"))</f>
        <v/>
      </c>
      <c r="G984" s="4" t="n"/>
      <c r="H984">
        <f>IF(A984="","",F984-G984)</f>
        <v/>
      </c>
    </row>
    <row r="985">
      <c r="A985" s="4" t="n"/>
      <c r="B985" s="4" t="n"/>
      <c r="C985">
        <f>IF(A985="","",SUMPRODUCT((المبيعات!$C$2:$C$2000=A985)*(المبيعات!$B$2:$B$2000&lt;&gt;"")/COUNTIFS(المبيعات!$B$2:$B$2000,المبيعات!$B$2:$B$2000&amp;"",المبيعات!$C$2:$C$2000,المبيعات!$C$2:$C$2000&amp;"")))</f>
        <v/>
      </c>
      <c r="D985">
        <f>IF(A985="","",SUMIFS(المبيعات!$H$2:$H$2000,المبيعات!$C$2:$C$2000,A985))</f>
        <v/>
      </c>
      <c r="E985" s="13">
        <f>IF(A985="","",IF(COUNTIF(المبيعات!$C$2:$C$2000,A985)=0,"",_xlfn.MAXIFS(المبيعات!$A$2:$A$2000,المبيعات!$C$2:$C$2000,A985)))</f>
        <v/>
      </c>
      <c r="F985">
        <f>IF(A985="","",SUMIFS(المبيعات!$H$2:$H$2000,المبيعات!$C$2:$C$2000,A985,المبيعات!$J$2:$J$2000,"آجل"))</f>
        <v/>
      </c>
      <c r="G985" s="4" t="n"/>
      <c r="H985">
        <f>IF(A985="","",F985-G985)</f>
        <v/>
      </c>
    </row>
    <row r="986">
      <c r="A986" s="4" t="n"/>
      <c r="B986" s="4" t="n"/>
      <c r="C986">
        <f>IF(A986="","",SUMPRODUCT((المبيعات!$C$2:$C$2000=A986)*(المبيعات!$B$2:$B$2000&lt;&gt;"")/COUNTIFS(المبيعات!$B$2:$B$2000,المبيعات!$B$2:$B$2000&amp;"",المبيعات!$C$2:$C$2000,المبيعات!$C$2:$C$2000&amp;"")))</f>
        <v/>
      </c>
      <c r="D986">
        <f>IF(A986="","",SUMIFS(المبيعات!$H$2:$H$2000,المبيعات!$C$2:$C$2000,A986))</f>
        <v/>
      </c>
      <c r="E986" s="13">
        <f>IF(A986="","",IF(COUNTIF(المبيعات!$C$2:$C$2000,A986)=0,"",_xlfn.MAXIFS(المبيعات!$A$2:$A$2000,المبيعات!$C$2:$C$2000,A986)))</f>
        <v/>
      </c>
      <c r="F986">
        <f>IF(A986="","",SUMIFS(المبيعات!$H$2:$H$2000,المبيعات!$C$2:$C$2000,A986,المبيعات!$J$2:$J$2000,"آجل"))</f>
        <v/>
      </c>
      <c r="G986" s="4" t="n"/>
      <c r="H986">
        <f>IF(A986="","",F986-G986)</f>
        <v/>
      </c>
    </row>
    <row r="987">
      <c r="A987" s="4" t="n"/>
      <c r="B987" s="4" t="n"/>
      <c r="C987">
        <f>IF(A987="","",SUMPRODUCT((المبيعات!$C$2:$C$2000=A987)*(المبيعات!$B$2:$B$2000&lt;&gt;"")/COUNTIFS(المبيعات!$B$2:$B$2000,المبيعات!$B$2:$B$2000&amp;"",المبيعات!$C$2:$C$2000,المبيعات!$C$2:$C$2000&amp;"")))</f>
        <v/>
      </c>
      <c r="D987">
        <f>IF(A987="","",SUMIFS(المبيعات!$H$2:$H$2000,المبيعات!$C$2:$C$2000,A987))</f>
        <v/>
      </c>
      <c r="E987" s="13">
        <f>IF(A987="","",IF(COUNTIF(المبيعات!$C$2:$C$2000,A987)=0,"",_xlfn.MAXIFS(المبيعات!$A$2:$A$2000,المبيعات!$C$2:$C$2000,A987)))</f>
        <v/>
      </c>
      <c r="F987">
        <f>IF(A987="","",SUMIFS(المبيعات!$H$2:$H$2000,المبيعات!$C$2:$C$2000,A987,المبيعات!$J$2:$J$2000,"آجل"))</f>
        <v/>
      </c>
      <c r="G987" s="4" t="n"/>
      <c r="H987">
        <f>IF(A987="","",F987-G987)</f>
        <v/>
      </c>
    </row>
    <row r="988">
      <c r="A988" s="4" t="n"/>
      <c r="B988" s="4" t="n"/>
      <c r="C988">
        <f>IF(A988="","",SUMPRODUCT((المبيعات!$C$2:$C$2000=A988)*(المبيعات!$B$2:$B$2000&lt;&gt;"")/COUNTIFS(المبيعات!$B$2:$B$2000,المبيعات!$B$2:$B$2000&amp;"",المبيعات!$C$2:$C$2000,المبيعات!$C$2:$C$2000&amp;"")))</f>
        <v/>
      </c>
      <c r="D988">
        <f>IF(A988="","",SUMIFS(المبيعات!$H$2:$H$2000,المبيعات!$C$2:$C$2000,A988))</f>
        <v/>
      </c>
      <c r="E988" s="13">
        <f>IF(A988="","",IF(COUNTIF(المبيعات!$C$2:$C$2000,A988)=0,"",_xlfn.MAXIFS(المبيعات!$A$2:$A$2000,المبيعات!$C$2:$C$2000,A988)))</f>
        <v/>
      </c>
      <c r="F988">
        <f>IF(A988="","",SUMIFS(المبيعات!$H$2:$H$2000,المبيعات!$C$2:$C$2000,A988,المبيعات!$J$2:$J$2000,"آجل"))</f>
        <v/>
      </c>
      <c r="G988" s="4" t="n"/>
      <c r="H988">
        <f>IF(A988="","",F988-G988)</f>
        <v/>
      </c>
    </row>
    <row r="989">
      <c r="A989" s="4" t="n"/>
      <c r="B989" s="4" t="n"/>
      <c r="C989">
        <f>IF(A989="","",SUMPRODUCT((المبيعات!$C$2:$C$2000=A989)*(المبيعات!$B$2:$B$2000&lt;&gt;"")/COUNTIFS(المبيعات!$B$2:$B$2000,المبيعات!$B$2:$B$2000&amp;"",المبيعات!$C$2:$C$2000,المبيعات!$C$2:$C$2000&amp;"")))</f>
        <v/>
      </c>
      <c r="D989">
        <f>IF(A989="","",SUMIFS(المبيعات!$H$2:$H$2000,المبيعات!$C$2:$C$2000,A989))</f>
        <v/>
      </c>
      <c r="E989" s="13">
        <f>IF(A989="","",IF(COUNTIF(المبيعات!$C$2:$C$2000,A989)=0,"",_xlfn.MAXIFS(المبيعات!$A$2:$A$2000,المبيعات!$C$2:$C$2000,A989)))</f>
        <v/>
      </c>
      <c r="F989">
        <f>IF(A989="","",SUMIFS(المبيعات!$H$2:$H$2000,المبيعات!$C$2:$C$2000,A989,المبيعات!$J$2:$J$2000,"آجل"))</f>
        <v/>
      </c>
      <c r="G989" s="4" t="n"/>
      <c r="H989">
        <f>IF(A989="","",F989-G989)</f>
        <v/>
      </c>
    </row>
    <row r="990">
      <c r="A990" s="4" t="n"/>
      <c r="B990" s="4" t="n"/>
      <c r="C990">
        <f>IF(A990="","",SUMPRODUCT((المبيعات!$C$2:$C$2000=A990)*(المبيعات!$B$2:$B$2000&lt;&gt;"")/COUNTIFS(المبيعات!$B$2:$B$2000,المبيعات!$B$2:$B$2000&amp;"",المبيعات!$C$2:$C$2000,المبيعات!$C$2:$C$2000&amp;"")))</f>
        <v/>
      </c>
      <c r="D990">
        <f>IF(A990="","",SUMIFS(المبيعات!$H$2:$H$2000,المبيعات!$C$2:$C$2000,A990))</f>
        <v/>
      </c>
      <c r="E990" s="13">
        <f>IF(A990="","",IF(COUNTIF(المبيعات!$C$2:$C$2000,A990)=0,"",_xlfn.MAXIFS(المبيعات!$A$2:$A$2000,المبيعات!$C$2:$C$2000,A990)))</f>
        <v/>
      </c>
      <c r="F990">
        <f>IF(A990="","",SUMIFS(المبيعات!$H$2:$H$2000,المبيعات!$C$2:$C$2000,A990,المبيعات!$J$2:$J$2000,"آجل"))</f>
        <v/>
      </c>
      <c r="G990" s="4" t="n"/>
      <c r="H990">
        <f>IF(A990="","",F990-G990)</f>
        <v/>
      </c>
    </row>
    <row r="991">
      <c r="A991" s="4" t="n"/>
      <c r="B991" s="4" t="n"/>
      <c r="C991">
        <f>IF(A991="","",SUMPRODUCT((المبيعات!$C$2:$C$2000=A991)*(المبيعات!$B$2:$B$2000&lt;&gt;"")/COUNTIFS(المبيعات!$B$2:$B$2000,المبيعات!$B$2:$B$2000&amp;"",المبيعات!$C$2:$C$2000,المبيعات!$C$2:$C$2000&amp;"")))</f>
        <v/>
      </c>
      <c r="D991">
        <f>IF(A991="","",SUMIFS(المبيعات!$H$2:$H$2000,المبيعات!$C$2:$C$2000,A991))</f>
        <v/>
      </c>
      <c r="E991" s="13">
        <f>IF(A991="","",IF(COUNTIF(المبيعات!$C$2:$C$2000,A991)=0,"",_xlfn.MAXIFS(المبيعات!$A$2:$A$2000,المبيعات!$C$2:$C$2000,A991)))</f>
        <v/>
      </c>
      <c r="F991">
        <f>IF(A991="","",SUMIFS(المبيعات!$H$2:$H$2000,المبيعات!$C$2:$C$2000,A991,المبيعات!$J$2:$J$2000,"آجل"))</f>
        <v/>
      </c>
      <c r="G991" s="4" t="n"/>
      <c r="H991">
        <f>IF(A991="","",F991-G991)</f>
        <v/>
      </c>
    </row>
    <row r="992">
      <c r="A992" s="4" t="n"/>
      <c r="B992" s="4" t="n"/>
      <c r="C992">
        <f>IF(A992="","",SUMPRODUCT((المبيعات!$C$2:$C$2000=A992)*(المبيعات!$B$2:$B$2000&lt;&gt;"")/COUNTIFS(المبيعات!$B$2:$B$2000,المبيعات!$B$2:$B$2000&amp;"",المبيعات!$C$2:$C$2000,المبيعات!$C$2:$C$2000&amp;"")))</f>
        <v/>
      </c>
      <c r="D992">
        <f>IF(A992="","",SUMIFS(المبيعات!$H$2:$H$2000,المبيعات!$C$2:$C$2000,A992))</f>
        <v/>
      </c>
      <c r="E992" s="13">
        <f>IF(A992="","",IF(COUNTIF(المبيعات!$C$2:$C$2000,A992)=0,"",_xlfn.MAXIFS(المبيعات!$A$2:$A$2000,المبيعات!$C$2:$C$2000,A992)))</f>
        <v/>
      </c>
      <c r="F992">
        <f>IF(A992="","",SUMIFS(المبيعات!$H$2:$H$2000,المبيعات!$C$2:$C$2000,A992,المبيعات!$J$2:$J$2000,"آجل"))</f>
        <v/>
      </c>
      <c r="G992" s="4" t="n"/>
      <c r="H992">
        <f>IF(A992="","",F992-G992)</f>
        <v/>
      </c>
    </row>
    <row r="993">
      <c r="A993" s="4" t="n"/>
      <c r="B993" s="4" t="n"/>
      <c r="C993">
        <f>IF(A993="","",SUMPRODUCT((المبيعات!$C$2:$C$2000=A993)*(المبيعات!$B$2:$B$2000&lt;&gt;"")/COUNTIFS(المبيعات!$B$2:$B$2000,المبيعات!$B$2:$B$2000&amp;"",المبيعات!$C$2:$C$2000,المبيعات!$C$2:$C$2000&amp;"")))</f>
        <v/>
      </c>
      <c r="D993">
        <f>IF(A993="","",SUMIFS(المبيعات!$H$2:$H$2000,المبيعات!$C$2:$C$2000,A993))</f>
        <v/>
      </c>
      <c r="E993" s="13">
        <f>IF(A993="","",IF(COUNTIF(المبيعات!$C$2:$C$2000,A993)=0,"",_xlfn.MAXIFS(المبيعات!$A$2:$A$2000,المبيعات!$C$2:$C$2000,A993)))</f>
        <v/>
      </c>
      <c r="F993">
        <f>IF(A993="","",SUMIFS(المبيعات!$H$2:$H$2000,المبيعات!$C$2:$C$2000,A993,المبيعات!$J$2:$J$2000,"آجل"))</f>
        <v/>
      </c>
      <c r="G993" s="4" t="n"/>
      <c r="H993">
        <f>IF(A993="","",F993-G993)</f>
        <v/>
      </c>
    </row>
    <row r="994">
      <c r="A994" s="4" t="n"/>
      <c r="B994" s="4" t="n"/>
      <c r="C994">
        <f>IF(A994="","",SUMPRODUCT((المبيعات!$C$2:$C$2000=A994)*(المبيعات!$B$2:$B$2000&lt;&gt;"")/COUNTIFS(المبيعات!$B$2:$B$2000,المبيعات!$B$2:$B$2000&amp;"",المبيعات!$C$2:$C$2000,المبيعات!$C$2:$C$2000&amp;"")))</f>
        <v/>
      </c>
      <c r="D994">
        <f>IF(A994="","",SUMIFS(المبيعات!$H$2:$H$2000,المبيعات!$C$2:$C$2000,A994))</f>
        <v/>
      </c>
      <c r="E994" s="13">
        <f>IF(A994="","",IF(COUNTIF(المبيعات!$C$2:$C$2000,A994)=0,"",_xlfn.MAXIFS(المبيعات!$A$2:$A$2000,المبيعات!$C$2:$C$2000,A994)))</f>
        <v/>
      </c>
      <c r="F994">
        <f>IF(A994="","",SUMIFS(المبيعات!$H$2:$H$2000,المبيعات!$C$2:$C$2000,A994,المبيعات!$J$2:$J$2000,"آجل"))</f>
        <v/>
      </c>
      <c r="G994" s="4" t="n"/>
      <c r="H994">
        <f>IF(A994="","",F994-G994)</f>
        <v/>
      </c>
    </row>
    <row r="995">
      <c r="A995" s="4" t="n"/>
      <c r="B995" s="4" t="n"/>
      <c r="C995">
        <f>IF(A995="","",SUMPRODUCT((المبيعات!$C$2:$C$2000=A995)*(المبيعات!$B$2:$B$2000&lt;&gt;"")/COUNTIFS(المبيعات!$B$2:$B$2000,المبيعات!$B$2:$B$2000&amp;"",المبيعات!$C$2:$C$2000,المبيعات!$C$2:$C$2000&amp;"")))</f>
        <v/>
      </c>
      <c r="D995">
        <f>IF(A995="","",SUMIFS(المبيعات!$H$2:$H$2000,المبيعات!$C$2:$C$2000,A995))</f>
        <v/>
      </c>
      <c r="E995" s="13">
        <f>IF(A995="","",IF(COUNTIF(المبيعات!$C$2:$C$2000,A995)=0,"",_xlfn.MAXIFS(المبيعات!$A$2:$A$2000,المبيعات!$C$2:$C$2000,A995)))</f>
        <v/>
      </c>
      <c r="F995">
        <f>IF(A995="","",SUMIFS(المبيعات!$H$2:$H$2000,المبيعات!$C$2:$C$2000,A995,المبيعات!$J$2:$J$2000,"آجل"))</f>
        <v/>
      </c>
      <c r="G995" s="4" t="n"/>
      <c r="H995">
        <f>IF(A995="","",F995-G995)</f>
        <v/>
      </c>
    </row>
    <row r="996">
      <c r="A996" s="4" t="n"/>
      <c r="B996" s="4" t="n"/>
      <c r="C996">
        <f>IF(A996="","",SUMPRODUCT((المبيعات!$C$2:$C$2000=A996)*(المبيعات!$B$2:$B$2000&lt;&gt;"")/COUNTIFS(المبيعات!$B$2:$B$2000,المبيعات!$B$2:$B$2000&amp;"",المبيعات!$C$2:$C$2000,المبيعات!$C$2:$C$2000&amp;"")))</f>
        <v/>
      </c>
      <c r="D996">
        <f>IF(A996="","",SUMIFS(المبيعات!$H$2:$H$2000,المبيعات!$C$2:$C$2000,A996))</f>
        <v/>
      </c>
      <c r="E996" s="13">
        <f>IF(A996="","",IF(COUNTIF(المبيعات!$C$2:$C$2000,A996)=0,"",_xlfn.MAXIFS(المبيعات!$A$2:$A$2000,المبيعات!$C$2:$C$2000,A996)))</f>
        <v/>
      </c>
      <c r="F996">
        <f>IF(A996="","",SUMIFS(المبيعات!$H$2:$H$2000,المبيعات!$C$2:$C$2000,A996,المبيعات!$J$2:$J$2000,"آجل"))</f>
        <v/>
      </c>
      <c r="G996" s="4" t="n"/>
      <c r="H996">
        <f>IF(A996="","",F996-G996)</f>
        <v/>
      </c>
    </row>
    <row r="997">
      <c r="A997" s="4" t="n"/>
      <c r="B997" s="4" t="n"/>
      <c r="C997">
        <f>IF(A997="","",SUMPRODUCT((المبيعات!$C$2:$C$2000=A997)*(المبيعات!$B$2:$B$2000&lt;&gt;"")/COUNTIFS(المبيعات!$B$2:$B$2000,المبيعات!$B$2:$B$2000&amp;"",المبيعات!$C$2:$C$2000,المبيعات!$C$2:$C$2000&amp;"")))</f>
        <v/>
      </c>
      <c r="D997">
        <f>IF(A997="","",SUMIFS(المبيعات!$H$2:$H$2000,المبيعات!$C$2:$C$2000,A997))</f>
        <v/>
      </c>
      <c r="E997" s="13">
        <f>IF(A997="","",IF(COUNTIF(المبيعات!$C$2:$C$2000,A997)=0,"",_xlfn.MAXIFS(المبيعات!$A$2:$A$2000,المبيعات!$C$2:$C$2000,A997)))</f>
        <v/>
      </c>
      <c r="F997">
        <f>IF(A997="","",SUMIFS(المبيعات!$H$2:$H$2000,المبيعات!$C$2:$C$2000,A997,المبيعات!$J$2:$J$2000,"آجل"))</f>
        <v/>
      </c>
      <c r="G997" s="4" t="n"/>
      <c r="H997">
        <f>IF(A997="","",F997-G997)</f>
        <v/>
      </c>
    </row>
    <row r="998">
      <c r="A998" s="4" t="n"/>
      <c r="B998" s="4" t="n"/>
      <c r="C998">
        <f>IF(A998="","",SUMPRODUCT((المبيعات!$C$2:$C$2000=A998)*(المبيعات!$B$2:$B$2000&lt;&gt;"")/COUNTIFS(المبيعات!$B$2:$B$2000,المبيعات!$B$2:$B$2000&amp;"",المبيعات!$C$2:$C$2000,المبيعات!$C$2:$C$2000&amp;"")))</f>
        <v/>
      </c>
      <c r="D998">
        <f>IF(A998="","",SUMIFS(المبيعات!$H$2:$H$2000,المبيعات!$C$2:$C$2000,A998))</f>
        <v/>
      </c>
      <c r="E998" s="13">
        <f>IF(A998="","",IF(COUNTIF(المبيعات!$C$2:$C$2000,A998)=0,"",_xlfn.MAXIFS(المبيعات!$A$2:$A$2000,المبيعات!$C$2:$C$2000,A998)))</f>
        <v/>
      </c>
      <c r="F998">
        <f>IF(A998="","",SUMIFS(المبيعات!$H$2:$H$2000,المبيعات!$C$2:$C$2000,A998,المبيعات!$J$2:$J$2000,"آجل"))</f>
        <v/>
      </c>
      <c r="G998" s="4" t="n"/>
      <c r="H998">
        <f>IF(A998="","",F998-G998)</f>
        <v/>
      </c>
    </row>
    <row r="999">
      <c r="A999" s="4" t="n"/>
      <c r="B999" s="4" t="n"/>
      <c r="C999">
        <f>IF(A999="","",SUMPRODUCT((المبيعات!$C$2:$C$2000=A999)*(المبيعات!$B$2:$B$2000&lt;&gt;"")/COUNTIFS(المبيعات!$B$2:$B$2000,المبيعات!$B$2:$B$2000&amp;"",المبيعات!$C$2:$C$2000,المبيعات!$C$2:$C$2000&amp;"")))</f>
        <v/>
      </c>
      <c r="D999">
        <f>IF(A999="","",SUMIFS(المبيعات!$H$2:$H$2000,المبيعات!$C$2:$C$2000,A999))</f>
        <v/>
      </c>
      <c r="E999" s="13">
        <f>IF(A999="","",IF(COUNTIF(المبيعات!$C$2:$C$2000,A999)=0,"",_xlfn.MAXIFS(المبيعات!$A$2:$A$2000,المبيعات!$C$2:$C$2000,A999)))</f>
        <v/>
      </c>
      <c r="F999">
        <f>IF(A999="","",SUMIFS(المبيعات!$H$2:$H$2000,المبيعات!$C$2:$C$2000,A999,المبيعات!$J$2:$J$2000,"آجل"))</f>
        <v/>
      </c>
      <c r="G999" s="4" t="n"/>
      <c r="H999">
        <f>IF(A999="","",F999-G999)</f>
        <v/>
      </c>
    </row>
    <row r="1000">
      <c r="A1000" s="4" t="n"/>
      <c r="B1000" s="4" t="n"/>
      <c r="C1000">
        <f>IF(A1000="","",SUMPRODUCT((المبيعات!$C$2:$C$2000=A1000)*(المبيعات!$B$2:$B$2000&lt;&gt;"")/COUNTIFS(المبيعات!$B$2:$B$2000,المبيعات!$B$2:$B$2000&amp;"",المبيعات!$C$2:$C$2000,المبيعات!$C$2:$C$2000&amp;"")))</f>
        <v/>
      </c>
      <c r="D1000">
        <f>IF(A1000="","",SUMIFS(المبيعات!$H$2:$H$2000,المبيعات!$C$2:$C$2000,A1000))</f>
        <v/>
      </c>
      <c r="E1000" s="13">
        <f>IF(A1000="","",IF(COUNTIF(المبيعات!$C$2:$C$2000,A1000)=0,"",_xlfn.MAXIFS(المبيعات!$A$2:$A$2000,المبيعات!$C$2:$C$2000,A1000)))</f>
        <v/>
      </c>
      <c r="F1000">
        <f>IF(A1000="","",SUMIFS(المبيعات!$H$2:$H$2000,المبيعات!$C$2:$C$2000,A1000,المبيعات!$J$2:$J$2000,"آجل"))</f>
        <v/>
      </c>
      <c r="G1000" s="4" t="n"/>
      <c r="H1000">
        <f>IF(A1000="","",F1000-G1000)</f>
        <v/>
      </c>
    </row>
    <row r="1001">
      <c r="A1001" s="4" t="n"/>
      <c r="B1001" s="4" t="n"/>
      <c r="C1001">
        <f>IF(A1001="","",SUMPRODUCT((المبيعات!$C$2:$C$2000=A1001)*(المبيعات!$B$2:$B$2000&lt;&gt;"")/COUNTIFS(المبيعات!$B$2:$B$2000,المبيعات!$B$2:$B$2000&amp;"",المبيعات!$C$2:$C$2000,المبيعات!$C$2:$C$2000&amp;"")))</f>
        <v/>
      </c>
      <c r="D1001">
        <f>IF(A1001="","",SUMIFS(المبيعات!$H$2:$H$2000,المبيعات!$C$2:$C$2000,A1001))</f>
        <v/>
      </c>
      <c r="E1001" s="13">
        <f>IF(A1001="","",IF(COUNTIF(المبيعات!$C$2:$C$2000,A1001)=0,"",_xlfn.MAXIFS(المبيعات!$A$2:$A$2000,المبيعات!$C$2:$C$2000,A1001)))</f>
        <v/>
      </c>
      <c r="F1001">
        <f>IF(A1001="","",SUMIFS(المبيعات!$H$2:$H$2000,المبيعات!$C$2:$C$2000,A1001,المبيعات!$J$2:$J$2000,"آجل"))</f>
        <v/>
      </c>
      <c r="G1001" s="4" t="n"/>
      <c r="H1001">
        <f>IF(A1001="","",F1001-G1001)</f>
        <v/>
      </c>
    </row>
    <row r="1002">
      <c r="A1002" s="4" t="n"/>
      <c r="B1002" s="4" t="n"/>
      <c r="C1002">
        <f>IF(A1002="","",SUMPRODUCT((المبيعات!$C$2:$C$2000=A1002)*(المبيعات!$B$2:$B$2000&lt;&gt;"")/COUNTIFS(المبيعات!$B$2:$B$2000,المبيعات!$B$2:$B$2000&amp;"",المبيعات!$C$2:$C$2000,المبيعات!$C$2:$C$2000&amp;"")))</f>
        <v/>
      </c>
      <c r="D1002">
        <f>IF(A1002="","",SUMIFS(المبيعات!$H$2:$H$2000,المبيعات!$C$2:$C$2000,A1002))</f>
        <v/>
      </c>
      <c r="E1002" s="13">
        <f>IF(A1002="","",IF(COUNTIF(المبيعات!$C$2:$C$2000,A1002)=0,"",_xlfn.MAXIFS(المبيعات!$A$2:$A$2000,المبيعات!$C$2:$C$2000,A1002)))</f>
        <v/>
      </c>
      <c r="F1002">
        <f>IF(A1002="","",SUMIFS(المبيعات!$H$2:$H$2000,المبيعات!$C$2:$C$2000,A1002,المبيعات!$J$2:$J$2000,"آجل"))</f>
        <v/>
      </c>
      <c r="G1002" s="4" t="n"/>
      <c r="H1002">
        <f>IF(A1002="","",F1002-G1002)</f>
        <v/>
      </c>
    </row>
    <row r="1003">
      <c r="A1003" s="4" t="n"/>
      <c r="B1003" s="4" t="n"/>
      <c r="C1003">
        <f>IF(A1003="","",SUMPRODUCT((المبيعات!$C$2:$C$2000=A1003)*(المبيعات!$B$2:$B$2000&lt;&gt;"")/COUNTIFS(المبيعات!$B$2:$B$2000,المبيعات!$B$2:$B$2000&amp;"",المبيعات!$C$2:$C$2000,المبيعات!$C$2:$C$2000&amp;"")))</f>
        <v/>
      </c>
      <c r="D1003">
        <f>IF(A1003="","",SUMIFS(المبيعات!$H$2:$H$2000,المبيعات!$C$2:$C$2000,A1003))</f>
        <v/>
      </c>
      <c r="E1003" s="13">
        <f>IF(A1003="","",IF(COUNTIF(المبيعات!$C$2:$C$2000,A1003)=0,"",_xlfn.MAXIFS(المبيعات!$A$2:$A$2000,المبيعات!$C$2:$C$2000,A1003)))</f>
        <v/>
      </c>
      <c r="F1003">
        <f>IF(A1003="","",SUMIFS(المبيعات!$H$2:$H$2000,المبيعات!$C$2:$C$2000,A1003,المبيعات!$J$2:$J$2000,"آجل"))</f>
        <v/>
      </c>
      <c r="G1003" s="4" t="n"/>
      <c r="H1003">
        <f>IF(A1003="","",F1003-G1003)</f>
        <v/>
      </c>
    </row>
    <row r="1004">
      <c r="A1004" s="4" t="n"/>
      <c r="B1004" s="4" t="n"/>
      <c r="C1004">
        <f>IF(A1004="","",SUMPRODUCT((المبيعات!$C$2:$C$2000=A1004)*(المبيعات!$B$2:$B$2000&lt;&gt;"")/COUNTIFS(المبيعات!$B$2:$B$2000,المبيعات!$B$2:$B$2000&amp;"",المبيعات!$C$2:$C$2000,المبيعات!$C$2:$C$2000&amp;"")))</f>
        <v/>
      </c>
      <c r="D1004">
        <f>IF(A1004="","",SUMIFS(المبيعات!$H$2:$H$2000,المبيعات!$C$2:$C$2000,A1004))</f>
        <v/>
      </c>
      <c r="E1004" s="13">
        <f>IF(A1004="","",IF(COUNTIF(المبيعات!$C$2:$C$2000,A1004)=0,"",_xlfn.MAXIFS(المبيعات!$A$2:$A$2000,المبيعات!$C$2:$C$2000,A1004)))</f>
        <v/>
      </c>
      <c r="F1004">
        <f>IF(A1004="","",SUMIFS(المبيعات!$H$2:$H$2000,المبيعات!$C$2:$C$2000,A1004,المبيعات!$J$2:$J$2000,"آجل"))</f>
        <v/>
      </c>
      <c r="G1004" s="4" t="n"/>
      <c r="H1004">
        <f>IF(A1004="","",F1004-G1004)</f>
        <v/>
      </c>
    </row>
    <row r="1005">
      <c r="A1005" s="4" t="n"/>
      <c r="B1005" s="4" t="n"/>
      <c r="C1005">
        <f>IF(A1005="","",SUMPRODUCT((المبيعات!$C$2:$C$2000=A1005)*(المبيعات!$B$2:$B$2000&lt;&gt;"")/COUNTIFS(المبيعات!$B$2:$B$2000,المبيعات!$B$2:$B$2000&amp;"",المبيعات!$C$2:$C$2000,المبيعات!$C$2:$C$2000&amp;"")))</f>
        <v/>
      </c>
      <c r="D1005">
        <f>IF(A1005="","",SUMIFS(المبيعات!$H$2:$H$2000,المبيعات!$C$2:$C$2000,A1005))</f>
        <v/>
      </c>
      <c r="E1005" s="13">
        <f>IF(A1005="","",IF(COUNTIF(المبيعات!$C$2:$C$2000,A1005)=0,"",_xlfn.MAXIFS(المبيعات!$A$2:$A$2000,المبيعات!$C$2:$C$2000,A1005)))</f>
        <v/>
      </c>
      <c r="F1005">
        <f>IF(A1005="","",SUMIFS(المبيعات!$H$2:$H$2000,المبيعات!$C$2:$C$2000,A1005,المبيعات!$J$2:$J$2000,"آجل"))</f>
        <v/>
      </c>
      <c r="G1005" s="4" t="n"/>
      <c r="H1005">
        <f>IF(A1005="","",F1005-G1005)</f>
        <v/>
      </c>
    </row>
    <row r="1006">
      <c r="A1006" s="4" t="n"/>
      <c r="B1006" s="4" t="n"/>
      <c r="C1006">
        <f>IF(A1006="","",SUMPRODUCT((المبيعات!$C$2:$C$2000=A1006)*(المبيعات!$B$2:$B$2000&lt;&gt;"")/COUNTIFS(المبيعات!$B$2:$B$2000,المبيعات!$B$2:$B$2000&amp;"",المبيعات!$C$2:$C$2000,المبيعات!$C$2:$C$2000&amp;"")))</f>
        <v/>
      </c>
      <c r="D1006">
        <f>IF(A1006="","",SUMIFS(المبيعات!$H$2:$H$2000,المبيعات!$C$2:$C$2000,A1006))</f>
        <v/>
      </c>
      <c r="E1006" s="13">
        <f>IF(A1006="","",IF(COUNTIF(المبيعات!$C$2:$C$2000,A1006)=0,"",_xlfn.MAXIFS(المبيعات!$A$2:$A$2000,المبيعات!$C$2:$C$2000,A1006)))</f>
        <v/>
      </c>
      <c r="F1006">
        <f>IF(A1006="","",SUMIFS(المبيعات!$H$2:$H$2000,المبيعات!$C$2:$C$2000,A1006,المبيعات!$J$2:$J$2000,"آجل"))</f>
        <v/>
      </c>
      <c r="G1006" s="4" t="n"/>
      <c r="H1006">
        <f>IF(A1006="","",F1006-G1006)</f>
        <v/>
      </c>
    </row>
    <row r="1007">
      <c r="A1007" s="4" t="n"/>
      <c r="B1007" s="4" t="n"/>
      <c r="C1007">
        <f>IF(A1007="","",SUMPRODUCT((المبيعات!$C$2:$C$2000=A1007)*(المبيعات!$B$2:$B$2000&lt;&gt;"")/COUNTIFS(المبيعات!$B$2:$B$2000,المبيعات!$B$2:$B$2000&amp;"",المبيعات!$C$2:$C$2000,المبيعات!$C$2:$C$2000&amp;"")))</f>
        <v/>
      </c>
      <c r="D1007">
        <f>IF(A1007="","",SUMIFS(المبيعات!$H$2:$H$2000,المبيعات!$C$2:$C$2000,A1007))</f>
        <v/>
      </c>
      <c r="E1007" s="13">
        <f>IF(A1007="","",IF(COUNTIF(المبيعات!$C$2:$C$2000,A1007)=0,"",_xlfn.MAXIFS(المبيعات!$A$2:$A$2000,المبيعات!$C$2:$C$2000,A1007)))</f>
        <v/>
      </c>
      <c r="F1007">
        <f>IF(A1007="","",SUMIFS(المبيعات!$H$2:$H$2000,المبيعات!$C$2:$C$2000,A1007,المبيعات!$J$2:$J$2000,"آجل"))</f>
        <v/>
      </c>
      <c r="G1007" s="4" t="n"/>
      <c r="H1007">
        <f>IF(A1007="","",F1007-G1007)</f>
        <v/>
      </c>
    </row>
    <row r="1008">
      <c r="A1008" s="4" t="n"/>
      <c r="B1008" s="4" t="n"/>
      <c r="C1008">
        <f>IF(A1008="","",SUMPRODUCT((المبيعات!$C$2:$C$2000=A1008)*(المبيعات!$B$2:$B$2000&lt;&gt;"")/COUNTIFS(المبيعات!$B$2:$B$2000,المبيعات!$B$2:$B$2000&amp;"",المبيعات!$C$2:$C$2000,المبيعات!$C$2:$C$2000&amp;"")))</f>
        <v/>
      </c>
      <c r="D1008">
        <f>IF(A1008="","",SUMIFS(المبيعات!$H$2:$H$2000,المبيعات!$C$2:$C$2000,A1008))</f>
        <v/>
      </c>
      <c r="E1008" s="13">
        <f>IF(A1008="","",IF(COUNTIF(المبيعات!$C$2:$C$2000,A1008)=0,"",_xlfn.MAXIFS(المبيعات!$A$2:$A$2000,المبيعات!$C$2:$C$2000,A1008)))</f>
        <v/>
      </c>
      <c r="F1008">
        <f>IF(A1008="","",SUMIFS(المبيعات!$H$2:$H$2000,المبيعات!$C$2:$C$2000,A1008,المبيعات!$J$2:$J$2000,"آجل"))</f>
        <v/>
      </c>
      <c r="G1008" s="4" t="n"/>
      <c r="H1008">
        <f>IF(A1008="","",F1008-G1008)</f>
        <v/>
      </c>
    </row>
    <row r="1009">
      <c r="A1009" s="4" t="n"/>
      <c r="B1009" s="4" t="n"/>
      <c r="C1009">
        <f>IF(A1009="","",SUMPRODUCT((المبيعات!$C$2:$C$2000=A1009)*(المبيعات!$B$2:$B$2000&lt;&gt;"")/COUNTIFS(المبيعات!$B$2:$B$2000,المبيعات!$B$2:$B$2000&amp;"",المبيعات!$C$2:$C$2000,المبيعات!$C$2:$C$2000&amp;"")))</f>
        <v/>
      </c>
      <c r="D1009">
        <f>IF(A1009="","",SUMIFS(المبيعات!$H$2:$H$2000,المبيعات!$C$2:$C$2000,A1009))</f>
        <v/>
      </c>
      <c r="E1009" s="13">
        <f>IF(A1009="","",IF(COUNTIF(المبيعات!$C$2:$C$2000,A1009)=0,"",_xlfn.MAXIFS(المبيعات!$A$2:$A$2000,المبيعات!$C$2:$C$2000,A1009)))</f>
        <v/>
      </c>
      <c r="F1009">
        <f>IF(A1009="","",SUMIFS(المبيعات!$H$2:$H$2000,المبيعات!$C$2:$C$2000,A1009,المبيعات!$J$2:$J$2000,"آجل"))</f>
        <v/>
      </c>
      <c r="G1009" s="4" t="n"/>
      <c r="H1009">
        <f>IF(A1009="","",F1009-G1009)</f>
        <v/>
      </c>
    </row>
    <row r="1010">
      <c r="A1010" s="4" t="n"/>
      <c r="B1010" s="4" t="n"/>
      <c r="C1010">
        <f>IF(A1010="","",SUMPRODUCT((المبيعات!$C$2:$C$2000=A1010)*(المبيعات!$B$2:$B$2000&lt;&gt;"")/COUNTIFS(المبيعات!$B$2:$B$2000,المبيعات!$B$2:$B$2000&amp;"",المبيعات!$C$2:$C$2000,المبيعات!$C$2:$C$2000&amp;"")))</f>
        <v/>
      </c>
      <c r="D1010">
        <f>IF(A1010="","",SUMIFS(المبيعات!$H$2:$H$2000,المبيعات!$C$2:$C$2000,A1010))</f>
        <v/>
      </c>
      <c r="E1010" s="13">
        <f>IF(A1010="","",IF(COUNTIF(المبيعات!$C$2:$C$2000,A1010)=0,"",_xlfn.MAXIFS(المبيعات!$A$2:$A$2000,المبيعات!$C$2:$C$2000,A1010)))</f>
        <v/>
      </c>
      <c r="F1010">
        <f>IF(A1010="","",SUMIFS(المبيعات!$H$2:$H$2000,المبيعات!$C$2:$C$2000,A1010,المبيعات!$J$2:$J$2000,"آجل"))</f>
        <v/>
      </c>
      <c r="G1010" s="4" t="n"/>
      <c r="H1010">
        <f>IF(A1010="","",F1010-G1010)</f>
        <v/>
      </c>
    </row>
    <row r="1011">
      <c r="A1011" s="4" t="n"/>
      <c r="B1011" s="4" t="n"/>
      <c r="C1011">
        <f>IF(A1011="","",SUMPRODUCT((المبيعات!$C$2:$C$2000=A1011)*(المبيعات!$B$2:$B$2000&lt;&gt;"")/COUNTIFS(المبيعات!$B$2:$B$2000,المبيعات!$B$2:$B$2000&amp;"",المبيعات!$C$2:$C$2000,المبيعات!$C$2:$C$2000&amp;"")))</f>
        <v/>
      </c>
      <c r="D1011">
        <f>IF(A1011="","",SUMIFS(المبيعات!$H$2:$H$2000,المبيعات!$C$2:$C$2000,A1011))</f>
        <v/>
      </c>
      <c r="E1011" s="13">
        <f>IF(A1011="","",IF(COUNTIF(المبيعات!$C$2:$C$2000,A1011)=0,"",_xlfn.MAXIFS(المبيعات!$A$2:$A$2000,المبيعات!$C$2:$C$2000,A1011)))</f>
        <v/>
      </c>
      <c r="F1011">
        <f>IF(A1011="","",SUMIFS(المبيعات!$H$2:$H$2000,المبيعات!$C$2:$C$2000,A1011,المبيعات!$J$2:$J$2000,"آجل"))</f>
        <v/>
      </c>
      <c r="G1011" s="4" t="n"/>
      <c r="H1011">
        <f>IF(A1011="","",F1011-G1011)</f>
        <v/>
      </c>
    </row>
    <row r="1012">
      <c r="A1012" s="4" t="n"/>
      <c r="B1012" s="4" t="n"/>
      <c r="C1012">
        <f>IF(A1012="","",SUMPRODUCT((المبيعات!$C$2:$C$2000=A1012)*(المبيعات!$B$2:$B$2000&lt;&gt;"")/COUNTIFS(المبيعات!$B$2:$B$2000,المبيعات!$B$2:$B$2000&amp;"",المبيعات!$C$2:$C$2000,المبيعات!$C$2:$C$2000&amp;"")))</f>
        <v/>
      </c>
      <c r="D1012">
        <f>IF(A1012="","",SUMIFS(المبيعات!$H$2:$H$2000,المبيعات!$C$2:$C$2000,A1012))</f>
        <v/>
      </c>
      <c r="E1012" s="13">
        <f>IF(A1012="","",IF(COUNTIF(المبيعات!$C$2:$C$2000,A1012)=0,"",_xlfn.MAXIFS(المبيعات!$A$2:$A$2000,المبيعات!$C$2:$C$2000,A1012)))</f>
        <v/>
      </c>
      <c r="F1012">
        <f>IF(A1012="","",SUMIFS(المبيعات!$H$2:$H$2000,المبيعات!$C$2:$C$2000,A1012,المبيعات!$J$2:$J$2000,"آجل"))</f>
        <v/>
      </c>
      <c r="G1012" s="4" t="n"/>
      <c r="H1012">
        <f>IF(A1012="","",F1012-G1012)</f>
        <v/>
      </c>
    </row>
    <row r="1013">
      <c r="A1013" s="4" t="n"/>
      <c r="B1013" s="4" t="n"/>
      <c r="C1013">
        <f>IF(A1013="","",SUMPRODUCT((المبيعات!$C$2:$C$2000=A1013)*(المبيعات!$B$2:$B$2000&lt;&gt;"")/COUNTIFS(المبيعات!$B$2:$B$2000,المبيعات!$B$2:$B$2000&amp;"",المبيعات!$C$2:$C$2000,المبيعات!$C$2:$C$2000&amp;"")))</f>
        <v/>
      </c>
      <c r="D1013">
        <f>IF(A1013="","",SUMIFS(المبيعات!$H$2:$H$2000,المبيعات!$C$2:$C$2000,A1013))</f>
        <v/>
      </c>
      <c r="E1013" s="13">
        <f>IF(A1013="","",IF(COUNTIF(المبيعات!$C$2:$C$2000,A1013)=0,"",_xlfn.MAXIFS(المبيعات!$A$2:$A$2000,المبيعات!$C$2:$C$2000,A1013)))</f>
        <v/>
      </c>
      <c r="F1013">
        <f>IF(A1013="","",SUMIFS(المبيعات!$H$2:$H$2000,المبيعات!$C$2:$C$2000,A1013,المبيعات!$J$2:$J$2000,"آجل"))</f>
        <v/>
      </c>
      <c r="G1013" s="4" t="n"/>
      <c r="H1013">
        <f>IF(A1013="","",F1013-G1013)</f>
        <v/>
      </c>
    </row>
    <row r="1014">
      <c r="A1014" s="4" t="n"/>
      <c r="B1014" s="4" t="n"/>
      <c r="C1014">
        <f>IF(A1014="","",SUMPRODUCT((المبيعات!$C$2:$C$2000=A1014)*(المبيعات!$B$2:$B$2000&lt;&gt;"")/COUNTIFS(المبيعات!$B$2:$B$2000,المبيعات!$B$2:$B$2000&amp;"",المبيعات!$C$2:$C$2000,المبيعات!$C$2:$C$2000&amp;"")))</f>
        <v/>
      </c>
      <c r="D1014">
        <f>IF(A1014="","",SUMIFS(المبيعات!$H$2:$H$2000,المبيعات!$C$2:$C$2000,A1014))</f>
        <v/>
      </c>
      <c r="E1014" s="13">
        <f>IF(A1014="","",IF(COUNTIF(المبيعات!$C$2:$C$2000,A1014)=0,"",_xlfn.MAXIFS(المبيعات!$A$2:$A$2000,المبيعات!$C$2:$C$2000,A1014)))</f>
        <v/>
      </c>
      <c r="F1014">
        <f>IF(A1014="","",SUMIFS(المبيعات!$H$2:$H$2000,المبيعات!$C$2:$C$2000,A1014,المبيعات!$J$2:$J$2000,"آجل"))</f>
        <v/>
      </c>
      <c r="G1014" s="4" t="n"/>
      <c r="H1014">
        <f>IF(A1014="","",F1014-G1014)</f>
        <v/>
      </c>
    </row>
    <row r="1015">
      <c r="A1015" s="4" t="n"/>
      <c r="B1015" s="4" t="n"/>
      <c r="C1015">
        <f>IF(A1015="","",SUMPRODUCT((المبيعات!$C$2:$C$2000=A1015)*(المبيعات!$B$2:$B$2000&lt;&gt;"")/COUNTIFS(المبيعات!$B$2:$B$2000,المبيعات!$B$2:$B$2000&amp;"",المبيعات!$C$2:$C$2000,المبيعات!$C$2:$C$2000&amp;"")))</f>
        <v/>
      </c>
      <c r="D1015">
        <f>IF(A1015="","",SUMIFS(المبيعات!$H$2:$H$2000,المبيعات!$C$2:$C$2000,A1015))</f>
        <v/>
      </c>
      <c r="E1015" s="13">
        <f>IF(A1015="","",IF(COUNTIF(المبيعات!$C$2:$C$2000,A1015)=0,"",_xlfn.MAXIFS(المبيعات!$A$2:$A$2000,المبيعات!$C$2:$C$2000,A1015)))</f>
        <v/>
      </c>
      <c r="F1015">
        <f>IF(A1015="","",SUMIFS(المبيعات!$H$2:$H$2000,المبيعات!$C$2:$C$2000,A1015,المبيعات!$J$2:$J$2000,"آجل"))</f>
        <v/>
      </c>
      <c r="G1015" s="4" t="n"/>
      <c r="H1015">
        <f>IF(A1015="","",F1015-G1015)</f>
        <v/>
      </c>
    </row>
    <row r="1016">
      <c r="A1016" s="4" t="n"/>
      <c r="B1016" s="4" t="n"/>
      <c r="C1016">
        <f>IF(A1016="","",SUMPRODUCT((المبيعات!$C$2:$C$2000=A1016)*(المبيعات!$B$2:$B$2000&lt;&gt;"")/COUNTIFS(المبيعات!$B$2:$B$2000,المبيعات!$B$2:$B$2000&amp;"",المبيعات!$C$2:$C$2000,المبيعات!$C$2:$C$2000&amp;"")))</f>
        <v/>
      </c>
      <c r="D1016">
        <f>IF(A1016="","",SUMIFS(المبيعات!$H$2:$H$2000,المبيعات!$C$2:$C$2000,A1016))</f>
        <v/>
      </c>
      <c r="E1016" s="13">
        <f>IF(A1016="","",IF(COUNTIF(المبيعات!$C$2:$C$2000,A1016)=0,"",_xlfn.MAXIFS(المبيعات!$A$2:$A$2000,المبيعات!$C$2:$C$2000,A1016)))</f>
        <v/>
      </c>
      <c r="F1016">
        <f>IF(A1016="","",SUMIFS(المبيعات!$H$2:$H$2000,المبيعات!$C$2:$C$2000,A1016,المبيعات!$J$2:$J$2000,"آجل"))</f>
        <v/>
      </c>
      <c r="G1016" s="4" t="n"/>
      <c r="H1016">
        <f>IF(A1016="","",F1016-G1016)</f>
        <v/>
      </c>
    </row>
    <row r="1017">
      <c r="A1017" s="4" t="n"/>
      <c r="B1017" s="4" t="n"/>
      <c r="C1017">
        <f>IF(A1017="","",SUMPRODUCT((المبيعات!$C$2:$C$2000=A1017)*(المبيعات!$B$2:$B$2000&lt;&gt;"")/COUNTIFS(المبيعات!$B$2:$B$2000,المبيعات!$B$2:$B$2000&amp;"",المبيعات!$C$2:$C$2000,المبيعات!$C$2:$C$2000&amp;"")))</f>
        <v/>
      </c>
      <c r="D1017">
        <f>IF(A1017="","",SUMIFS(المبيعات!$H$2:$H$2000,المبيعات!$C$2:$C$2000,A1017))</f>
        <v/>
      </c>
      <c r="E1017" s="13">
        <f>IF(A1017="","",IF(COUNTIF(المبيعات!$C$2:$C$2000,A1017)=0,"",_xlfn.MAXIFS(المبيعات!$A$2:$A$2000,المبيعات!$C$2:$C$2000,A1017)))</f>
        <v/>
      </c>
      <c r="F1017">
        <f>IF(A1017="","",SUMIFS(المبيعات!$H$2:$H$2000,المبيعات!$C$2:$C$2000,A1017,المبيعات!$J$2:$J$2000,"آجل"))</f>
        <v/>
      </c>
      <c r="G1017" s="4" t="n"/>
      <c r="H1017">
        <f>IF(A1017="","",F1017-G1017)</f>
        <v/>
      </c>
    </row>
    <row r="1018">
      <c r="A1018" s="4" t="n"/>
      <c r="B1018" s="4" t="n"/>
      <c r="C1018">
        <f>IF(A1018="","",SUMPRODUCT((المبيعات!$C$2:$C$2000=A1018)*(المبيعات!$B$2:$B$2000&lt;&gt;"")/COUNTIFS(المبيعات!$B$2:$B$2000,المبيعات!$B$2:$B$2000&amp;"",المبيعات!$C$2:$C$2000,المبيعات!$C$2:$C$2000&amp;"")))</f>
        <v/>
      </c>
      <c r="D1018">
        <f>IF(A1018="","",SUMIFS(المبيعات!$H$2:$H$2000,المبيعات!$C$2:$C$2000,A1018))</f>
        <v/>
      </c>
      <c r="E1018" s="13">
        <f>IF(A1018="","",IF(COUNTIF(المبيعات!$C$2:$C$2000,A1018)=0,"",_xlfn.MAXIFS(المبيعات!$A$2:$A$2000,المبيعات!$C$2:$C$2000,A1018)))</f>
        <v/>
      </c>
      <c r="F1018">
        <f>IF(A1018="","",SUMIFS(المبيعات!$H$2:$H$2000,المبيعات!$C$2:$C$2000,A1018,المبيعات!$J$2:$J$2000,"آجل"))</f>
        <v/>
      </c>
      <c r="G1018" s="4" t="n"/>
      <c r="H1018">
        <f>IF(A1018="","",F1018-G1018)</f>
        <v/>
      </c>
    </row>
    <row r="1019">
      <c r="A1019" s="4" t="n"/>
      <c r="B1019" s="4" t="n"/>
      <c r="C1019">
        <f>IF(A1019="","",SUMPRODUCT((المبيعات!$C$2:$C$2000=A1019)*(المبيعات!$B$2:$B$2000&lt;&gt;"")/COUNTIFS(المبيعات!$B$2:$B$2000,المبيعات!$B$2:$B$2000&amp;"",المبيعات!$C$2:$C$2000,المبيعات!$C$2:$C$2000&amp;"")))</f>
        <v/>
      </c>
      <c r="D1019">
        <f>IF(A1019="","",SUMIFS(المبيعات!$H$2:$H$2000,المبيعات!$C$2:$C$2000,A1019))</f>
        <v/>
      </c>
      <c r="E1019" s="13">
        <f>IF(A1019="","",IF(COUNTIF(المبيعات!$C$2:$C$2000,A1019)=0,"",_xlfn.MAXIFS(المبيعات!$A$2:$A$2000,المبيعات!$C$2:$C$2000,A1019)))</f>
        <v/>
      </c>
      <c r="F1019">
        <f>IF(A1019="","",SUMIFS(المبيعات!$H$2:$H$2000,المبيعات!$C$2:$C$2000,A1019,المبيعات!$J$2:$J$2000,"آجل"))</f>
        <v/>
      </c>
      <c r="G1019" s="4" t="n"/>
      <c r="H1019">
        <f>IF(A1019="","",F1019-G1019)</f>
        <v/>
      </c>
    </row>
    <row r="1020">
      <c r="A1020" s="4" t="n"/>
      <c r="B1020" s="4" t="n"/>
      <c r="C1020">
        <f>IF(A1020="","",SUMPRODUCT((المبيعات!$C$2:$C$2000=A1020)*(المبيعات!$B$2:$B$2000&lt;&gt;"")/COUNTIFS(المبيعات!$B$2:$B$2000,المبيعات!$B$2:$B$2000&amp;"",المبيعات!$C$2:$C$2000,المبيعات!$C$2:$C$2000&amp;"")))</f>
        <v/>
      </c>
      <c r="D1020">
        <f>IF(A1020="","",SUMIFS(المبيعات!$H$2:$H$2000,المبيعات!$C$2:$C$2000,A1020))</f>
        <v/>
      </c>
      <c r="E1020" s="13">
        <f>IF(A1020="","",IF(COUNTIF(المبيعات!$C$2:$C$2000,A1020)=0,"",_xlfn.MAXIFS(المبيعات!$A$2:$A$2000,المبيعات!$C$2:$C$2000,A1020)))</f>
        <v/>
      </c>
      <c r="F1020">
        <f>IF(A1020="","",SUMIFS(المبيعات!$H$2:$H$2000,المبيعات!$C$2:$C$2000,A1020,المبيعات!$J$2:$J$2000,"آجل"))</f>
        <v/>
      </c>
      <c r="G1020" s="4" t="n"/>
      <c r="H1020">
        <f>IF(A1020="","",F1020-G1020)</f>
        <v/>
      </c>
    </row>
    <row r="1021">
      <c r="A1021" s="4" t="n"/>
      <c r="B1021" s="4" t="n"/>
      <c r="C1021">
        <f>IF(A1021="","",SUMPRODUCT((المبيعات!$C$2:$C$2000=A1021)*(المبيعات!$B$2:$B$2000&lt;&gt;"")/COUNTIFS(المبيعات!$B$2:$B$2000,المبيعات!$B$2:$B$2000&amp;"",المبيعات!$C$2:$C$2000,المبيعات!$C$2:$C$2000&amp;"")))</f>
        <v/>
      </c>
      <c r="D1021">
        <f>IF(A1021="","",SUMIFS(المبيعات!$H$2:$H$2000,المبيعات!$C$2:$C$2000,A1021))</f>
        <v/>
      </c>
      <c r="E1021" s="13">
        <f>IF(A1021="","",IF(COUNTIF(المبيعات!$C$2:$C$2000,A1021)=0,"",_xlfn.MAXIFS(المبيعات!$A$2:$A$2000,المبيعات!$C$2:$C$2000,A1021)))</f>
        <v/>
      </c>
      <c r="F1021">
        <f>IF(A1021="","",SUMIFS(المبيعات!$H$2:$H$2000,المبيعات!$C$2:$C$2000,A1021,المبيعات!$J$2:$J$2000,"آجل"))</f>
        <v/>
      </c>
      <c r="G1021" s="4" t="n"/>
      <c r="H1021">
        <f>IF(A1021="","",F1021-G1021)</f>
        <v/>
      </c>
    </row>
    <row r="1022">
      <c r="A1022" s="4" t="n"/>
      <c r="B1022" s="4" t="n"/>
      <c r="C1022">
        <f>IF(A1022="","",SUMPRODUCT((المبيعات!$C$2:$C$2000=A1022)*(المبيعات!$B$2:$B$2000&lt;&gt;"")/COUNTIFS(المبيعات!$B$2:$B$2000,المبيعات!$B$2:$B$2000&amp;"",المبيعات!$C$2:$C$2000,المبيعات!$C$2:$C$2000&amp;"")))</f>
        <v/>
      </c>
      <c r="D1022">
        <f>IF(A1022="","",SUMIFS(المبيعات!$H$2:$H$2000,المبيعات!$C$2:$C$2000,A1022))</f>
        <v/>
      </c>
      <c r="E1022" s="13">
        <f>IF(A1022="","",IF(COUNTIF(المبيعات!$C$2:$C$2000,A1022)=0,"",_xlfn.MAXIFS(المبيعات!$A$2:$A$2000,المبيعات!$C$2:$C$2000,A1022)))</f>
        <v/>
      </c>
      <c r="F1022">
        <f>IF(A1022="","",SUMIFS(المبيعات!$H$2:$H$2000,المبيعات!$C$2:$C$2000,A1022,المبيعات!$J$2:$J$2000,"آجل"))</f>
        <v/>
      </c>
      <c r="G1022" s="4" t="n"/>
      <c r="H1022">
        <f>IF(A1022="","",F1022-G1022)</f>
        <v/>
      </c>
    </row>
    <row r="1023">
      <c r="A1023" s="4" t="n"/>
      <c r="B1023" s="4" t="n"/>
      <c r="C1023">
        <f>IF(A1023="","",SUMPRODUCT((المبيعات!$C$2:$C$2000=A1023)*(المبيعات!$B$2:$B$2000&lt;&gt;"")/COUNTIFS(المبيعات!$B$2:$B$2000,المبيعات!$B$2:$B$2000&amp;"",المبيعات!$C$2:$C$2000,المبيعات!$C$2:$C$2000&amp;"")))</f>
        <v/>
      </c>
      <c r="D1023">
        <f>IF(A1023="","",SUMIFS(المبيعات!$H$2:$H$2000,المبيعات!$C$2:$C$2000,A1023))</f>
        <v/>
      </c>
      <c r="E1023" s="13">
        <f>IF(A1023="","",IF(COUNTIF(المبيعات!$C$2:$C$2000,A1023)=0,"",_xlfn.MAXIFS(المبيعات!$A$2:$A$2000,المبيعات!$C$2:$C$2000,A1023)))</f>
        <v/>
      </c>
      <c r="F1023">
        <f>IF(A1023="","",SUMIFS(المبيعات!$H$2:$H$2000,المبيعات!$C$2:$C$2000,A1023,المبيعات!$J$2:$J$2000,"آجل"))</f>
        <v/>
      </c>
      <c r="G1023" s="4" t="n"/>
      <c r="H1023">
        <f>IF(A1023="","",F1023-G1023)</f>
        <v/>
      </c>
    </row>
    <row r="1024">
      <c r="A1024" s="4" t="n"/>
      <c r="B1024" s="4" t="n"/>
      <c r="C1024">
        <f>IF(A1024="","",SUMPRODUCT((المبيعات!$C$2:$C$2000=A1024)*(المبيعات!$B$2:$B$2000&lt;&gt;"")/COUNTIFS(المبيعات!$B$2:$B$2000,المبيعات!$B$2:$B$2000&amp;"",المبيعات!$C$2:$C$2000,المبيعات!$C$2:$C$2000&amp;"")))</f>
        <v/>
      </c>
      <c r="D1024">
        <f>IF(A1024="","",SUMIFS(المبيعات!$H$2:$H$2000,المبيعات!$C$2:$C$2000,A1024))</f>
        <v/>
      </c>
      <c r="E1024" s="13">
        <f>IF(A1024="","",IF(COUNTIF(المبيعات!$C$2:$C$2000,A1024)=0,"",_xlfn.MAXIFS(المبيعات!$A$2:$A$2000,المبيعات!$C$2:$C$2000,A1024)))</f>
        <v/>
      </c>
      <c r="F1024">
        <f>IF(A1024="","",SUMIFS(المبيعات!$H$2:$H$2000,المبيعات!$C$2:$C$2000,A1024,المبيعات!$J$2:$J$2000,"آجل"))</f>
        <v/>
      </c>
      <c r="G1024" s="4" t="n"/>
      <c r="H1024">
        <f>IF(A1024="","",F1024-G1024)</f>
        <v/>
      </c>
    </row>
    <row r="1025">
      <c r="A1025" s="4" t="n"/>
      <c r="B1025" s="4" t="n"/>
      <c r="C1025">
        <f>IF(A1025="","",SUMPRODUCT((المبيعات!$C$2:$C$2000=A1025)*(المبيعات!$B$2:$B$2000&lt;&gt;"")/COUNTIFS(المبيعات!$B$2:$B$2000,المبيعات!$B$2:$B$2000&amp;"",المبيعات!$C$2:$C$2000,المبيعات!$C$2:$C$2000&amp;"")))</f>
        <v/>
      </c>
      <c r="D1025">
        <f>IF(A1025="","",SUMIFS(المبيعات!$H$2:$H$2000,المبيعات!$C$2:$C$2000,A1025))</f>
        <v/>
      </c>
      <c r="E1025" s="13">
        <f>IF(A1025="","",IF(COUNTIF(المبيعات!$C$2:$C$2000,A1025)=0,"",_xlfn.MAXIFS(المبيعات!$A$2:$A$2000,المبيعات!$C$2:$C$2000,A1025)))</f>
        <v/>
      </c>
      <c r="F1025">
        <f>IF(A1025="","",SUMIFS(المبيعات!$H$2:$H$2000,المبيعات!$C$2:$C$2000,A1025,المبيعات!$J$2:$J$2000,"آجل"))</f>
        <v/>
      </c>
      <c r="G1025" s="4" t="n"/>
      <c r="H1025">
        <f>IF(A1025="","",F1025-G1025)</f>
        <v/>
      </c>
    </row>
    <row r="1026">
      <c r="A1026" s="4" t="n"/>
      <c r="B1026" s="4" t="n"/>
      <c r="C1026">
        <f>IF(A1026="","",SUMPRODUCT((المبيعات!$C$2:$C$2000=A1026)*(المبيعات!$B$2:$B$2000&lt;&gt;"")/COUNTIFS(المبيعات!$B$2:$B$2000,المبيعات!$B$2:$B$2000&amp;"",المبيعات!$C$2:$C$2000,المبيعات!$C$2:$C$2000&amp;"")))</f>
        <v/>
      </c>
      <c r="D1026">
        <f>IF(A1026="","",SUMIFS(المبيعات!$H$2:$H$2000,المبيعات!$C$2:$C$2000,A1026))</f>
        <v/>
      </c>
      <c r="E1026" s="13">
        <f>IF(A1026="","",IF(COUNTIF(المبيعات!$C$2:$C$2000,A1026)=0,"",_xlfn.MAXIFS(المبيعات!$A$2:$A$2000,المبيعات!$C$2:$C$2000,A1026)))</f>
        <v/>
      </c>
      <c r="F1026">
        <f>IF(A1026="","",SUMIFS(المبيعات!$H$2:$H$2000,المبيعات!$C$2:$C$2000,A1026,المبيعات!$J$2:$J$2000,"آجل"))</f>
        <v/>
      </c>
      <c r="G1026" s="4" t="n"/>
      <c r="H1026">
        <f>IF(A1026="","",F1026-G1026)</f>
        <v/>
      </c>
    </row>
    <row r="1027">
      <c r="A1027" s="4" t="n"/>
      <c r="B1027" s="4" t="n"/>
      <c r="C1027">
        <f>IF(A1027="","",SUMPRODUCT((المبيعات!$C$2:$C$2000=A1027)*(المبيعات!$B$2:$B$2000&lt;&gt;"")/COUNTIFS(المبيعات!$B$2:$B$2000,المبيعات!$B$2:$B$2000&amp;"",المبيعات!$C$2:$C$2000,المبيعات!$C$2:$C$2000&amp;"")))</f>
        <v/>
      </c>
      <c r="D1027">
        <f>IF(A1027="","",SUMIFS(المبيعات!$H$2:$H$2000,المبيعات!$C$2:$C$2000,A1027))</f>
        <v/>
      </c>
      <c r="E1027" s="13">
        <f>IF(A1027="","",IF(COUNTIF(المبيعات!$C$2:$C$2000,A1027)=0,"",_xlfn.MAXIFS(المبيعات!$A$2:$A$2000,المبيعات!$C$2:$C$2000,A1027)))</f>
        <v/>
      </c>
      <c r="F1027">
        <f>IF(A1027="","",SUMIFS(المبيعات!$H$2:$H$2000,المبيعات!$C$2:$C$2000,A1027,المبيعات!$J$2:$J$2000,"آجل"))</f>
        <v/>
      </c>
      <c r="G1027" s="4" t="n"/>
      <c r="H1027">
        <f>IF(A1027="","",F1027-G1027)</f>
        <v/>
      </c>
    </row>
    <row r="1028">
      <c r="A1028" s="4" t="n"/>
      <c r="B1028" s="4" t="n"/>
      <c r="C1028">
        <f>IF(A1028="","",SUMPRODUCT((المبيعات!$C$2:$C$2000=A1028)*(المبيعات!$B$2:$B$2000&lt;&gt;"")/COUNTIFS(المبيعات!$B$2:$B$2000,المبيعات!$B$2:$B$2000&amp;"",المبيعات!$C$2:$C$2000,المبيعات!$C$2:$C$2000&amp;"")))</f>
        <v/>
      </c>
      <c r="D1028">
        <f>IF(A1028="","",SUMIFS(المبيعات!$H$2:$H$2000,المبيعات!$C$2:$C$2000,A1028))</f>
        <v/>
      </c>
      <c r="E1028" s="13">
        <f>IF(A1028="","",IF(COUNTIF(المبيعات!$C$2:$C$2000,A1028)=0,"",_xlfn.MAXIFS(المبيعات!$A$2:$A$2000,المبيعات!$C$2:$C$2000,A1028)))</f>
        <v/>
      </c>
      <c r="F1028">
        <f>IF(A1028="","",SUMIFS(المبيعات!$H$2:$H$2000,المبيعات!$C$2:$C$2000,A1028,المبيعات!$J$2:$J$2000,"آجل"))</f>
        <v/>
      </c>
      <c r="G1028" s="4" t="n"/>
      <c r="H1028">
        <f>IF(A1028="","",F1028-G1028)</f>
        <v/>
      </c>
    </row>
    <row r="1029">
      <c r="A1029" s="4" t="n"/>
      <c r="B1029" s="4" t="n"/>
      <c r="C1029">
        <f>IF(A1029="","",SUMPRODUCT((المبيعات!$C$2:$C$2000=A1029)*(المبيعات!$B$2:$B$2000&lt;&gt;"")/COUNTIFS(المبيعات!$B$2:$B$2000,المبيعات!$B$2:$B$2000&amp;"",المبيعات!$C$2:$C$2000,المبيعات!$C$2:$C$2000&amp;"")))</f>
        <v/>
      </c>
      <c r="D1029">
        <f>IF(A1029="","",SUMIFS(المبيعات!$H$2:$H$2000,المبيعات!$C$2:$C$2000,A1029))</f>
        <v/>
      </c>
      <c r="E1029" s="13">
        <f>IF(A1029="","",IF(COUNTIF(المبيعات!$C$2:$C$2000,A1029)=0,"",_xlfn.MAXIFS(المبيعات!$A$2:$A$2000,المبيعات!$C$2:$C$2000,A1029)))</f>
        <v/>
      </c>
      <c r="F1029">
        <f>IF(A1029="","",SUMIFS(المبيعات!$H$2:$H$2000,المبيعات!$C$2:$C$2000,A1029,المبيعات!$J$2:$J$2000,"آجل"))</f>
        <v/>
      </c>
      <c r="G1029" s="4" t="n"/>
      <c r="H1029">
        <f>IF(A1029="","",F1029-G1029)</f>
        <v/>
      </c>
    </row>
    <row r="1030">
      <c r="A1030" s="4" t="n"/>
      <c r="B1030" s="4" t="n"/>
      <c r="C1030">
        <f>IF(A1030="","",SUMPRODUCT((المبيعات!$C$2:$C$2000=A1030)*(المبيعات!$B$2:$B$2000&lt;&gt;"")/COUNTIFS(المبيعات!$B$2:$B$2000,المبيعات!$B$2:$B$2000&amp;"",المبيعات!$C$2:$C$2000,المبيعات!$C$2:$C$2000&amp;"")))</f>
        <v/>
      </c>
      <c r="D1030">
        <f>IF(A1030="","",SUMIFS(المبيعات!$H$2:$H$2000,المبيعات!$C$2:$C$2000,A1030))</f>
        <v/>
      </c>
      <c r="E1030" s="13">
        <f>IF(A1030="","",IF(COUNTIF(المبيعات!$C$2:$C$2000,A1030)=0,"",_xlfn.MAXIFS(المبيعات!$A$2:$A$2000,المبيعات!$C$2:$C$2000,A1030)))</f>
        <v/>
      </c>
      <c r="F1030">
        <f>IF(A1030="","",SUMIFS(المبيعات!$H$2:$H$2000,المبيعات!$C$2:$C$2000,A1030,المبيعات!$J$2:$J$2000,"آجل"))</f>
        <v/>
      </c>
      <c r="G1030" s="4" t="n"/>
      <c r="H1030">
        <f>IF(A1030="","",F1030-G1030)</f>
        <v/>
      </c>
    </row>
    <row r="1031">
      <c r="A1031" s="4" t="n"/>
      <c r="B1031" s="4" t="n"/>
      <c r="C1031">
        <f>IF(A1031="","",SUMPRODUCT((المبيعات!$C$2:$C$2000=A1031)*(المبيعات!$B$2:$B$2000&lt;&gt;"")/COUNTIFS(المبيعات!$B$2:$B$2000,المبيعات!$B$2:$B$2000&amp;"",المبيعات!$C$2:$C$2000,المبيعات!$C$2:$C$2000&amp;"")))</f>
        <v/>
      </c>
      <c r="D1031">
        <f>IF(A1031="","",SUMIFS(المبيعات!$H$2:$H$2000,المبيعات!$C$2:$C$2000,A1031))</f>
        <v/>
      </c>
      <c r="E1031" s="13">
        <f>IF(A1031="","",IF(COUNTIF(المبيعات!$C$2:$C$2000,A1031)=0,"",_xlfn.MAXIFS(المبيعات!$A$2:$A$2000,المبيعات!$C$2:$C$2000,A1031)))</f>
        <v/>
      </c>
      <c r="F1031">
        <f>IF(A1031="","",SUMIFS(المبيعات!$H$2:$H$2000,المبيعات!$C$2:$C$2000,A1031,المبيعات!$J$2:$J$2000,"آجل"))</f>
        <v/>
      </c>
      <c r="G1031" s="4" t="n"/>
      <c r="H1031">
        <f>IF(A1031="","",F1031-G1031)</f>
        <v/>
      </c>
    </row>
    <row r="1032">
      <c r="A1032" s="4" t="n"/>
      <c r="B1032" s="4" t="n"/>
      <c r="C1032">
        <f>IF(A1032="","",SUMPRODUCT((المبيعات!$C$2:$C$2000=A1032)*(المبيعات!$B$2:$B$2000&lt;&gt;"")/COUNTIFS(المبيعات!$B$2:$B$2000,المبيعات!$B$2:$B$2000&amp;"",المبيعات!$C$2:$C$2000,المبيعات!$C$2:$C$2000&amp;"")))</f>
        <v/>
      </c>
      <c r="D1032">
        <f>IF(A1032="","",SUMIFS(المبيعات!$H$2:$H$2000,المبيعات!$C$2:$C$2000,A1032))</f>
        <v/>
      </c>
      <c r="E1032" s="13">
        <f>IF(A1032="","",IF(COUNTIF(المبيعات!$C$2:$C$2000,A1032)=0,"",_xlfn.MAXIFS(المبيعات!$A$2:$A$2000,المبيعات!$C$2:$C$2000,A1032)))</f>
        <v/>
      </c>
      <c r="F1032">
        <f>IF(A1032="","",SUMIFS(المبيعات!$H$2:$H$2000,المبيعات!$C$2:$C$2000,A1032,المبيعات!$J$2:$J$2000,"آجل"))</f>
        <v/>
      </c>
      <c r="G1032" s="4" t="n"/>
      <c r="H1032">
        <f>IF(A1032="","",F1032-G1032)</f>
        <v/>
      </c>
    </row>
    <row r="1033">
      <c r="A1033" s="4" t="n"/>
      <c r="B1033" s="4" t="n"/>
      <c r="C1033">
        <f>IF(A1033="","",SUMPRODUCT((المبيعات!$C$2:$C$2000=A1033)*(المبيعات!$B$2:$B$2000&lt;&gt;"")/COUNTIFS(المبيعات!$B$2:$B$2000,المبيعات!$B$2:$B$2000&amp;"",المبيعات!$C$2:$C$2000,المبيعات!$C$2:$C$2000&amp;"")))</f>
        <v/>
      </c>
      <c r="D1033">
        <f>IF(A1033="","",SUMIFS(المبيعات!$H$2:$H$2000,المبيعات!$C$2:$C$2000,A1033))</f>
        <v/>
      </c>
      <c r="E1033" s="13">
        <f>IF(A1033="","",IF(COUNTIF(المبيعات!$C$2:$C$2000,A1033)=0,"",_xlfn.MAXIFS(المبيعات!$A$2:$A$2000,المبيعات!$C$2:$C$2000,A1033)))</f>
        <v/>
      </c>
      <c r="F1033">
        <f>IF(A1033="","",SUMIFS(المبيعات!$H$2:$H$2000,المبيعات!$C$2:$C$2000,A1033,المبيعات!$J$2:$J$2000,"آجل"))</f>
        <v/>
      </c>
      <c r="G1033" s="4" t="n"/>
      <c r="H1033">
        <f>IF(A1033="","",F1033-G1033)</f>
        <v/>
      </c>
    </row>
    <row r="1034">
      <c r="A1034" s="4" t="n"/>
      <c r="B1034" s="4" t="n"/>
      <c r="C1034">
        <f>IF(A1034="","",SUMPRODUCT((المبيعات!$C$2:$C$2000=A1034)*(المبيعات!$B$2:$B$2000&lt;&gt;"")/COUNTIFS(المبيعات!$B$2:$B$2000,المبيعات!$B$2:$B$2000&amp;"",المبيعات!$C$2:$C$2000,المبيعات!$C$2:$C$2000&amp;"")))</f>
        <v/>
      </c>
      <c r="D1034">
        <f>IF(A1034="","",SUMIFS(المبيعات!$H$2:$H$2000,المبيعات!$C$2:$C$2000,A1034))</f>
        <v/>
      </c>
      <c r="E1034" s="13">
        <f>IF(A1034="","",IF(COUNTIF(المبيعات!$C$2:$C$2000,A1034)=0,"",_xlfn.MAXIFS(المبيعات!$A$2:$A$2000,المبيعات!$C$2:$C$2000,A1034)))</f>
        <v/>
      </c>
      <c r="F1034">
        <f>IF(A1034="","",SUMIFS(المبيعات!$H$2:$H$2000,المبيعات!$C$2:$C$2000,A1034,المبيعات!$J$2:$J$2000,"آجل"))</f>
        <v/>
      </c>
      <c r="G1034" s="4" t="n"/>
      <c r="H1034">
        <f>IF(A1034="","",F1034-G1034)</f>
        <v/>
      </c>
    </row>
    <row r="1035">
      <c r="A1035" s="4" t="n"/>
      <c r="B1035" s="4" t="n"/>
      <c r="C1035">
        <f>IF(A1035="","",SUMPRODUCT((المبيعات!$C$2:$C$2000=A1035)*(المبيعات!$B$2:$B$2000&lt;&gt;"")/COUNTIFS(المبيعات!$B$2:$B$2000,المبيعات!$B$2:$B$2000&amp;"",المبيعات!$C$2:$C$2000,المبيعات!$C$2:$C$2000&amp;"")))</f>
        <v/>
      </c>
      <c r="D1035">
        <f>IF(A1035="","",SUMIFS(المبيعات!$H$2:$H$2000,المبيعات!$C$2:$C$2000,A1035))</f>
        <v/>
      </c>
      <c r="E1035" s="13">
        <f>IF(A1035="","",IF(COUNTIF(المبيعات!$C$2:$C$2000,A1035)=0,"",_xlfn.MAXIFS(المبيعات!$A$2:$A$2000,المبيعات!$C$2:$C$2000,A1035)))</f>
        <v/>
      </c>
      <c r="F1035">
        <f>IF(A1035="","",SUMIFS(المبيعات!$H$2:$H$2000,المبيعات!$C$2:$C$2000,A1035,المبيعات!$J$2:$J$2000,"آجل"))</f>
        <v/>
      </c>
      <c r="G1035" s="4" t="n"/>
      <c r="H1035">
        <f>IF(A1035="","",F1035-G1035)</f>
        <v/>
      </c>
    </row>
    <row r="1036">
      <c r="A1036" s="4" t="n"/>
      <c r="B1036" s="4" t="n"/>
      <c r="C1036">
        <f>IF(A1036="","",SUMPRODUCT((المبيعات!$C$2:$C$2000=A1036)*(المبيعات!$B$2:$B$2000&lt;&gt;"")/COUNTIFS(المبيعات!$B$2:$B$2000,المبيعات!$B$2:$B$2000&amp;"",المبيعات!$C$2:$C$2000,المبيعات!$C$2:$C$2000&amp;"")))</f>
        <v/>
      </c>
      <c r="D1036">
        <f>IF(A1036="","",SUMIFS(المبيعات!$H$2:$H$2000,المبيعات!$C$2:$C$2000,A1036))</f>
        <v/>
      </c>
      <c r="E1036" s="13">
        <f>IF(A1036="","",IF(COUNTIF(المبيعات!$C$2:$C$2000,A1036)=0,"",_xlfn.MAXIFS(المبيعات!$A$2:$A$2000,المبيعات!$C$2:$C$2000,A1036)))</f>
        <v/>
      </c>
      <c r="F1036">
        <f>IF(A1036="","",SUMIFS(المبيعات!$H$2:$H$2000,المبيعات!$C$2:$C$2000,A1036,المبيعات!$J$2:$J$2000,"آجل"))</f>
        <v/>
      </c>
      <c r="G1036" s="4" t="n"/>
      <c r="H1036">
        <f>IF(A1036="","",F1036-G1036)</f>
        <v/>
      </c>
    </row>
    <row r="1037">
      <c r="A1037" s="4" t="n"/>
      <c r="B1037" s="4" t="n"/>
      <c r="C1037">
        <f>IF(A1037="","",SUMPRODUCT((المبيعات!$C$2:$C$2000=A1037)*(المبيعات!$B$2:$B$2000&lt;&gt;"")/COUNTIFS(المبيعات!$B$2:$B$2000,المبيعات!$B$2:$B$2000&amp;"",المبيعات!$C$2:$C$2000,المبيعات!$C$2:$C$2000&amp;"")))</f>
        <v/>
      </c>
      <c r="D1037">
        <f>IF(A1037="","",SUMIFS(المبيعات!$H$2:$H$2000,المبيعات!$C$2:$C$2000,A1037))</f>
        <v/>
      </c>
      <c r="E1037" s="13">
        <f>IF(A1037="","",IF(COUNTIF(المبيعات!$C$2:$C$2000,A1037)=0,"",_xlfn.MAXIFS(المبيعات!$A$2:$A$2000,المبيعات!$C$2:$C$2000,A1037)))</f>
        <v/>
      </c>
      <c r="F1037">
        <f>IF(A1037="","",SUMIFS(المبيعات!$H$2:$H$2000,المبيعات!$C$2:$C$2000,A1037,المبيعات!$J$2:$J$2000,"آجل"))</f>
        <v/>
      </c>
      <c r="G1037" s="4" t="n"/>
      <c r="H1037">
        <f>IF(A1037="","",F1037-G1037)</f>
        <v/>
      </c>
    </row>
    <row r="1038">
      <c r="A1038" s="4" t="n"/>
      <c r="B1038" s="4" t="n"/>
      <c r="C1038">
        <f>IF(A1038="","",SUMPRODUCT((المبيعات!$C$2:$C$2000=A1038)*(المبيعات!$B$2:$B$2000&lt;&gt;"")/COUNTIFS(المبيعات!$B$2:$B$2000,المبيعات!$B$2:$B$2000&amp;"",المبيعات!$C$2:$C$2000,المبيعات!$C$2:$C$2000&amp;"")))</f>
        <v/>
      </c>
      <c r="D1038">
        <f>IF(A1038="","",SUMIFS(المبيعات!$H$2:$H$2000,المبيعات!$C$2:$C$2000,A1038))</f>
        <v/>
      </c>
      <c r="E1038" s="13">
        <f>IF(A1038="","",IF(COUNTIF(المبيعات!$C$2:$C$2000,A1038)=0,"",_xlfn.MAXIFS(المبيعات!$A$2:$A$2000,المبيعات!$C$2:$C$2000,A1038)))</f>
        <v/>
      </c>
      <c r="F1038">
        <f>IF(A1038="","",SUMIFS(المبيعات!$H$2:$H$2000,المبيعات!$C$2:$C$2000,A1038,المبيعات!$J$2:$J$2000,"آجل"))</f>
        <v/>
      </c>
      <c r="G1038" s="4" t="n"/>
      <c r="H1038">
        <f>IF(A1038="","",F1038-G1038)</f>
        <v/>
      </c>
    </row>
    <row r="1039">
      <c r="A1039" s="4" t="n"/>
      <c r="B1039" s="4" t="n"/>
      <c r="C1039">
        <f>IF(A1039="","",SUMPRODUCT((المبيعات!$C$2:$C$2000=A1039)*(المبيعات!$B$2:$B$2000&lt;&gt;"")/COUNTIFS(المبيعات!$B$2:$B$2000,المبيعات!$B$2:$B$2000&amp;"",المبيعات!$C$2:$C$2000,المبيعات!$C$2:$C$2000&amp;"")))</f>
        <v/>
      </c>
      <c r="D1039">
        <f>IF(A1039="","",SUMIFS(المبيعات!$H$2:$H$2000,المبيعات!$C$2:$C$2000,A1039))</f>
        <v/>
      </c>
      <c r="E1039" s="13">
        <f>IF(A1039="","",IF(COUNTIF(المبيعات!$C$2:$C$2000,A1039)=0,"",_xlfn.MAXIFS(المبيعات!$A$2:$A$2000,المبيعات!$C$2:$C$2000,A1039)))</f>
        <v/>
      </c>
      <c r="F1039">
        <f>IF(A1039="","",SUMIFS(المبيعات!$H$2:$H$2000,المبيعات!$C$2:$C$2000,A1039,المبيعات!$J$2:$J$2000,"آجل"))</f>
        <v/>
      </c>
      <c r="G1039" s="4" t="n"/>
      <c r="H1039">
        <f>IF(A1039="","",F1039-G1039)</f>
        <v/>
      </c>
    </row>
    <row r="1040">
      <c r="A1040" s="4" t="n"/>
      <c r="B1040" s="4" t="n"/>
      <c r="C1040">
        <f>IF(A1040="","",SUMPRODUCT((المبيعات!$C$2:$C$2000=A1040)*(المبيعات!$B$2:$B$2000&lt;&gt;"")/COUNTIFS(المبيعات!$B$2:$B$2000,المبيعات!$B$2:$B$2000&amp;"",المبيعات!$C$2:$C$2000,المبيعات!$C$2:$C$2000&amp;"")))</f>
        <v/>
      </c>
      <c r="D1040">
        <f>IF(A1040="","",SUMIFS(المبيعات!$H$2:$H$2000,المبيعات!$C$2:$C$2000,A1040))</f>
        <v/>
      </c>
      <c r="E1040" s="13">
        <f>IF(A1040="","",IF(COUNTIF(المبيعات!$C$2:$C$2000,A1040)=0,"",_xlfn.MAXIFS(المبيعات!$A$2:$A$2000,المبيعات!$C$2:$C$2000,A1040)))</f>
        <v/>
      </c>
      <c r="F1040">
        <f>IF(A1040="","",SUMIFS(المبيعات!$H$2:$H$2000,المبيعات!$C$2:$C$2000,A1040,المبيعات!$J$2:$J$2000,"آجل"))</f>
        <v/>
      </c>
      <c r="G1040" s="4" t="n"/>
      <c r="H1040">
        <f>IF(A1040="","",F1040-G1040)</f>
        <v/>
      </c>
    </row>
    <row r="1041">
      <c r="A1041" s="4" t="n"/>
      <c r="B1041" s="4" t="n"/>
      <c r="C1041">
        <f>IF(A1041="","",SUMPRODUCT((المبيعات!$C$2:$C$2000=A1041)*(المبيعات!$B$2:$B$2000&lt;&gt;"")/COUNTIFS(المبيعات!$B$2:$B$2000,المبيعات!$B$2:$B$2000&amp;"",المبيعات!$C$2:$C$2000,المبيعات!$C$2:$C$2000&amp;"")))</f>
        <v/>
      </c>
      <c r="D1041">
        <f>IF(A1041="","",SUMIFS(المبيعات!$H$2:$H$2000,المبيعات!$C$2:$C$2000,A1041))</f>
        <v/>
      </c>
      <c r="E1041" s="13">
        <f>IF(A1041="","",IF(COUNTIF(المبيعات!$C$2:$C$2000,A1041)=0,"",_xlfn.MAXIFS(المبيعات!$A$2:$A$2000,المبيعات!$C$2:$C$2000,A1041)))</f>
        <v/>
      </c>
      <c r="F1041">
        <f>IF(A1041="","",SUMIFS(المبيعات!$H$2:$H$2000,المبيعات!$C$2:$C$2000,A1041,المبيعات!$J$2:$J$2000,"آجل"))</f>
        <v/>
      </c>
      <c r="G1041" s="4" t="n"/>
      <c r="H1041">
        <f>IF(A1041="","",F1041-G1041)</f>
        <v/>
      </c>
    </row>
    <row r="1042">
      <c r="A1042" s="4" t="n"/>
      <c r="B1042" s="4" t="n"/>
      <c r="C1042">
        <f>IF(A1042="","",SUMPRODUCT((المبيعات!$C$2:$C$2000=A1042)*(المبيعات!$B$2:$B$2000&lt;&gt;"")/COUNTIFS(المبيعات!$B$2:$B$2000,المبيعات!$B$2:$B$2000&amp;"",المبيعات!$C$2:$C$2000,المبيعات!$C$2:$C$2000&amp;"")))</f>
        <v/>
      </c>
      <c r="D1042">
        <f>IF(A1042="","",SUMIFS(المبيعات!$H$2:$H$2000,المبيعات!$C$2:$C$2000,A1042))</f>
        <v/>
      </c>
      <c r="E1042" s="13">
        <f>IF(A1042="","",IF(COUNTIF(المبيعات!$C$2:$C$2000,A1042)=0,"",_xlfn.MAXIFS(المبيعات!$A$2:$A$2000,المبيعات!$C$2:$C$2000,A1042)))</f>
        <v/>
      </c>
      <c r="F1042">
        <f>IF(A1042="","",SUMIFS(المبيعات!$H$2:$H$2000,المبيعات!$C$2:$C$2000,A1042,المبيعات!$J$2:$J$2000,"آجل"))</f>
        <v/>
      </c>
      <c r="G1042" s="4" t="n"/>
      <c r="H1042">
        <f>IF(A1042="","",F1042-G1042)</f>
        <v/>
      </c>
    </row>
    <row r="1043">
      <c r="A1043" s="4" t="n"/>
      <c r="B1043" s="4" t="n"/>
      <c r="C1043">
        <f>IF(A1043="","",SUMPRODUCT((المبيعات!$C$2:$C$2000=A1043)*(المبيعات!$B$2:$B$2000&lt;&gt;"")/COUNTIFS(المبيعات!$B$2:$B$2000,المبيعات!$B$2:$B$2000&amp;"",المبيعات!$C$2:$C$2000,المبيعات!$C$2:$C$2000&amp;"")))</f>
        <v/>
      </c>
      <c r="D1043">
        <f>IF(A1043="","",SUMIFS(المبيعات!$H$2:$H$2000,المبيعات!$C$2:$C$2000,A1043))</f>
        <v/>
      </c>
      <c r="E1043" s="13">
        <f>IF(A1043="","",IF(COUNTIF(المبيعات!$C$2:$C$2000,A1043)=0,"",_xlfn.MAXIFS(المبيعات!$A$2:$A$2000,المبيعات!$C$2:$C$2000,A1043)))</f>
        <v/>
      </c>
      <c r="F1043">
        <f>IF(A1043="","",SUMIFS(المبيعات!$H$2:$H$2000,المبيعات!$C$2:$C$2000,A1043,المبيعات!$J$2:$J$2000,"آجل"))</f>
        <v/>
      </c>
      <c r="G1043" s="4" t="n"/>
      <c r="H1043">
        <f>IF(A1043="","",F1043-G1043)</f>
        <v/>
      </c>
    </row>
    <row r="1044">
      <c r="A1044" s="4" t="n"/>
      <c r="B1044" s="4" t="n"/>
      <c r="C1044">
        <f>IF(A1044="","",SUMPRODUCT((المبيعات!$C$2:$C$2000=A1044)*(المبيعات!$B$2:$B$2000&lt;&gt;"")/COUNTIFS(المبيعات!$B$2:$B$2000,المبيعات!$B$2:$B$2000&amp;"",المبيعات!$C$2:$C$2000,المبيعات!$C$2:$C$2000&amp;"")))</f>
        <v/>
      </c>
      <c r="D1044">
        <f>IF(A1044="","",SUMIFS(المبيعات!$H$2:$H$2000,المبيعات!$C$2:$C$2000,A1044))</f>
        <v/>
      </c>
      <c r="E1044" s="13">
        <f>IF(A1044="","",IF(COUNTIF(المبيعات!$C$2:$C$2000,A1044)=0,"",_xlfn.MAXIFS(المبيعات!$A$2:$A$2000,المبيعات!$C$2:$C$2000,A1044)))</f>
        <v/>
      </c>
      <c r="F1044">
        <f>IF(A1044="","",SUMIFS(المبيعات!$H$2:$H$2000,المبيعات!$C$2:$C$2000,A1044,المبيعات!$J$2:$J$2000,"آجل"))</f>
        <v/>
      </c>
      <c r="G1044" s="4" t="n"/>
      <c r="H1044">
        <f>IF(A1044="","",F1044-G1044)</f>
        <v/>
      </c>
    </row>
    <row r="1045">
      <c r="A1045" s="4" t="n"/>
      <c r="B1045" s="4" t="n"/>
      <c r="C1045">
        <f>IF(A1045="","",SUMPRODUCT((المبيعات!$C$2:$C$2000=A1045)*(المبيعات!$B$2:$B$2000&lt;&gt;"")/COUNTIFS(المبيعات!$B$2:$B$2000,المبيعات!$B$2:$B$2000&amp;"",المبيعات!$C$2:$C$2000,المبيعات!$C$2:$C$2000&amp;"")))</f>
        <v/>
      </c>
      <c r="D1045">
        <f>IF(A1045="","",SUMIFS(المبيعات!$H$2:$H$2000,المبيعات!$C$2:$C$2000,A1045))</f>
        <v/>
      </c>
      <c r="E1045" s="13">
        <f>IF(A1045="","",IF(COUNTIF(المبيعات!$C$2:$C$2000,A1045)=0,"",_xlfn.MAXIFS(المبيعات!$A$2:$A$2000,المبيعات!$C$2:$C$2000,A1045)))</f>
        <v/>
      </c>
      <c r="F1045">
        <f>IF(A1045="","",SUMIFS(المبيعات!$H$2:$H$2000,المبيعات!$C$2:$C$2000,A1045,المبيعات!$J$2:$J$2000,"آجل"))</f>
        <v/>
      </c>
      <c r="G1045" s="4" t="n"/>
      <c r="H1045">
        <f>IF(A1045="","",F1045-G1045)</f>
        <v/>
      </c>
    </row>
    <row r="1046">
      <c r="A1046" s="4" t="n"/>
      <c r="B1046" s="4" t="n"/>
      <c r="C1046">
        <f>IF(A1046="","",SUMPRODUCT((المبيعات!$C$2:$C$2000=A1046)*(المبيعات!$B$2:$B$2000&lt;&gt;"")/COUNTIFS(المبيعات!$B$2:$B$2000,المبيعات!$B$2:$B$2000&amp;"",المبيعات!$C$2:$C$2000,المبيعات!$C$2:$C$2000&amp;"")))</f>
        <v/>
      </c>
      <c r="D1046">
        <f>IF(A1046="","",SUMIFS(المبيعات!$H$2:$H$2000,المبيعات!$C$2:$C$2000,A1046))</f>
        <v/>
      </c>
      <c r="E1046" s="13">
        <f>IF(A1046="","",IF(COUNTIF(المبيعات!$C$2:$C$2000,A1046)=0,"",_xlfn.MAXIFS(المبيعات!$A$2:$A$2000,المبيعات!$C$2:$C$2000,A1046)))</f>
        <v/>
      </c>
      <c r="F1046">
        <f>IF(A1046="","",SUMIFS(المبيعات!$H$2:$H$2000,المبيعات!$C$2:$C$2000,A1046,المبيعات!$J$2:$J$2000,"آجل"))</f>
        <v/>
      </c>
      <c r="G1046" s="4" t="n"/>
      <c r="H1046">
        <f>IF(A1046="","",F1046-G1046)</f>
        <v/>
      </c>
    </row>
    <row r="1047">
      <c r="A1047" s="4" t="n"/>
      <c r="B1047" s="4" t="n"/>
      <c r="C1047">
        <f>IF(A1047="","",SUMPRODUCT((المبيعات!$C$2:$C$2000=A1047)*(المبيعات!$B$2:$B$2000&lt;&gt;"")/COUNTIFS(المبيعات!$B$2:$B$2000,المبيعات!$B$2:$B$2000&amp;"",المبيعات!$C$2:$C$2000,المبيعات!$C$2:$C$2000&amp;"")))</f>
        <v/>
      </c>
      <c r="D1047">
        <f>IF(A1047="","",SUMIFS(المبيعات!$H$2:$H$2000,المبيعات!$C$2:$C$2000,A1047))</f>
        <v/>
      </c>
      <c r="E1047" s="13">
        <f>IF(A1047="","",IF(COUNTIF(المبيعات!$C$2:$C$2000,A1047)=0,"",_xlfn.MAXIFS(المبيعات!$A$2:$A$2000,المبيعات!$C$2:$C$2000,A1047)))</f>
        <v/>
      </c>
      <c r="F1047">
        <f>IF(A1047="","",SUMIFS(المبيعات!$H$2:$H$2000,المبيعات!$C$2:$C$2000,A1047,المبيعات!$J$2:$J$2000,"آجل"))</f>
        <v/>
      </c>
      <c r="G1047" s="4" t="n"/>
      <c r="H1047">
        <f>IF(A1047="","",F1047-G1047)</f>
        <v/>
      </c>
    </row>
    <row r="1048">
      <c r="A1048" s="4" t="n"/>
      <c r="B1048" s="4" t="n"/>
      <c r="C1048">
        <f>IF(A1048="","",SUMPRODUCT((المبيعات!$C$2:$C$2000=A1048)*(المبيعات!$B$2:$B$2000&lt;&gt;"")/COUNTIFS(المبيعات!$B$2:$B$2000,المبيعات!$B$2:$B$2000&amp;"",المبيعات!$C$2:$C$2000,المبيعات!$C$2:$C$2000&amp;"")))</f>
        <v/>
      </c>
      <c r="D1048">
        <f>IF(A1048="","",SUMIFS(المبيعات!$H$2:$H$2000,المبيعات!$C$2:$C$2000,A1048))</f>
        <v/>
      </c>
      <c r="E1048" s="13">
        <f>IF(A1048="","",IF(COUNTIF(المبيعات!$C$2:$C$2000,A1048)=0,"",_xlfn.MAXIFS(المبيعات!$A$2:$A$2000,المبيعات!$C$2:$C$2000,A1048)))</f>
        <v/>
      </c>
      <c r="F1048">
        <f>IF(A1048="","",SUMIFS(المبيعات!$H$2:$H$2000,المبيعات!$C$2:$C$2000,A1048,المبيعات!$J$2:$J$2000,"آجل"))</f>
        <v/>
      </c>
      <c r="G1048" s="4" t="n"/>
      <c r="H1048">
        <f>IF(A1048="","",F1048-G1048)</f>
        <v/>
      </c>
    </row>
    <row r="1049">
      <c r="A1049" s="4" t="n"/>
      <c r="B1049" s="4" t="n"/>
      <c r="C1049">
        <f>IF(A1049="","",SUMPRODUCT((المبيعات!$C$2:$C$2000=A1049)*(المبيعات!$B$2:$B$2000&lt;&gt;"")/COUNTIFS(المبيعات!$B$2:$B$2000,المبيعات!$B$2:$B$2000&amp;"",المبيعات!$C$2:$C$2000,المبيعات!$C$2:$C$2000&amp;"")))</f>
        <v/>
      </c>
      <c r="D1049">
        <f>IF(A1049="","",SUMIFS(المبيعات!$H$2:$H$2000,المبيعات!$C$2:$C$2000,A1049))</f>
        <v/>
      </c>
      <c r="E1049" s="13">
        <f>IF(A1049="","",IF(COUNTIF(المبيعات!$C$2:$C$2000,A1049)=0,"",_xlfn.MAXIFS(المبيعات!$A$2:$A$2000,المبيعات!$C$2:$C$2000,A1049)))</f>
        <v/>
      </c>
      <c r="F1049">
        <f>IF(A1049="","",SUMIFS(المبيعات!$H$2:$H$2000,المبيعات!$C$2:$C$2000,A1049,المبيعات!$J$2:$J$2000,"آجل"))</f>
        <v/>
      </c>
      <c r="G1049" s="4" t="n"/>
      <c r="H1049">
        <f>IF(A1049="","",F1049-G1049)</f>
        <v/>
      </c>
    </row>
    <row r="1050">
      <c r="A1050" s="4" t="n"/>
      <c r="B1050" s="4" t="n"/>
      <c r="C1050">
        <f>IF(A1050="","",SUMPRODUCT((المبيعات!$C$2:$C$2000=A1050)*(المبيعات!$B$2:$B$2000&lt;&gt;"")/COUNTIFS(المبيعات!$B$2:$B$2000,المبيعات!$B$2:$B$2000&amp;"",المبيعات!$C$2:$C$2000,المبيعات!$C$2:$C$2000&amp;"")))</f>
        <v/>
      </c>
      <c r="D1050">
        <f>IF(A1050="","",SUMIFS(المبيعات!$H$2:$H$2000,المبيعات!$C$2:$C$2000,A1050))</f>
        <v/>
      </c>
      <c r="E1050" s="13">
        <f>IF(A1050="","",IF(COUNTIF(المبيعات!$C$2:$C$2000,A1050)=0,"",_xlfn.MAXIFS(المبيعات!$A$2:$A$2000,المبيعات!$C$2:$C$2000,A1050)))</f>
        <v/>
      </c>
      <c r="F1050">
        <f>IF(A1050="","",SUMIFS(المبيعات!$H$2:$H$2000,المبيعات!$C$2:$C$2000,A1050,المبيعات!$J$2:$J$2000,"آجل"))</f>
        <v/>
      </c>
      <c r="G1050" s="4" t="n"/>
      <c r="H1050">
        <f>IF(A1050="","",F1050-G1050)</f>
        <v/>
      </c>
    </row>
    <row r="1051">
      <c r="A1051" s="4" t="n"/>
      <c r="B1051" s="4" t="n"/>
      <c r="C1051">
        <f>IF(A1051="","",SUMPRODUCT((المبيعات!$C$2:$C$2000=A1051)*(المبيعات!$B$2:$B$2000&lt;&gt;"")/COUNTIFS(المبيعات!$B$2:$B$2000,المبيعات!$B$2:$B$2000&amp;"",المبيعات!$C$2:$C$2000,المبيعات!$C$2:$C$2000&amp;"")))</f>
        <v/>
      </c>
      <c r="D1051">
        <f>IF(A1051="","",SUMIFS(المبيعات!$H$2:$H$2000,المبيعات!$C$2:$C$2000,A1051))</f>
        <v/>
      </c>
      <c r="E1051" s="13">
        <f>IF(A1051="","",IF(COUNTIF(المبيعات!$C$2:$C$2000,A1051)=0,"",_xlfn.MAXIFS(المبيعات!$A$2:$A$2000,المبيعات!$C$2:$C$2000,A1051)))</f>
        <v/>
      </c>
      <c r="F1051">
        <f>IF(A1051="","",SUMIFS(المبيعات!$H$2:$H$2000,المبيعات!$C$2:$C$2000,A1051,المبيعات!$J$2:$J$2000,"آجل"))</f>
        <v/>
      </c>
      <c r="G1051" s="4" t="n"/>
      <c r="H1051">
        <f>IF(A1051="","",F1051-G1051)</f>
        <v/>
      </c>
    </row>
    <row r="1052">
      <c r="A1052" s="4" t="n"/>
      <c r="B1052" s="4" t="n"/>
      <c r="C1052">
        <f>IF(A1052="","",SUMPRODUCT((المبيعات!$C$2:$C$2000=A1052)*(المبيعات!$B$2:$B$2000&lt;&gt;"")/COUNTIFS(المبيعات!$B$2:$B$2000,المبيعات!$B$2:$B$2000&amp;"",المبيعات!$C$2:$C$2000,المبيعات!$C$2:$C$2000&amp;"")))</f>
        <v/>
      </c>
      <c r="D1052">
        <f>IF(A1052="","",SUMIFS(المبيعات!$H$2:$H$2000,المبيعات!$C$2:$C$2000,A1052))</f>
        <v/>
      </c>
      <c r="E1052" s="13">
        <f>IF(A1052="","",IF(COUNTIF(المبيعات!$C$2:$C$2000,A1052)=0,"",_xlfn.MAXIFS(المبيعات!$A$2:$A$2000,المبيعات!$C$2:$C$2000,A1052)))</f>
        <v/>
      </c>
      <c r="F1052">
        <f>IF(A1052="","",SUMIFS(المبيعات!$H$2:$H$2000,المبيعات!$C$2:$C$2000,A1052,المبيعات!$J$2:$J$2000,"آجل"))</f>
        <v/>
      </c>
      <c r="G1052" s="4" t="n"/>
      <c r="H1052">
        <f>IF(A1052="","",F1052-G1052)</f>
        <v/>
      </c>
    </row>
    <row r="1053">
      <c r="A1053" s="4" t="n"/>
      <c r="B1053" s="4" t="n"/>
      <c r="C1053">
        <f>IF(A1053="","",SUMPRODUCT((المبيعات!$C$2:$C$2000=A1053)*(المبيعات!$B$2:$B$2000&lt;&gt;"")/COUNTIFS(المبيعات!$B$2:$B$2000,المبيعات!$B$2:$B$2000&amp;"",المبيعات!$C$2:$C$2000,المبيعات!$C$2:$C$2000&amp;"")))</f>
        <v/>
      </c>
      <c r="D1053">
        <f>IF(A1053="","",SUMIFS(المبيعات!$H$2:$H$2000,المبيعات!$C$2:$C$2000,A1053))</f>
        <v/>
      </c>
      <c r="E1053" s="13">
        <f>IF(A1053="","",IF(COUNTIF(المبيعات!$C$2:$C$2000,A1053)=0,"",_xlfn.MAXIFS(المبيعات!$A$2:$A$2000,المبيعات!$C$2:$C$2000,A1053)))</f>
        <v/>
      </c>
      <c r="F1053">
        <f>IF(A1053="","",SUMIFS(المبيعات!$H$2:$H$2000,المبيعات!$C$2:$C$2000,A1053,المبيعات!$J$2:$J$2000,"آجل"))</f>
        <v/>
      </c>
      <c r="G1053" s="4" t="n"/>
      <c r="H1053">
        <f>IF(A1053="","",F1053-G1053)</f>
        <v/>
      </c>
    </row>
    <row r="1054">
      <c r="A1054" s="4" t="n"/>
      <c r="B1054" s="4" t="n"/>
      <c r="C1054">
        <f>IF(A1054="","",SUMPRODUCT((المبيعات!$C$2:$C$2000=A1054)*(المبيعات!$B$2:$B$2000&lt;&gt;"")/COUNTIFS(المبيعات!$B$2:$B$2000,المبيعات!$B$2:$B$2000&amp;"",المبيعات!$C$2:$C$2000,المبيعات!$C$2:$C$2000&amp;"")))</f>
        <v/>
      </c>
      <c r="D1054">
        <f>IF(A1054="","",SUMIFS(المبيعات!$H$2:$H$2000,المبيعات!$C$2:$C$2000,A1054))</f>
        <v/>
      </c>
      <c r="E1054" s="13">
        <f>IF(A1054="","",IF(COUNTIF(المبيعات!$C$2:$C$2000,A1054)=0,"",_xlfn.MAXIFS(المبيعات!$A$2:$A$2000,المبيعات!$C$2:$C$2000,A1054)))</f>
        <v/>
      </c>
      <c r="F1054">
        <f>IF(A1054="","",SUMIFS(المبيعات!$H$2:$H$2000,المبيعات!$C$2:$C$2000,A1054,المبيعات!$J$2:$J$2000,"آجل"))</f>
        <v/>
      </c>
      <c r="G1054" s="4" t="n"/>
      <c r="H1054">
        <f>IF(A1054="","",F1054-G1054)</f>
        <v/>
      </c>
    </row>
    <row r="1055">
      <c r="A1055" s="4" t="n"/>
      <c r="B1055" s="4" t="n"/>
      <c r="C1055">
        <f>IF(A1055="","",SUMPRODUCT((المبيعات!$C$2:$C$2000=A1055)*(المبيعات!$B$2:$B$2000&lt;&gt;"")/COUNTIFS(المبيعات!$B$2:$B$2000,المبيعات!$B$2:$B$2000&amp;"",المبيعات!$C$2:$C$2000,المبيعات!$C$2:$C$2000&amp;"")))</f>
        <v/>
      </c>
      <c r="D1055">
        <f>IF(A1055="","",SUMIFS(المبيعات!$H$2:$H$2000,المبيعات!$C$2:$C$2000,A1055))</f>
        <v/>
      </c>
      <c r="E1055" s="13">
        <f>IF(A1055="","",IF(COUNTIF(المبيعات!$C$2:$C$2000,A1055)=0,"",_xlfn.MAXIFS(المبيعات!$A$2:$A$2000,المبيعات!$C$2:$C$2000,A1055)))</f>
        <v/>
      </c>
      <c r="F1055">
        <f>IF(A1055="","",SUMIFS(المبيعات!$H$2:$H$2000,المبيعات!$C$2:$C$2000,A1055,المبيعات!$J$2:$J$2000,"آجل"))</f>
        <v/>
      </c>
      <c r="G1055" s="4" t="n"/>
      <c r="H1055">
        <f>IF(A1055="","",F1055-G1055)</f>
        <v/>
      </c>
    </row>
    <row r="1056">
      <c r="A1056" s="4" t="n"/>
      <c r="B1056" s="4" t="n"/>
      <c r="C1056">
        <f>IF(A1056="","",SUMPRODUCT((المبيعات!$C$2:$C$2000=A1056)*(المبيعات!$B$2:$B$2000&lt;&gt;"")/COUNTIFS(المبيعات!$B$2:$B$2000,المبيعات!$B$2:$B$2000&amp;"",المبيعات!$C$2:$C$2000,المبيعات!$C$2:$C$2000&amp;"")))</f>
        <v/>
      </c>
      <c r="D1056">
        <f>IF(A1056="","",SUMIFS(المبيعات!$H$2:$H$2000,المبيعات!$C$2:$C$2000,A1056))</f>
        <v/>
      </c>
      <c r="E1056" s="13">
        <f>IF(A1056="","",IF(COUNTIF(المبيعات!$C$2:$C$2000,A1056)=0,"",_xlfn.MAXIFS(المبيعات!$A$2:$A$2000,المبيعات!$C$2:$C$2000,A1056)))</f>
        <v/>
      </c>
      <c r="F1056">
        <f>IF(A1056="","",SUMIFS(المبيعات!$H$2:$H$2000,المبيعات!$C$2:$C$2000,A1056,المبيعات!$J$2:$J$2000,"آجل"))</f>
        <v/>
      </c>
      <c r="G1056" s="4" t="n"/>
      <c r="H1056">
        <f>IF(A1056="","",F1056-G1056)</f>
        <v/>
      </c>
    </row>
    <row r="1057">
      <c r="A1057" s="4" t="n"/>
      <c r="B1057" s="4" t="n"/>
      <c r="C1057">
        <f>IF(A1057="","",SUMPRODUCT((المبيعات!$C$2:$C$2000=A1057)*(المبيعات!$B$2:$B$2000&lt;&gt;"")/COUNTIFS(المبيعات!$B$2:$B$2000,المبيعات!$B$2:$B$2000&amp;"",المبيعات!$C$2:$C$2000,المبيعات!$C$2:$C$2000&amp;"")))</f>
        <v/>
      </c>
      <c r="D1057">
        <f>IF(A1057="","",SUMIFS(المبيعات!$H$2:$H$2000,المبيعات!$C$2:$C$2000,A1057))</f>
        <v/>
      </c>
      <c r="E1057" s="13">
        <f>IF(A1057="","",IF(COUNTIF(المبيعات!$C$2:$C$2000,A1057)=0,"",_xlfn.MAXIFS(المبيعات!$A$2:$A$2000,المبيعات!$C$2:$C$2000,A1057)))</f>
        <v/>
      </c>
      <c r="F1057">
        <f>IF(A1057="","",SUMIFS(المبيعات!$H$2:$H$2000,المبيعات!$C$2:$C$2000,A1057,المبيعات!$J$2:$J$2000,"آجل"))</f>
        <v/>
      </c>
      <c r="G1057" s="4" t="n"/>
      <c r="H1057">
        <f>IF(A1057="","",F1057-G1057)</f>
        <v/>
      </c>
    </row>
    <row r="1058">
      <c r="A1058" s="4" t="n"/>
      <c r="B1058" s="4" t="n"/>
      <c r="C1058">
        <f>IF(A1058="","",SUMPRODUCT((المبيعات!$C$2:$C$2000=A1058)*(المبيعات!$B$2:$B$2000&lt;&gt;"")/COUNTIFS(المبيعات!$B$2:$B$2000,المبيعات!$B$2:$B$2000&amp;"",المبيعات!$C$2:$C$2000,المبيعات!$C$2:$C$2000&amp;"")))</f>
        <v/>
      </c>
      <c r="D1058">
        <f>IF(A1058="","",SUMIFS(المبيعات!$H$2:$H$2000,المبيعات!$C$2:$C$2000,A1058))</f>
        <v/>
      </c>
      <c r="E1058" s="13">
        <f>IF(A1058="","",IF(COUNTIF(المبيعات!$C$2:$C$2000,A1058)=0,"",_xlfn.MAXIFS(المبيعات!$A$2:$A$2000,المبيعات!$C$2:$C$2000,A1058)))</f>
        <v/>
      </c>
      <c r="F1058">
        <f>IF(A1058="","",SUMIFS(المبيعات!$H$2:$H$2000,المبيعات!$C$2:$C$2000,A1058,المبيعات!$J$2:$J$2000,"آجل"))</f>
        <v/>
      </c>
      <c r="G1058" s="4" t="n"/>
      <c r="H1058">
        <f>IF(A1058="","",F1058-G1058)</f>
        <v/>
      </c>
    </row>
    <row r="1059">
      <c r="A1059" s="4" t="n"/>
      <c r="B1059" s="4" t="n"/>
      <c r="C1059">
        <f>IF(A1059="","",SUMPRODUCT((المبيعات!$C$2:$C$2000=A1059)*(المبيعات!$B$2:$B$2000&lt;&gt;"")/COUNTIFS(المبيعات!$B$2:$B$2000,المبيعات!$B$2:$B$2000&amp;"",المبيعات!$C$2:$C$2000,المبيعات!$C$2:$C$2000&amp;"")))</f>
        <v/>
      </c>
      <c r="D1059">
        <f>IF(A1059="","",SUMIFS(المبيعات!$H$2:$H$2000,المبيعات!$C$2:$C$2000,A1059))</f>
        <v/>
      </c>
      <c r="E1059" s="13">
        <f>IF(A1059="","",IF(COUNTIF(المبيعات!$C$2:$C$2000,A1059)=0,"",_xlfn.MAXIFS(المبيعات!$A$2:$A$2000,المبيعات!$C$2:$C$2000,A1059)))</f>
        <v/>
      </c>
      <c r="F1059">
        <f>IF(A1059="","",SUMIFS(المبيعات!$H$2:$H$2000,المبيعات!$C$2:$C$2000,A1059,المبيعات!$J$2:$J$2000,"آجل"))</f>
        <v/>
      </c>
      <c r="G1059" s="4" t="n"/>
      <c r="H1059">
        <f>IF(A1059="","",F1059-G1059)</f>
        <v/>
      </c>
    </row>
    <row r="1060">
      <c r="A1060" s="4" t="n"/>
      <c r="B1060" s="4" t="n"/>
      <c r="C1060">
        <f>IF(A1060="","",SUMPRODUCT((المبيعات!$C$2:$C$2000=A1060)*(المبيعات!$B$2:$B$2000&lt;&gt;"")/COUNTIFS(المبيعات!$B$2:$B$2000,المبيعات!$B$2:$B$2000&amp;"",المبيعات!$C$2:$C$2000,المبيعات!$C$2:$C$2000&amp;"")))</f>
        <v/>
      </c>
      <c r="D1060">
        <f>IF(A1060="","",SUMIFS(المبيعات!$H$2:$H$2000,المبيعات!$C$2:$C$2000,A1060))</f>
        <v/>
      </c>
      <c r="E1060" s="13">
        <f>IF(A1060="","",IF(COUNTIF(المبيعات!$C$2:$C$2000,A1060)=0,"",_xlfn.MAXIFS(المبيعات!$A$2:$A$2000,المبيعات!$C$2:$C$2000,A1060)))</f>
        <v/>
      </c>
      <c r="F1060">
        <f>IF(A1060="","",SUMIFS(المبيعات!$H$2:$H$2000,المبيعات!$C$2:$C$2000,A1060,المبيعات!$J$2:$J$2000,"آجل"))</f>
        <v/>
      </c>
      <c r="G1060" s="4" t="n"/>
      <c r="H1060">
        <f>IF(A1060="","",F1060-G1060)</f>
        <v/>
      </c>
    </row>
    <row r="1061">
      <c r="A1061" s="4" t="n"/>
      <c r="B1061" s="4" t="n"/>
      <c r="C1061">
        <f>IF(A1061="","",SUMPRODUCT((المبيعات!$C$2:$C$2000=A1061)*(المبيعات!$B$2:$B$2000&lt;&gt;"")/COUNTIFS(المبيعات!$B$2:$B$2000,المبيعات!$B$2:$B$2000&amp;"",المبيعات!$C$2:$C$2000,المبيعات!$C$2:$C$2000&amp;"")))</f>
        <v/>
      </c>
      <c r="D1061">
        <f>IF(A1061="","",SUMIFS(المبيعات!$H$2:$H$2000,المبيعات!$C$2:$C$2000,A1061))</f>
        <v/>
      </c>
      <c r="E1061" s="13">
        <f>IF(A1061="","",IF(COUNTIF(المبيعات!$C$2:$C$2000,A1061)=0,"",_xlfn.MAXIFS(المبيعات!$A$2:$A$2000,المبيعات!$C$2:$C$2000,A1061)))</f>
        <v/>
      </c>
      <c r="F1061">
        <f>IF(A1061="","",SUMIFS(المبيعات!$H$2:$H$2000,المبيعات!$C$2:$C$2000,A1061,المبيعات!$J$2:$J$2000,"آجل"))</f>
        <v/>
      </c>
      <c r="G1061" s="4" t="n"/>
      <c r="H1061">
        <f>IF(A1061="","",F1061-G1061)</f>
        <v/>
      </c>
    </row>
    <row r="1062">
      <c r="A1062" s="4" t="n"/>
      <c r="B1062" s="4" t="n"/>
      <c r="C1062">
        <f>IF(A1062="","",SUMPRODUCT((المبيعات!$C$2:$C$2000=A1062)*(المبيعات!$B$2:$B$2000&lt;&gt;"")/COUNTIFS(المبيعات!$B$2:$B$2000,المبيعات!$B$2:$B$2000&amp;"",المبيعات!$C$2:$C$2000,المبيعات!$C$2:$C$2000&amp;"")))</f>
        <v/>
      </c>
      <c r="D1062">
        <f>IF(A1062="","",SUMIFS(المبيعات!$H$2:$H$2000,المبيعات!$C$2:$C$2000,A1062))</f>
        <v/>
      </c>
      <c r="E1062" s="13">
        <f>IF(A1062="","",IF(COUNTIF(المبيعات!$C$2:$C$2000,A1062)=0,"",_xlfn.MAXIFS(المبيعات!$A$2:$A$2000,المبيعات!$C$2:$C$2000,A1062)))</f>
        <v/>
      </c>
      <c r="F1062">
        <f>IF(A1062="","",SUMIFS(المبيعات!$H$2:$H$2000,المبيعات!$C$2:$C$2000,A1062,المبيعات!$J$2:$J$2000,"آجل"))</f>
        <v/>
      </c>
      <c r="G1062" s="4" t="n"/>
      <c r="H1062">
        <f>IF(A1062="","",F1062-G1062)</f>
        <v/>
      </c>
    </row>
    <row r="1063">
      <c r="A1063" s="4" t="n"/>
      <c r="B1063" s="4" t="n"/>
      <c r="C1063">
        <f>IF(A1063="","",SUMPRODUCT((المبيعات!$C$2:$C$2000=A1063)*(المبيعات!$B$2:$B$2000&lt;&gt;"")/COUNTIFS(المبيعات!$B$2:$B$2000,المبيعات!$B$2:$B$2000&amp;"",المبيعات!$C$2:$C$2000,المبيعات!$C$2:$C$2000&amp;"")))</f>
        <v/>
      </c>
      <c r="D1063">
        <f>IF(A1063="","",SUMIFS(المبيعات!$H$2:$H$2000,المبيعات!$C$2:$C$2000,A1063))</f>
        <v/>
      </c>
      <c r="E1063" s="13">
        <f>IF(A1063="","",IF(COUNTIF(المبيعات!$C$2:$C$2000,A1063)=0,"",_xlfn.MAXIFS(المبيعات!$A$2:$A$2000,المبيعات!$C$2:$C$2000,A1063)))</f>
        <v/>
      </c>
      <c r="F1063">
        <f>IF(A1063="","",SUMIFS(المبيعات!$H$2:$H$2000,المبيعات!$C$2:$C$2000,A1063,المبيعات!$J$2:$J$2000,"آجل"))</f>
        <v/>
      </c>
      <c r="G1063" s="4" t="n"/>
      <c r="H1063">
        <f>IF(A1063="","",F1063-G1063)</f>
        <v/>
      </c>
    </row>
    <row r="1064">
      <c r="A1064" s="4" t="n"/>
      <c r="B1064" s="4" t="n"/>
      <c r="C1064">
        <f>IF(A1064="","",SUMPRODUCT((المبيعات!$C$2:$C$2000=A1064)*(المبيعات!$B$2:$B$2000&lt;&gt;"")/COUNTIFS(المبيعات!$B$2:$B$2000,المبيعات!$B$2:$B$2000&amp;"",المبيعات!$C$2:$C$2000,المبيعات!$C$2:$C$2000&amp;"")))</f>
        <v/>
      </c>
      <c r="D1064">
        <f>IF(A1064="","",SUMIFS(المبيعات!$H$2:$H$2000,المبيعات!$C$2:$C$2000,A1064))</f>
        <v/>
      </c>
      <c r="E1064" s="13">
        <f>IF(A1064="","",IF(COUNTIF(المبيعات!$C$2:$C$2000,A1064)=0,"",_xlfn.MAXIFS(المبيعات!$A$2:$A$2000,المبيعات!$C$2:$C$2000,A1064)))</f>
        <v/>
      </c>
      <c r="F1064">
        <f>IF(A1064="","",SUMIFS(المبيعات!$H$2:$H$2000,المبيعات!$C$2:$C$2000,A1064,المبيعات!$J$2:$J$2000,"آجل"))</f>
        <v/>
      </c>
      <c r="G1064" s="4" t="n"/>
      <c r="H1064">
        <f>IF(A1064="","",F1064-G1064)</f>
        <v/>
      </c>
    </row>
    <row r="1065">
      <c r="A1065" s="4" t="n"/>
      <c r="B1065" s="4" t="n"/>
      <c r="C1065">
        <f>IF(A1065="","",SUMPRODUCT((المبيعات!$C$2:$C$2000=A1065)*(المبيعات!$B$2:$B$2000&lt;&gt;"")/COUNTIFS(المبيعات!$B$2:$B$2000,المبيعات!$B$2:$B$2000&amp;"",المبيعات!$C$2:$C$2000,المبيعات!$C$2:$C$2000&amp;"")))</f>
        <v/>
      </c>
      <c r="D1065">
        <f>IF(A1065="","",SUMIFS(المبيعات!$H$2:$H$2000,المبيعات!$C$2:$C$2000,A1065))</f>
        <v/>
      </c>
      <c r="E1065" s="13">
        <f>IF(A1065="","",IF(COUNTIF(المبيعات!$C$2:$C$2000,A1065)=0,"",_xlfn.MAXIFS(المبيعات!$A$2:$A$2000,المبيعات!$C$2:$C$2000,A1065)))</f>
        <v/>
      </c>
      <c r="F1065">
        <f>IF(A1065="","",SUMIFS(المبيعات!$H$2:$H$2000,المبيعات!$C$2:$C$2000,A1065,المبيعات!$J$2:$J$2000,"آجل"))</f>
        <v/>
      </c>
      <c r="G1065" s="4" t="n"/>
      <c r="H1065">
        <f>IF(A1065="","",F1065-G1065)</f>
        <v/>
      </c>
    </row>
    <row r="1066">
      <c r="A1066" s="4" t="n"/>
      <c r="B1066" s="4" t="n"/>
      <c r="C1066">
        <f>IF(A1066="","",SUMPRODUCT((المبيعات!$C$2:$C$2000=A1066)*(المبيعات!$B$2:$B$2000&lt;&gt;"")/COUNTIFS(المبيعات!$B$2:$B$2000,المبيعات!$B$2:$B$2000&amp;"",المبيعات!$C$2:$C$2000,المبيعات!$C$2:$C$2000&amp;"")))</f>
        <v/>
      </c>
      <c r="D1066">
        <f>IF(A1066="","",SUMIFS(المبيعات!$H$2:$H$2000,المبيعات!$C$2:$C$2000,A1066))</f>
        <v/>
      </c>
      <c r="E1066" s="13">
        <f>IF(A1066="","",IF(COUNTIF(المبيعات!$C$2:$C$2000,A1066)=0,"",_xlfn.MAXIFS(المبيعات!$A$2:$A$2000,المبيعات!$C$2:$C$2000,A1066)))</f>
        <v/>
      </c>
      <c r="F1066">
        <f>IF(A1066="","",SUMIFS(المبيعات!$H$2:$H$2000,المبيعات!$C$2:$C$2000,A1066,المبيعات!$J$2:$J$2000,"آجل"))</f>
        <v/>
      </c>
      <c r="G1066" s="4" t="n"/>
      <c r="H1066">
        <f>IF(A1066="","",F1066-G1066)</f>
        <v/>
      </c>
    </row>
    <row r="1067">
      <c r="A1067" s="4" t="n"/>
      <c r="B1067" s="4" t="n"/>
      <c r="C1067">
        <f>IF(A1067="","",SUMPRODUCT((المبيعات!$C$2:$C$2000=A1067)*(المبيعات!$B$2:$B$2000&lt;&gt;"")/COUNTIFS(المبيعات!$B$2:$B$2000,المبيعات!$B$2:$B$2000&amp;"",المبيعات!$C$2:$C$2000,المبيعات!$C$2:$C$2000&amp;"")))</f>
        <v/>
      </c>
      <c r="D1067">
        <f>IF(A1067="","",SUMIFS(المبيعات!$H$2:$H$2000,المبيعات!$C$2:$C$2000,A1067))</f>
        <v/>
      </c>
      <c r="E1067" s="13">
        <f>IF(A1067="","",IF(COUNTIF(المبيعات!$C$2:$C$2000,A1067)=0,"",_xlfn.MAXIFS(المبيعات!$A$2:$A$2000,المبيعات!$C$2:$C$2000,A1067)))</f>
        <v/>
      </c>
      <c r="F1067">
        <f>IF(A1067="","",SUMIFS(المبيعات!$H$2:$H$2000,المبيعات!$C$2:$C$2000,A1067,المبيعات!$J$2:$J$2000,"آجل"))</f>
        <v/>
      </c>
      <c r="G1067" s="4" t="n"/>
      <c r="H1067">
        <f>IF(A1067="","",F1067-G1067)</f>
        <v/>
      </c>
    </row>
    <row r="1068">
      <c r="A1068" s="4" t="n"/>
      <c r="B1068" s="4" t="n"/>
      <c r="C1068">
        <f>IF(A1068="","",SUMPRODUCT((المبيعات!$C$2:$C$2000=A1068)*(المبيعات!$B$2:$B$2000&lt;&gt;"")/COUNTIFS(المبيعات!$B$2:$B$2000,المبيعات!$B$2:$B$2000&amp;"",المبيعات!$C$2:$C$2000,المبيعات!$C$2:$C$2000&amp;"")))</f>
        <v/>
      </c>
      <c r="D1068">
        <f>IF(A1068="","",SUMIFS(المبيعات!$H$2:$H$2000,المبيعات!$C$2:$C$2000,A1068))</f>
        <v/>
      </c>
      <c r="E1068" s="13">
        <f>IF(A1068="","",IF(COUNTIF(المبيعات!$C$2:$C$2000,A1068)=0,"",_xlfn.MAXIFS(المبيعات!$A$2:$A$2000,المبيعات!$C$2:$C$2000,A1068)))</f>
        <v/>
      </c>
      <c r="F1068">
        <f>IF(A1068="","",SUMIFS(المبيعات!$H$2:$H$2000,المبيعات!$C$2:$C$2000,A1068,المبيعات!$J$2:$J$2000,"آجل"))</f>
        <v/>
      </c>
      <c r="G1068" s="4" t="n"/>
      <c r="H1068">
        <f>IF(A1068="","",F1068-G1068)</f>
        <v/>
      </c>
    </row>
    <row r="1069">
      <c r="A1069" s="4" t="n"/>
      <c r="B1069" s="4" t="n"/>
      <c r="C1069">
        <f>IF(A1069="","",SUMPRODUCT((المبيعات!$C$2:$C$2000=A1069)*(المبيعات!$B$2:$B$2000&lt;&gt;"")/COUNTIFS(المبيعات!$B$2:$B$2000,المبيعات!$B$2:$B$2000&amp;"",المبيعات!$C$2:$C$2000,المبيعات!$C$2:$C$2000&amp;"")))</f>
        <v/>
      </c>
      <c r="D1069">
        <f>IF(A1069="","",SUMIFS(المبيعات!$H$2:$H$2000,المبيعات!$C$2:$C$2000,A1069))</f>
        <v/>
      </c>
      <c r="E1069" s="13">
        <f>IF(A1069="","",IF(COUNTIF(المبيعات!$C$2:$C$2000,A1069)=0,"",_xlfn.MAXIFS(المبيعات!$A$2:$A$2000,المبيعات!$C$2:$C$2000,A1069)))</f>
        <v/>
      </c>
      <c r="F1069">
        <f>IF(A1069="","",SUMIFS(المبيعات!$H$2:$H$2000,المبيعات!$C$2:$C$2000,A1069,المبيعات!$J$2:$J$2000,"آجل"))</f>
        <v/>
      </c>
      <c r="G1069" s="4" t="n"/>
      <c r="H1069">
        <f>IF(A1069="","",F1069-G1069)</f>
        <v/>
      </c>
    </row>
    <row r="1070">
      <c r="A1070" s="4" t="n"/>
      <c r="B1070" s="4" t="n"/>
      <c r="C1070">
        <f>IF(A1070="","",SUMPRODUCT((المبيعات!$C$2:$C$2000=A1070)*(المبيعات!$B$2:$B$2000&lt;&gt;"")/COUNTIFS(المبيعات!$B$2:$B$2000,المبيعات!$B$2:$B$2000&amp;"",المبيعات!$C$2:$C$2000,المبيعات!$C$2:$C$2000&amp;"")))</f>
        <v/>
      </c>
      <c r="D1070">
        <f>IF(A1070="","",SUMIFS(المبيعات!$H$2:$H$2000,المبيعات!$C$2:$C$2000,A1070))</f>
        <v/>
      </c>
      <c r="E1070" s="13">
        <f>IF(A1070="","",IF(COUNTIF(المبيعات!$C$2:$C$2000,A1070)=0,"",_xlfn.MAXIFS(المبيعات!$A$2:$A$2000,المبيعات!$C$2:$C$2000,A1070)))</f>
        <v/>
      </c>
      <c r="F1070">
        <f>IF(A1070="","",SUMIFS(المبيعات!$H$2:$H$2000,المبيعات!$C$2:$C$2000,A1070,المبيعات!$J$2:$J$2000,"آجل"))</f>
        <v/>
      </c>
      <c r="G1070" s="4" t="n"/>
      <c r="H1070">
        <f>IF(A1070="","",F1070-G1070)</f>
        <v/>
      </c>
    </row>
    <row r="1071">
      <c r="A1071" s="4" t="n"/>
      <c r="B1071" s="4" t="n"/>
      <c r="C1071">
        <f>IF(A1071="","",SUMPRODUCT((المبيعات!$C$2:$C$2000=A1071)*(المبيعات!$B$2:$B$2000&lt;&gt;"")/COUNTIFS(المبيعات!$B$2:$B$2000,المبيعات!$B$2:$B$2000&amp;"",المبيعات!$C$2:$C$2000,المبيعات!$C$2:$C$2000&amp;"")))</f>
        <v/>
      </c>
      <c r="D1071">
        <f>IF(A1071="","",SUMIFS(المبيعات!$H$2:$H$2000,المبيعات!$C$2:$C$2000,A1071))</f>
        <v/>
      </c>
      <c r="E1071" s="13">
        <f>IF(A1071="","",IF(COUNTIF(المبيعات!$C$2:$C$2000,A1071)=0,"",_xlfn.MAXIFS(المبيعات!$A$2:$A$2000,المبيعات!$C$2:$C$2000,A1071)))</f>
        <v/>
      </c>
      <c r="F1071">
        <f>IF(A1071="","",SUMIFS(المبيعات!$H$2:$H$2000,المبيعات!$C$2:$C$2000,A1071,المبيعات!$J$2:$J$2000,"آجل"))</f>
        <v/>
      </c>
      <c r="G1071" s="4" t="n"/>
      <c r="H1071">
        <f>IF(A1071="","",F1071-G1071)</f>
        <v/>
      </c>
    </row>
    <row r="1072">
      <c r="A1072" s="4" t="n"/>
      <c r="B1072" s="4" t="n"/>
      <c r="C1072">
        <f>IF(A1072="","",SUMPRODUCT((المبيعات!$C$2:$C$2000=A1072)*(المبيعات!$B$2:$B$2000&lt;&gt;"")/COUNTIFS(المبيعات!$B$2:$B$2000,المبيعات!$B$2:$B$2000&amp;"",المبيعات!$C$2:$C$2000,المبيعات!$C$2:$C$2000&amp;"")))</f>
        <v/>
      </c>
      <c r="D1072">
        <f>IF(A1072="","",SUMIFS(المبيعات!$H$2:$H$2000,المبيعات!$C$2:$C$2000,A1072))</f>
        <v/>
      </c>
      <c r="E1072" s="13">
        <f>IF(A1072="","",IF(COUNTIF(المبيعات!$C$2:$C$2000,A1072)=0,"",_xlfn.MAXIFS(المبيعات!$A$2:$A$2000,المبيعات!$C$2:$C$2000,A1072)))</f>
        <v/>
      </c>
      <c r="F1072">
        <f>IF(A1072="","",SUMIFS(المبيعات!$H$2:$H$2000,المبيعات!$C$2:$C$2000,A1072,المبيعات!$J$2:$J$2000,"آجل"))</f>
        <v/>
      </c>
      <c r="G1072" s="4" t="n"/>
      <c r="H1072">
        <f>IF(A1072="","",F1072-G1072)</f>
        <v/>
      </c>
    </row>
    <row r="1073">
      <c r="A1073" s="4" t="n"/>
      <c r="B1073" s="4" t="n"/>
      <c r="C1073">
        <f>IF(A1073="","",SUMPRODUCT((المبيعات!$C$2:$C$2000=A1073)*(المبيعات!$B$2:$B$2000&lt;&gt;"")/COUNTIFS(المبيعات!$B$2:$B$2000,المبيعات!$B$2:$B$2000&amp;"",المبيعات!$C$2:$C$2000,المبيعات!$C$2:$C$2000&amp;"")))</f>
        <v/>
      </c>
      <c r="D1073">
        <f>IF(A1073="","",SUMIFS(المبيعات!$H$2:$H$2000,المبيعات!$C$2:$C$2000,A1073))</f>
        <v/>
      </c>
      <c r="E1073" s="13">
        <f>IF(A1073="","",IF(COUNTIF(المبيعات!$C$2:$C$2000,A1073)=0,"",_xlfn.MAXIFS(المبيعات!$A$2:$A$2000,المبيعات!$C$2:$C$2000,A1073)))</f>
        <v/>
      </c>
      <c r="F1073">
        <f>IF(A1073="","",SUMIFS(المبيعات!$H$2:$H$2000,المبيعات!$C$2:$C$2000,A1073,المبيعات!$J$2:$J$2000,"آجل"))</f>
        <v/>
      </c>
      <c r="G1073" s="4" t="n"/>
      <c r="H1073">
        <f>IF(A1073="","",F1073-G1073)</f>
        <v/>
      </c>
    </row>
    <row r="1074">
      <c r="A1074" s="4" t="n"/>
      <c r="B1074" s="4" t="n"/>
      <c r="C1074">
        <f>IF(A1074="","",SUMPRODUCT((المبيعات!$C$2:$C$2000=A1074)*(المبيعات!$B$2:$B$2000&lt;&gt;"")/COUNTIFS(المبيعات!$B$2:$B$2000,المبيعات!$B$2:$B$2000&amp;"",المبيعات!$C$2:$C$2000,المبيعات!$C$2:$C$2000&amp;"")))</f>
        <v/>
      </c>
      <c r="D1074">
        <f>IF(A1074="","",SUMIFS(المبيعات!$H$2:$H$2000,المبيعات!$C$2:$C$2000,A1074))</f>
        <v/>
      </c>
      <c r="E1074" s="13">
        <f>IF(A1074="","",IF(COUNTIF(المبيعات!$C$2:$C$2000,A1074)=0,"",_xlfn.MAXIFS(المبيعات!$A$2:$A$2000,المبيعات!$C$2:$C$2000,A1074)))</f>
        <v/>
      </c>
      <c r="F1074">
        <f>IF(A1074="","",SUMIFS(المبيعات!$H$2:$H$2000,المبيعات!$C$2:$C$2000,A1074,المبيعات!$J$2:$J$2000,"آجل"))</f>
        <v/>
      </c>
      <c r="G1074" s="4" t="n"/>
      <c r="H1074">
        <f>IF(A1074="","",F1074-G1074)</f>
        <v/>
      </c>
    </row>
    <row r="1075">
      <c r="A1075" s="4" t="n"/>
      <c r="B1075" s="4" t="n"/>
      <c r="C1075">
        <f>IF(A1075="","",SUMPRODUCT((المبيعات!$C$2:$C$2000=A1075)*(المبيعات!$B$2:$B$2000&lt;&gt;"")/COUNTIFS(المبيعات!$B$2:$B$2000,المبيعات!$B$2:$B$2000&amp;"",المبيعات!$C$2:$C$2000,المبيعات!$C$2:$C$2000&amp;"")))</f>
        <v/>
      </c>
      <c r="D1075">
        <f>IF(A1075="","",SUMIFS(المبيعات!$H$2:$H$2000,المبيعات!$C$2:$C$2000,A1075))</f>
        <v/>
      </c>
      <c r="E1075" s="13">
        <f>IF(A1075="","",IF(COUNTIF(المبيعات!$C$2:$C$2000,A1075)=0,"",_xlfn.MAXIFS(المبيعات!$A$2:$A$2000,المبيعات!$C$2:$C$2000,A1075)))</f>
        <v/>
      </c>
      <c r="F1075">
        <f>IF(A1075="","",SUMIFS(المبيعات!$H$2:$H$2000,المبيعات!$C$2:$C$2000,A1075,المبيعات!$J$2:$J$2000,"آجل"))</f>
        <v/>
      </c>
      <c r="G1075" s="4" t="n"/>
      <c r="H1075">
        <f>IF(A1075="","",F1075-G1075)</f>
        <v/>
      </c>
    </row>
    <row r="1076">
      <c r="A1076" s="4" t="n"/>
      <c r="B1076" s="4" t="n"/>
      <c r="C1076">
        <f>IF(A1076="","",SUMPRODUCT((المبيعات!$C$2:$C$2000=A1076)*(المبيعات!$B$2:$B$2000&lt;&gt;"")/COUNTIFS(المبيعات!$B$2:$B$2000,المبيعات!$B$2:$B$2000&amp;"",المبيعات!$C$2:$C$2000,المبيعات!$C$2:$C$2000&amp;"")))</f>
        <v/>
      </c>
      <c r="D1076">
        <f>IF(A1076="","",SUMIFS(المبيعات!$H$2:$H$2000,المبيعات!$C$2:$C$2000,A1076))</f>
        <v/>
      </c>
      <c r="E1076" s="13">
        <f>IF(A1076="","",IF(COUNTIF(المبيعات!$C$2:$C$2000,A1076)=0,"",_xlfn.MAXIFS(المبيعات!$A$2:$A$2000,المبيعات!$C$2:$C$2000,A1076)))</f>
        <v/>
      </c>
      <c r="F1076">
        <f>IF(A1076="","",SUMIFS(المبيعات!$H$2:$H$2000,المبيعات!$C$2:$C$2000,A1076,المبيعات!$J$2:$J$2000,"آجل"))</f>
        <v/>
      </c>
      <c r="G1076" s="4" t="n"/>
      <c r="H1076">
        <f>IF(A1076="","",F1076-G1076)</f>
        <v/>
      </c>
    </row>
    <row r="1077">
      <c r="A1077" s="4" t="n"/>
      <c r="B1077" s="4" t="n"/>
      <c r="C1077">
        <f>IF(A1077="","",SUMPRODUCT((المبيعات!$C$2:$C$2000=A1077)*(المبيعات!$B$2:$B$2000&lt;&gt;"")/COUNTIFS(المبيعات!$B$2:$B$2000,المبيعات!$B$2:$B$2000&amp;"",المبيعات!$C$2:$C$2000,المبيعات!$C$2:$C$2000&amp;"")))</f>
        <v/>
      </c>
      <c r="D1077">
        <f>IF(A1077="","",SUMIFS(المبيعات!$H$2:$H$2000,المبيعات!$C$2:$C$2000,A1077))</f>
        <v/>
      </c>
      <c r="E1077" s="13">
        <f>IF(A1077="","",IF(COUNTIF(المبيعات!$C$2:$C$2000,A1077)=0,"",_xlfn.MAXIFS(المبيعات!$A$2:$A$2000,المبيعات!$C$2:$C$2000,A1077)))</f>
        <v/>
      </c>
      <c r="F1077">
        <f>IF(A1077="","",SUMIFS(المبيعات!$H$2:$H$2000,المبيعات!$C$2:$C$2000,A1077,المبيعات!$J$2:$J$2000,"آجل"))</f>
        <v/>
      </c>
      <c r="G1077" s="4" t="n"/>
      <c r="H1077">
        <f>IF(A1077="","",F1077-G1077)</f>
        <v/>
      </c>
    </row>
    <row r="1078">
      <c r="A1078" s="4" t="n"/>
      <c r="B1078" s="4" t="n"/>
      <c r="C1078">
        <f>IF(A1078="","",SUMPRODUCT((المبيعات!$C$2:$C$2000=A1078)*(المبيعات!$B$2:$B$2000&lt;&gt;"")/COUNTIFS(المبيعات!$B$2:$B$2000,المبيعات!$B$2:$B$2000&amp;"",المبيعات!$C$2:$C$2000,المبيعات!$C$2:$C$2000&amp;"")))</f>
        <v/>
      </c>
      <c r="D1078">
        <f>IF(A1078="","",SUMIFS(المبيعات!$H$2:$H$2000,المبيعات!$C$2:$C$2000,A1078))</f>
        <v/>
      </c>
      <c r="E1078" s="13">
        <f>IF(A1078="","",IF(COUNTIF(المبيعات!$C$2:$C$2000,A1078)=0,"",_xlfn.MAXIFS(المبيعات!$A$2:$A$2000,المبيعات!$C$2:$C$2000,A1078)))</f>
        <v/>
      </c>
      <c r="F1078">
        <f>IF(A1078="","",SUMIFS(المبيعات!$H$2:$H$2000,المبيعات!$C$2:$C$2000,A1078,المبيعات!$J$2:$J$2000,"آجل"))</f>
        <v/>
      </c>
      <c r="G1078" s="4" t="n"/>
      <c r="H1078">
        <f>IF(A1078="","",F1078-G1078)</f>
        <v/>
      </c>
    </row>
    <row r="1079">
      <c r="A1079" s="4" t="n"/>
      <c r="B1079" s="4" t="n"/>
      <c r="C1079">
        <f>IF(A1079="","",SUMPRODUCT((المبيعات!$C$2:$C$2000=A1079)*(المبيعات!$B$2:$B$2000&lt;&gt;"")/COUNTIFS(المبيعات!$B$2:$B$2000,المبيعات!$B$2:$B$2000&amp;"",المبيعات!$C$2:$C$2000,المبيعات!$C$2:$C$2000&amp;"")))</f>
        <v/>
      </c>
      <c r="D1079">
        <f>IF(A1079="","",SUMIFS(المبيعات!$H$2:$H$2000,المبيعات!$C$2:$C$2000,A1079))</f>
        <v/>
      </c>
      <c r="E1079" s="13">
        <f>IF(A1079="","",IF(COUNTIF(المبيعات!$C$2:$C$2000,A1079)=0,"",_xlfn.MAXIFS(المبيعات!$A$2:$A$2000,المبيعات!$C$2:$C$2000,A1079)))</f>
        <v/>
      </c>
      <c r="F1079">
        <f>IF(A1079="","",SUMIFS(المبيعات!$H$2:$H$2000,المبيعات!$C$2:$C$2000,A1079,المبيعات!$J$2:$J$2000,"آجل"))</f>
        <v/>
      </c>
      <c r="G1079" s="4" t="n"/>
      <c r="H1079">
        <f>IF(A1079="","",F1079-G1079)</f>
        <v/>
      </c>
    </row>
    <row r="1080">
      <c r="A1080" s="4" t="n"/>
      <c r="B1080" s="4" t="n"/>
      <c r="C1080">
        <f>IF(A1080="","",SUMPRODUCT((المبيعات!$C$2:$C$2000=A1080)*(المبيعات!$B$2:$B$2000&lt;&gt;"")/COUNTIFS(المبيعات!$B$2:$B$2000,المبيعات!$B$2:$B$2000&amp;"",المبيعات!$C$2:$C$2000,المبيعات!$C$2:$C$2000&amp;"")))</f>
        <v/>
      </c>
      <c r="D1080">
        <f>IF(A1080="","",SUMIFS(المبيعات!$H$2:$H$2000,المبيعات!$C$2:$C$2000,A1080))</f>
        <v/>
      </c>
      <c r="E1080" s="13">
        <f>IF(A1080="","",IF(COUNTIF(المبيعات!$C$2:$C$2000,A1080)=0,"",_xlfn.MAXIFS(المبيعات!$A$2:$A$2000,المبيعات!$C$2:$C$2000,A1080)))</f>
        <v/>
      </c>
      <c r="F1080">
        <f>IF(A1080="","",SUMIFS(المبيعات!$H$2:$H$2000,المبيعات!$C$2:$C$2000,A1080,المبيعات!$J$2:$J$2000,"آجل"))</f>
        <v/>
      </c>
      <c r="G1080" s="4" t="n"/>
      <c r="H1080">
        <f>IF(A1080="","",F1080-G1080)</f>
        <v/>
      </c>
    </row>
    <row r="1081">
      <c r="A1081" s="4" t="n"/>
      <c r="B1081" s="4" t="n"/>
      <c r="C1081">
        <f>IF(A1081="","",SUMPRODUCT((المبيعات!$C$2:$C$2000=A1081)*(المبيعات!$B$2:$B$2000&lt;&gt;"")/COUNTIFS(المبيعات!$B$2:$B$2000,المبيعات!$B$2:$B$2000&amp;"",المبيعات!$C$2:$C$2000,المبيعات!$C$2:$C$2000&amp;"")))</f>
        <v/>
      </c>
      <c r="D1081">
        <f>IF(A1081="","",SUMIFS(المبيعات!$H$2:$H$2000,المبيعات!$C$2:$C$2000,A1081))</f>
        <v/>
      </c>
      <c r="E1081" s="13">
        <f>IF(A1081="","",IF(COUNTIF(المبيعات!$C$2:$C$2000,A1081)=0,"",_xlfn.MAXIFS(المبيعات!$A$2:$A$2000,المبيعات!$C$2:$C$2000,A1081)))</f>
        <v/>
      </c>
      <c r="F1081">
        <f>IF(A1081="","",SUMIFS(المبيعات!$H$2:$H$2000,المبيعات!$C$2:$C$2000,A1081,المبيعات!$J$2:$J$2000,"آجل"))</f>
        <v/>
      </c>
      <c r="G1081" s="4" t="n"/>
      <c r="H1081">
        <f>IF(A1081="","",F1081-G1081)</f>
        <v/>
      </c>
    </row>
    <row r="1082">
      <c r="A1082" s="4" t="n"/>
      <c r="B1082" s="4" t="n"/>
      <c r="C1082">
        <f>IF(A1082="","",SUMPRODUCT((المبيعات!$C$2:$C$2000=A1082)*(المبيعات!$B$2:$B$2000&lt;&gt;"")/COUNTIFS(المبيعات!$B$2:$B$2000,المبيعات!$B$2:$B$2000&amp;"",المبيعات!$C$2:$C$2000,المبيعات!$C$2:$C$2000&amp;"")))</f>
        <v/>
      </c>
      <c r="D1082">
        <f>IF(A1082="","",SUMIFS(المبيعات!$H$2:$H$2000,المبيعات!$C$2:$C$2000,A1082))</f>
        <v/>
      </c>
      <c r="E1082" s="13">
        <f>IF(A1082="","",IF(COUNTIF(المبيعات!$C$2:$C$2000,A1082)=0,"",_xlfn.MAXIFS(المبيعات!$A$2:$A$2000,المبيعات!$C$2:$C$2000,A1082)))</f>
        <v/>
      </c>
      <c r="F1082">
        <f>IF(A1082="","",SUMIFS(المبيعات!$H$2:$H$2000,المبيعات!$C$2:$C$2000,A1082,المبيعات!$J$2:$J$2000,"آجل"))</f>
        <v/>
      </c>
      <c r="G1082" s="4" t="n"/>
      <c r="H1082">
        <f>IF(A1082="","",F1082-G1082)</f>
        <v/>
      </c>
    </row>
    <row r="1083">
      <c r="A1083" s="4" t="n"/>
      <c r="B1083" s="4" t="n"/>
      <c r="C1083">
        <f>IF(A1083="","",SUMPRODUCT((المبيعات!$C$2:$C$2000=A1083)*(المبيعات!$B$2:$B$2000&lt;&gt;"")/COUNTIFS(المبيعات!$B$2:$B$2000,المبيعات!$B$2:$B$2000&amp;"",المبيعات!$C$2:$C$2000,المبيعات!$C$2:$C$2000&amp;"")))</f>
        <v/>
      </c>
      <c r="D1083">
        <f>IF(A1083="","",SUMIFS(المبيعات!$H$2:$H$2000,المبيعات!$C$2:$C$2000,A1083))</f>
        <v/>
      </c>
      <c r="E1083" s="13">
        <f>IF(A1083="","",IF(COUNTIF(المبيعات!$C$2:$C$2000,A1083)=0,"",_xlfn.MAXIFS(المبيعات!$A$2:$A$2000,المبيعات!$C$2:$C$2000,A1083)))</f>
        <v/>
      </c>
      <c r="F1083">
        <f>IF(A1083="","",SUMIFS(المبيعات!$H$2:$H$2000,المبيعات!$C$2:$C$2000,A1083,المبيعات!$J$2:$J$2000,"آجل"))</f>
        <v/>
      </c>
      <c r="G1083" s="4" t="n"/>
      <c r="H1083">
        <f>IF(A1083="","",F1083-G1083)</f>
        <v/>
      </c>
    </row>
    <row r="1084">
      <c r="A1084" s="4" t="n"/>
      <c r="B1084" s="4" t="n"/>
      <c r="C1084">
        <f>IF(A1084="","",SUMPRODUCT((المبيعات!$C$2:$C$2000=A1084)*(المبيعات!$B$2:$B$2000&lt;&gt;"")/COUNTIFS(المبيعات!$B$2:$B$2000,المبيعات!$B$2:$B$2000&amp;"",المبيعات!$C$2:$C$2000,المبيعات!$C$2:$C$2000&amp;"")))</f>
        <v/>
      </c>
      <c r="D1084">
        <f>IF(A1084="","",SUMIFS(المبيعات!$H$2:$H$2000,المبيعات!$C$2:$C$2000,A1084))</f>
        <v/>
      </c>
      <c r="E1084" s="13">
        <f>IF(A1084="","",IF(COUNTIF(المبيعات!$C$2:$C$2000,A1084)=0,"",_xlfn.MAXIFS(المبيعات!$A$2:$A$2000,المبيعات!$C$2:$C$2000,A1084)))</f>
        <v/>
      </c>
      <c r="F1084">
        <f>IF(A1084="","",SUMIFS(المبيعات!$H$2:$H$2000,المبيعات!$C$2:$C$2000,A1084,المبيعات!$J$2:$J$2000,"آجل"))</f>
        <v/>
      </c>
      <c r="G1084" s="4" t="n"/>
      <c r="H1084">
        <f>IF(A1084="","",F1084-G1084)</f>
        <v/>
      </c>
    </row>
    <row r="1085">
      <c r="A1085" s="4" t="n"/>
      <c r="B1085" s="4" t="n"/>
      <c r="C1085">
        <f>IF(A1085="","",SUMPRODUCT((المبيعات!$C$2:$C$2000=A1085)*(المبيعات!$B$2:$B$2000&lt;&gt;"")/COUNTIFS(المبيعات!$B$2:$B$2000,المبيعات!$B$2:$B$2000&amp;"",المبيعات!$C$2:$C$2000,المبيعات!$C$2:$C$2000&amp;"")))</f>
        <v/>
      </c>
      <c r="D1085">
        <f>IF(A1085="","",SUMIFS(المبيعات!$H$2:$H$2000,المبيعات!$C$2:$C$2000,A1085))</f>
        <v/>
      </c>
      <c r="E1085" s="13">
        <f>IF(A1085="","",IF(COUNTIF(المبيعات!$C$2:$C$2000,A1085)=0,"",_xlfn.MAXIFS(المبيعات!$A$2:$A$2000,المبيعات!$C$2:$C$2000,A1085)))</f>
        <v/>
      </c>
      <c r="F1085">
        <f>IF(A1085="","",SUMIFS(المبيعات!$H$2:$H$2000,المبيعات!$C$2:$C$2000,A1085,المبيعات!$J$2:$J$2000,"آجل"))</f>
        <v/>
      </c>
      <c r="G1085" s="4" t="n"/>
      <c r="H1085">
        <f>IF(A1085="","",F1085-G1085)</f>
        <v/>
      </c>
    </row>
    <row r="1086">
      <c r="A1086" s="4" t="n"/>
      <c r="B1086" s="4" t="n"/>
      <c r="C1086">
        <f>IF(A1086="","",SUMPRODUCT((المبيعات!$C$2:$C$2000=A1086)*(المبيعات!$B$2:$B$2000&lt;&gt;"")/COUNTIFS(المبيعات!$B$2:$B$2000,المبيعات!$B$2:$B$2000&amp;"",المبيعات!$C$2:$C$2000,المبيعات!$C$2:$C$2000&amp;"")))</f>
        <v/>
      </c>
      <c r="D1086">
        <f>IF(A1086="","",SUMIFS(المبيعات!$H$2:$H$2000,المبيعات!$C$2:$C$2000,A1086))</f>
        <v/>
      </c>
      <c r="E1086" s="13">
        <f>IF(A1086="","",IF(COUNTIF(المبيعات!$C$2:$C$2000,A1086)=0,"",_xlfn.MAXIFS(المبيعات!$A$2:$A$2000,المبيعات!$C$2:$C$2000,A1086)))</f>
        <v/>
      </c>
      <c r="F1086">
        <f>IF(A1086="","",SUMIFS(المبيعات!$H$2:$H$2000,المبيعات!$C$2:$C$2000,A1086,المبيعات!$J$2:$J$2000,"آجل"))</f>
        <v/>
      </c>
      <c r="G1086" s="4" t="n"/>
      <c r="H1086">
        <f>IF(A1086="","",F1086-G1086)</f>
        <v/>
      </c>
    </row>
    <row r="1087">
      <c r="A1087" s="4" t="n"/>
      <c r="B1087" s="4" t="n"/>
      <c r="C1087">
        <f>IF(A1087="","",SUMPRODUCT((المبيعات!$C$2:$C$2000=A1087)*(المبيعات!$B$2:$B$2000&lt;&gt;"")/COUNTIFS(المبيعات!$B$2:$B$2000,المبيعات!$B$2:$B$2000&amp;"",المبيعات!$C$2:$C$2000,المبيعات!$C$2:$C$2000&amp;"")))</f>
        <v/>
      </c>
      <c r="D1087">
        <f>IF(A1087="","",SUMIFS(المبيعات!$H$2:$H$2000,المبيعات!$C$2:$C$2000,A1087))</f>
        <v/>
      </c>
      <c r="E1087" s="13">
        <f>IF(A1087="","",IF(COUNTIF(المبيعات!$C$2:$C$2000,A1087)=0,"",_xlfn.MAXIFS(المبيعات!$A$2:$A$2000,المبيعات!$C$2:$C$2000,A1087)))</f>
        <v/>
      </c>
      <c r="F1087">
        <f>IF(A1087="","",SUMIFS(المبيعات!$H$2:$H$2000,المبيعات!$C$2:$C$2000,A1087,المبيعات!$J$2:$J$2000,"آجل"))</f>
        <v/>
      </c>
      <c r="G1087" s="4" t="n"/>
      <c r="H1087">
        <f>IF(A1087="","",F1087-G1087)</f>
        <v/>
      </c>
    </row>
    <row r="1088">
      <c r="A1088" s="4" t="n"/>
      <c r="B1088" s="4" t="n"/>
      <c r="C1088">
        <f>IF(A1088="","",SUMPRODUCT((المبيعات!$C$2:$C$2000=A1088)*(المبيعات!$B$2:$B$2000&lt;&gt;"")/COUNTIFS(المبيعات!$B$2:$B$2000,المبيعات!$B$2:$B$2000&amp;"",المبيعات!$C$2:$C$2000,المبيعات!$C$2:$C$2000&amp;"")))</f>
        <v/>
      </c>
      <c r="D1088">
        <f>IF(A1088="","",SUMIFS(المبيعات!$H$2:$H$2000,المبيعات!$C$2:$C$2000,A1088))</f>
        <v/>
      </c>
      <c r="E1088" s="13">
        <f>IF(A1088="","",IF(COUNTIF(المبيعات!$C$2:$C$2000,A1088)=0,"",_xlfn.MAXIFS(المبيعات!$A$2:$A$2000,المبيعات!$C$2:$C$2000,A1088)))</f>
        <v/>
      </c>
      <c r="F1088">
        <f>IF(A1088="","",SUMIFS(المبيعات!$H$2:$H$2000,المبيعات!$C$2:$C$2000,A1088,المبيعات!$J$2:$J$2000,"آجل"))</f>
        <v/>
      </c>
      <c r="G1088" s="4" t="n"/>
      <c r="H1088">
        <f>IF(A1088="","",F1088-G1088)</f>
        <v/>
      </c>
    </row>
    <row r="1089">
      <c r="A1089" s="4" t="n"/>
      <c r="B1089" s="4" t="n"/>
      <c r="C1089">
        <f>IF(A1089="","",SUMPRODUCT((المبيعات!$C$2:$C$2000=A1089)*(المبيعات!$B$2:$B$2000&lt;&gt;"")/COUNTIFS(المبيعات!$B$2:$B$2000,المبيعات!$B$2:$B$2000&amp;"",المبيعات!$C$2:$C$2000,المبيعات!$C$2:$C$2000&amp;"")))</f>
        <v/>
      </c>
      <c r="D1089">
        <f>IF(A1089="","",SUMIFS(المبيعات!$H$2:$H$2000,المبيعات!$C$2:$C$2000,A1089))</f>
        <v/>
      </c>
      <c r="E1089" s="13">
        <f>IF(A1089="","",IF(COUNTIF(المبيعات!$C$2:$C$2000,A1089)=0,"",_xlfn.MAXIFS(المبيعات!$A$2:$A$2000,المبيعات!$C$2:$C$2000,A1089)))</f>
        <v/>
      </c>
      <c r="F1089">
        <f>IF(A1089="","",SUMIFS(المبيعات!$H$2:$H$2000,المبيعات!$C$2:$C$2000,A1089,المبيعات!$J$2:$J$2000,"آجل"))</f>
        <v/>
      </c>
      <c r="G1089" s="4" t="n"/>
      <c r="H1089">
        <f>IF(A1089="","",F1089-G1089)</f>
        <v/>
      </c>
    </row>
    <row r="1090">
      <c r="A1090" s="4" t="n"/>
      <c r="B1090" s="4" t="n"/>
      <c r="C1090">
        <f>IF(A1090="","",SUMPRODUCT((المبيعات!$C$2:$C$2000=A1090)*(المبيعات!$B$2:$B$2000&lt;&gt;"")/COUNTIFS(المبيعات!$B$2:$B$2000,المبيعات!$B$2:$B$2000&amp;"",المبيعات!$C$2:$C$2000,المبيعات!$C$2:$C$2000&amp;"")))</f>
        <v/>
      </c>
      <c r="D1090">
        <f>IF(A1090="","",SUMIFS(المبيعات!$H$2:$H$2000,المبيعات!$C$2:$C$2000,A1090))</f>
        <v/>
      </c>
      <c r="E1090" s="13">
        <f>IF(A1090="","",IF(COUNTIF(المبيعات!$C$2:$C$2000,A1090)=0,"",_xlfn.MAXIFS(المبيعات!$A$2:$A$2000,المبيعات!$C$2:$C$2000,A1090)))</f>
        <v/>
      </c>
      <c r="F1090">
        <f>IF(A1090="","",SUMIFS(المبيعات!$H$2:$H$2000,المبيعات!$C$2:$C$2000,A1090,المبيعات!$J$2:$J$2000,"آجل"))</f>
        <v/>
      </c>
      <c r="G1090" s="4" t="n"/>
      <c r="H1090">
        <f>IF(A1090="","",F1090-G1090)</f>
        <v/>
      </c>
    </row>
    <row r="1091">
      <c r="A1091" s="4" t="n"/>
      <c r="B1091" s="4" t="n"/>
      <c r="C1091">
        <f>IF(A1091="","",SUMPRODUCT((المبيعات!$C$2:$C$2000=A1091)*(المبيعات!$B$2:$B$2000&lt;&gt;"")/COUNTIFS(المبيعات!$B$2:$B$2000,المبيعات!$B$2:$B$2000&amp;"",المبيعات!$C$2:$C$2000,المبيعات!$C$2:$C$2000&amp;"")))</f>
        <v/>
      </c>
      <c r="D1091">
        <f>IF(A1091="","",SUMIFS(المبيعات!$H$2:$H$2000,المبيعات!$C$2:$C$2000,A1091))</f>
        <v/>
      </c>
      <c r="E1091" s="13">
        <f>IF(A1091="","",IF(COUNTIF(المبيعات!$C$2:$C$2000,A1091)=0,"",_xlfn.MAXIFS(المبيعات!$A$2:$A$2000,المبيعات!$C$2:$C$2000,A1091)))</f>
        <v/>
      </c>
      <c r="F1091">
        <f>IF(A1091="","",SUMIFS(المبيعات!$H$2:$H$2000,المبيعات!$C$2:$C$2000,A1091,المبيعات!$J$2:$J$2000,"آجل"))</f>
        <v/>
      </c>
      <c r="G1091" s="4" t="n"/>
      <c r="H1091">
        <f>IF(A1091="","",F1091-G1091)</f>
        <v/>
      </c>
    </row>
    <row r="1092">
      <c r="A1092" s="4" t="n"/>
      <c r="B1092" s="4" t="n"/>
      <c r="C1092">
        <f>IF(A1092="","",SUMPRODUCT((المبيعات!$C$2:$C$2000=A1092)*(المبيعات!$B$2:$B$2000&lt;&gt;"")/COUNTIFS(المبيعات!$B$2:$B$2000,المبيعات!$B$2:$B$2000&amp;"",المبيعات!$C$2:$C$2000,المبيعات!$C$2:$C$2000&amp;"")))</f>
        <v/>
      </c>
      <c r="D1092">
        <f>IF(A1092="","",SUMIFS(المبيعات!$H$2:$H$2000,المبيعات!$C$2:$C$2000,A1092))</f>
        <v/>
      </c>
      <c r="E1092" s="13">
        <f>IF(A1092="","",IF(COUNTIF(المبيعات!$C$2:$C$2000,A1092)=0,"",_xlfn.MAXIFS(المبيعات!$A$2:$A$2000,المبيعات!$C$2:$C$2000,A1092)))</f>
        <v/>
      </c>
      <c r="F1092">
        <f>IF(A1092="","",SUMIFS(المبيعات!$H$2:$H$2000,المبيعات!$C$2:$C$2000,A1092,المبيعات!$J$2:$J$2000,"آجل"))</f>
        <v/>
      </c>
      <c r="G1092" s="4" t="n"/>
      <c r="H1092">
        <f>IF(A1092="","",F1092-G1092)</f>
        <v/>
      </c>
    </row>
    <row r="1093">
      <c r="A1093" s="4" t="n"/>
      <c r="B1093" s="4" t="n"/>
      <c r="C1093">
        <f>IF(A1093="","",SUMPRODUCT((المبيعات!$C$2:$C$2000=A1093)*(المبيعات!$B$2:$B$2000&lt;&gt;"")/COUNTIFS(المبيعات!$B$2:$B$2000,المبيعات!$B$2:$B$2000&amp;"",المبيعات!$C$2:$C$2000,المبيعات!$C$2:$C$2000&amp;"")))</f>
        <v/>
      </c>
      <c r="D1093">
        <f>IF(A1093="","",SUMIFS(المبيعات!$H$2:$H$2000,المبيعات!$C$2:$C$2000,A1093))</f>
        <v/>
      </c>
      <c r="E1093" s="13">
        <f>IF(A1093="","",IF(COUNTIF(المبيعات!$C$2:$C$2000,A1093)=0,"",_xlfn.MAXIFS(المبيعات!$A$2:$A$2000,المبيعات!$C$2:$C$2000,A1093)))</f>
        <v/>
      </c>
      <c r="F1093">
        <f>IF(A1093="","",SUMIFS(المبيعات!$H$2:$H$2000,المبيعات!$C$2:$C$2000,A1093,المبيعات!$J$2:$J$2000,"آجل"))</f>
        <v/>
      </c>
      <c r="G1093" s="4" t="n"/>
      <c r="H1093">
        <f>IF(A1093="","",F1093-G1093)</f>
        <v/>
      </c>
    </row>
    <row r="1094">
      <c r="A1094" s="4" t="n"/>
      <c r="B1094" s="4" t="n"/>
      <c r="C1094">
        <f>IF(A1094="","",SUMPRODUCT((المبيعات!$C$2:$C$2000=A1094)*(المبيعات!$B$2:$B$2000&lt;&gt;"")/COUNTIFS(المبيعات!$B$2:$B$2000,المبيعات!$B$2:$B$2000&amp;"",المبيعات!$C$2:$C$2000,المبيعات!$C$2:$C$2000&amp;"")))</f>
        <v/>
      </c>
      <c r="D1094">
        <f>IF(A1094="","",SUMIFS(المبيعات!$H$2:$H$2000,المبيعات!$C$2:$C$2000,A1094))</f>
        <v/>
      </c>
      <c r="E1094" s="13">
        <f>IF(A1094="","",IF(COUNTIF(المبيعات!$C$2:$C$2000,A1094)=0,"",_xlfn.MAXIFS(المبيعات!$A$2:$A$2000,المبيعات!$C$2:$C$2000,A1094)))</f>
        <v/>
      </c>
      <c r="F1094">
        <f>IF(A1094="","",SUMIFS(المبيعات!$H$2:$H$2000,المبيعات!$C$2:$C$2000,A1094,المبيعات!$J$2:$J$2000,"آجل"))</f>
        <v/>
      </c>
      <c r="G1094" s="4" t="n"/>
      <c r="H1094">
        <f>IF(A1094="","",F1094-G1094)</f>
        <v/>
      </c>
    </row>
    <row r="1095">
      <c r="A1095" s="4" t="n"/>
      <c r="B1095" s="4" t="n"/>
      <c r="C1095">
        <f>IF(A1095="","",SUMPRODUCT((المبيعات!$C$2:$C$2000=A1095)*(المبيعات!$B$2:$B$2000&lt;&gt;"")/COUNTIFS(المبيعات!$B$2:$B$2000,المبيعات!$B$2:$B$2000&amp;"",المبيعات!$C$2:$C$2000,المبيعات!$C$2:$C$2000&amp;"")))</f>
        <v/>
      </c>
      <c r="D1095">
        <f>IF(A1095="","",SUMIFS(المبيعات!$H$2:$H$2000,المبيعات!$C$2:$C$2000,A1095))</f>
        <v/>
      </c>
      <c r="E1095" s="13">
        <f>IF(A1095="","",IF(COUNTIF(المبيعات!$C$2:$C$2000,A1095)=0,"",_xlfn.MAXIFS(المبيعات!$A$2:$A$2000,المبيعات!$C$2:$C$2000,A1095)))</f>
        <v/>
      </c>
      <c r="F1095">
        <f>IF(A1095="","",SUMIFS(المبيعات!$H$2:$H$2000,المبيعات!$C$2:$C$2000,A1095,المبيعات!$J$2:$J$2000,"آجل"))</f>
        <v/>
      </c>
      <c r="G1095" s="4" t="n"/>
      <c r="H1095">
        <f>IF(A1095="","",F1095-G1095)</f>
        <v/>
      </c>
    </row>
    <row r="1096">
      <c r="A1096" s="4" t="n"/>
      <c r="B1096" s="4" t="n"/>
      <c r="C1096">
        <f>IF(A1096="","",SUMPRODUCT((المبيعات!$C$2:$C$2000=A1096)*(المبيعات!$B$2:$B$2000&lt;&gt;"")/COUNTIFS(المبيعات!$B$2:$B$2000,المبيعات!$B$2:$B$2000&amp;"",المبيعات!$C$2:$C$2000,المبيعات!$C$2:$C$2000&amp;"")))</f>
        <v/>
      </c>
      <c r="D1096">
        <f>IF(A1096="","",SUMIFS(المبيعات!$H$2:$H$2000,المبيعات!$C$2:$C$2000,A1096))</f>
        <v/>
      </c>
      <c r="E1096" s="13">
        <f>IF(A1096="","",IF(COUNTIF(المبيعات!$C$2:$C$2000,A1096)=0,"",_xlfn.MAXIFS(المبيعات!$A$2:$A$2000,المبيعات!$C$2:$C$2000,A1096)))</f>
        <v/>
      </c>
      <c r="F1096">
        <f>IF(A1096="","",SUMIFS(المبيعات!$H$2:$H$2000,المبيعات!$C$2:$C$2000,A1096,المبيعات!$J$2:$J$2000,"آجل"))</f>
        <v/>
      </c>
      <c r="G1096" s="4" t="n"/>
      <c r="H1096">
        <f>IF(A1096="","",F1096-G1096)</f>
        <v/>
      </c>
    </row>
    <row r="1097">
      <c r="A1097" s="4" t="n"/>
      <c r="B1097" s="4" t="n"/>
      <c r="C1097">
        <f>IF(A1097="","",SUMPRODUCT((المبيعات!$C$2:$C$2000=A1097)*(المبيعات!$B$2:$B$2000&lt;&gt;"")/COUNTIFS(المبيعات!$B$2:$B$2000,المبيعات!$B$2:$B$2000&amp;"",المبيعات!$C$2:$C$2000,المبيعات!$C$2:$C$2000&amp;"")))</f>
        <v/>
      </c>
      <c r="D1097">
        <f>IF(A1097="","",SUMIFS(المبيعات!$H$2:$H$2000,المبيعات!$C$2:$C$2000,A1097))</f>
        <v/>
      </c>
      <c r="E1097" s="13">
        <f>IF(A1097="","",IF(COUNTIF(المبيعات!$C$2:$C$2000,A1097)=0,"",_xlfn.MAXIFS(المبيعات!$A$2:$A$2000,المبيعات!$C$2:$C$2000,A1097)))</f>
        <v/>
      </c>
      <c r="F1097">
        <f>IF(A1097="","",SUMIFS(المبيعات!$H$2:$H$2000,المبيعات!$C$2:$C$2000,A1097,المبيعات!$J$2:$J$2000,"آجل"))</f>
        <v/>
      </c>
      <c r="G1097" s="4" t="n"/>
      <c r="H1097">
        <f>IF(A1097="","",F1097-G1097)</f>
        <v/>
      </c>
    </row>
    <row r="1098">
      <c r="A1098" s="4" t="n"/>
      <c r="B1098" s="4" t="n"/>
      <c r="C1098">
        <f>IF(A1098="","",SUMPRODUCT((المبيعات!$C$2:$C$2000=A1098)*(المبيعات!$B$2:$B$2000&lt;&gt;"")/COUNTIFS(المبيعات!$B$2:$B$2000,المبيعات!$B$2:$B$2000&amp;"",المبيعات!$C$2:$C$2000,المبيعات!$C$2:$C$2000&amp;"")))</f>
        <v/>
      </c>
      <c r="D1098">
        <f>IF(A1098="","",SUMIFS(المبيعات!$H$2:$H$2000,المبيعات!$C$2:$C$2000,A1098))</f>
        <v/>
      </c>
      <c r="E1098" s="13">
        <f>IF(A1098="","",IF(COUNTIF(المبيعات!$C$2:$C$2000,A1098)=0,"",_xlfn.MAXIFS(المبيعات!$A$2:$A$2000,المبيعات!$C$2:$C$2000,A1098)))</f>
        <v/>
      </c>
      <c r="F1098">
        <f>IF(A1098="","",SUMIFS(المبيعات!$H$2:$H$2000,المبيعات!$C$2:$C$2000,A1098,المبيعات!$J$2:$J$2000,"آجل"))</f>
        <v/>
      </c>
      <c r="G1098" s="4" t="n"/>
      <c r="H1098">
        <f>IF(A1098="","",F1098-G1098)</f>
        <v/>
      </c>
    </row>
    <row r="1099">
      <c r="A1099" s="4" t="n"/>
      <c r="B1099" s="4" t="n"/>
      <c r="C1099">
        <f>IF(A1099="","",SUMPRODUCT((المبيعات!$C$2:$C$2000=A1099)*(المبيعات!$B$2:$B$2000&lt;&gt;"")/COUNTIFS(المبيعات!$B$2:$B$2000,المبيعات!$B$2:$B$2000&amp;"",المبيعات!$C$2:$C$2000,المبيعات!$C$2:$C$2000&amp;"")))</f>
        <v/>
      </c>
      <c r="D1099">
        <f>IF(A1099="","",SUMIFS(المبيعات!$H$2:$H$2000,المبيعات!$C$2:$C$2000,A1099))</f>
        <v/>
      </c>
      <c r="E1099" s="13">
        <f>IF(A1099="","",IF(COUNTIF(المبيعات!$C$2:$C$2000,A1099)=0,"",_xlfn.MAXIFS(المبيعات!$A$2:$A$2000,المبيعات!$C$2:$C$2000,A1099)))</f>
        <v/>
      </c>
      <c r="F1099">
        <f>IF(A1099="","",SUMIFS(المبيعات!$H$2:$H$2000,المبيعات!$C$2:$C$2000,A1099,المبيعات!$J$2:$J$2000,"آجل"))</f>
        <v/>
      </c>
      <c r="G1099" s="4" t="n"/>
      <c r="H1099">
        <f>IF(A1099="","",F1099-G1099)</f>
        <v/>
      </c>
    </row>
    <row r="1100">
      <c r="A1100" s="4" t="n"/>
      <c r="B1100" s="4" t="n"/>
      <c r="C1100">
        <f>IF(A1100="","",SUMPRODUCT((المبيعات!$C$2:$C$2000=A1100)*(المبيعات!$B$2:$B$2000&lt;&gt;"")/COUNTIFS(المبيعات!$B$2:$B$2000,المبيعات!$B$2:$B$2000&amp;"",المبيعات!$C$2:$C$2000,المبيعات!$C$2:$C$2000&amp;"")))</f>
        <v/>
      </c>
      <c r="D1100">
        <f>IF(A1100="","",SUMIFS(المبيعات!$H$2:$H$2000,المبيعات!$C$2:$C$2000,A1100))</f>
        <v/>
      </c>
      <c r="E1100" s="13">
        <f>IF(A1100="","",IF(COUNTIF(المبيعات!$C$2:$C$2000,A1100)=0,"",_xlfn.MAXIFS(المبيعات!$A$2:$A$2000,المبيعات!$C$2:$C$2000,A1100)))</f>
        <v/>
      </c>
      <c r="F1100">
        <f>IF(A1100="","",SUMIFS(المبيعات!$H$2:$H$2000,المبيعات!$C$2:$C$2000,A1100,المبيعات!$J$2:$J$2000,"آجل"))</f>
        <v/>
      </c>
      <c r="G1100" s="4" t="n"/>
      <c r="H1100">
        <f>IF(A1100="","",F1100-G1100)</f>
        <v/>
      </c>
    </row>
    <row r="1101">
      <c r="A1101" s="4" t="n"/>
      <c r="B1101" s="4" t="n"/>
      <c r="C1101">
        <f>IF(A1101="","",SUMPRODUCT((المبيعات!$C$2:$C$2000=A1101)*(المبيعات!$B$2:$B$2000&lt;&gt;"")/COUNTIFS(المبيعات!$B$2:$B$2000,المبيعات!$B$2:$B$2000&amp;"",المبيعات!$C$2:$C$2000,المبيعات!$C$2:$C$2000&amp;"")))</f>
        <v/>
      </c>
      <c r="D1101">
        <f>IF(A1101="","",SUMIFS(المبيعات!$H$2:$H$2000,المبيعات!$C$2:$C$2000,A1101))</f>
        <v/>
      </c>
      <c r="E1101" s="13">
        <f>IF(A1101="","",IF(COUNTIF(المبيعات!$C$2:$C$2000,A1101)=0,"",_xlfn.MAXIFS(المبيعات!$A$2:$A$2000,المبيعات!$C$2:$C$2000,A1101)))</f>
        <v/>
      </c>
      <c r="F1101">
        <f>IF(A1101="","",SUMIFS(المبيعات!$H$2:$H$2000,المبيعات!$C$2:$C$2000,A1101,المبيعات!$J$2:$J$2000,"آجل"))</f>
        <v/>
      </c>
      <c r="G1101" s="4" t="n"/>
      <c r="H1101">
        <f>IF(A1101="","",F1101-G1101)</f>
        <v/>
      </c>
    </row>
    <row r="1102">
      <c r="A1102" s="4" t="n"/>
      <c r="B1102" s="4" t="n"/>
      <c r="C1102">
        <f>IF(A1102="","",SUMPRODUCT((المبيعات!$C$2:$C$2000=A1102)*(المبيعات!$B$2:$B$2000&lt;&gt;"")/COUNTIFS(المبيعات!$B$2:$B$2000,المبيعات!$B$2:$B$2000&amp;"",المبيعات!$C$2:$C$2000,المبيعات!$C$2:$C$2000&amp;"")))</f>
        <v/>
      </c>
      <c r="D1102">
        <f>IF(A1102="","",SUMIFS(المبيعات!$H$2:$H$2000,المبيعات!$C$2:$C$2000,A1102))</f>
        <v/>
      </c>
      <c r="E1102" s="13">
        <f>IF(A1102="","",IF(COUNTIF(المبيعات!$C$2:$C$2000,A1102)=0,"",_xlfn.MAXIFS(المبيعات!$A$2:$A$2000,المبيعات!$C$2:$C$2000,A1102)))</f>
        <v/>
      </c>
      <c r="F1102">
        <f>IF(A1102="","",SUMIFS(المبيعات!$H$2:$H$2000,المبيعات!$C$2:$C$2000,A1102,المبيعات!$J$2:$J$2000,"آجل"))</f>
        <v/>
      </c>
      <c r="G1102" s="4" t="n"/>
      <c r="H1102">
        <f>IF(A1102="","",F1102-G1102)</f>
        <v/>
      </c>
    </row>
    <row r="1103">
      <c r="A1103" s="4" t="n"/>
      <c r="B1103" s="4" t="n"/>
      <c r="C1103">
        <f>IF(A1103="","",SUMPRODUCT((المبيعات!$C$2:$C$2000=A1103)*(المبيعات!$B$2:$B$2000&lt;&gt;"")/COUNTIFS(المبيعات!$B$2:$B$2000,المبيعات!$B$2:$B$2000&amp;"",المبيعات!$C$2:$C$2000,المبيعات!$C$2:$C$2000&amp;"")))</f>
        <v/>
      </c>
      <c r="D1103">
        <f>IF(A1103="","",SUMIFS(المبيعات!$H$2:$H$2000,المبيعات!$C$2:$C$2000,A1103))</f>
        <v/>
      </c>
      <c r="E1103" s="13">
        <f>IF(A1103="","",IF(COUNTIF(المبيعات!$C$2:$C$2000,A1103)=0,"",_xlfn.MAXIFS(المبيعات!$A$2:$A$2000,المبيعات!$C$2:$C$2000,A1103)))</f>
        <v/>
      </c>
      <c r="F1103">
        <f>IF(A1103="","",SUMIFS(المبيعات!$H$2:$H$2000,المبيعات!$C$2:$C$2000,A1103,المبيعات!$J$2:$J$2000,"آجل"))</f>
        <v/>
      </c>
      <c r="G1103" s="4" t="n"/>
      <c r="H1103">
        <f>IF(A1103="","",F1103-G1103)</f>
        <v/>
      </c>
    </row>
    <row r="1104">
      <c r="A1104" s="4" t="n"/>
      <c r="B1104" s="4" t="n"/>
      <c r="C1104">
        <f>IF(A1104="","",SUMPRODUCT((المبيعات!$C$2:$C$2000=A1104)*(المبيعات!$B$2:$B$2000&lt;&gt;"")/COUNTIFS(المبيعات!$B$2:$B$2000,المبيعات!$B$2:$B$2000&amp;"",المبيعات!$C$2:$C$2000,المبيعات!$C$2:$C$2000&amp;"")))</f>
        <v/>
      </c>
      <c r="D1104">
        <f>IF(A1104="","",SUMIFS(المبيعات!$H$2:$H$2000,المبيعات!$C$2:$C$2000,A1104))</f>
        <v/>
      </c>
      <c r="E1104" s="13">
        <f>IF(A1104="","",IF(COUNTIF(المبيعات!$C$2:$C$2000,A1104)=0,"",_xlfn.MAXIFS(المبيعات!$A$2:$A$2000,المبيعات!$C$2:$C$2000,A1104)))</f>
        <v/>
      </c>
      <c r="F1104">
        <f>IF(A1104="","",SUMIFS(المبيعات!$H$2:$H$2000,المبيعات!$C$2:$C$2000,A1104,المبيعات!$J$2:$J$2000,"آجل"))</f>
        <v/>
      </c>
      <c r="G1104" s="4" t="n"/>
      <c r="H1104">
        <f>IF(A1104="","",F1104-G1104)</f>
        <v/>
      </c>
    </row>
    <row r="1105">
      <c r="A1105" s="4" t="n"/>
      <c r="B1105" s="4" t="n"/>
      <c r="C1105">
        <f>IF(A1105="","",SUMPRODUCT((المبيعات!$C$2:$C$2000=A1105)*(المبيعات!$B$2:$B$2000&lt;&gt;"")/COUNTIFS(المبيعات!$B$2:$B$2000,المبيعات!$B$2:$B$2000&amp;"",المبيعات!$C$2:$C$2000,المبيعات!$C$2:$C$2000&amp;"")))</f>
        <v/>
      </c>
      <c r="D1105">
        <f>IF(A1105="","",SUMIFS(المبيعات!$H$2:$H$2000,المبيعات!$C$2:$C$2000,A1105))</f>
        <v/>
      </c>
      <c r="E1105" s="13">
        <f>IF(A1105="","",IF(COUNTIF(المبيعات!$C$2:$C$2000,A1105)=0,"",_xlfn.MAXIFS(المبيعات!$A$2:$A$2000,المبيعات!$C$2:$C$2000,A1105)))</f>
        <v/>
      </c>
      <c r="F1105">
        <f>IF(A1105="","",SUMIFS(المبيعات!$H$2:$H$2000,المبيعات!$C$2:$C$2000,A1105,المبيعات!$J$2:$J$2000,"آجل"))</f>
        <v/>
      </c>
      <c r="G1105" s="4" t="n"/>
      <c r="H1105">
        <f>IF(A1105="","",F1105-G1105)</f>
        <v/>
      </c>
    </row>
    <row r="1106">
      <c r="A1106" s="4" t="n"/>
      <c r="B1106" s="4" t="n"/>
      <c r="C1106">
        <f>IF(A1106="","",SUMPRODUCT((المبيعات!$C$2:$C$2000=A1106)*(المبيعات!$B$2:$B$2000&lt;&gt;"")/COUNTIFS(المبيعات!$B$2:$B$2000,المبيعات!$B$2:$B$2000&amp;"",المبيعات!$C$2:$C$2000,المبيعات!$C$2:$C$2000&amp;"")))</f>
        <v/>
      </c>
      <c r="D1106">
        <f>IF(A1106="","",SUMIFS(المبيعات!$H$2:$H$2000,المبيعات!$C$2:$C$2000,A1106))</f>
        <v/>
      </c>
      <c r="E1106" s="13">
        <f>IF(A1106="","",IF(COUNTIF(المبيعات!$C$2:$C$2000,A1106)=0,"",_xlfn.MAXIFS(المبيعات!$A$2:$A$2000,المبيعات!$C$2:$C$2000,A1106)))</f>
        <v/>
      </c>
      <c r="F1106">
        <f>IF(A1106="","",SUMIFS(المبيعات!$H$2:$H$2000,المبيعات!$C$2:$C$2000,A1106,المبيعات!$J$2:$J$2000,"آجل"))</f>
        <v/>
      </c>
      <c r="G1106" s="4" t="n"/>
      <c r="H1106">
        <f>IF(A1106="","",F1106-G1106)</f>
        <v/>
      </c>
    </row>
    <row r="1107">
      <c r="A1107" s="4" t="n"/>
      <c r="B1107" s="4" t="n"/>
      <c r="C1107">
        <f>IF(A1107="","",SUMPRODUCT((المبيعات!$C$2:$C$2000=A1107)*(المبيعات!$B$2:$B$2000&lt;&gt;"")/COUNTIFS(المبيعات!$B$2:$B$2000,المبيعات!$B$2:$B$2000&amp;"",المبيعات!$C$2:$C$2000,المبيعات!$C$2:$C$2000&amp;"")))</f>
        <v/>
      </c>
      <c r="D1107">
        <f>IF(A1107="","",SUMIFS(المبيعات!$H$2:$H$2000,المبيعات!$C$2:$C$2000,A1107))</f>
        <v/>
      </c>
      <c r="E1107" s="13">
        <f>IF(A1107="","",IF(COUNTIF(المبيعات!$C$2:$C$2000,A1107)=0,"",_xlfn.MAXIFS(المبيعات!$A$2:$A$2000,المبيعات!$C$2:$C$2000,A1107)))</f>
        <v/>
      </c>
      <c r="F1107">
        <f>IF(A1107="","",SUMIFS(المبيعات!$H$2:$H$2000,المبيعات!$C$2:$C$2000,A1107,المبيعات!$J$2:$J$2000,"آجل"))</f>
        <v/>
      </c>
      <c r="G1107" s="4" t="n"/>
      <c r="H1107">
        <f>IF(A1107="","",F1107-G1107)</f>
        <v/>
      </c>
    </row>
    <row r="1108">
      <c r="A1108" s="4" t="n"/>
      <c r="B1108" s="4" t="n"/>
      <c r="C1108">
        <f>IF(A1108="","",SUMPRODUCT((المبيعات!$C$2:$C$2000=A1108)*(المبيعات!$B$2:$B$2000&lt;&gt;"")/COUNTIFS(المبيعات!$B$2:$B$2000,المبيعات!$B$2:$B$2000&amp;"",المبيعات!$C$2:$C$2000,المبيعات!$C$2:$C$2000&amp;"")))</f>
        <v/>
      </c>
      <c r="D1108">
        <f>IF(A1108="","",SUMIFS(المبيعات!$H$2:$H$2000,المبيعات!$C$2:$C$2000,A1108))</f>
        <v/>
      </c>
      <c r="E1108" s="13">
        <f>IF(A1108="","",IF(COUNTIF(المبيعات!$C$2:$C$2000,A1108)=0,"",_xlfn.MAXIFS(المبيعات!$A$2:$A$2000,المبيعات!$C$2:$C$2000,A1108)))</f>
        <v/>
      </c>
      <c r="F1108">
        <f>IF(A1108="","",SUMIFS(المبيعات!$H$2:$H$2000,المبيعات!$C$2:$C$2000,A1108,المبيعات!$J$2:$J$2000,"آجل"))</f>
        <v/>
      </c>
      <c r="G1108" s="4" t="n"/>
      <c r="H1108">
        <f>IF(A1108="","",F1108-G1108)</f>
        <v/>
      </c>
    </row>
    <row r="1109">
      <c r="A1109" s="4" t="n"/>
      <c r="B1109" s="4" t="n"/>
      <c r="C1109">
        <f>IF(A1109="","",SUMPRODUCT((المبيعات!$C$2:$C$2000=A1109)*(المبيعات!$B$2:$B$2000&lt;&gt;"")/COUNTIFS(المبيعات!$B$2:$B$2000,المبيعات!$B$2:$B$2000&amp;"",المبيعات!$C$2:$C$2000,المبيعات!$C$2:$C$2000&amp;"")))</f>
        <v/>
      </c>
      <c r="D1109">
        <f>IF(A1109="","",SUMIFS(المبيعات!$H$2:$H$2000,المبيعات!$C$2:$C$2000,A1109))</f>
        <v/>
      </c>
      <c r="E1109" s="13">
        <f>IF(A1109="","",IF(COUNTIF(المبيعات!$C$2:$C$2000,A1109)=0,"",_xlfn.MAXIFS(المبيعات!$A$2:$A$2000,المبيعات!$C$2:$C$2000,A1109)))</f>
        <v/>
      </c>
      <c r="F1109">
        <f>IF(A1109="","",SUMIFS(المبيعات!$H$2:$H$2000,المبيعات!$C$2:$C$2000,A1109,المبيعات!$J$2:$J$2000,"آجل"))</f>
        <v/>
      </c>
      <c r="G1109" s="4" t="n"/>
      <c r="H1109">
        <f>IF(A1109="","",F1109-G1109)</f>
        <v/>
      </c>
    </row>
    <row r="1110">
      <c r="A1110" s="4" t="n"/>
      <c r="B1110" s="4" t="n"/>
      <c r="C1110">
        <f>IF(A1110="","",SUMPRODUCT((المبيعات!$C$2:$C$2000=A1110)*(المبيعات!$B$2:$B$2000&lt;&gt;"")/COUNTIFS(المبيعات!$B$2:$B$2000,المبيعات!$B$2:$B$2000&amp;"",المبيعات!$C$2:$C$2000,المبيعات!$C$2:$C$2000&amp;"")))</f>
        <v/>
      </c>
      <c r="D1110">
        <f>IF(A1110="","",SUMIFS(المبيعات!$H$2:$H$2000,المبيعات!$C$2:$C$2000,A1110))</f>
        <v/>
      </c>
      <c r="E1110" s="13">
        <f>IF(A1110="","",IF(COUNTIF(المبيعات!$C$2:$C$2000,A1110)=0,"",_xlfn.MAXIFS(المبيعات!$A$2:$A$2000,المبيعات!$C$2:$C$2000,A1110)))</f>
        <v/>
      </c>
      <c r="F1110">
        <f>IF(A1110="","",SUMIFS(المبيعات!$H$2:$H$2000,المبيعات!$C$2:$C$2000,A1110,المبيعات!$J$2:$J$2000,"آجل"))</f>
        <v/>
      </c>
      <c r="G1110" s="4" t="n"/>
      <c r="H1110">
        <f>IF(A1110="","",F1110-G1110)</f>
        <v/>
      </c>
    </row>
    <row r="1111">
      <c r="A1111" s="4" t="n"/>
      <c r="B1111" s="4" t="n"/>
      <c r="C1111">
        <f>IF(A1111="","",SUMPRODUCT((المبيعات!$C$2:$C$2000=A1111)*(المبيعات!$B$2:$B$2000&lt;&gt;"")/COUNTIFS(المبيعات!$B$2:$B$2000,المبيعات!$B$2:$B$2000&amp;"",المبيعات!$C$2:$C$2000,المبيعات!$C$2:$C$2000&amp;"")))</f>
        <v/>
      </c>
      <c r="D1111">
        <f>IF(A1111="","",SUMIFS(المبيعات!$H$2:$H$2000,المبيعات!$C$2:$C$2000,A1111))</f>
        <v/>
      </c>
      <c r="E1111" s="13">
        <f>IF(A1111="","",IF(COUNTIF(المبيعات!$C$2:$C$2000,A1111)=0,"",_xlfn.MAXIFS(المبيعات!$A$2:$A$2000,المبيعات!$C$2:$C$2000,A1111)))</f>
        <v/>
      </c>
      <c r="F1111">
        <f>IF(A1111="","",SUMIFS(المبيعات!$H$2:$H$2000,المبيعات!$C$2:$C$2000,A1111,المبيعات!$J$2:$J$2000,"آجل"))</f>
        <v/>
      </c>
      <c r="G1111" s="4" t="n"/>
      <c r="H1111">
        <f>IF(A1111="","",F1111-G1111)</f>
        <v/>
      </c>
    </row>
    <row r="1112">
      <c r="A1112" s="4" t="n"/>
      <c r="B1112" s="4" t="n"/>
      <c r="C1112">
        <f>IF(A1112="","",SUMPRODUCT((المبيعات!$C$2:$C$2000=A1112)*(المبيعات!$B$2:$B$2000&lt;&gt;"")/COUNTIFS(المبيعات!$B$2:$B$2000,المبيعات!$B$2:$B$2000&amp;"",المبيعات!$C$2:$C$2000,المبيعات!$C$2:$C$2000&amp;"")))</f>
        <v/>
      </c>
      <c r="D1112">
        <f>IF(A1112="","",SUMIFS(المبيعات!$H$2:$H$2000,المبيعات!$C$2:$C$2000,A1112))</f>
        <v/>
      </c>
      <c r="E1112" s="13">
        <f>IF(A1112="","",IF(COUNTIF(المبيعات!$C$2:$C$2000,A1112)=0,"",_xlfn.MAXIFS(المبيعات!$A$2:$A$2000,المبيعات!$C$2:$C$2000,A1112)))</f>
        <v/>
      </c>
      <c r="F1112">
        <f>IF(A1112="","",SUMIFS(المبيعات!$H$2:$H$2000,المبيعات!$C$2:$C$2000,A1112,المبيعات!$J$2:$J$2000,"آجل"))</f>
        <v/>
      </c>
      <c r="G1112" s="4" t="n"/>
      <c r="H1112">
        <f>IF(A1112="","",F1112-G1112)</f>
        <v/>
      </c>
    </row>
    <row r="1113">
      <c r="A1113" s="4" t="n"/>
      <c r="B1113" s="4" t="n"/>
      <c r="C1113">
        <f>IF(A1113="","",SUMPRODUCT((المبيعات!$C$2:$C$2000=A1113)*(المبيعات!$B$2:$B$2000&lt;&gt;"")/COUNTIFS(المبيعات!$B$2:$B$2000,المبيعات!$B$2:$B$2000&amp;"",المبيعات!$C$2:$C$2000,المبيعات!$C$2:$C$2000&amp;"")))</f>
        <v/>
      </c>
      <c r="D1113">
        <f>IF(A1113="","",SUMIFS(المبيعات!$H$2:$H$2000,المبيعات!$C$2:$C$2000,A1113))</f>
        <v/>
      </c>
      <c r="E1113" s="13">
        <f>IF(A1113="","",IF(COUNTIF(المبيعات!$C$2:$C$2000,A1113)=0,"",_xlfn.MAXIFS(المبيعات!$A$2:$A$2000,المبيعات!$C$2:$C$2000,A1113)))</f>
        <v/>
      </c>
      <c r="F1113">
        <f>IF(A1113="","",SUMIFS(المبيعات!$H$2:$H$2000,المبيعات!$C$2:$C$2000,A1113,المبيعات!$J$2:$J$2000,"آجل"))</f>
        <v/>
      </c>
      <c r="G1113" s="4" t="n"/>
      <c r="H1113">
        <f>IF(A1113="","",F1113-G1113)</f>
        <v/>
      </c>
    </row>
    <row r="1114">
      <c r="A1114" s="4" t="n"/>
      <c r="B1114" s="4" t="n"/>
      <c r="C1114">
        <f>IF(A1114="","",SUMPRODUCT((المبيعات!$C$2:$C$2000=A1114)*(المبيعات!$B$2:$B$2000&lt;&gt;"")/COUNTIFS(المبيعات!$B$2:$B$2000,المبيعات!$B$2:$B$2000&amp;"",المبيعات!$C$2:$C$2000,المبيعات!$C$2:$C$2000&amp;"")))</f>
        <v/>
      </c>
      <c r="D1114">
        <f>IF(A1114="","",SUMIFS(المبيعات!$H$2:$H$2000,المبيعات!$C$2:$C$2000,A1114))</f>
        <v/>
      </c>
      <c r="E1114" s="13">
        <f>IF(A1114="","",IF(COUNTIF(المبيعات!$C$2:$C$2000,A1114)=0,"",_xlfn.MAXIFS(المبيعات!$A$2:$A$2000,المبيعات!$C$2:$C$2000,A1114)))</f>
        <v/>
      </c>
      <c r="F1114">
        <f>IF(A1114="","",SUMIFS(المبيعات!$H$2:$H$2000,المبيعات!$C$2:$C$2000,A1114,المبيعات!$J$2:$J$2000,"آجل"))</f>
        <v/>
      </c>
      <c r="G1114" s="4" t="n"/>
      <c r="H1114">
        <f>IF(A1114="","",F1114-G1114)</f>
        <v/>
      </c>
    </row>
    <row r="1115">
      <c r="A1115" s="4" t="n"/>
      <c r="B1115" s="4" t="n"/>
      <c r="C1115">
        <f>IF(A1115="","",SUMPRODUCT((المبيعات!$C$2:$C$2000=A1115)*(المبيعات!$B$2:$B$2000&lt;&gt;"")/COUNTIFS(المبيعات!$B$2:$B$2000,المبيعات!$B$2:$B$2000&amp;"",المبيعات!$C$2:$C$2000,المبيعات!$C$2:$C$2000&amp;"")))</f>
        <v/>
      </c>
      <c r="D1115">
        <f>IF(A1115="","",SUMIFS(المبيعات!$H$2:$H$2000,المبيعات!$C$2:$C$2000,A1115))</f>
        <v/>
      </c>
      <c r="E1115" s="13">
        <f>IF(A1115="","",IF(COUNTIF(المبيعات!$C$2:$C$2000,A1115)=0,"",_xlfn.MAXIFS(المبيعات!$A$2:$A$2000,المبيعات!$C$2:$C$2000,A1115)))</f>
        <v/>
      </c>
      <c r="F1115">
        <f>IF(A1115="","",SUMIFS(المبيعات!$H$2:$H$2000,المبيعات!$C$2:$C$2000,A1115,المبيعات!$J$2:$J$2000,"آجل"))</f>
        <v/>
      </c>
      <c r="G1115" s="4" t="n"/>
      <c r="H1115">
        <f>IF(A1115="","",F1115-G1115)</f>
        <v/>
      </c>
    </row>
    <row r="1116">
      <c r="A1116" s="4" t="n"/>
      <c r="B1116" s="4" t="n"/>
      <c r="C1116">
        <f>IF(A1116="","",SUMPRODUCT((المبيعات!$C$2:$C$2000=A1116)*(المبيعات!$B$2:$B$2000&lt;&gt;"")/COUNTIFS(المبيعات!$B$2:$B$2000,المبيعات!$B$2:$B$2000&amp;"",المبيعات!$C$2:$C$2000,المبيعات!$C$2:$C$2000&amp;"")))</f>
        <v/>
      </c>
      <c r="D1116">
        <f>IF(A1116="","",SUMIFS(المبيعات!$H$2:$H$2000,المبيعات!$C$2:$C$2000,A1116))</f>
        <v/>
      </c>
      <c r="E1116" s="13">
        <f>IF(A1116="","",IF(COUNTIF(المبيعات!$C$2:$C$2000,A1116)=0,"",_xlfn.MAXIFS(المبيعات!$A$2:$A$2000,المبيعات!$C$2:$C$2000,A1116)))</f>
        <v/>
      </c>
      <c r="F1116">
        <f>IF(A1116="","",SUMIFS(المبيعات!$H$2:$H$2000,المبيعات!$C$2:$C$2000,A1116,المبيعات!$J$2:$J$2000,"آجل"))</f>
        <v/>
      </c>
      <c r="G1116" s="4" t="n"/>
      <c r="H1116">
        <f>IF(A1116="","",F1116-G1116)</f>
        <v/>
      </c>
    </row>
    <row r="1117">
      <c r="A1117" s="4" t="n"/>
      <c r="B1117" s="4" t="n"/>
      <c r="C1117">
        <f>IF(A1117="","",SUMPRODUCT((المبيعات!$C$2:$C$2000=A1117)*(المبيعات!$B$2:$B$2000&lt;&gt;"")/COUNTIFS(المبيعات!$B$2:$B$2000,المبيعات!$B$2:$B$2000&amp;"",المبيعات!$C$2:$C$2000,المبيعات!$C$2:$C$2000&amp;"")))</f>
        <v/>
      </c>
      <c r="D1117">
        <f>IF(A1117="","",SUMIFS(المبيعات!$H$2:$H$2000,المبيعات!$C$2:$C$2000,A1117))</f>
        <v/>
      </c>
      <c r="E1117" s="13">
        <f>IF(A1117="","",IF(COUNTIF(المبيعات!$C$2:$C$2000,A1117)=0,"",_xlfn.MAXIFS(المبيعات!$A$2:$A$2000,المبيعات!$C$2:$C$2000,A1117)))</f>
        <v/>
      </c>
      <c r="F1117">
        <f>IF(A1117="","",SUMIFS(المبيعات!$H$2:$H$2000,المبيعات!$C$2:$C$2000,A1117,المبيعات!$J$2:$J$2000,"آجل"))</f>
        <v/>
      </c>
      <c r="G1117" s="4" t="n"/>
      <c r="H1117">
        <f>IF(A1117="","",F1117-G1117)</f>
        <v/>
      </c>
    </row>
    <row r="1118">
      <c r="A1118" s="4" t="n"/>
      <c r="B1118" s="4" t="n"/>
      <c r="C1118">
        <f>IF(A1118="","",SUMPRODUCT((المبيعات!$C$2:$C$2000=A1118)*(المبيعات!$B$2:$B$2000&lt;&gt;"")/COUNTIFS(المبيعات!$B$2:$B$2000,المبيعات!$B$2:$B$2000&amp;"",المبيعات!$C$2:$C$2000,المبيعات!$C$2:$C$2000&amp;"")))</f>
        <v/>
      </c>
      <c r="D1118">
        <f>IF(A1118="","",SUMIFS(المبيعات!$H$2:$H$2000,المبيعات!$C$2:$C$2000,A1118))</f>
        <v/>
      </c>
      <c r="E1118" s="13">
        <f>IF(A1118="","",IF(COUNTIF(المبيعات!$C$2:$C$2000,A1118)=0,"",_xlfn.MAXIFS(المبيعات!$A$2:$A$2000,المبيعات!$C$2:$C$2000,A1118)))</f>
        <v/>
      </c>
      <c r="F1118">
        <f>IF(A1118="","",SUMIFS(المبيعات!$H$2:$H$2000,المبيعات!$C$2:$C$2000,A1118,المبيعات!$J$2:$J$2000,"آجل"))</f>
        <v/>
      </c>
      <c r="G1118" s="4" t="n"/>
      <c r="H1118">
        <f>IF(A1118="","",F1118-G1118)</f>
        <v/>
      </c>
    </row>
    <row r="1119">
      <c r="A1119" s="4" t="n"/>
      <c r="B1119" s="4" t="n"/>
      <c r="C1119">
        <f>IF(A1119="","",SUMPRODUCT((المبيعات!$C$2:$C$2000=A1119)*(المبيعات!$B$2:$B$2000&lt;&gt;"")/COUNTIFS(المبيعات!$B$2:$B$2000,المبيعات!$B$2:$B$2000&amp;"",المبيعات!$C$2:$C$2000,المبيعات!$C$2:$C$2000&amp;"")))</f>
        <v/>
      </c>
      <c r="D1119">
        <f>IF(A1119="","",SUMIFS(المبيعات!$H$2:$H$2000,المبيعات!$C$2:$C$2000,A1119))</f>
        <v/>
      </c>
      <c r="E1119" s="13">
        <f>IF(A1119="","",IF(COUNTIF(المبيعات!$C$2:$C$2000,A1119)=0,"",_xlfn.MAXIFS(المبيعات!$A$2:$A$2000,المبيعات!$C$2:$C$2000,A1119)))</f>
        <v/>
      </c>
      <c r="F1119">
        <f>IF(A1119="","",SUMIFS(المبيعات!$H$2:$H$2000,المبيعات!$C$2:$C$2000,A1119,المبيعات!$J$2:$J$2000,"آجل"))</f>
        <v/>
      </c>
      <c r="G1119" s="4" t="n"/>
      <c r="H1119">
        <f>IF(A1119="","",F1119-G1119)</f>
        <v/>
      </c>
    </row>
    <row r="1120">
      <c r="A1120" s="4" t="n"/>
      <c r="B1120" s="4" t="n"/>
      <c r="C1120">
        <f>IF(A1120="","",SUMPRODUCT((المبيعات!$C$2:$C$2000=A1120)*(المبيعات!$B$2:$B$2000&lt;&gt;"")/COUNTIFS(المبيعات!$B$2:$B$2000,المبيعات!$B$2:$B$2000&amp;"",المبيعات!$C$2:$C$2000,المبيعات!$C$2:$C$2000&amp;"")))</f>
        <v/>
      </c>
      <c r="D1120">
        <f>IF(A1120="","",SUMIFS(المبيعات!$H$2:$H$2000,المبيعات!$C$2:$C$2000,A1120))</f>
        <v/>
      </c>
      <c r="E1120" s="13">
        <f>IF(A1120="","",IF(COUNTIF(المبيعات!$C$2:$C$2000,A1120)=0,"",_xlfn.MAXIFS(المبيعات!$A$2:$A$2000,المبيعات!$C$2:$C$2000,A1120)))</f>
        <v/>
      </c>
      <c r="F1120">
        <f>IF(A1120="","",SUMIFS(المبيعات!$H$2:$H$2000,المبيعات!$C$2:$C$2000,A1120,المبيعات!$J$2:$J$2000,"آجل"))</f>
        <v/>
      </c>
      <c r="G1120" s="4" t="n"/>
      <c r="H1120">
        <f>IF(A1120="","",F1120-G1120)</f>
        <v/>
      </c>
    </row>
    <row r="1121">
      <c r="A1121" s="4" t="n"/>
      <c r="B1121" s="4" t="n"/>
      <c r="C1121">
        <f>IF(A1121="","",SUMPRODUCT((المبيعات!$C$2:$C$2000=A1121)*(المبيعات!$B$2:$B$2000&lt;&gt;"")/COUNTIFS(المبيعات!$B$2:$B$2000,المبيعات!$B$2:$B$2000&amp;"",المبيعات!$C$2:$C$2000,المبيعات!$C$2:$C$2000&amp;"")))</f>
        <v/>
      </c>
      <c r="D1121">
        <f>IF(A1121="","",SUMIFS(المبيعات!$H$2:$H$2000,المبيعات!$C$2:$C$2000,A1121))</f>
        <v/>
      </c>
      <c r="E1121" s="13">
        <f>IF(A1121="","",IF(COUNTIF(المبيعات!$C$2:$C$2000,A1121)=0,"",_xlfn.MAXIFS(المبيعات!$A$2:$A$2000,المبيعات!$C$2:$C$2000,A1121)))</f>
        <v/>
      </c>
      <c r="F1121">
        <f>IF(A1121="","",SUMIFS(المبيعات!$H$2:$H$2000,المبيعات!$C$2:$C$2000,A1121,المبيعات!$J$2:$J$2000,"آجل"))</f>
        <v/>
      </c>
      <c r="G1121" s="4" t="n"/>
      <c r="H1121">
        <f>IF(A1121="","",F1121-G1121)</f>
        <v/>
      </c>
    </row>
    <row r="1122">
      <c r="A1122" s="4" t="n"/>
      <c r="B1122" s="4" t="n"/>
      <c r="C1122">
        <f>IF(A1122="","",SUMPRODUCT((المبيعات!$C$2:$C$2000=A1122)*(المبيعات!$B$2:$B$2000&lt;&gt;"")/COUNTIFS(المبيعات!$B$2:$B$2000,المبيعات!$B$2:$B$2000&amp;"",المبيعات!$C$2:$C$2000,المبيعات!$C$2:$C$2000&amp;"")))</f>
        <v/>
      </c>
      <c r="D1122">
        <f>IF(A1122="","",SUMIFS(المبيعات!$H$2:$H$2000,المبيعات!$C$2:$C$2000,A1122))</f>
        <v/>
      </c>
      <c r="E1122" s="13">
        <f>IF(A1122="","",IF(COUNTIF(المبيعات!$C$2:$C$2000,A1122)=0,"",_xlfn.MAXIFS(المبيعات!$A$2:$A$2000,المبيعات!$C$2:$C$2000,A1122)))</f>
        <v/>
      </c>
      <c r="F1122">
        <f>IF(A1122="","",SUMIFS(المبيعات!$H$2:$H$2000,المبيعات!$C$2:$C$2000,A1122,المبيعات!$J$2:$J$2000,"آجل"))</f>
        <v/>
      </c>
      <c r="G1122" s="4" t="n"/>
      <c r="H1122">
        <f>IF(A1122="","",F1122-G1122)</f>
        <v/>
      </c>
    </row>
    <row r="1123">
      <c r="A1123" s="4" t="n"/>
      <c r="B1123" s="4" t="n"/>
      <c r="C1123">
        <f>IF(A1123="","",SUMPRODUCT((المبيعات!$C$2:$C$2000=A1123)*(المبيعات!$B$2:$B$2000&lt;&gt;"")/COUNTIFS(المبيعات!$B$2:$B$2000,المبيعات!$B$2:$B$2000&amp;"",المبيعات!$C$2:$C$2000,المبيعات!$C$2:$C$2000&amp;"")))</f>
        <v/>
      </c>
      <c r="D1123">
        <f>IF(A1123="","",SUMIFS(المبيعات!$H$2:$H$2000,المبيعات!$C$2:$C$2000,A1123))</f>
        <v/>
      </c>
      <c r="E1123" s="13">
        <f>IF(A1123="","",IF(COUNTIF(المبيعات!$C$2:$C$2000,A1123)=0,"",_xlfn.MAXIFS(المبيعات!$A$2:$A$2000,المبيعات!$C$2:$C$2000,A1123)))</f>
        <v/>
      </c>
      <c r="F1123">
        <f>IF(A1123="","",SUMIFS(المبيعات!$H$2:$H$2000,المبيعات!$C$2:$C$2000,A1123,المبيعات!$J$2:$J$2000,"آجل"))</f>
        <v/>
      </c>
      <c r="G1123" s="4" t="n"/>
      <c r="H1123">
        <f>IF(A1123="","",F1123-G1123)</f>
        <v/>
      </c>
    </row>
    <row r="1124">
      <c r="A1124" s="4" t="n"/>
      <c r="B1124" s="4" t="n"/>
      <c r="C1124">
        <f>IF(A1124="","",SUMPRODUCT((المبيعات!$C$2:$C$2000=A1124)*(المبيعات!$B$2:$B$2000&lt;&gt;"")/COUNTIFS(المبيعات!$B$2:$B$2000,المبيعات!$B$2:$B$2000&amp;"",المبيعات!$C$2:$C$2000,المبيعات!$C$2:$C$2000&amp;"")))</f>
        <v/>
      </c>
      <c r="D1124">
        <f>IF(A1124="","",SUMIFS(المبيعات!$H$2:$H$2000,المبيعات!$C$2:$C$2000,A1124))</f>
        <v/>
      </c>
      <c r="E1124" s="13">
        <f>IF(A1124="","",IF(COUNTIF(المبيعات!$C$2:$C$2000,A1124)=0,"",_xlfn.MAXIFS(المبيعات!$A$2:$A$2000,المبيعات!$C$2:$C$2000,A1124)))</f>
        <v/>
      </c>
      <c r="F1124">
        <f>IF(A1124="","",SUMIFS(المبيعات!$H$2:$H$2000,المبيعات!$C$2:$C$2000,A1124,المبيعات!$J$2:$J$2000,"آجل"))</f>
        <v/>
      </c>
      <c r="G1124" s="4" t="n"/>
      <c r="H1124">
        <f>IF(A1124="","",F1124-G1124)</f>
        <v/>
      </c>
    </row>
    <row r="1125">
      <c r="A1125" s="4" t="n"/>
      <c r="B1125" s="4" t="n"/>
      <c r="C1125">
        <f>IF(A1125="","",SUMPRODUCT((المبيعات!$C$2:$C$2000=A1125)*(المبيعات!$B$2:$B$2000&lt;&gt;"")/COUNTIFS(المبيعات!$B$2:$B$2000,المبيعات!$B$2:$B$2000&amp;"",المبيعات!$C$2:$C$2000,المبيعات!$C$2:$C$2000&amp;"")))</f>
        <v/>
      </c>
      <c r="D1125">
        <f>IF(A1125="","",SUMIFS(المبيعات!$H$2:$H$2000,المبيعات!$C$2:$C$2000,A1125))</f>
        <v/>
      </c>
      <c r="E1125" s="13">
        <f>IF(A1125="","",IF(COUNTIF(المبيعات!$C$2:$C$2000,A1125)=0,"",_xlfn.MAXIFS(المبيعات!$A$2:$A$2000,المبيعات!$C$2:$C$2000,A1125)))</f>
        <v/>
      </c>
      <c r="F1125">
        <f>IF(A1125="","",SUMIFS(المبيعات!$H$2:$H$2000,المبيعات!$C$2:$C$2000,A1125,المبيعات!$J$2:$J$2000,"آجل"))</f>
        <v/>
      </c>
      <c r="G1125" s="4" t="n"/>
      <c r="H1125">
        <f>IF(A1125="","",F1125-G1125)</f>
        <v/>
      </c>
    </row>
    <row r="1126">
      <c r="A1126" s="4" t="n"/>
      <c r="B1126" s="4" t="n"/>
      <c r="C1126">
        <f>IF(A1126="","",SUMPRODUCT((المبيعات!$C$2:$C$2000=A1126)*(المبيعات!$B$2:$B$2000&lt;&gt;"")/COUNTIFS(المبيعات!$B$2:$B$2000,المبيعات!$B$2:$B$2000&amp;"",المبيعات!$C$2:$C$2000,المبيعات!$C$2:$C$2000&amp;"")))</f>
        <v/>
      </c>
      <c r="D1126">
        <f>IF(A1126="","",SUMIFS(المبيعات!$H$2:$H$2000,المبيعات!$C$2:$C$2000,A1126))</f>
        <v/>
      </c>
      <c r="E1126" s="13">
        <f>IF(A1126="","",IF(COUNTIF(المبيعات!$C$2:$C$2000,A1126)=0,"",_xlfn.MAXIFS(المبيعات!$A$2:$A$2000,المبيعات!$C$2:$C$2000,A1126)))</f>
        <v/>
      </c>
      <c r="F1126">
        <f>IF(A1126="","",SUMIFS(المبيعات!$H$2:$H$2000,المبيعات!$C$2:$C$2000,A1126,المبيعات!$J$2:$J$2000,"آجل"))</f>
        <v/>
      </c>
      <c r="G1126" s="4" t="n"/>
      <c r="H1126">
        <f>IF(A1126="","",F1126-G1126)</f>
        <v/>
      </c>
    </row>
    <row r="1127">
      <c r="A1127" s="4" t="n"/>
      <c r="B1127" s="4" t="n"/>
      <c r="C1127">
        <f>IF(A1127="","",SUMPRODUCT((المبيعات!$C$2:$C$2000=A1127)*(المبيعات!$B$2:$B$2000&lt;&gt;"")/COUNTIFS(المبيعات!$B$2:$B$2000,المبيعات!$B$2:$B$2000&amp;"",المبيعات!$C$2:$C$2000,المبيعات!$C$2:$C$2000&amp;"")))</f>
        <v/>
      </c>
      <c r="D1127">
        <f>IF(A1127="","",SUMIFS(المبيعات!$H$2:$H$2000,المبيعات!$C$2:$C$2000,A1127))</f>
        <v/>
      </c>
      <c r="E1127" s="13">
        <f>IF(A1127="","",IF(COUNTIF(المبيعات!$C$2:$C$2000,A1127)=0,"",_xlfn.MAXIFS(المبيعات!$A$2:$A$2000,المبيعات!$C$2:$C$2000,A1127)))</f>
        <v/>
      </c>
      <c r="F1127">
        <f>IF(A1127="","",SUMIFS(المبيعات!$H$2:$H$2000,المبيعات!$C$2:$C$2000,A1127,المبيعات!$J$2:$J$2000,"آجل"))</f>
        <v/>
      </c>
      <c r="G1127" s="4" t="n"/>
      <c r="H1127">
        <f>IF(A1127="","",F1127-G1127)</f>
        <v/>
      </c>
    </row>
    <row r="1128">
      <c r="A1128" s="4" t="n"/>
      <c r="B1128" s="4" t="n"/>
      <c r="C1128">
        <f>IF(A1128="","",SUMPRODUCT((المبيعات!$C$2:$C$2000=A1128)*(المبيعات!$B$2:$B$2000&lt;&gt;"")/COUNTIFS(المبيعات!$B$2:$B$2000,المبيعات!$B$2:$B$2000&amp;"",المبيعات!$C$2:$C$2000,المبيعات!$C$2:$C$2000&amp;"")))</f>
        <v/>
      </c>
      <c r="D1128">
        <f>IF(A1128="","",SUMIFS(المبيعات!$H$2:$H$2000,المبيعات!$C$2:$C$2000,A1128))</f>
        <v/>
      </c>
      <c r="E1128" s="13">
        <f>IF(A1128="","",IF(COUNTIF(المبيعات!$C$2:$C$2000,A1128)=0,"",_xlfn.MAXIFS(المبيعات!$A$2:$A$2000,المبيعات!$C$2:$C$2000,A1128)))</f>
        <v/>
      </c>
      <c r="F1128">
        <f>IF(A1128="","",SUMIFS(المبيعات!$H$2:$H$2000,المبيعات!$C$2:$C$2000,A1128,المبيعات!$J$2:$J$2000,"آجل"))</f>
        <v/>
      </c>
      <c r="G1128" s="4" t="n"/>
      <c r="H1128">
        <f>IF(A1128="","",F1128-G1128)</f>
        <v/>
      </c>
    </row>
    <row r="1129">
      <c r="A1129" s="4" t="n"/>
      <c r="B1129" s="4" t="n"/>
      <c r="C1129">
        <f>IF(A1129="","",SUMPRODUCT((المبيعات!$C$2:$C$2000=A1129)*(المبيعات!$B$2:$B$2000&lt;&gt;"")/COUNTIFS(المبيعات!$B$2:$B$2000,المبيعات!$B$2:$B$2000&amp;"",المبيعات!$C$2:$C$2000,المبيعات!$C$2:$C$2000&amp;"")))</f>
        <v/>
      </c>
      <c r="D1129">
        <f>IF(A1129="","",SUMIFS(المبيعات!$H$2:$H$2000,المبيعات!$C$2:$C$2000,A1129))</f>
        <v/>
      </c>
      <c r="E1129" s="13">
        <f>IF(A1129="","",IF(COUNTIF(المبيعات!$C$2:$C$2000,A1129)=0,"",_xlfn.MAXIFS(المبيعات!$A$2:$A$2000,المبيعات!$C$2:$C$2000,A1129)))</f>
        <v/>
      </c>
      <c r="F1129">
        <f>IF(A1129="","",SUMIFS(المبيعات!$H$2:$H$2000,المبيعات!$C$2:$C$2000,A1129,المبيعات!$J$2:$J$2000,"آجل"))</f>
        <v/>
      </c>
      <c r="G1129" s="4" t="n"/>
      <c r="H1129">
        <f>IF(A1129="","",F1129-G1129)</f>
        <v/>
      </c>
    </row>
    <row r="1130">
      <c r="A1130" s="4" t="n"/>
      <c r="B1130" s="4" t="n"/>
      <c r="C1130">
        <f>IF(A1130="","",SUMPRODUCT((المبيعات!$C$2:$C$2000=A1130)*(المبيعات!$B$2:$B$2000&lt;&gt;"")/COUNTIFS(المبيعات!$B$2:$B$2000,المبيعات!$B$2:$B$2000&amp;"",المبيعات!$C$2:$C$2000,المبيعات!$C$2:$C$2000&amp;"")))</f>
        <v/>
      </c>
      <c r="D1130">
        <f>IF(A1130="","",SUMIFS(المبيعات!$H$2:$H$2000,المبيعات!$C$2:$C$2000,A1130))</f>
        <v/>
      </c>
      <c r="E1130" s="13">
        <f>IF(A1130="","",IF(COUNTIF(المبيعات!$C$2:$C$2000,A1130)=0,"",_xlfn.MAXIFS(المبيعات!$A$2:$A$2000,المبيعات!$C$2:$C$2000,A1130)))</f>
        <v/>
      </c>
      <c r="F1130">
        <f>IF(A1130="","",SUMIFS(المبيعات!$H$2:$H$2000,المبيعات!$C$2:$C$2000,A1130,المبيعات!$J$2:$J$2000,"آجل"))</f>
        <v/>
      </c>
      <c r="G1130" s="4" t="n"/>
      <c r="H1130">
        <f>IF(A1130="","",F1130-G1130)</f>
        <v/>
      </c>
    </row>
    <row r="1131">
      <c r="A1131" s="4" t="n"/>
      <c r="B1131" s="4" t="n"/>
      <c r="C1131">
        <f>IF(A1131="","",SUMPRODUCT((المبيعات!$C$2:$C$2000=A1131)*(المبيعات!$B$2:$B$2000&lt;&gt;"")/COUNTIFS(المبيعات!$B$2:$B$2000,المبيعات!$B$2:$B$2000&amp;"",المبيعات!$C$2:$C$2000,المبيعات!$C$2:$C$2000&amp;"")))</f>
        <v/>
      </c>
      <c r="D1131">
        <f>IF(A1131="","",SUMIFS(المبيعات!$H$2:$H$2000,المبيعات!$C$2:$C$2000,A1131))</f>
        <v/>
      </c>
      <c r="E1131" s="13">
        <f>IF(A1131="","",IF(COUNTIF(المبيعات!$C$2:$C$2000,A1131)=0,"",_xlfn.MAXIFS(المبيعات!$A$2:$A$2000,المبيعات!$C$2:$C$2000,A1131)))</f>
        <v/>
      </c>
      <c r="F1131">
        <f>IF(A1131="","",SUMIFS(المبيعات!$H$2:$H$2000,المبيعات!$C$2:$C$2000,A1131,المبيعات!$J$2:$J$2000,"آجل"))</f>
        <v/>
      </c>
      <c r="G1131" s="4" t="n"/>
      <c r="H1131">
        <f>IF(A1131="","",F1131-G1131)</f>
        <v/>
      </c>
    </row>
    <row r="1132">
      <c r="A1132" s="4" t="n"/>
      <c r="B1132" s="4" t="n"/>
      <c r="C1132">
        <f>IF(A1132="","",SUMPRODUCT((المبيعات!$C$2:$C$2000=A1132)*(المبيعات!$B$2:$B$2000&lt;&gt;"")/COUNTIFS(المبيعات!$B$2:$B$2000,المبيعات!$B$2:$B$2000&amp;"",المبيعات!$C$2:$C$2000,المبيعات!$C$2:$C$2000&amp;"")))</f>
        <v/>
      </c>
      <c r="D1132">
        <f>IF(A1132="","",SUMIFS(المبيعات!$H$2:$H$2000,المبيعات!$C$2:$C$2000,A1132))</f>
        <v/>
      </c>
      <c r="E1132" s="13">
        <f>IF(A1132="","",IF(COUNTIF(المبيعات!$C$2:$C$2000,A1132)=0,"",_xlfn.MAXIFS(المبيعات!$A$2:$A$2000,المبيعات!$C$2:$C$2000,A1132)))</f>
        <v/>
      </c>
      <c r="F1132">
        <f>IF(A1132="","",SUMIFS(المبيعات!$H$2:$H$2000,المبيعات!$C$2:$C$2000,A1132,المبيعات!$J$2:$J$2000,"آجل"))</f>
        <v/>
      </c>
      <c r="G1132" s="4" t="n"/>
      <c r="H1132">
        <f>IF(A1132="","",F1132-G1132)</f>
        <v/>
      </c>
    </row>
    <row r="1133">
      <c r="A1133" s="4" t="n"/>
      <c r="B1133" s="4" t="n"/>
      <c r="C1133">
        <f>IF(A1133="","",SUMPRODUCT((المبيعات!$C$2:$C$2000=A1133)*(المبيعات!$B$2:$B$2000&lt;&gt;"")/COUNTIFS(المبيعات!$B$2:$B$2000,المبيعات!$B$2:$B$2000&amp;"",المبيعات!$C$2:$C$2000,المبيعات!$C$2:$C$2000&amp;"")))</f>
        <v/>
      </c>
      <c r="D1133">
        <f>IF(A1133="","",SUMIFS(المبيعات!$H$2:$H$2000,المبيعات!$C$2:$C$2000,A1133))</f>
        <v/>
      </c>
      <c r="E1133" s="13">
        <f>IF(A1133="","",IF(COUNTIF(المبيعات!$C$2:$C$2000,A1133)=0,"",_xlfn.MAXIFS(المبيعات!$A$2:$A$2000,المبيعات!$C$2:$C$2000,A1133)))</f>
        <v/>
      </c>
      <c r="F1133">
        <f>IF(A1133="","",SUMIFS(المبيعات!$H$2:$H$2000,المبيعات!$C$2:$C$2000,A1133,المبيعات!$J$2:$J$2000,"آجل"))</f>
        <v/>
      </c>
      <c r="G1133" s="4" t="n"/>
      <c r="H1133">
        <f>IF(A1133="","",F1133-G1133)</f>
        <v/>
      </c>
    </row>
    <row r="1134">
      <c r="A1134" s="4" t="n"/>
      <c r="B1134" s="4" t="n"/>
      <c r="C1134">
        <f>IF(A1134="","",SUMPRODUCT((المبيعات!$C$2:$C$2000=A1134)*(المبيعات!$B$2:$B$2000&lt;&gt;"")/COUNTIFS(المبيعات!$B$2:$B$2000,المبيعات!$B$2:$B$2000&amp;"",المبيعات!$C$2:$C$2000,المبيعات!$C$2:$C$2000&amp;"")))</f>
        <v/>
      </c>
      <c r="D1134">
        <f>IF(A1134="","",SUMIFS(المبيعات!$H$2:$H$2000,المبيعات!$C$2:$C$2000,A1134))</f>
        <v/>
      </c>
      <c r="E1134" s="13">
        <f>IF(A1134="","",IF(COUNTIF(المبيعات!$C$2:$C$2000,A1134)=0,"",_xlfn.MAXIFS(المبيعات!$A$2:$A$2000,المبيعات!$C$2:$C$2000,A1134)))</f>
        <v/>
      </c>
      <c r="F1134">
        <f>IF(A1134="","",SUMIFS(المبيعات!$H$2:$H$2000,المبيعات!$C$2:$C$2000,A1134,المبيعات!$J$2:$J$2000,"آجل"))</f>
        <v/>
      </c>
      <c r="G1134" s="4" t="n"/>
      <c r="H1134">
        <f>IF(A1134="","",F1134-G1134)</f>
        <v/>
      </c>
    </row>
    <row r="1135">
      <c r="A1135" s="4" t="n"/>
      <c r="B1135" s="4" t="n"/>
      <c r="C1135">
        <f>IF(A1135="","",SUMPRODUCT((المبيعات!$C$2:$C$2000=A1135)*(المبيعات!$B$2:$B$2000&lt;&gt;"")/COUNTIFS(المبيعات!$B$2:$B$2000,المبيعات!$B$2:$B$2000&amp;"",المبيعات!$C$2:$C$2000,المبيعات!$C$2:$C$2000&amp;"")))</f>
        <v/>
      </c>
      <c r="D1135">
        <f>IF(A1135="","",SUMIFS(المبيعات!$H$2:$H$2000,المبيعات!$C$2:$C$2000,A1135))</f>
        <v/>
      </c>
      <c r="E1135" s="13">
        <f>IF(A1135="","",IF(COUNTIF(المبيعات!$C$2:$C$2000,A1135)=0,"",_xlfn.MAXIFS(المبيعات!$A$2:$A$2000,المبيعات!$C$2:$C$2000,A1135)))</f>
        <v/>
      </c>
      <c r="F1135">
        <f>IF(A1135="","",SUMIFS(المبيعات!$H$2:$H$2000,المبيعات!$C$2:$C$2000,A1135,المبيعات!$J$2:$J$2000,"آجل"))</f>
        <v/>
      </c>
      <c r="G1135" s="4" t="n"/>
      <c r="H1135">
        <f>IF(A1135="","",F1135-G1135)</f>
        <v/>
      </c>
    </row>
    <row r="1136">
      <c r="A1136" s="4" t="n"/>
      <c r="B1136" s="4" t="n"/>
      <c r="C1136">
        <f>IF(A1136="","",SUMPRODUCT((المبيعات!$C$2:$C$2000=A1136)*(المبيعات!$B$2:$B$2000&lt;&gt;"")/COUNTIFS(المبيعات!$B$2:$B$2000,المبيعات!$B$2:$B$2000&amp;"",المبيعات!$C$2:$C$2000,المبيعات!$C$2:$C$2000&amp;"")))</f>
        <v/>
      </c>
      <c r="D1136">
        <f>IF(A1136="","",SUMIFS(المبيعات!$H$2:$H$2000,المبيعات!$C$2:$C$2000,A1136))</f>
        <v/>
      </c>
      <c r="E1136" s="13">
        <f>IF(A1136="","",IF(COUNTIF(المبيعات!$C$2:$C$2000,A1136)=0,"",_xlfn.MAXIFS(المبيعات!$A$2:$A$2000,المبيعات!$C$2:$C$2000,A1136)))</f>
        <v/>
      </c>
      <c r="F1136">
        <f>IF(A1136="","",SUMIFS(المبيعات!$H$2:$H$2000,المبيعات!$C$2:$C$2000,A1136,المبيعات!$J$2:$J$2000,"آجل"))</f>
        <v/>
      </c>
      <c r="G1136" s="4" t="n"/>
      <c r="H1136">
        <f>IF(A1136="","",F1136-G1136)</f>
        <v/>
      </c>
    </row>
    <row r="1137">
      <c r="A1137" s="4" t="n"/>
      <c r="B1137" s="4" t="n"/>
      <c r="C1137">
        <f>IF(A1137="","",SUMPRODUCT((المبيعات!$C$2:$C$2000=A1137)*(المبيعات!$B$2:$B$2000&lt;&gt;"")/COUNTIFS(المبيعات!$B$2:$B$2000,المبيعات!$B$2:$B$2000&amp;"",المبيعات!$C$2:$C$2000,المبيعات!$C$2:$C$2000&amp;"")))</f>
        <v/>
      </c>
      <c r="D1137">
        <f>IF(A1137="","",SUMIFS(المبيعات!$H$2:$H$2000,المبيعات!$C$2:$C$2000,A1137))</f>
        <v/>
      </c>
      <c r="E1137" s="13">
        <f>IF(A1137="","",IF(COUNTIF(المبيعات!$C$2:$C$2000,A1137)=0,"",_xlfn.MAXIFS(المبيعات!$A$2:$A$2000,المبيعات!$C$2:$C$2000,A1137)))</f>
        <v/>
      </c>
      <c r="F1137">
        <f>IF(A1137="","",SUMIFS(المبيعات!$H$2:$H$2000,المبيعات!$C$2:$C$2000,A1137,المبيعات!$J$2:$J$2000,"آجل"))</f>
        <v/>
      </c>
      <c r="G1137" s="4" t="n"/>
      <c r="H1137">
        <f>IF(A1137="","",F1137-G1137)</f>
        <v/>
      </c>
    </row>
    <row r="1138">
      <c r="A1138" s="4" t="n"/>
      <c r="B1138" s="4" t="n"/>
      <c r="C1138">
        <f>IF(A1138="","",SUMPRODUCT((المبيعات!$C$2:$C$2000=A1138)*(المبيعات!$B$2:$B$2000&lt;&gt;"")/COUNTIFS(المبيعات!$B$2:$B$2000,المبيعات!$B$2:$B$2000&amp;"",المبيعات!$C$2:$C$2000,المبيعات!$C$2:$C$2000&amp;"")))</f>
        <v/>
      </c>
      <c r="D1138">
        <f>IF(A1138="","",SUMIFS(المبيعات!$H$2:$H$2000,المبيعات!$C$2:$C$2000,A1138))</f>
        <v/>
      </c>
      <c r="E1138" s="13">
        <f>IF(A1138="","",IF(COUNTIF(المبيعات!$C$2:$C$2000,A1138)=0,"",_xlfn.MAXIFS(المبيعات!$A$2:$A$2000,المبيعات!$C$2:$C$2000,A1138)))</f>
        <v/>
      </c>
      <c r="F1138">
        <f>IF(A1138="","",SUMIFS(المبيعات!$H$2:$H$2000,المبيعات!$C$2:$C$2000,A1138,المبيعات!$J$2:$J$2000,"آجل"))</f>
        <v/>
      </c>
      <c r="G1138" s="4" t="n"/>
      <c r="H1138">
        <f>IF(A1138="","",F1138-G1138)</f>
        <v/>
      </c>
    </row>
    <row r="1139">
      <c r="A1139" s="4" t="n"/>
      <c r="B1139" s="4" t="n"/>
      <c r="C1139">
        <f>IF(A1139="","",SUMPRODUCT((المبيعات!$C$2:$C$2000=A1139)*(المبيعات!$B$2:$B$2000&lt;&gt;"")/COUNTIFS(المبيعات!$B$2:$B$2000,المبيعات!$B$2:$B$2000&amp;"",المبيعات!$C$2:$C$2000,المبيعات!$C$2:$C$2000&amp;"")))</f>
        <v/>
      </c>
      <c r="D1139">
        <f>IF(A1139="","",SUMIFS(المبيعات!$H$2:$H$2000,المبيعات!$C$2:$C$2000,A1139))</f>
        <v/>
      </c>
      <c r="E1139" s="13">
        <f>IF(A1139="","",IF(COUNTIF(المبيعات!$C$2:$C$2000,A1139)=0,"",_xlfn.MAXIFS(المبيعات!$A$2:$A$2000,المبيعات!$C$2:$C$2000,A1139)))</f>
        <v/>
      </c>
      <c r="F1139">
        <f>IF(A1139="","",SUMIFS(المبيعات!$H$2:$H$2000,المبيعات!$C$2:$C$2000,A1139,المبيعات!$J$2:$J$2000,"آجل"))</f>
        <v/>
      </c>
      <c r="G1139" s="4" t="n"/>
      <c r="H1139">
        <f>IF(A1139="","",F1139-G1139)</f>
        <v/>
      </c>
    </row>
    <row r="1140">
      <c r="A1140" s="4" t="n"/>
      <c r="B1140" s="4" t="n"/>
      <c r="C1140">
        <f>IF(A1140="","",SUMPRODUCT((المبيعات!$C$2:$C$2000=A1140)*(المبيعات!$B$2:$B$2000&lt;&gt;"")/COUNTIFS(المبيعات!$B$2:$B$2000,المبيعات!$B$2:$B$2000&amp;"",المبيعات!$C$2:$C$2000,المبيعات!$C$2:$C$2000&amp;"")))</f>
        <v/>
      </c>
      <c r="D1140">
        <f>IF(A1140="","",SUMIFS(المبيعات!$H$2:$H$2000,المبيعات!$C$2:$C$2000,A1140))</f>
        <v/>
      </c>
      <c r="E1140" s="13">
        <f>IF(A1140="","",IF(COUNTIF(المبيعات!$C$2:$C$2000,A1140)=0,"",_xlfn.MAXIFS(المبيعات!$A$2:$A$2000,المبيعات!$C$2:$C$2000,A1140)))</f>
        <v/>
      </c>
      <c r="F1140">
        <f>IF(A1140="","",SUMIFS(المبيعات!$H$2:$H$2000,المبيعات!$C$2:$C$2000,A1140,المبيعات!$J$2:$J$2000,"آجل"))</f>
        <v/>
      </c>
      <c r="G1140" s="4" t="n"/>
      <c r="H1140">
        <f>IF(A1140="","",F1140-G1140)</f>
        <v/>
      </c>
    </row>
    <row r="1141">
      <c r="A1141" s="4" t="n"/>
      <c r="B1141" s="4" t="n"/>
      <c r="C1141">
        <f>IF(A1141="","",SUMPRODUCT((المبيعات!$C$2:$C$2000=A1141)*(المبيعات!$B$2:$B$2000&lt;&gt;"")/COUNTIFS(المبيعات!$B$2:$B$2000,المبيعات!$B$2:$B$2000&amp;"",المبيعات!$C$2:$C$2000,المبيعات!$C$2:$C$2000&amp;"")))</f>
        <v/>
      </c>
      <c r="D1141">
        <f>IF(A1141="","",SUMIFS(المبيعات!$H$2:$H$2000,المبيعات!$C$2:$C$2000,A1141))</f>
        <v/>
      </c>
      <c r="E1141" s="13">
        <f>IF(A1141="","",IF(COUNTIF(المبيعات!$C$2:$C$2000,A1141)=0,"",_xlfn.MAXIFS(المبيعات!$A$2:$A$2000,المبيعات!$C$2:$C$2000,A1141)))</f>
        <v/>
      </c>
      <c r="F1141">
        <f>IF(A1141="","",SUMIFS(المبيعات!$H$2:$H$2000,المبيعات!$C$2:$C$2000,A1141,المبيعات!$J$2:$J$2000,"آجل"))</f>
        <v/>
      </c>
      <c r="G1141" s="4" t="n"/>
      <c r="H1141">
        <f>IF(A1141="","",F1141-G1141)</f>
        <v/>
      </c>
    </row>
    <row r="1142">
      <c r="A1142" s="4" t="n"/>
      <c r="B1142" s="4" t="n"/>
      <c r="C1142">
        <f>IF(A1142="","",SUMPRODUCT((المبيعات!$C$2:$C$2000=A1142)*(المبيعات!$B$2:$B$2000&lt;&gt;"")/COUNTIFS(المبيعات!$B$2:$B$2000,المبيعات!$B$2:$B$2000&amp;"",المبيعات!$C$2:$C$2000,المبيعات!$C$2:$C$2000&amp;"")))</f>
        <v/>
      </c>
      <c r="D1142">
        <f>IF(A1142="","",SUMIFS(المبيعات!$H$2:$H$2000,المبيعات!$C$2:$C$2000,A1142))</f>
        <v/>
      </c>
      <c r="E1142" s="13">
        <f>IF(A1142="","",IF(COUNTIF(المبيعات!$C$2:$C$2000,A1142)=0,"",_xlfn.MAXIFS(المبيعات!$A$2:$A$2000,المبيعات!$C$2:$C$2000,A1142)))</f>
        <v/>
      </c>
      <c r="F1142">
        <f>IF(A1142="","",SUMIFS(المبيعات!$H$2:$H$2000,المبيعات!$C$2:$C$2000,A1142,المبيعات!$J$2:$J$2000,"آجل"))</f>
        <v/>
      </c>
      <c r="G1142" s="4" t="n"/>
      <c r="H1142">
        <f>IF(A1142="","",F1142-G1142)</f>
        <v/>
      </c>
    </row>
    <row r="1143">
      <c r="A1143" s="4" t="n"/>
      <c r="B1143" s="4" t="n"/>
      <c r="C1143">
        <f>IF(A1143="","",SUMPRODUCT((المبيعات!$C$2:$C$2000=A1143)*(المبيعات!$B$2:$B$2000&lt;&gt;"")/COUNTIFS(المبيعات!$B$2:$B$2000,المبيعات!$B$2:$B$2000&amp;"",المبيعات!$C$2:$C$2000,المبيعات!$C$2:$C$2000&amp;"")))</f>
        <v/>
      </c>
      <c r="D1143">
        <f>IF(A1143="","",SUMIFS(المبيعات!$H$2:$H$2000,المبيعات!$C$2:$C$2000,A1143))</f>
        <v/>
      </c>
      <c r="E1143" s="13">
        <f>IF(A1143="","",IF(COUNTIF(المبيعات!$C$2:$C$2000,A1143)=0,"",_xlfn.MAXIFS(المبيعات!$A$2:$A$2000,المبيعات!$C$2:$C$2000,A1143)))</f>
        <v/>
      </c>
      <c r="F1143">
        <f>IF(A1143="","",SUMIFS(المبيعات!$H$2:$H$2000,المبيعات!$C$2:$C$2000,A1143,المبيعات!$J$2:$J$2000,"آجل"))</f>
        <v/>
      </c>
      <c r="G1143" s="4" t="n"/>
      <c r="H1143">
        <f>IF(A1143="","",F1143-G1143)</f>
        <v/>
      </c>
    </row>
    <row r="1144">
      <c r="A1144" s="4" t="n"/>
      <c r="B1144" s="4" t="n"/>
      <c r="C1144">
        <f>IF(A1144="","",SUMPRODUCT((المبيعات!$C$2:$C$2000=A1144)*(المبيعات!$B$2:$B$2000&lt;&gt;"")/COUNTIFS(المبيعات!$B$2:$B$2000,المبيعات!$B$2:$B$2000&amp;"",المبيعات!$C$2:$C$2000,المبيعات!$C$2:$C$2000&amp;"")))</f>
        <v/>
      </c>
      <c r="D1144">
        <f>IF(A1144="","",SUMIFS(المبيعات!$H$2:$H$2000,المبيعات!$C$2:$C$2000,A1144))</f>
        <v/>
      </c>
      <c r="E1144" s="13">
        <f>IF(A1144="","",IF(COUNTIF(المبيعات!$C$2:$C$2000,A1144)=0,"",_xlfn.MAXIFS(المبيعات!$A$2:$A$2000,المبيعات!$C$2:$C$2000,A1144)))</f>
        <v/>
      </c>
      <c r="F1144">
        <f>IF(A1144="","",SUMIFS(المبيعات!$H$2:$H$2000,المبيعات!$C$2:$C$2000,A1144,المبيعات!$J$2:$J$2000,"آجل"))</f>
        <v/>
      </c>
      <c r="G1144" s="4" t="n"/>
      <c r="H1144">
        <f>IF(A1144="","",F1144-G1144)</f>
        <v/>
      </c>
    </row>
    <row r="1145">
      <c r="A1145" s="4" t="n"/>
      <c r="B1145" s="4" t="n"/>
      <c r="C1145">
        <f>IF(A1145="","",SUMPRODUCT((المبيعات!$C$2:$C$2000=A1145)*(المبيعات!$B$2:$B$2000&lt;&gt;"")/COUNTIFS(المبيعات!$B$2:$B$2000,المبيعات!$B$2:$B$2000&amp;"",المبيعات!$C$2:$C$2000,المبيعات!$C$2:$C$2000&amp;"")))</f>
        <v/>
      </c>
      <c r="D1145">
        <f>IF(A1145="","",SUMIFS(المبيعات!$H$2:$H$2000,المبيعات!$C$2:$C$2000,A1145))</f>
        <v/>
      </c>
      <c r="E1145" s="13">
        <f>IF(A1145="","",IF(COUNTIF(المبيعات!$C$2:$C$2000,A1145)=0,"",_xlfn.MAXIFS(المبيعات!$A$2:$A$2000,المبيعات!$C$2:$C$2000,A1145)))</f>
        <v/>
      </c>
      <c r="F1145">
        <f>IF(A1145="","",SUMIFS(المبيعات!$H$2:$H$2000,المبيعات!$C$2:$C$2000,A1145,المبيعات!$J$2:$J$2000,"آجل"))</f>
        <v/>
      </c>
      <c r="G1145" s="4" t="n"/>
      <c r="H1145">
        <f>IF(A1145="","",F1145-G1145)</f>
        <v/>
      </c>
    </row>
    <row r="1146">
      <c r="A1146" s="4" t="n"/>
      <c r="B1146" s="4" t="n"/>
      <c r="C1146">
        <f>IF(A1146="","",SUMPRODUCT((المبيعات!$C$2:$C$2000=A1146)*(المبيعات!$B$2:$B$2000&lt;&gt;"")/COUNTIFS(المبيعات!$B$2:$B$2000,المبيعات!$B$2:$B$2000&amp;"",المبيعات!$C$2:$C$2000,المبيعات!$C$2:$C$2000&amp;"")))</f>
        <v/>
      </c>
      <c r="D1146">
        <f>IF(A1146="","",SUMIFS(المبيعات!$H$2:$H$2000,المبيعات!$C$2:$C$2000,A1146))</f>
        <v/>
      </c>
      <c r="E1146" s="13">
        <f>IF(A1146="","",IF(COUNTIF(المبيعات!$C$2:$C$2000,A1146)=0,"",_xlfn.MAXIFS(المبيعات!$A$2:$A$2000,المبيعات!$C$2:$C$2000,A1146)))</f>
        <v/>
      </c>
      <c r="F1146">
        <f>IF(A1146="","",SUMIFS(المبيعات!$H$2:$H$2000,المبيعات!$C$2:$C$2000,A1146,المبيعات!$J$2:$J$2000,"آجل"))</f>
        <v/>
      </c>
      <c r="G1146" s="4" t="n"/>
      <c r="H1146">
        <f>IF(A1146="","",F1146-G1146)</f>
        <v/>
      </c>
    </row>
    <row r="1147">
      <c r="A1147" s="4" t="n"/>
      <c r="B1147" s="4" t="n"/>
      <c r="C1147">
        <f>IF(A1147="","",SUMPRODUCT((المبيعات!$C$2:$C$2000=A1147)*(المبيعات!$B$2:$B$2000&lt;&gt;"")/COUNTIFS(المبيعات!$B$2:$B$2000,المبيعات!$B$2:$B$2000&amp;"",المبيعات!$C$2:$C$2000,المبيعات!$C$2:$C$2000&amp;"")))</f>
        <v/>
      </c>
      <c r="D1147">
        <f>IF(A1147="","",SUMIFS(المبيعات!$H$2:$H$2000,المبيعات!$C$2:$C$2000,A1147))</f>
        <v/>
      </c>
      <c r="E1147" s="13">
        <f>IF(A1147="","",IF(COUNTIF(المبيعات!$C$2:$C$2000,A1147)=0,"",_xlfn.MAXIFS(المبيعات!$A$2:$A$2000,المبيعات!$C$2:$C$2000,A1147)))</f>
        <v/>
      </c>
      <c r="F1147">
        <f>IF(A1147="","",SUMIFS(المبيعات!$H$2:$H$2000,المبيعات!$C$2:$C$2000,A1147,المبيعات!$J$2:$J$2000,"آجل"))</f>
        <v/>
      </c>
      <c r="G1147" s="4" t="n"/>
      <c r="H1147">
        <f>IF(A1147="","",F1147-G1147)</f>
        <v/>
      </c>
    </row>
    <row r="1148">
      <c r="A1148" s="4" t="n"/>
      <c r="B1148" s="4" t="n"/>
      <c r="C1148">
        <f>IF(A1148="","",SUMPRODUCT((المبيعات!$C$2:$C$2000=A1148)*(المبيعات!$B$2:$B$2000&lt;&gt;"")/COUNTIFS(المبيعات!$B$2:$B$2000,المبيعات!$B$2:$B$2000&amp;"",المبيعات!$C$2:$C$2000,المبيعات!$C$2:$C$2000&amp;"")))</f>
        <v/>
      </c>
      <c r="D1148">
        <f>IF(A1148="","",SUMIFS(المبيعات!$H$2:$H$2000,المبيعات!$C$2:$C$2000,A1148))</f>
        <v/>
      </c>
      <c r="E1148" s="13">
        <f>IF(A1148="","",IF(COUNTIF(المبيعات!$C$2:$C$2000,A1148)=0,"",_xlfn.MAXIFS(المبيعات!$A$2:$A$2000,المبيعات!$C$2:$C$2000,A1148)))</f>
        <v/>
      </c>
      <c r="F1148">
        <f>IF(A1148="","",SUMIFS(المبيعات!$H$2:$H$2000,المبيعات!$C$2:$C$2000,A1148,المبيعات!$J$2:$J$2000,"آجل"))</f>
        <v/>
      </c>
      <c r="G1148" s="4" t="n"/>
      <c r="H1148">
        <f>IF(A1148="","",F1148-G1148)</f>
        <v/>
      </c>
    </row>
    <row r="1149">
      <c r="A1149" s="4" t="n"/>
      <c r="B1149" s="4" t="n"/>
      <c r="C1149">
        <f>IF(A1149="","",SUMPRODUCT((المبيعات!$C$2:$C$2000=A1149)*(المبيعات!$B$2:$B$2000&lt;&gt;"")/COUNTIFS(المبيعات!$B$2:$B$2000,المبيعات!$B$2:$B$2000&amp;"",المبيعات!$C$2:$C$2000,المبيعات!$C$2:$C$2000&amp;"")))</f>
        <v/>
      </c>
      <c r="D1149">
        <f>IF(A1149="","",SUMIFS(المبيعات!$H$2:$H$2000,المبيعات!$C$2:$C$2000,A1149))</f>
        <v/>
      </c>
      <c r="E1149" s="13">
        <f>IF(A1149="","",IF(COUNTIF(المبيعات!$C$2:$C$2000,A1149)=0,"",_xlfn.MAXIFS(المبيعات!$A$2:$A$2000,المبيعات!$C$2:$C$2000,A1149)))</f>
        <v/>
      </c>
      <c r="F1149">
        <f>IF(A1149="","",SUMIFS(المبيعات!$H$2:$H$2000,المبيعات!$C$2:$C$2000,A1149,المبيعات!$J$2:$J$2000,"آجل"))</f>
        <v/>
      </c>
      <c r="G1149" s="4" t="n"/>
      <c r="H1149">
        <f>IF(A1149="","",F1149-G1149)</f>
        <v/>
      </c>
    </row>
    <row r="1150">
      <c r="A1150" s="4" t="n"/>
      <c r="B1150" s="4" t="n"/>
      <c r="C1150">
        <f>IF(A1150="","",SUMPRODUCT((المبيعات!$C$2:$C$2000=A1150)*(المبيعات!$B$2:$B$2000&lt;&gt;"")/COUNTIFS(المبيعات!$B$2:$B$2000,المبيعات!$B$2:$B$2000&amp;"",المبيعات!$C$2:$C$2000,المبيعات!$C$2:$C$2000&amp;"")))</f>
        <v/>
      </c>
      <c r="D1150">
        <f>IF(A1150="","",SUMIFS(المبيعات!$H$2:$H$2000,المبيعات!$C$2:$C$2000,A1150))</f>
        <v/>
      </c>
      <c r="E1150" s="13">
        <f>IF(A1150="","",IF(COUNTIF(المبيعات!$C$2:$C$2000,A1150)=0,"",_xlfn.MAXIFS(المبيعات!$A$2:$A$2000,المبيعات!$C$2:$C$2000,A1150)))</f>
        <v/>
      </c>
      <c r="F1150">
        <f>IF(A1150="","",SUMIFS(المبيعات!$H$2:$H$2000,المبيعات!$C$2:$C$2000,A1150,المبيعات!$J$2:$J$2000,"آجل"))</f>
        <v/>
      </c>
      <c r="G1150" s="4" t="n"/>
      <c r="H1150">
        <f>IF(A1150="","",F1150-G1150)</f>
        <v/>
      </c>
    </row>
    <row r="1151">
      <c r="A1151" s="4" t="n"/>
      <c r="B1151" s="4" t="n"/>
      <c r="C1151">
        <f>IF(A1151="","",SUMPRODUCT((المبيعات!$C$2:$C$2000=A1151)*(المبيعات!$B$2:$B$2000&lt;&gt;"")/COUNTIFS(المبيعات!$B$2:$B$2000,المبيعات!$B$2:$B$2000&amp;"",المبيعات!$C$2:$C$2000,المبيعات!$C$2:$C$2000&amp;"")))</f>
        <v/>
      </c>
      <c r="D1151">
        <f>IF(A1151="","",SUMIFS(المبيعات!$H$2:$H$2000,المبيعات!$C$2:$C$2000,A1151))</f>
        <v/>
      </c>
      <c r="E1151" s="13">
        <f>IF(A1151="","",IF(COUNTIF(المبيعات!$C$2:$C$2000,A1151)=0,"",_xlfn.MAXIFS(المبيعات!$A$2:$A$2000,المبيعات!$C$2:$C$2000,A1151)))</f>
        <v/>
      </c>
      <c r="F1151">
        <f>IF(A1151="","",SUMIFS(المبيعات!$H$2:$H$2000,المبيعات!$C$2:$C$2000,A1151,المبيعات!$J$2:$J$2000,"آجل"))</f>
        <v/>
      </c>
      <c r="G1151" s="4" t="n"/>
      <c r="H1151">
        <f>IF(A1151="","",F1151-G1151)</f>
        <v/>
      </c>
    </row>
    <row r="1152">
      <c r="A1152" s="4" t="n"/>
      <c r="B1152" s="4" t="n"/>
      <c r="C1152">
        <f>IF(A1152="","",SUMPRODUCT((المبيعات!$C$2:$C$2000=A1152)*(المبيعات!$B$2:$B$2000&lt;&gt;"")/COUNTIFS(المبيعات!$B$2:$B$2000,المبيعات!$B$2:$B$2000&amp;"",المبيعات!$C$2:$C$2000,المبيعات!$C$2:$C$2000&amp;"")))</f>
        <v/>
      </c>
      <c r="D1152">
        <f>IF(A1152="","",SUMIFS(المبيعات!$H$2:$H$2000,المبيعات!$C$2:$C$2000,A1152))</f>
        <v/>
      </c>
      <c r="E1152" s="13">
        <f>IF(A1152="","",IF(COUNTIF(المبيعات!$C$2:$C$2000,A1152)=0,"",_xlfn.MAXIFS(المبيعات!$A$2:$A$2000,المبيعات!$C$2:$C$2000,A1152)))</f>
        <v/>
      </c>
      <c r="F1152">
        <f>IF(A1152="","",SUMIFS(المبيعات!$H$2:$H$2000,المبيعات!$C$2:$C$2000,A1152,المبيعات!$J$2:$J$2000,"آجل"))</f>
        <v/>
      </c>
      <c r="G1152" s="4" t="n"/>
      <c r="H1152">
        <f>IF(A1152="","",F1152-G1152)</f>
        <v/>
      </c>
    </row>
    <row r="1153">
      <c r="A1153" s="4" t="n"/>
      <c r="B1153" s="4" t="n"/>
      <c r="C1153">
        <f>IF(A1153="","",SUMPRODUCT((المبيعات!$C$2:$C$2000=A1153)*(المبيعات!$B$2:$B$2000&lt;&gt;"")/COUNTIFS(المبيعات!$B$2:$B$2000,المبيعات!$B$2:$B$2000&amp;"",المبيعات!$C$2:$C$2000,المبيعات!$C$2:$C$2000&amp;"")))</f>
        <v/>
      </c>
      <c r="D1153">
        <f>IF(A1153="","",SUMIFS(المبيعات!$H$2:$H$2000,المبيعات!$C$2:$C$2000,A1153))</f>
        <v/>
      </c>
      <c r="E1153" s="13">
        <f>IF(A1153="","",IF(COUNTIF(المبيعات!$C$2:$C$2000,A1153)=0,"",_xlfn.MAXIFS(المبيعات!$A$2:$A$2000,المبيعات!$C$2:$C$2000,A1153)))</f>
        <v/>
      </c>
      <c r="F1153">
        <f>IF(A1153="","",SUMIFS(المبيعات!$H$2:$H$2000,المبيعات!$C$2:$C$2000,A1153,المبيعات!$J$2:$J$2000,"آجل"))</f>
        <v/>
      </c>
      <c r="G1153" s="4" t="n"/>
      <c r="H1153">
        <f>IF(A1153="","",F1153-G1153)</f>
        <v/>
      </c>
    </row>
    <row r="1154">
      <c r="A1154" s="4" t="n"/>
      <c r="B1154" s="4" t="n"/>
      <c r="C1154">
        <f>IF(A1154="","",SUMPRODUCT((المبيعات!$C$2:$C$2000=A1154)*(المبيعات!$B$2:$B$2000&lt;&gt;"")/COUNTIFS(المبيعات!$B$2:$B$2000,المبيعات!$B$2:$B$2000&amp;"",المبيعات!$C$2:$C$2000,المبيعات!$C$2:$C$2000&amp;"")))</f>
        <v/>
      </c>
      <c r="D1154">
        <f>IF(A1154="","",SUMIFS(المبيعات!$H$2:$H$2000,المبيعات!$C$2:$C$2000,A1154))</f>
        <v/>
      </c>
      <c r="E1154" s="13">
        <f>IF(A1154="","",IF(COUNTIF(المبيعات!$C$2:$C$2000,A1154)=0,"",_xlfn.MAXIFS(المبيعات!$A$2:$A$2000,المبيعات!$C$2:$C$2000,A1154)))</f>
        <v/>
      </c>
      <c r="F1154">
        <f>IF(A1154="","",SUMIFS(المبيعات!$H$2:$H$2000,المبيعات!$C$2:$C$2000,A1154,المبيعات!$J$2:$J$2000,"آجل"))</f>
        <v/>
      </c>
      <c r="G1154" s="4" t="n"/>
      <c r="H1154">
        <f>IF(A1154="","",F1154-G1154)</f>
        <v/>
      </c>
    </row>
    <row r="1155">
      <c r="A1155" s="4" t="n"/>
      <c r="B1155" s="4" t="n"/>
      <c r="C1155">
        <f>IF(A1155="","",SUMPRODUCT((المبيعات!$C$2:$C$2000=A1155)*(المبيعات!$B$2:$B$2000&lt;&gt;"")/COUNTIFS(المبيعات!$B$2:$B$2000,المبيعات!$B$2:$B$2000&amp;"",المبيعات!$C$2:$C$2000,المبيعات!$C$2:$C$2000&amp;"")))</f>
        <v/>
      </c>
      <c r="D1155">
        <f>IF(A1155="","",SUMIFS(المبيعات!$H$2:$H$2000,المبيعات!$C$2:$C$2000,A1155))</f>
        <v/>
      </c>
      <c r="E1155" s="13">
        <f>IF(A1155="","",IF(COUNTIF(المبيعات!$C$2:$C$2000,A1155)=0,"",_xlfn.MAXIFS(المبيعات!$A$2:$A$2000,المبيعات!$C$2:$C$2000,A1155)))</f>
        <v/>
      </c>
      <c r="F1155">
        <f>IF(A1155="","",SUMIFS(المبيعات!$H$2:$H$2000,المبيعات!$C$2:$C$2000,A1155,المبيعات!$J$2:$J$2000,"آجل"))</f>
        <v/>
      </c>
      <c r="G1155" s="4" t="n"/>
      <c r="H1155">
        <f>IF(A1155="","",F1155-G1155)</f>
        <v/>
      </c>
    </row>
    <row r="1156">
      <c r="A1156" s="4" t="n"/>
      <c r="B1156" s="4" t="n"/>
      <c r="C1156">
        <f>IF(A1156="","",SUMPRODUCT((المبيعات!$C$2:$C$2000=A1156)*(المبيعات!$B$2:$B$2000&lt;&gt;"")/COUNTIFS(المبيعات!$B$2:$B$2000,المبيعات!$B$2:$B$2000&amp;"",المبيعات!$C$2:$C$2000,المبيعات!$C$2:$C$2000&amp;"")))</f>
        <v/>
      </c>
      <c r="D1156">
        <f>IF(A1156="","",SUMIFS(المبيعات!$H$2:$H$2000,المبيعات!$C$2:$C$2000,A1156))</f>
        <v/>
      </c>
      <c r="E1156" s="13">
        <f>IF(A1156="","",IF(COUNTIF(المبيعات!$C$2:$C$2000,A1156)=0,"",_xlfn.MAXIFS(المبيعات!$A$2:$A$2000,المبيعات!$C$2:$C$2000,A1156)))</f>
        <v/>
      </c>
      <c r="F1156">
        <f>IF(A1156="","",SUMIFS(المبيعات!$H$2:$H$2000,المبيعات!$C$2:$C$2000,A1156,المبيعات!$J$2:$J$2000,"آجل"))</f>
        <v/>
      </c>
      <c r="G1156" s="4" t="n"/>
      <c r="H1156">
        <f>IF(A1156="","",F1156-G1156)</f>
        <v/>
      </c>
    </row>
    <row r="1157">
      <c r="A1157" s="4" t="n"/>
      <c r="B1157" s="4" t="n"/>
      <c r="C1157">
        <f>IF(A1157="","",SUMPRODUCT((المبيعات!$C$2:$C$2000=A1157)*(المبيعات!$B$2:$B$2000&lt;&gt;"")/COUNTIFS(المبيعات!$B$2:$B$2000,المبيعات!$B$2:$B$2000&amp;"",المبيعات!$C$2:$C$2000,المبيعات!$C$2:$C$2000&amp;"")))</f>
        <v/>
      </c>
      <c r="D1157">
        <f>IF(A1157="","",SUMIFS(المبيعات!$H$2:$H$2000,المبيعات!$C$2:$C$2000,A1157))</f>
        <v/>
      </c>
      <c r="E1157" s="13">
        <f>IF(A1157="","",IF(COUNTIF(المبيعات!$C$2:$C$2000,A1157)=0,"",_xlfn.MAXIFS(المبيعات!$A$2:$A$2000,المبيعات!$C$2:$C$2000,A1157)))</f>
        <v/>
      </c>
      <c r="F1157">
        <f>IF(A1157="","",SUMIFS(المبيعات!$H$2:$H$2000,المبيعات!$C$2:$C$2000,A1157,المبيعات!$J$2:$J$2000,"آجل"))</f>
        <v/>
      </c>
      <c r="G1157" s="4" t="n"/>
      <c r="H1157">
        <f>IF(A1157="","",F1157-G1157)</f>
        <v/>
      </c>
    </row>
    <row r="1158">
      <c r="A1158" s="4" t="n"/>
      <c r="B1158" s="4" t="n"/>
      <c r="C1158">
        <f>IF(A1158="","",SUMPRODUCT((المبيعات!$C$2:$C$2000=A1158)*(المبيعات!$B$2:$B$2000&lt;&gt;"")/COUNTIFS(المبيعات!$B$2:$B$2000,المبيعات!$B$2:$B$2000&amp;"",المبيعات!$C$2:$C$2000,المبيعات!$C$2:$C$2000&amp;"")))</f>
        <v/>
      </c>
      <c r="D1158">
        <f>IF(A1158="","",SUMIFS(المبيعات!$H$2:$H$2000,المبيعات!$C$2:$C$2000,A1158))</f>
        <v/>
      </c>
      <c r="E1158" s="13">
        <f>IF(A1158="","",IF(COUNTIF(المبيعات!$C$2:$C$2000,A1158)=0,"",_xlfn.MAXIFS(المبيعات!$A$2:$A$2000,المبيعات!$C$2:$C$2000,A1158)))</f>
        <v/>
      </c>
      <c r="F1158">
        <f>IF(A1158="","",SUMIFS(المبيعات!$H$2:$H$2000,المبيعات!$C$2:$C$2000,A1158,المبيعات!$J$2:$J$2000,"آجل"))</f>
        <v/>
      </c>
      <c r="G1158" s="4" t="n"/>
      <c r="H1158">
        <f>IF(A1158="","",F1158-G1158)</f>
        <v/>
      </c>
    </row>
    <row r="1159">
      <c r="A1159" s="4" t="n"/>
      <c r="B1159" s="4" t="n"/>
      <c r="C1159">
        <f>IF(A1159="","",SUMPRODUCT((المبيعات!$C$2:$C$2000=A1159)*(المبيعات!$B$2:$B$2000&lt;&gt;"")/COUNTIFS(المبيعات!$B$2:$B$2000,المبيعات!$B$2:$B$2000&amp;"",المبيعات!$C$2:$C$2000,المبيعات!$C$2:$C$2000&amp;"")))</f>
        <v/>
      </c>
      <c r="D1159">
        <f>IF(A1159="","",SUMIFS(المبيعات!$H$2:$H$2000,المبيعات!$C$2:$C$2000,A1159))</f>
        <v/>
      </c>
      <c r="E1159" s="13">
        <f>IF(A1159="","",IF(COUNTIF(المبيعات!$C$2:$C$2000,A1159)=0,"",_xlfn.MAXIFS(المبيعات!$A$2:$A$2000,المبيعات!$C$2:$C$2000,A1159)))</f>
        <v/>
      </c>
      <c r="F1159">
        <f>IF(A1159="","",SUMIFS(المبيعات!$H$2:$H$2000,المبيعات!$C$2:$C$2000,A1159,المبيعات!$J$2:$J$2000,"آجل"))</f>
        <v/>
      </c>
      <c r="G1159" s="4" t="n"/>
      <c r="H1159">
        <f>IF(A1159="","",F1159-G1159)</f>
        <v/>
      </c>
    </row>
    <row r="1160">
      <c r="A1160" s="4" t="n"/>
      <c r="B1160" s="4" t="n"/>
      <c r="C1160">
        <f>IF(A1160="","",SUMPRODUCT((المبيعات!$C$2:$C$2000=A1160)*(المبيعات!$B$2:$B$2000&lt;&gt;"")/COUNTIFS(المبيعات!$B$2:$B$2000,المبيعات!$B$2:$B$2000&amp;"",المبيعات!$C$2:$C$2000,المبيعات!$C$2:$C$2000&amp;"")))</f>
        <v/>
      </c>
      <c r="D1160">
        <f>IF(A1160="","",SUMIFS(المبيعات!$H$2:$H$2000,المبيعات!$C$2:$C$2000,A1160))</f>
        <v/>
      </c>
      <c r="E1160" s="13">
        <f>IF(A1160="","",IF(COUNTIF(المبيعات!$C$2:$C$2000,A1160)=0,"",_xlfn.MAXIFS(المبيعات!$A$2:$A$2000,المبيعات!$C$2:$C$2000,A1160)))</f>
        <v/>
      </c>
      <c r="F1160">
        <f>IF(A1160="","",SUMIFS(المبيعات!$H$2:$H$2000,المبيعات!$C$2:$C$2000,A1160,المبيعات!$J$2:$J$2000,"آجل"))</f>
        <v/>
      </c>
      <c r="G1160" s="4" t="n"/>
      <c r="H1160">
        <f>IF(A1160="","",F1160-G1160)</f>
        <v/>
      </c>
    </row>
    <row r="1161">
      <c r="A1161" s="4" t="n"/>
      <c r="B1161" s="4" t="n"/>
      <c r="C1161">
        <f>IF(A1161="","",SUMPRODUCT((المبيعات!$C$2:$C$2000=A1161)*(المبيعات!$B$2:$B$2000&lt;&gt;"")/COUNTIFS(المبيعات!$B$2:$B$2000,المبيعات!$B$2:$B$2000&amp;"",المبيعات!$C$2:$C$2000,المبيعات!$C$2:$C$2000&amp;"")))</f>
        <v/>
      </c>
      <c r="D1161">
        <f>IF(A1161="","",SUMIFS(المبيعات!$H$2:$H$2000,المبيعات!$C$2:$C$2000,A1161))</f>
        <v/>
      </c>
      <c r="E1161" s="13">
        <f>IF(A1161="","",IF(COUNTIF(المبيعات!$C$2:$C$2000,A1161)=0,"",_xlfn.MAXIFS(المبيعات!$A$2:$A$2000,المبيعات!$C$2:$C$2000,A1161)))</f>
        <v/>
      </c>
      <c r="F1161">
        <f>IF(A1161="","",SUMIFS(المبيعات!$H$2:$H$2000,المبيعات!$C$2:$C$2000,A1161,المبيعات!$J$2:$J$2000,"آجل"))</f>
        <v/>
      </c>
      <c r="G1161" s="4" t="n"/>
      <c r="H1161">
        <f>IF(A1161="","",F1161-G1161)</f>
        <v/>
      </c>
    </row>
    <row r="1162">
      <c r="A1162" s="4" t="n"/>
      <c r="B1162" s="4" t="n"/>
      <c r="C1162">
        <f>IF(A1162="","",SUMPRODUCT((المبيعات!$C$2:$C$2000=A1162)*(المبيعات!$B$2:$B$2000&lt;&gt;"")/COUNTIFS(المبيعات!$B$2:$B$2000,المبيعات!$B$2:$B$2000&amp;"",المبيعات!$C$2:$C$2000,المبيعات!$C$2:$C$2000&amp;"")))</f>
        <v/>
      </c>
      <c r="D1162">
        <f>IF(A1162="","",SUMIFS(المبيعات!$H$2:$H$2000,المبيعات!$C$2:$C$2000,A1162))</f>
        <v/>
      </c>
      <c r="E1162" s="13">
        <f>IF(A1162="","",IF(COUNTIF(المبيعات!$C$2:$C$2000,A1162)=0,"",_xlfn.MAXIFS(المبيعات!$A$2:$A$2000,المبيعات!$C$2:$C$2000,A1162)))</f>
        <v/>
      </c>
      <c r="F1162">
        <f>IF(A1162="","",SUMIFS(المبيعات!$H$2:$H$2000,المبيعات!$C$2:$C$2000,A1162,المبيعات!$J$2:$J$2000,"آجل"))</f>
        <v/>
      </c>
      <c r="G1162" s="4" t="n"/>
      <c r="H1162">
        <f>IF(A1162="","",F1162-G1162)</f>
        <v/>
      </c>
    </row>
    <row r="1163">
      <c r="A1163" s="4" t="n"/>
      <c r="B1163" s="4" t="n"/>
      <c r="C1163">
        <f>IF(A1163="","",SUMPRODUCT((المبيعات!$C$2:$C$2000=A1163)*(المبيعات!$B$2:$B$2000&lt;&gt;"")/COUNTIFS(المبيعات!$B$2:$B$2000,المبيعات!$B$2:$B$2000&amp;"",المبيعات!$C$2:$C$2000,المبيعات!$C$2:$C$2000&amp;"")))</f>
        <v/>
      </c>
      <c r="D1163">
        <f>IF(A1163="","",SUMIFS(المبيعات!$H$2:$H$2000,المبيعات!$C$2:$C$2000,A1163))</f>
        <v/>
      </c>
      <c r="E1163" s="13">
        <f>IF(A1163="","",IF(COUNTIF(المبيعات!$C$2:$C$2000,A1163)=0,"",_xlfn.MAXIFS(المبيعات!$A$2:$A$2000,المبيعات!$C$2:$C$2000,A1163)))</f>
        <v/>
      </c>
      <c r="F1163">
        <f>IF(A1163="","",SUMIFS(المبيعات!$H$2:$H$2000,المبيعات!$C$2:$C$2000,A1163,المبيعات!$J$2:$J$2000,"آجل"))</f>
        <v/>
      </c>
      <c r="G1163" s="4" t="n"/>
      <c r="H1163">
        <f>IF(A1163="","",F1163-G1163)</f>
        <v/>
      </c>
    </row>
    <row r="1164">
      <c r="A1164" s="4" t="n"/>
      <c r="B1164" s="4" t="n"/>
      <c r="C1164">
        <f>IF(A1164="","",SUMPRODUCT((المبيعات!$C$2:$C$2000=A1164)*(المبيعات!$B$2:$B$2000&lt;&gt;"")/COUNTIFS(المبيعات!$B$2:$B$2000,المبيعات!$B$2:$B$2000&amp;"",المبيعات!$C$2:$C$2000,المبيعات!$C$2:$C$2000&amp;"")))</f>
        <v/>
      </c>
      <c r="D1164">
        <f>IF(A1164="","",SUMIFS(المبيعات!$H$2:$H$2000,المبيعات!$C$2:$C$2000,A1164))</f>
        <v/>
      </c>
      <c r="E1164" s="13">
        <f>IF(A1164="","",IF(COUNTIF(المبيعات!$C$2:$C$2000,A1164)=0,"",_xlfn.MAXIFS(المبيعات!$A$2:$A$2000,المبيعات!$C$2:$C$2000,A1164)))</f>
        <v/>
      </c>
      <c r="F1164">
        <f>IF(A1164="","",SUMIFS(المبيعات!$H$2:$H$2000,المبيعات!$C$2:$C$2000,A1164,المبيعات!$J$2:$J$2000,"آجل"))</f>
        <v/>
      </c>
      <c r="G1164" s="4" t="n"/>
      <c r="H1164">
        <f>IF(A1164="","",F1164-G1164)</f>
        <v/>
      </c>
    </row>
    <row r="1165">
      <c r="A1165" s="4" t="n"/>
      <c r="B1165" s="4" t="n"/>
      <c r="C1165">
        <f>IF(A1165="","",SUMPRODUCT((المبيعات!$C$2:$C$2000=A1165)*(المبيعات!$B$2:$B$2000&lt;&gt;"")/COUNTIFS(المبيعات!$B$2:$B$2000,المبيعات!$B$2:$B$2000&amp;"",المبيعات!$C$2:$C$2000,المبيعات!$C$2:$C$2000&amp;"")))</f>
        <v/>
      </c>
      <c r="D1165">
        <f>IF(A1165="","",SUMIFS(المبيعات!$H$2:$H$2000,المبيعات!$C$2:$C$2000,A1165))</f>
        <v/>
      </c>
      <c r="E1165" s="13">
        <f>IF(A1165="","",IF(COUNTIF(المبيعات!$C$2:$C$2000,A1165)=0,"",_xlfn.MAXIFS(المبيعات!$A$2:$A$2000,المبيعات!$C$2:$C$2000,A1165)))</f>
        <v/>
      </c>
      <c r="F1165">
        <f>IF(A1165="","",SUMIFS(المبيعات!$H$2:$H$2000,المبيعات!$C$2:$C$2000,A1165,المبيعات!$J$2:$J$2000,"آجل"))</f>
        <v/>
      </c>
      <c r="G1165" s="4" t="n"/>
      <c r="H1165">
        <f>IF(A1165="","",F1165-G1165)</f>
        <v/>
      </c>
    </row>
    <row r="1166">
      <c r="A1166" s="4" t="n"/>
      <c r="B1166" s="4" t="n"/>
      <c r="C1166">
        <f>IF(A1166="","",SUMPRODUCT((المبيعات!$C$2:$C$2000=A1166)*(المبيعات!$B$2:$B$2000&lt;&gt;"")/COUNTIFS(المبيعات!$B$2:$B$2000,المبيعات!$B$2:$B$2000&amp;"",المبيعات!$C$2:$C$2000,المبيعات!$C$2:$C$2000&amp;"")))</f>
        <v/>
      </c>
      <c r="D1166">
        <f>IF(A1166="","",SUMIFS(المبيعات!$H$2:$H$2000,المبيعات!$C$2:$C$2000,A1166))</f>
        <v/>
      </c>
      <c r="E1166" s="13">
        <f>IF(A1166="","",IF(COUNTIF(المبيعات!$C$2:$C$2000,A1166)=0,"",_xlfn.MAXIFS(المبيعات!$A$2:$A$2000,المبيعات!$C$2:$C$2000,A1166)))</f>
        <v/>
      </c>
      <c r="F1166">
        <f>IF(A1166="","",SUMIFS(المبيعات!$H$2:$H$2000,المبيعات!$C$2:$C$2000,A1166,المبيعات!$J$2:$J$2000,"آجل"))</f>
        <v/>
      </c>
      <c r="G1166" s="4" t="n"/>
      <c r="H1166">
        <f>IF(A1166="","",F1166-G1166)</f>
        <v/>
      </c>
    </row>
    <row r="1167">
      <c r="A1167" s="4" t="n"/>
      <c r="B1167" s="4" t="n"/>
      <c r="C1167">
        <f>IF(A1167="","",SUMPRODUCT((المبيعات!$C$2:$C$2000=A1167)*(المبيعات!$B$2:$B$2000&lt;&gt;"")/COUNTIFS(المبيعات!$B$2:$B$2000,المبيعات!$B$2:$B$2000&amp;"",المبيعات!$C$2:$C$2000,المبيعات!$C$2:$C$2000&amp;"")))</f>
        <v/>
      </c>
      <c r="D1167">
        <f>IF(A1167="","",SUMIFS(المبيعات!$H$2:$H$2000,المبيعات!$C$2:$C$2000,A1167))</f>
        <v/>
      </c>
      <c r="E1167" s="13">
        <f>IF(A1167="","",IF(COUNTIF(المبيعات!$C$2:$C$2000,A1167)=0,"",_xlfn.MAXIFS(المبيعات!$A$2:$A$2000,المبيعات!$C$2:$C$2000,A1167)))</f>
        <v/>
      </c>
      <c r="F1167">
        <f>IF(A1167="","",SUMIFS(المبيعات!$H$2:$H$2000,المبيعات!$C$2:$C$2000,A1167,المبيعات!$J$2:$J$2000,"آجل"))</f>
        <v/>
      </c>
      <c r="G1167" s="4" t="n"/>
      <c r="H1167">
        <f>IF(A1167="","",F1167-G1167)</f>
        <v/>
      </c>
    </row>
    <row r="1168">
      <c r="A1168" s="4" t="n"/>
      <c r="B1168" s="4" t="n"/>
      <c r="C1168">
        <f>IF(A1168="","",SUMPRODUCT((المبيعات!$C$2:$C$2000=A1168)*(المبيعات!$B$2:$B$2000&lt;&gt;"")/COUNTIFS(المبيعات!$B$2:$B$2000,المبيعات!$B$2:$B$2000&amp;"",المبيعات!$C$2:$C$2000,المبيعات!$C$2:$C$2000&amp;"")))</f>
        <v/>
      </c>
      <c r="D1168">
        <f>IF(A1168="","",SUMIFS(المبيعات!$H$2:$H$2000,المبيعات!$C$2:$C$2000,A1168))</f>
        <v/>
      </c>
      <c r="E1168" s="13">
        <f>IF(A1168="","",IF(COUNTIF(المبيعات!$C$2:$C$2000,A1168)=0,"",_xlfn.MAXIFS(المبيعات!$A$2:$A$2000,المبيعات!$C$2:$C$2000,A1168)))</f>
        <v/>
      </c>
      <c r="F1168">
        <f>IF(A1168="","",SUMIFS(المبيعات!$H$2:$H$2000,المبيعات!$C$2:$C$2000,A1168,المبيعات!$J$2:$J$2000,"آجل"))</f>
        <v/>
      </c>
      <c r="G1168" s="4" t="n"/>
      <c r="H1168">
        <f>IF(A1168="","",F1168-G1168)</f>
        <v/>
      </c>
    </row>
    <row r="1169">
      <c r="A1169" s="4" t="n"/>
      <c r="B1169" s="4" t="n"/>
      <c r="C1169">
        <f>IF(A1169="","",SUMPRODUCT((المبيعات!$C$2:$C$2000=A1169)*(المبيعات!$B$2:$B$2000&lt;&gt;"")/COUNTIFS(المبيعات!$B$2:$B$2000,المبيعات!$B$2:$B$2000&amp;"",المبيعات!$C$2:$C$2000,المبيعات!$C$2:$C$2000&amp;"")))</f>
        <v/>
      </c>
      <c r="D1169">
        <f>IF(A1169="","",SUMIFS(المبيعات!$H$2:$H$2000,المبيعات!$C$2:$C$2000,A1169))</f>
        <v/>
      </c>
      <c r="E1169" s="13">
        <f>IF(A1169="","",IF(COUNTIF(المبيعات!$C$2:$C$2000,A1169)=0,"",_xlfn.MAXIFS(المبيعات!$A$2:$A$2000,المبيعات!$C$2:$C$2000,A1169)))</f>
        <v/>
      </c>
      <c r="F1169">
        <f>IF(A1169="","",SUMIFS(المبيعات!$H$2:$H$2000,المبيعات!$C$2:$C$2000,A1169,المبيعات!$J$2:$J$2000,"آجل"))</f>
        <v/>
      </c>
      <c r="G1169" s="4" t="n"/>
      <c r="H1169">
        <f>IF(A1169="","",F1169-G1169)</f>
        <v/>
      </c>
    </row>
    <row r="1170">
      <c r="A1170" s="4" t="n"/>
      <c r="B1170" s="4" t="n"/>
      <c r="C1170">
        <f>IF(A1170="","",SUMPRODUCT((المبيعات!$C$2:$C$2000=A1170)*(المبيعات!$B$2:$B$2000&lt;&gt;"")/COUNTIFS(المبيعات!$B$2:$B$2000,المبيعات!$B$2:$B$2000&amp;"",المبيعات!$C$2:$C$2000,المبيعات!$C$2:$C$2000&amp;"")))</f>
        <v/>
      </c>
      <c r="D1170">
        <f>IF(A1170="","",SUMIFS(المبيعات!$H$2:$H$2000,المبيعات!$C$2:$C$2000,A1170))</f>
        <v/>
      </c>
      <c r="E1170" s="13">
        <f>IF(A1170="","",IF(COUNTIF(المبيعات!$C$2:$C$2000,A1170)=0,"",_xlfn.MAXIFS(المبيعات!$A$2:$A$2000,المبيعات!$C$2:$C$2000,A1170)))</f>
        <v/>
      </c>
      <c r="F1170">
        <f>IF(A1170="","",SUMIFS(المبيعات!$H$2:$H$2000,المبيعات!$C$2:$C$2000,A1170,المبيعات!$J$2:$J$2000,"آجل"))</f>
        <v/>
      </c>
      <c r="G1170" s="4" t="n"/>
      <c r="H1170">
        <f>IF(A1170="","",F1170-G1170)</f>
        <v/>
      </c>
    </row>
    <row r="1171">
      <c r="A1171" s="4" t="n"/>
      <c r="B1171" s="4" t="n"/>
      <c r="C1171">
        <f>IF(A1171="","",SUMPRODUCT((المبيعات!$C$2:$C$2000=A1171)*(المبيعات!$B$2:$B$2000&lt;&gt;"")/COUNTIFS(المبيعات!$B$2:$B$2000,المبيعات!$B$2:$B$2000&amp;"",المبيعات!$C$2:$C$2000,المبيعات!$C$2:$C$2000&amp;"")))</f>
        <v/>
      </c>
      <c r="D1171">
        <f>IF(A1171="","",SUMIFS(المبيعات!$H$2:$H$2000,المبيعات!$C$2:$C$2000,A1171))</f>
        <v/>
      </c>
      <c r="E1171" s="13">
        <f>IF(A1171="","",IF(COUNTIF(المبيعات!$C$2:$C$2000,A1171)=0,"",_xlfn.MAXIFS(المبيعات!$A$2:$A$2000,المبيعات!$C$2:$C$2000,A1171)))</f>
        <v/>
      </c>
      <c r="F1171">
        <f>IF(A1171="","",SUMIFS(المبيعات!$H$2:$H$2000,المبيعات!$C$2:$C$2000,A1171,المبيعات!$J$2:$J$2000,"آجل"))</f>
        <v/>
      </c>
      <c r="G1171" s="4" t="n"/>
      <c r="H1171">
        <f>IF(A1171="","",F1171-G1171)</f>
        <v/>
      </c>
    </row>
    <row r="1172">
      <c r="A1172" s="4" t="n"/>
      <c r="B1172" s="4" t="n"/>
      <c r="C1172">
        <f>IF(A1172="","",SUMPRODUCT((المبيعات!$C$2:$C$2000=A1172)*(المبيعات!$B$2:$B$2000&lt;&gt;"")/COUNTIFS(المبيعات!$B$2:$B$2000,المبيعات!$B$2:$B$2000&amp;"",المبيعات!$C$2:$C$2000,المبيعات!$C$2:$C$2000&amp;"")))</f>
        <v/>
      </c>
      <c r="D1172">
        <f>IF(A1172="","",SUMIFS(المبيعات!$H$2:$H$2000,المبيعات!$C$2:$C$2000,A1172))</f>
        <v/>
      </c>
      <c r="E1172" s="13">
        <f>IF(A1172="","",IF(COUNTIF(المبيعات!$C$2:$C$2000,A1172)=0,"",_xlfn.MAXIFS(المبيعات!$A$2:$A$2000,المبيعات!$C$2:$C$2000,A1172)))</f>
        <v/>
      </c>
      <c r="F1172">
        <f>IF(A1172="","",SUMIFS(المبيعات!$H$2:$H$2000,المبيعات!$C$2:$C$2000,A1172,المبيعات!$J$2:$J$2000,"آجل"))</f>
        <v/>
      </c>
      <c r="G1172" s="4" t="n"/>
      <c r="H1172">
        <f>IF(A1172="","",F1172-G1172)</f>
        <v/>
      </c>
    </row>
    <row r="1173">
      <c r="A1173" s="4" t="n"/>
      <c r="B1173" s="4" t="n"/>
      <c r="C1173">
        <f>IF(A1173="","",SUMPRODUCT((المبيعات!$C$2:$C$2000=A1173)*(المبيعات!$B$2:$B$2000&lt;&gt;"")/COUNTIFS(المبيعات!$B$2:$B$2000,المبيعات!$B$2:$B$2000&amp;"",المبيعات!$C$2:$C$2000,المبيعات!$C$2:$C$2000&amp;"")))</f>
        <v/>
      </c>
      <c r="D1173">
        <f>IF(A1173="","",SUMIFS(المبيعات!$H$2:$H$2000,المبيعات!$C$2:$C$2000,A1173))</f>
        <v/>
      </c>
      <c r="E1173" s="13">
        <f>IF(A1173="","",IF(COUNTIF(المبيعات!$C$2:$C$2000,A1173)=0,"",_xlfn.MAXIFS(المبيعات!$A$2:$A$2000,المبيعات!$C$2:$C$2000,A1173)))</f>
        <v/>
      </c>
      <c r="F1173">
        <f>IF(A1173="","",SUMIFS(المبيعات!$H$2:$H$2000,المبيعات!$C$2:$C$2000,A1173,المبيعات!$J$2:$J$2000,"آجل"))</f>
        <v/>
      </c>
      <c r="G1173" s="4" t="n"/>
      <c r="H1173">
        <f>IF(A1173="","",F1173-G1173)</f>
        <v/>
      </c>
    </row>
    <row r="1174">
      <c r="A1174" s="4" t="n"/>
      <c r="B1174" s="4" t="n"/>
      <c r="C1174">
        <f>IF(A1174="","",SUMPRODUCT((المبيعات!$C$2:$C$2000=A1174)*(المبيعات!$B$2:$B$2000&lt;&gt;"")/COUNTIFS(المبيعات!$B$2:$B$2000,المبيعات!$B$2:$B$2000&amp;"",المبيعات!$C$2:$C$2000,المبيعات!$C$2:$C$2000&amp;"")))</f>
        <v/>
      </c>
      <c r="D1174">
        <f>IF(A1174="","",SUMIFS(المبيعات!$H$2:$H$2000,المبيعات!$C$2:$C$2000,A1174))</f>
        <v/>
      </c>
      <c r="E1174" s="13">
        <f>IF(A1174="","",IF(COUNTIF(المبيعات!$C$2:$C$2000,A1174)=0,"",_xlfn.MAXIFS(المبيعات!$A$2:$A$2000,المبيعات!$C$2:$C$2000,A1174)))</f>
        <v/>
      </c>
      <c r="F1174">
        <f>IF(A1174="","",SUMIFS(المبيعات!$H$2:$H$2000,المبيعات!$C$2:$C$2000,A1174,المبيعات!$J$2:$J$2000,"آجل"))</f>
        <v/>
      </c>
      <c r="G1174" s="4" t="n"/>
      <c r="H1174">
        <f>IF(A1174="","",F1174-G1174)</f>
        <v/>
      </c>
    </row>
    <row r="1175">
      <c r="A1175" s="4" t="n"/>
      <c r="B1175" s="4" t="n"/>
      <c r="C1175">
        <f>IF(A1175="","",SUMPRODUCT((المبيعات!$C$2:$C$2000=A1175)*(المبيعات!$B$2:$B$2000&lt;&gt;"")/COUNTIFS(المبيعات!$B$2:$B$2000,المبيعات!$B$2:$B$2000&amp;"",المبيعات!$C$2:$C$2000,المبيعات!$C$2:$C$2000&amp;"")))</f>
        <v/>
      </c>
      <c r="D1175">
        <f>IF(A1175="","",SUMIFS(المبيعات!$H$2:$H$2000,المبيعات!$C$2:$C$2000,A1175))</f>
        <v/>
      </c>
      <c r="E1175" s="13">
        <f>IF(A1175="","",IF(COUNTIF(المبيعات!$C$2:$C$2000,A1175)=0,"",_xlfn.MAXIFS(المبيعات!$A$2:$A$2000,المبيعات!$C$2:$C$2000,A1175)))</f>
        <v/>
      </c>
      <c r="F1175">
        <f>IF(A1175="","",SUMIFS(المبيعات!$H$2:$H$2000,المبيعات!$C$2:$C$2000,A1175,المبيعات!$J$2:$J$2000,"آجل"))</f>
        <v/>
      </c>
      <c r="G1175" s="4" t="n"/>
      <c r="H1175">
        <f>IF(A1175="","",F1175-G1175)</f>
        <v/>
      </c>
    </row>
    <row r="1176">
      <c r="A1176" s="4" t="n"/>
      <c r="B1176" s="4" t="n"/>
      <c r="C1176">
        <f>IF(A1176="","",SUMPRODUCT((المبيعات!$C$2:$C$2000=A1176)*(المبيعات!$B$2:$B$2000&lt;&gt;"")/COUNTIFS(المبيعات!$B$2:$B$2000,المبيعات!$B$2:$B$2000&amp;"",المبيعات!$C$2:$C$2000,المبيعات!$C$2:$C$2000&amp;"")))</f>
        <v/>
      </c>
      <c r="D1176">
        <f>IF(A1176="","",SUMIFS(المبيعات!$H$2:$H$2000,المبيعات!$C$2:$C$2000,A1176))</f>
        <v/>
      </c>
      <c r="E1176" s="13">
        <f>IF(A1176="","",IF(COUNTIF(المبيعات!$C$2:$C$2000,A1176)=0,"",_xlfn.MAXIFS(المبيعات!$A$2:$A$2000,المبيعات!$C$2:$C$2000,A1176)))</f>
        <v/>
      </c>
      <c r="F1176">
        <f>IF(A1176="","",SUMIFS(المبيعات!$H$2:$H$2000,المبيعات!$C$2:$C$2000,A1176,المبيعات!$J$2:$J$2000,"آجل"))</f>
        <v/>
      </c>
      <c r="G1176" s="4" t="n"/>
      <c r="H1176">
        <f>IF(A1176="","",F1176-G1176)</f>
        <v/>
      </c>
    </row>
    <row r="1177">
      <c r="A1177" s="4" t="n"/>
      <c r="B1177" s="4" t="n"/>
      <c r="C1177">
        <f>IF(A1177="","",SUMPRODUCT((المبيعات!$C$2:$C$2000=A1177)*(المبيعات!$B$2:$B$2000&lt;&gt;"")/COUNTIFS(المبيعات!$B$2:$B$2000,المبيعات!$B$2:$B$2000&amp;"",المبيعات!$C$2:$C$2000,المبيعات!$C$2:$C$2000&amp;"")))</f>
        <v/>
      </c>
      <c r="D1177">
        <f>IF(A1177="","",SUMIFS(المبيعات!$H$2:$H$2000,المبيعات!$C$2:$C$2000,A1177))</f>
        <v/>
      </c>
      <c r="E1177" s="13">
        <f>IF(A1177="","",IF(COUNTIF(المبيعات!$C$2:$C$2000,A1177)=0,"",_xlfn.MAXIFS(المبيعات!$A$2:$A$2000,المبيعات!$C$2:$C$2000,A1177)))</f>
        <v/>
      </c>
      <c r="F1177">
        <f>IF(A1177="","",SUMIFS(المبيعات!$H$2:$H$2000,المبيعات!$C$2:$C$2000,A1177,المبيعات!$J$2:$J$2000,"آجل"))</f>
        <v/>
      </c>
      <c r="G1177" s="4" t="n"/>
      <c r="H1177">
        <f>IF(A1177="","",F1177-G1177)</f>
        <v/>
      </c>
    </row>
    <row r="1178">
      <c r="A1178" s="4" t="n"/>
      <c r="B1178" s="4" t="n"/>
      <c r="C1178">
        <f>IF(A1178="","",SUMPRODUCT((المبيعات!$C$2:$C$2000=A1178)*(المبيعات!$B$2:$B$2000&lt;&gt;"")/COUNTIFS(المبيعات!$B$2:$B$2000,المبيعات!$B$2:$B$2000&amp;"",المبيعات!$C$2:$C$2000,المبيعات!$C$2:$C$2000&amp;"")))</f>
        <v/>
      </c>
      <c r="D1178">
        <f>IF(A1178="","",SUMIFS(المبيعات!$H$2:$H$2000,المبيعات!$C$2:$C$2000,A1178))</f>
        <v/>
      </c>
      <c r="E1178" s="13">
        <f>IF(A1178="","",IF(COUNTIF(المبيعات!$C$2:$C$2000,A1178)=0,"",_xlfn.MAXIFS(المبيعات!$A$2:$A$2000,المبيعات!$C$2:$C$2000,A1178)))</f>
        <v/>
      </c>
      <c r="F1178">
        <f>IF(A1178="","",SUMIFS(المبيعات!$H$2:$H$2000,المبيعات!$C$2:$C$2000,A1178,المبيعات!$J$2:$J$2000,"آجل"))</f>
        <v/>
      </c>
      <c r="G1178" s="4" t="n"/>
      <c r="H1178">
        <f>IF(A1178="","",F1178-G1178)</f>
        <v/>
      </c>
    </row>
    <row r="1179">
      <c r="A1179" s="4" t="n"/>
      <c r="B1179" s="4" t="n"/>
      <c r="C1179">
        <f>IF(A1179="","",SUMPRODUCT((المبيعات!$C$2:$C$2000=A1179)*(المبيعات!$B$2:$B$2000&lt;&gt;"")/COUNTIFS(المبيعات!$B$2:$B$2000,المبيعات!$B$2:$B$2000&amp;"",المبيعات!$C$2:$C$2000,المبيعات!$C$2:$C$2000&amp;"")))</f>
        <v/>
      </c>
      <c r="D1179">
        <f>IF(A1179="","",SUMIFS(المبيعات!$H$2:$H$2000,المبيعات!$C$2:$C$2000,A1179))</f>
        <v/>
      </c>
      <c r="E1179" s="13">
        <f>IF(A1179="","",IF(COUNTIF(المبيعات!$C$2:$C$2000,A1179)=0,"",_xlfn.MAXIFS(المبيعات!$A$2:$A$2000,المبيعات!$C$2:$C$2000,A1179)))</f>
        <v/>
      </c>
      <c r="F1179">
        <f>IF(A1179="","",SUMIFS(المبيعات!$H$2:$H$2000,المبيعات!$C$2:$C$2000,A1179,المبيعات!$J$2:$J$2000,"آجل"))</f>
        <v/>
      </c>
      <c r="G1179" s="4" t="n"/>
      <c r="H1179">
        <f>IF(A1179="","",F1179-G1179)</f>
        <v/>
      </c>
    </row>
    <row r="1180">
      <c r="A1180" s="4" t="n"/>
      <c r="B1180" s="4" t="n"/>
      <c r="C1180">
        <f>IF(A1180="","",SUMPRODUCT((المبيعات!$C$2:$C$2000=A1180)*(المبيعات!$B$2:$B$2000&lt;&gt;"")/COUNTIFS(المبيعات!$B$2:$B$2000,المبيعات!$B$2:$B$2000&amp;"",المبيعات!$C$2:$C$2000,المبيعات!$C$2:$C$2000&amp;"")))</f>
        <v/>
      </c>
      <c r="D1180">
        <f>IF(A1180="","",SUMIFS(المبيعات!$H$2:$H$2000,المبيعات!$C$2:$C$2000,A1180))</f>
        <v/>
      </c>
      <c r="E1180" s="13">
        <f>IF(A1180="","",IF(COUNTIF(المبيعات!$C$2:$C$2000,A1180)=0,"",_xlfn.MAXIFS(المبيعات!$A$2:$A$2000,المبيعات!$C$2:$C$2000,A1180)))</f>
        <v/>
      </c>
      <c r="F1180">
        <f>IF(A1180="","",SUMIFS(المبيعات!$H$2:$H$2000,المبيعات!$C$2:$C$2000,A1180,المبيعات!$J$2:$J$2000,"آجل"))</f>
        <v/>
      </c>
      <c r="G1180" s="4" t="n"/>
      <c r="H1180">
        <f>IF(A1180="","",F1180-G1180)</f>
        <v/>
      </c>
    </row>
    <row r="1181">
      <c r="A1181" s="4" t="n"/>
      <c r="B1181" s="4" t="n"/>
      <c r="C1181">
        <f>IF(A1181="","",SUMPRODUCT((المبيعات!$C$2:$C$2000=A1181)*(المبيعات!$B$2:$B$2000&lt;&gt;"")/COUNTIFS(المبيعات!$B$2:$B$2000,المبيعات!$B$2:$B$2000&amp;"",المبيعات!$C$2:$C$2000,المبيعات!$C$2:$C$2000&amp;"")))</f>
        <v/>
      </c>
      <c r="D1181">
        <f>IF(A1181="","",SUMIFS(المبيعات!$H$2:$H$2000,المبيعات!$C$2:$C$2000,A1181))</f>
        <v/>
      </c>
      <c r="E1181" s="13">
        <f>IF(A1181="","",IF(COUNTIF(المبيعات!$C$2:$C$2000,A1181)=0,"",_xlfn.MAXIFS(المبيعات!$A$2:$A$2000,المبيعات!$C$2:$C$2000,A1181)))</f>
        <v/>
      </c>
      <c r="F1181">
        <f>IF(A1181="","",SUMIFS(المبيعات!$H$2:$H$2000,المبيعات!$C$2:$C$2000,A1181,المبيعات!$J$2:$J$2000,"آجل"))</f>
        <v/>
      </c>
      <c r="G1181" s="4" t="n"/>
      <c r="H1181">
        <f>IF(A1181="","",F1181-G1181)</f>
        <v/>
      </c>
    </row>
    <row r="1182">
      <c r="A1182" s="4" t="n"/>
      <c r="B1182" s="4" t="n"/>
      <c r="C1182">
        <f>IF(A1182="","",SUMPRODUCT((المبيعات!$C$2:$C$2000=A1182)*(المبيعات!$B$2:$B$2000&lt;&gt;"")/COUNTIFS(المبيعات!$B$2:$B$2000,المبيعات!$B$2:$B$2000&amp;"",المبيعات!$C$2:$C$2000,المبيعات!$C$2:$C$2000&amp;"")))</f>
        <v/>
      </c>
      <c r="D1182">
        <f>IF(A1182="","",SUMIFS(المبيعات!$H$2:$H$2000,المبيعات!$C$2:$C$2000,A1182))</f>
        <v/>
      </c>
      <c r="E1182" s="13">
        <f>IF(A1182="","",IF(COUNTIF(المبيعات!$C$2:$C$2000,A1182)=0,"",_xlfn.MAXIFS(المبيعات!$A$2:$A$2000,المبيعات!$C$2:$C$2000,A1182)))</f>
        <v/>
      </c>
      <c r="F1182">
        <f>IF(A1182="","",SUMIFS(المبيعات!$H$2:$H$2000,المبيعات!$C$2:$C$2000,A1182,المبيعات!$J$2:$J$2000,"آجل"))</f>
        <v/>
      </c>
      <c r="G1182" s="4" t="n"/>
      <c r="H1182">
        <f>IF(A1182="","",F1182-G1182)</f>
        <v/>
      </c>
    </row>
    <row r="1183">
      <c r="A1183" s="4" t="n"/>
      <c r="B1183" s="4" t="n"/>
      <c r="C1183">
        <f>IF(A1183="","",SUMPRODUCT((المبيعات!$C$2:$C$2000=A1183)*(المبيعات!$B$2:$B$2000&lt;&gt;"")/COUNTIFS(المبيعات!$B$2:$B$2000,المبيعات!$B$2:$B$2000&amp;"",المبيعات!$C$2:$C$2000,المبيعات!$C$2:$C$2000&amp;"")))</f>
        <v/>
      </c>
      <c r="D1183">
        <f>IF(A1183="","",SUMIFS(المبيعات!$H$2:$H$2000,المبيعات!$C$2:$C$2000,A1183))</f>
        <v/>
      </c>
      <c r="E1183" s="13">
        <f>IF(A1183="","",IF(COUNTIF(المبيعات!$C$2:$C$2000,A1183)=0,"",_xlfn.MAXIFS(المبيعات!$A$2:$A$2000,المبيعات!$C$2:$C$2000,A1183)))</f>
        <v/>
      </c>
      <c r="F1183">
        <f>IF(A1183="","",SUMIFS(المبيعات!$H$2:$H$2000,المبيعات!$C$2:$C$2000,A1183,المبيعات!$J$2:$J$2000,"آجل"))</f>
        <v/>
      </c>
      <c r="G1183" s="4" t="n"/>
      <c r="H1183">
        <f>IF(A1183="","",F1183-G1183)</f>
        <v/>
      </c>
    </row>
    <row r="1184">
      <c r="A1184" s="4" t="n"/>
      <c r="B1184" s="4" t="n"/>
      <c r="C1184">
        <f>IF(A1184="","",SUMPRODUCT((المبيعات!$C$2:$C$2000=A1184)*(المبيعات!$B$2:$B$2000&lt;&gt;"")/COUNTIFS(المبيعات!$B$2:$B$2000,المبيعات!$B$2:$B$2000&amp;"",المبيعات!$C$2:$C$2000,المبيعات!$C$2:$C$2000&amp;"")))</f>
        <v/>
      </c>
      <c r="D1184">
        <f>IF(A1184="","",SUMIFS(المبيعات!$H$2:$H$2000,المبيعات!$C$2:$C$2000,A1184))</f>
        <v/>
      </c>
      <c r="E1184" s="13">
        <f>IF(A1184="","",IF(COUNTIF(المبيعات!$C$2:$C$2000,A1184)=0,"",_xlfn.MAXIFS(المبيعات!$A$2:$A$2000,المبيعات!$C$2:$C$2000,A1184)))</f>
        <v/>
      </c>
      <c r="F1184">
        <f>IF(A1184="","",SUMIFS(المبيعات!$H$2:$H$2000,المبيعات!$C$2:$C$2000,A1184,المبيعات!$J$2:$J$2000,"آجل"))</f>
        <v/>
      </c>
      <c r="G1184" s="4" t="n"/>
      <c r="H1184">
        <f>IF(A1184="","",F1184-G1184)</f>
        <v/>
      </c>
    </row>
    <row r="1185">
      <c r="A1185" s="4" t="n"/>
      <c r="B1185" s="4" t="n"/>
      <c r="C1185">
        <f>IF(A1185="","",SUMPRODUCT((المبيعات!$C$2:$C$2000=A1185)*(المبيعات!$B$2:$B$2000&lt;&gt;"")/COUNTIFS(المبيعات!$B$2:$B$2000,المبيعات!$B$2:$B$2000&amp;"",المبيعات!$C$2:$C$2000,المبيعات!$C$2:$C$2000&amp;"")))</f>
        <v/>
      </c>
      <c r="D1185">
        <f>IF(A1185="","",SUMIFS(المبيعات!$H$2:$H$2000,المبيعات!$C$2:$C$2000,A1185))</f>
        <v/>
      </c>
      <c r="E1185" s="13">
        <f>IF(A1185="","",IF(COUNTIF(المبيعات!$C$2:$C$2000,A1185)=0,"",_xlfn.MAXIFS(المبيعات!$A$2:$A$2000,المبيعات!$C$2:$C$2000,A1185)))</f>
        <v/>
      </c>
      <c r="F1185">
        <f>IF(A1185="","",SUMIFS(المبيعات!$H$2:$H$2000,المبيعات!$C$2:$C$2000,A1185,المبيعات!$J$2:$J$2000,"آجل"))</f>
        <v/>
      </c>
      <c r="G1185" s="4" t="n"/>
      <c r="H1185">
        <f>IF(A1185="","",F1185-G1185)</f>
        <v/>
      </c>
    </row>
    <row r="1186">
      <c r="A1186" s="4" t="n"/>
      <c r="B1186" s="4" t="n"/>
      <c r="C1186">
        <f>IF(A1186="","",SUMPRODUCT((المبيعات!$C$2:$C$2000=A1186)*(المبيعات!$B$2:$B$2000&lt;&gt;"")/COUNTIFS(المبيعات!$B$2:$B$2000,المبيعات!$B$2:$B$2000&amp;"",المبيعات!$C$2:$C$2000,المبيعات!$C$2:$C$2000&amp;"")))</f>
        <v/>
      </c>
      <c r="D1186">
        <f>IF(A1186="","",SUMIFS(المبيعات!$H$2:$H$2000,المبيعات!$C$2:$C$2000,A1186))</f>
        <v/>
      </c>
      <c r="E1186" s="13">
        <f>IF(A1186="","",IF(COUNTIF(المبيعات!$C$2:$C$2000,A1186)=0,"",_xlfn.MAXIFS(المبيعات!$A$2:$A$2000,المبيعات!$C$2:$C$2000,A1186)))</f>
        <v/>
      </c>
      <c r="F1186">
        <f>IF(A1186="","",SUMIFS(المبيعات!$H$2:$H$2000,المبيعات!$C$2:$C$2000,A1186,المبيعات!$J$2:$J$2000,"آجل"))</f>
        <v/>
      </c>
      <c r="G1186" s="4" t="n"/>
      <c r="H1186">
        <f>IF(A1186="","",F1186-G1186)</f>
        <v/>
      </c>
    </row>
    <row r="1187">
      <c r="A1187" s="4" t="n"/>
      <c r="B1187" s="4" t="n"/>
      <c r="C1187">
        <f>IF(A1187="","",SUMPRODUCT((المبيعات!$C$2:$C$2000=A1187)*(المبيعات!$B$2:$B$2000&lt;&gt;"")/COUNTIFS(المبيعات!$B$2:$B$2000,المبيعات!$B$2:$B$2000&amp;"",المبيعات!$C$2:$C$2000,المبيعات!$C$2:$C$2000&amp;"")))</f>
        <v/>
      </c>
      <c r="D1187">
        <f>IF(A1187="","",SUMIFS(المبيعات!$H$2:$H$2000,المبيعات!$C$2:$C$2000,A1187))</f>
        <v/>
      </c>
      <c r="E1187" s="13">
        <f>IF(A1187="","",IF(COUNTIF(المبيعات!$C$2:$C$2000,A1187)=0,"",_xlfn.MAXIFS(المبيعات!$A$2:$A$2000,المبيعات!$C$2:$C$2000,A1187)))</f>
        <v/>
      </c>
      <c r="F1187">
        <f>IF(A1187="","",SUMIFS(المبيعات!$H$2:$H$2000,المبيعات!$C$2:$C$2000,A1187,المبيعات!$J$2:$J$2000,"آجل"))</f>
        <v/>
      </c>
      <c r="G1187" s="4" t="n"/>
      <c r="H1187">
        <f>IF(A1187="","",F1187-G1187)</f>
        <v/>
      </c>
    </row>
    <row r="1188">
      <c r="A1188" s="4" t="n"/>
      <c r="B1188" s="4" t="n"/>
      <c r="C1188">
        <f>IF(A1188="","",SUMPRODUCT((المبيعات!$C$2:$C$2000=A1188)*(المبيعات!$B$2:$B$2000&lt;&gt;"")/COUNTIFS(المبيعات!$B$2:$B$2000,المبيعات!$B$2:$B$2000&amp;"",المبيعات!$C$2:$C$2000,المبيعات!$C$2:$C$2000&amp;"")))</f>
        <v/>
      </c>
      <c r="D1188">
        <f>IF(A1188="","",SUMIFS(المبيعات!$H$2:$H$2000,المبيعات!$C$2:$C$2000,A1188))</f>
        <v/>
      </c>
      <c r="E1188" s="13">
        <f>IF(A1188="","",IF(COUNTIF(المبيعات!$C$2:$C$2000,A1188)=0,"",_xlfn.MAXIFS(المبيعات!$A$2:$A$2000,المبيعات!$C$2:$C$2000,A1188)))</f>
        <v/>
      </c>
      <c r="F1188">
        <f>IF(A1188="","",SUMIFS(المبيعات!$H$2:$H$2000,المبيعات!$C$2:$C$2000,A1188,المبيعات!$J$2:$J$2000,"آجل"))</f>
        <v/>
      </c>
      <c r="G1188" s="4" t="n"/>
      <c r="H1188">
        <f>IF(A1188="","",F1188-G1188)</f>
        <v/>
      </c>
    </row>
    <row r="1189">
      <c r="A1189" s="4" t="n"/>
      <c r="B1189" s="4" t="n"/>
      <c r="C1189">
        <f>IF(A1189="","",SUMPRODUCT((المبيعات!$C$2:$C$2000=A1189)*(المبيعات!$B$2:$B$2000&lt;&gt;"")/COUNTIFS(المبيعات!$B$2:$B$2000,المبيعات!$B$2:$B$2000&amp;"",المبيعات!$C$2:$C$2000,المبيعات!$C$2:$C$2000&amp;"")))</f>
        <v/>
      </c>
      <c r="D1189">
        <f>IF(A1189="","",SUMIFS(المبيعات!$H$2:$H$2000,المبيعات!$C$2:$C$2000,A1189))</f>
        <v/>
      </c>
      <c r="E1189" s="13">
        <f>IF(A1189="","",IF(COUNTIF(المبيعات!$C$2:$C$2000,A1189)=0,"",_xlfn.MAXIFS(المبيعات!$A$2:$A$2000,المبيعات!$C$2:$C$2000,A1189)))</f>
        <v/>
      </c>
      <c r="F1189">
        <f>IF(A1189="","",SUMIFS(المبيعات!$H$2:$H$2000,المبيعات!$C$2:$C$2000,A1189,المبيعات!$J$2:$J$2000,"آجل"))</f>
        <v/>
      </c>
      <c r="G1189" s="4" t="n"/>
      <c r="H1189">
        <f>IF(A1189="","",F1189-G1189)</f>
        <v/>
      </c>
    </row>
    <row r="1190">
      <c r="A1190" s="4" t="n"/>
      <c r="B1190" s="4" t="n"/>
      <c r="C1190">
        <f>IF(A1190="","",SUMPRODUCT((المبيعات!$C$2:$C$2000=A1190)*(المبيعات!$B$2:$B$2000&lt;&gt;"")/COUNTIFS(المبيعات!$B$2:$B$2000,المبيعات!$B$2:$B$2000&amp;"",المبيعات!$C$2:$C$2000,المبيعات!$C$2:$C$2000&amp;"")))</f>
        <v/>
      </c>
      <c r="D1190">
        <f>IF(A1190="","",SUMIFS(المبيعات!$H$2:$H$2000,المبيعات!$C$2:$C$2000,A1190))</f>
        <v/>
      </c>
      <c r="E1190" s="13">
        <f>IF(A1190="","",IF(COUNTIF(المبيعات!$C$2:$C$2000,A1190)=0,"",_xlfn.MAXIFS(المبيعات!$A$2:$A$2000,المبيعات!$C$2:$C$2000,A1190)))</f>
        <v/>
      </c>
      <c r="F1190">
        <f>IF(A1190="","",SUMIFS(المبيعات!$H$2:$H$2000,المبيعات!$C$2:$C$2000,A1190,المبيعات!$J$2:$J$2000,"آجل"))</f>
        <v/>
      </c>
      <c r="G1190" s="4" t="n"/>
      <c r="H1190">
        <f>IF(A1190="","",F1190-G1190)</f>
        <v/>
      </c>
    </row>
    <row r="1191">
      <c r="A1191" s="4" t="n"/>
      <c r="B1191" s="4" t="n"/>
      <c r="C1191">
        <f>IF(A1191="","",SUMPRODUCT((المبيعات!$C$2:$C$2000=A1191)*(المبيعات!$B$2:$B$2000&lt;&gt;"")/COUNTIFS(المبيعات!$B$2:$B$2000,المبيعات!$B$2:$B$2000&amp;"",المبيعات!$C$2:$C$2000,المبيعات!$C$2:$C$2000&amp;"")))</f>
        <v/>
      </c>
      <c r="D1191">
        <f>IF(A1191="","",SUMIFS(المبيعات!$H$2:$H$2000,المبيعات!$C$2:$C$2000,A1191))</f>
        <v/>
      </c>
      <c r="E1191" s="13">
        <f>IF(A1191="","",IF(COUNTIF(المبيعات!$C$2:$C$2000,A1191)=0,"",_xlfn.MAXIFS(المبيعات!$A$2:$A$2000,المبيعات!$C$2:$C$2000,A1191)))</f>
        <v/>
      </c>
      <c r="F1191">
        <f>IF(A1191="","",SUMIFS(المبيعات!$H$2:$H$2000,المبيعات!$C$2:$C$2000,A1191,المبيعات!$J$2:$J$2000,"آجل"))</f>
        <v/>
      </c>
      <c r="G1191" s="4" t="n"/>
      <c r="H1191">
        <f>IF(A1191="","",F1191-G1191)</f>
        <v/>
      </c>
    </row>
    <row r="1192">
      <c r="A1192" s="4" t="n"/>
      <c r="B1192" s="4" t="n"/>
      <c r="C1192">
        <f>IF(A1192="","",SUMPRODUCT((المبيعات!$C$2:$C$2000=A1192)*(المبيعات!$B$2:$B$2000&lt;&gt;"")/COUNTIFS(المبيعات!$B$2:$B$2000,المبيعات!$B$2:$B$2000&amp;"",المبيعات!$C$2:$C$2000,المبيعات!$C$2:$C$2000&amp;"")))</f>
        <v/>
      </c>
      <c r="D1192">
        <f>IF(A1192="","",SUMIFS(المبيعات!$H$2:$H$2000,المبيعات!$C$2:$C$2000,A1192))</f>
        <v/>
      </c>
      <c r="E1192" s="13">
        <f>IF(A1192="","",IF(COUNTIF(المبيعات!$C$2:$C$2000,A1192)=0,"",_xlfn.MAXIFS(المبيعات!$A$2:$A$2000,المبيعات!$C$2:$C$2000,A1192)))</f>
        <v/>
      </c>
      <c r="F1192">
        <f>IF(A1192="","",SUMIFS(المبيعات!$H$2:$H$2000,المبيعات!$C$2:$C$2000,A1192,المبيعات!$J$2:$J$2000,"آجل"))</f>
        <v/>
      </c>
      <c r="G1192" s="4" t="n"/>
      <c r="H1192">
        <f>IF(A1192="","",F1192-G1192)</f>
        <v/>
      </c>
    </row>
    <row r="1193">
      <c r="A1193" s="4" t="n"/>
      <c r="B1193" s="4" t="n"/>
      <c r="C1193">
        <f>IF(A1193="","",SUMPRODUCT((المبيعات!$C$2:$C$2000=A1193)*(المبيعات!$B$2:$B$2000&lt;&gt;"")/COUNTIFS(المبيعات!$B$2:$B$2000,المبيعات!$B$2:$B$2000&amp;"",المبيعات!$C$2:$C$2000,المبيعات!$C$2:$C$2000&amp;"")))</f>
        <v/>
      </c>
      <c r="D1193">
        <f>IF(A1193="","",SUMIFS(المبيعات!$H$2:$H$2000,المبيعات!$C$2:$C$2000,A1193))</f>
        <v/>
      </c>
      <c r="E1193" s="13">
        <f>IF(A1193="","",IF(COUNTIF(المبيعات!$C$2:$C$2000,A1193)=0,"",_xlfn.MAXIFS(المبيعات!$A$2:$A$2000,المبيعات!$C$2:$C$2000,A1193)))</f>
        <v/>
      </c>
      <c r="F1193">
        <f>IF(A1193="","",SUMIFS(المبيعات!$H$2:$H$2000,المبيعات!$C$2:$C$2000,A1193,المبيعات!$J$2:$J$2000,"آجل"))</f>
        <v/>
      </c>
      <c r="G1193" s="4" t="n"/>
      <c r="H1193">
        <f>IF(A1193="","",F1193-G1193)</f>
        <v/>
      </c>
    </row>
    <row r="1194">
      <c r="A1194" s="4" t="n"/>
      <c r="B1194" s="4" t="n"/>
      <c r="C1194">
        <f>IF(A1194="","",SUMPRODUCT((المبيعات!$C$2:$C$2000=A1194)*(المبيعات!$B$2:$B$2000&lt;&gt;"")/COUNTIFS(المبيعات!$B$2:$B$2000,المبيعات!$B$2:$B$2000&amp;"",المبيعات!$C$2:$C$2000,المبيعات!$C$2:$C$2000&amp;"")))</f>
        <v/>
      </c>
      <c r="D1194">
        <f>IF(A1194="","",SUMIFS(المبيعات!$H$2:$H$2000,المبيعات!$C$2:$C$2000,A1194))</f>
        <v/>
      </c>
      <c r="E1194" s="13">
        <f>IF(A1194="","",IF(COUNTIF(المبيعات!$C$2:$C$2000,A1194)=0,"",_xlfn.MAXIFS(المبيعات!$A$2:$A$2000,المبيعات!$C$2:$C$2000,A1194)))</f>
        <v/>
      </c>
      <c r="F1194">
        <f>IF(A1194="","",SUMIFS(المبيعات!$H$2:$H$2000,المبيعات!$C$2:$C$2000,A1194,المبيعات!$J$2:$J$2000,"آجل"))</f>
        <v/>
      </c>
      <c r="G1194" s="4" t="n"/>
      <c r="H1194">
        <f>IF(A1194="","",F1194-G1194)</f>
        <v/>
      </c>
    </row>
    <row r="1195">
      <c r="A1195" s="4" t="n"/>
      <c r="B1195" s="4" t="n"/>
      <c r="C1195">
        <f>IF(A1195="","",SUMPRODUCT((المبيعات!$C$2:$C$2000=A1195)*(المبيعات!$B$2:$B$2000&lt;&gt;"")/COUNTIFS(المبيعات!$B$2:$B$2000,المبيعات!$B$2:$B$2000&amp;"",المبيعات!$C$2:$C$2000,المبيعات!$C$2:$C$2000&amp;"")))</f>
        <v/>
      </c>
      <c r="D1195">
        <f>IF(A1195="","",SUMIFS(المبيعات!$H$2:$H$2000,المبيعات!$C$2:$C$2000,A1195))</f>
        <v/>
      </c>
      <c r="E1195" s="13">
        <f>IF(A1195="","",IF(COUNTIF(المبيعات!$C$2:$C$2000,A1195)=0,"",_xlfn.MAXIFS(المبيعات!$A$2:$A$2000,المبيعات!$C$2:$C$2000,A1195)))</f>
        <v/>
      </c>
      <c r="F1195">
        <f>IF(A1195="","",SUMIFS(المبيعات!$H$2:$H$2000,المبيعات!$C$2:$C$2000,A1195,المبيعات!$J$2:$J$2000,"آجل"))</f>
        <v/>
      </c>
      <c r="G1195" s="4" t="n"/>
      <c r="H1195">
        <f>IF(A1195="","",F1195-G1195)</f>
        <v/>
      </c>
    </row>
    <row r="1196">
      <c r="A1196" s="4" t="n"/>
      <c r="B1196" s="4" t="n"/>
      <c r="C1196">
        <f>IF(A1196="","",SUMPRODUCT((المبيعات!$C$2:$C$2000=A1196)*(المبيعات!$B$2:$B$2000&lt;&gt;"")/COUNTIFS(المبيعات!$B$2:$B$2000,المبيعات!$B$2:$B$2000&amp;"",المبيعات!$C$2:$C$2000,المبيعات!$C$2:$C$2000&amp;"")))</f>
        <v/>
      </c>
      <c r="D1196">
        <f>IF(A1196="","",SUMIFS(المبيعات!$H$2:$H$2000,المبيعات!$C$2:$C$2000,A1196))</f>
        <v/>
      </c>
      <c r="E1196" s="13">
        <f>IF(A1196="","",IF(COUNTIF(المبيعات!$C$2:$C$2000,A1196)=0,"",_xlfn.MAXIFS(المبيعات!$A$2:$A$2000,المبيعات!$C$2:$C$2000,A1196)))</f>
        <v/>
      </c>
      <c r="F1196">
        <f>IF(A1196="","",SUMIFS(المبيعات!$H$2:$H$2000,المبيعات!$C$2:$C$2000,A1196,المبيعات!$J$2:$J$2000,"آجل"))</f>
        <v/>
      </c>
      <c r="G1196" s="4" t="n"/>
      <c r="H1196">
        <f>IF(A1196="","",F1196-G1196)</f>
        <v/>
      </c>
    </row>
    <row r="1197">
      <c r="A1197" s="4" t="n"/>
      <c r="B1197" s="4" t="n"/>
      <c r="C1197">
        <f>IF(A1197="","",SUMPRODUCT((المبيعات!$C$2:$C$2000=A1197)*(المبيعات!$B$2:$B$2000&lt;&gt;"")/COUNTIFS(المبيعات!$B$2:$B$2000,المبيعات!$B$2:$B$2000&amp;"",المبيعات!$C$2:$C$2000,المبيعات!$C$2:$C$2000&amp;"")))</f>
        <v/>
      </c>
      <c r="D1197">
        <f>IF(A1197="","",SUMIFS(المبيعات!$H$2:$H$2000,المبيعات!$C$2:$C$2000,A1197))</f>
        <v/>
      </c>
      <c r="E1197" s="13">
        <f>IF(A1197="","",IF(COUNTIF(المبيعات!$C$2:$C$2000,A1197)=0,"",_xlfn.MAXIFS(المبيعات!$A$2:$A$2000,المبيعات!$C$2:$C$2000,A1197)))</f>
        <v/>
      </c>
      <c r="F1197">
        <f>IF(A1197="","",SUMIFS(المبيعات!$H$2:$H$2000,المبيعات!$C$2:$C$2000,A1197,المبيعات!$J$2:$J$2000,"آجل"))</f>
        <v/>
      </c>
      <c r="G1197" s="4" t="n"/>
      <c r="H1197">
        <f>IF(A1197="","",F1197-G1197)</f>
        <v/>
      </c>
    </row>
    <row r="1198">
      <c r="A1198" s="4" t="n"/>
      <c r="B1198" s="4" t="n"/>
      <c r="C1198">
        <f>IF(A1198="","",SUMPRODUCT((المبيعات!$C$2:$C$2000=A1198)*(المبيعات!$B$2:$B$2000&lt;&gt;"")/COUNTIFS(المبيعات!$B$2:$B$2000,المبيعات!$B$2:$B$2000&amp;"",المبيعات!$C$2:$C$2000,المبيعات!$C$2:$C$2000&amp;"")))</f>
        <v/>
      </c>
      <c r="D1198">
        <f>IF(A1198="","",SUMIFS(المبيعات!$H$2:$H$2000,المبيعات!$C$2:$C$2000,A1198))</f>
        <v/>
      </c>
      <c r="E1198" s="13">
        <f>IF(A1198="","",IF(COUNTIF(المبيعات!$C$2:$C$2000,A1198)=0,"",_xlfn.MAXIFS(المبيعات!$A$2:$A$2000,المبيعات!$C$2:$C$2000,A1198)))</f>
        <v/>
      </c>
      <c r="F1198">
        <f>IF(A1198="","",SUMIFS(المبيعات!$H$2:$H$2000,المبيعات!$C$2:$C$2000,A1198,المبيعات!$J$2:$J$2000,"آجل"))</f>
        <v/>
      </c>
      <c r="G1198" s="4" t="n"/>
      <c r="H1198">
        <f>IF(A1198="","",F1198-G1198)</f>
        <v/>
      </c>
    </row>
    <row r="1199">
      <c r="A1199" s="4" t="n"/>
      <c r="B1199" s="4" t="n"/>
      <c r="C1199">
        <f>IF(A1199="","",SUMPRODUCT((المبيعات!$C$2:$C$2000=A1199)*(المبيعات!$B$2:$B$2000&lt;&gt;"")/COUNTIFS(المبيعات!$B$2:$B$2000,المبيعات!$B$2:$B$2000&amp;"",المبيعات!$C$2:$C$2000,المبيعات!$C$2:$C$2000&amp;"")))</f>
        <v/>
      </c>
      <c r="D1199">
        <f>IF(A1199="","",SUMIFS(المبيعات!$H$2:$H$2000,المبيعات!$C$2:$C$2000,A1199))</f>
        <v/>
      </c>
      <c r="E1199" s="13">
        <f>IF(A1199="","",IF(COUNTIF(المبيعات!$C$2:$C$2000,A1199)=0,"",_xlfn.MAXIFS(المبيعات!$A$2:$A$2000,المبيعات!$C$2:$C$2000,A1199)))</f>
        <v/>
      </c>
      <c r="F1199">
        <f>IF(A1199="","",SUMIFS(المبيعات!$H$2:$H$2000,المبيعات!$C$2:$C$2000,A1199,المبيعات!$J$2:$J$2000,"آجل"))</f>
        <v/>
      </c>
      <c r="G1199" s="4" t="n"/>
      <c r="H1199">
        <f>IF(A1199="","",F1199-G1199)</f>
        <v/>
      </c>
    </row>
    <row r="1200">
      <c r="A1200" s="4" t="n"/>
      <c r="B1200" s="4" t="n"/>
      <c r="C1200">
        <f>IF(A1200="","",SUMPRODUCT((المبيعات!$C$2:$C$2000=A1200)*(المبيعات!$B$2:$B$2000&lt;&gt;"")/COUNTIFS(المبيعات!$B$2:$B$2000,المبيعات!$B$2:$B$2000&amp;"",المبيعات!$C$2:$C$2000,المبيعات!$C$2:$C$2000&amp;"")))</f>
        <v/>
      </c>
      <c r="D1200">
        <f>IF(A1200="","",SUMIFS(المبيعات!$H$2:$H$2000,المبيعات!$C$2:$C$2000,A1200))</f>
        <v/>
      </c>
      <c r="E1200" s="13">
        <f>IF(A1200="","",IF(COUNTIF(المبيعات!$C$2:$C$2000,A1200)=0,"",_xlfn.MAXIFS(المبيعات!$A$2:$A$2000,المبيعات!$C$2:$C$2000,A1200)))</f>
        <v/>
      </c>
      <c r="F1200">
        <f>IF(A1200="","",SUMIFS(المبيعات!$H$2:$H$2000,المبيعات!$C$2:$C$2000,A1200,المبيعات!$J$2:$J$2000,"آجل"))</f>
        <v/>
      </c>
      <c r="G1200" s="4" t="n"/>
      <c r="H1200">
        <f>IF(A1200="","",F1200-G1200)</f>
        <v/>
      </c>
    </row>
    <row r="1201">
      <c r="A1201" s="4" t="n"/>
      <c r="B1201" s="4" t="n"/>
      <c r="C1201">
        <f>IF(A1201="","",SUMPRODUCT((المبيعات!$C$2:$C$2000=A1201)*(المبيعات!$B$2:$B$2000&lt;&gt;"")/COUNTIFS(المبيعات!$B$2:$B$2000,المبيعات!$B$2:$B$2000&amp;"",المبيعات!$C$2:$C$2000,المبيعات!$C$2:$C$2000&amp;"")))</f>
        <v/>
      </c>
      <c r="D1201">
        <f>IF(A1201="","",SUMIFS(المبيعات!$H$2:$H$2000,المبيعات!$C$2:$C$2000,A1201))</f>
        <v/>
      </c>
      <c r="E1201" s="13">
        <f>IF(A1201="","",IF(COUNTIF(المبيعات!$C$2:$C$2000,A1201)=0,"",_xlfn.MAXIFS(المبيعات!$A$2:$A$2000,المبيعات!$C$2:$C$2000,A1201)))</f>
        <v/>
      </c>
      <c r="F1201">
        <f>IF(A1201="","",SUMIFS(المبيعات!$H$2:$H$2000,المبيعات!$C$2:$C$2000,A1201,المبيعات!$J$2:$J$2000,"آجل"))</f>
        <v/>
      </c>
      <c r="G1201" s="4" t="n"/>
      <c r="H1201">
        <f>IF(A1201="","",F1201-G1201)</f>
        <v/>
      </c>
    </row>
    <row r="1202">
      <c r="A1202" s="4" t="n"/>
      <c r="B1202" s="4" t="n"/>
      <c r="C1202">
        <f>IF(A1202="","",SUMPRODUCT((المبيعات!$C$2:$C$2000=A1202)*(المبيعات!$B$2:$B$2000&lt;&gt;"")/COUNTIFS(المبيعات!$B$2:$B$2000,المبيعات!$B$2:$B$2000&amp;"",المبيعات!$C$2:$C$2000,المبيعات!$C$2:$C$2000&amp;"")))</f>
        <v/>
      </c>
      <c r="D1202">
        <f>IF(A1202="","",SUMIFS(المبيعات!$H$2:$H$2000,المبيعات!$C$2:$C$2000,A1202))</f>
        <v/>
      </c>
      <c r="E1202" s="13">
        <f>IF(A1202="","",IF(COUNTIF(المبيعات!$C$2:$C$2000,A1202)=0,"",_xlfn.MAXIFS(المبيعات!$A$2:$A$2000,المبيعات!$C$2:$C$2000,A1202)))</f>
        <v/>
      </c>
      <c r="F1202">
        <f>IF(A1202="","",SUMIFS(المبيعات!$H$2:$H$2000,المبيعات!$C$2:$C$2000,A1202,المبيعات!$J$2:$J$2000,"آجل"))</f>
        <v/>
      </c>
      <c r="G1202" s="4" t="n"/>
      <c r="H1202">
        <f>IF(A1202="","",F1202-G1202)</f>
        <v/>
      </c>
    </row>
    <row r="1203">
      <c r="A1203" s="4" t="n"/>
      <c r="B1203" s="4" t="n"/>
      <c r="C1203">
        <f>IF(A1203="","",SUMPRODUCT((المبيعات!$C$2:$C$2000=A1203)*(المبيعات!$B$2:$B$2000&lt;&gt;"")/COUNTIFS(المبيعات!$B$2:$B$2000,المبيعات!$B$2:$B$2000&amp;"",المبيعات!$C$2:$C$2000,المبيعات!$C$2:$C$2000&amp;"")))</f>
        <v/>
      </c>
      <c r="D1203">
        <f>IF(A1203="","",SUMIFS(المبيعات!$H$2:$H$2000,المبيعات!$C$2:$C$2000,A1203))</f>
        <v/>
      </c>
      <c r="E1203" s="13">
        <f>IF(A1203="","",IF(COUNTIF(المبيعات!$C$2:$C$2000,A1203)=0,"",_xlfn.MAXIFS(المبيعات!$A$2:$A$2000,المبيعات!$C$2:$C$2000,A1203)))</f>
        <v/>
      </c>
      <c r="F1203">
        <f>IF(A1203="","",SUMIFS(المبيعات!$H$2:$H$2000,المبيعات!$C$2:$C$2000,A1203,المبيعات!$J$2:$J$2000,"آجل"))</f>
        <v/>
      </c>
      <c r="G1203" s="4" t="n"/>
      <c r="H1203">
        <f>IF(A1203="","",F1203-G1203)</f>
        <v/>
      </c>
    </row>
    <row r="1204">
      <c r="A1204" s="4" t="n"/>
      <c r="B1204" s="4" t="n"/>
      <c r="C1204">
        <f>IF(A1204="","",SUMPRODUCT((المبيعات!$C$2:$C$2000=A1204)*(المبيعات!$B$2:$B$2000&lt;&gt;"")/COUNTIFS(المبيعات!$B$2:$B$2000,المبيعات!$B$2:$B$2000&amp;"",المبيعات!$C$2:$C$2000,المبيعات!$C$2:$C$2000&amp;"")))</f>
        <v/>
      </c>
      <c r="D1204">
        <f>IF(A1204="","",SUMIFS(المبيعات!$H$2:$H$2000,المبيعات!$C$2:$C$2000,A1204))</f>
        <v/>
      </c>
      <c r="E1204" s="13">
        <f>IF(A1204="","",IF(COUNTIF(المبيعات!$C$2:$C$2000,A1204)=0,"",_xlfn.MAXIFS(المبيعات!$A$2:$A$2000,المبيعات!$C$2:$C$2000,A1204)))</f>
        <v/>
      </c>
      <c r="F1204">
        <f>IF(A1204="","",SUMIFS(المبيعات!$H$2:$H$2000,المبيعات!$C$2:$C$2000,A1204,المبيعات!$J$2:$J$2000,"آجل"))</f>
        <v/>
      </c>
      <c r="G1204" s="4" t="n"/>
      <c r="H1204">
        <f>IF(A1204="","",F1204-G1204)</f>
        <v/>
      </c>
    </row>
    <row r="1205">
      <c r="A1205" s="4" t="n"/>
      <c r="B1205" s="4" t="n"/>
      <c r="C1205">
        <f>IF(A1205="","",SUMPRODUCT((المبيعات!$C$2:$C$2000=A1205)*(المبيعات!$B$2:$B$2000&lt;&gt;"")/COUNTIFS(المبيعات!$B$2:$B$2000,المبيعات!$B$2:$B$2000&amp;"",المبيعات!$C$2:$C$2000,المبيعات!$C$2:$C$2000&amp;"")))</f>
        <v/>
      </c>
      <c r="D1205">
        <f>IF(A1205="","",SUMIFS(المبيعات!$H$2:$H$2000,المبيعات!$C$2:$C$2000,A1205))</f>
        <v/>
      </c>
      <c r="E1205" s="13">
        <f>IF(A1205="","",IF(COUNTIF(المبيعات!$C$2:$C$2000,A1205)=0,"",_xlfn.MAXIFS(المبيعات!$A$2:$A$2000,المبيعات!$C$2:$C$2000,A1205)))</f>
        <v/>
      </c>
      <c r="F1205">
        <f>IF(A1205="","",SUMIFS(المبيعات!$H$2:$H$2000,المبيعات!$C$2:$C$2000,A1205,المبيعات!$J$2:$J$2000,"آجل"))</f>
        <v/>
      </c>
      <c r="G1205" s="4" t="n"/>
      <c r="H1205">
        <f>IF(A1205="","",F1205-G1205)</f>
        <v/>
      </c>
    </row>
    <row r="1206">
      <c r="A1206" s="4" t="n"/>
      <c r="B1206" s="4" t="n"/>
      <c r="C1206">
        <f>IF(A1206="","",SUMPRODUCT((المبيعات!$C$2:$C$2000=A1206)*(المبيعات!$B$2:$B$2000&lt;&gt;"")/COUNTIFS(المبيعات!$B$2:$B$2000,المبيعات!$B$2:$B$2000&amp;"",المبيعات!$C$2:$C$2000,المبيعات!$C$2:$C$2000&amp;"")))</f>
        <v/>
      </c>
      <c r="D1206">
        <f>IF(A1206="","",SUMIFS(المبيعات!$H$2:$H$2000,المبيعات!$C$2:$C$2000,A1206))</f>
        <v/>
      </c>
      <c r="E1206" s="13">
        <f>IF(A1206="","",IF(COUNTIF(المبيعات!$C$2:$C$2000,A1206)=0,"",_xlfn.MAXIFS(المبيعات!$A$2:$A$2000,المبيعات!$C$2:$C$2000,A1206)))</f>
        <v/>
      </c>
      <c r="F1206">
        <f>IF(A1206="","",SUMIFS(المبيعات!$H$2:$H$2000,المبيعات!$C$2:$C$2000,A1206,المبيعات!$J$2:$J$2000,"آجل"))</f>
        <v/>
      </c>
      <c r="G1206" s="4" t="n"/>
      <c r="H1206">
        <f>IF(A1206="","",F1206-G1206)</f>
        <v/>
      </c>
    </row>
    <row r="1207">
      <c r="A1207" s="4" t="n"/>
      <c r="B1207" s="4" t="n"/>
      <c r="C1207">
        <f>IF(A1207="","",SUMPRODUCT((المبيعات!$C$2:$C$2000=A1207)*(المبيعات!$B$2:$B$2000&lt;&gt;"")/COUNTIFS(المبيعات!$B$2:$B$2000,المبيعات!$B$2:$B$2000&amp;"",المبيعات!$C$2:$C$2000,المبيعات!$C$2:$C$2000&amp;"")))</f>
        <v/>
      </c>
      <c r="D1207">
        <f>IF(A1207="","",SUMIFS(المبيعات!$H$2:$H$2000,المبيعات!$C$2:$C$2000,A1207))</f>
        <v/>
      </c>
      <c r="E1207" s="13">
        <f>IF(A1207="","",IF(COUNTIF(المبيعات!$C$2:$C$2000,A1207)=0,"",_xlfn.MAXIFS(المبيعات!$A$2:$A$2000,المبيعات!$C$2:$C$2000,A1207)))</f>
        <v/>
      </c>
      <c r="F1207">
        <f>IF(A1207="","",SUMIFS(المبيعات!$H$2:$H$2000,المبيعات!$C$2:$C$2000,A1207,المبيعات!$J$2:$J$2000,"آجل"))</f>
        <v/>
      </c>
      <c r="G1207" s="4" t="n"/>
      <c r="H1207">
        <f>IF(A1207="","",F1207-G1207)</f>
        <v/>
      </c>
    </row>
    <row r="1208">
      <c r="A1208" s="4" t="n"/>
      <c r="B1208" s="4" t="n"/>
      <c r="C1208">
        <f>IF(A1208="","",SUMPRODUCT((المبيعات!$C$2:$C$2000=A1208)*(المبيعات!$B$2:$B$2000&lt;&gt;"")/COUNTIFS(المبيعات!$B$2:$B$2000,المبيعات!$B$2:$B$2000&amp;"",المبيعات!$C$2:$C$2000,المبيعات!$C$2:$C$2000&amp;"")))</f>
        <v/>
      </c>
      <c r="D1208">
        <f>IF(A1208="","",SUMIFS(المبيعات!$H$2:$H$2000,المبيعات!$C$2:$C$2000,A1208))</f>
        <v/>
      </c>
      <c r="E1208" s="13">
        <f>IF(A1208="","",IF(COUNTIF(المبيعات!$C$2:$C$2000,A1208)=0,"",_xlfn.MAXIFS(المبيعات!$A$2:$A$2000,المبيعات!$C$2:$C$2000,A1208)))</f>
        <v/>
      </c>
      <c r="F1208">
        <f>IF(A1208="","",SUMIFS(المبيعات!$H$2:$H$2000,المبيعات!$C$2:$C$2000,A1208,المبيعات!$J$2:$J$2000,"آجل"))</f>
        <v/>
      </c>
      <c r="G1208" s="4" t="n"/>
      <c r="H1208">
        <f>IF(A1208="","",F1208-G1208)</f>
        <v/>
      </c>
    </row>
    <row r="1209">
      <c r="A1209" s="4" t="n"/>
      <c r="B1209" s="4" t="n"/>
      <c r="C1209">
        <f>IF(A1209="","",SUMPRODUCT((المبيعات!$C$2:$C$2000=A1209)*(المبيعات!$B$2:$B$2000&lt;&gt;"")/COUNTIFS(المبيعات!$B$2:$B$2000,المبيعات!$B$2:$B$2000&amp;"",المبيعات!$C$2:$C$2000,المبيعات!$C$2:$C$2000&amp;"")))</f>
        <v/>
      </c>
      <c r="D1209">
        <f>IF(A1209="","",SUMIFS(المبيعات!$H$2:$H$2000,المبيعات!$C$2:$C$2000,A1209))</f>
        <v/>
      </c>
      <c r="E1209" s="13">
        <f>IF(A1209="","",IF(COUNTIF(المبيعات!$C$2:$C$2000,A1209)=0,"",_xlfn.MAXIFS(المبيعات!$A$2:$A$2000,المبيعات!$C$2:$C$2000,A1209)))</f>
        <v/>
      </c>
      <c r="F1209">
        <f>IF(A1209="","",SUMIFS(المبيعات!$H$2:$H$2000,المبيعات!$C$2:$C$2000,A1209,المبيعات!$J$2:$J$2000,"آجل"))</f>
        <v/>
      </c>
      <c r="G1209" s="4" t="n"/>
      <c r="H1209">
        <f>IF(A1209="","",F1209-G1209)</f>
        <v/>
      </c>
    </row>
    <row r="1210">
      <c r="A1210" s="4" t="n"/>
      <c r="B1210" s="4" t="n"/>
      <c r="C1210">
        <f>IF(A1210="","",SUMPRODUCT((المبيعات!$C$2:$C$2000=A1210)*(المبيعات!$B$2:$B$2000&lt;&gt;"")/COUNTIFS(المبيعات!$B$2:$B$2000,المبيعات!$B$2:$B$2000&amp;"",المبيعات!$C$2:$C$2000,المبيعات!$C$2:$C$2000&amp;"")))</f>
        <v/>
      </c>
      <c r="D1210">
        <f>IF(A1210="","",SUMIFS(المبيعات!$H$2:$H$2000,المبيعات!$C$2:$C$2000,A1210))</f>
        <v/>
      </c>
      <c r="E1210" s="13">
        <f>IF(A1210="","",IF(COUNTIF(المبيعات!$C$2:$C$2000,A1210)=0,"",_xlfn.MAXIFS(المبيعات!$A$2:$A$2000,المبيعات!$C$2:$C$2000,A1210)))</f>
        <v/>
      </c>
      <c r="F1210">
        <f>IF(A1210="","",SUMIFS(المبيعات!$H$2:$H$2000,المبيعات!$C$2:$C$2000,A1210,المبيعات!$J$2:$J$2000,"آجل"))</f>
        <v/>
      </c>
      <c r="G1210" s="4" t="n"/>
      <c r="H1210">
        <f>IF(A1210="","",F1210-G1210)</f>
        <v/>
      </c>
    </row>
    <row r="1211">
      <c r="A1211" s="4" t="n"/>
      <c r="B1211" s="4" t="n"/>
      <c r="C1211">
        <f>IF(A1211="","",SUMPRODUCT((المبيعات!$C$2:$C$2000=A1211)*(المبيعات!$B$2:$B$2000&lt;&gt;"")/COUNTIFS(المبيعات!$B$2:$B$2000,المبيعات!$B$2:$B$2000&amp;"",المبيعات!$C$2:$C$2000,المبيعات!$C$2:$C$2000&amp;"")))</f>
        <v/>
      </c>
      <c r="D1211">
        <f>IF(A1211="","",SUMIFS(المبيعات!$H$2:$H$2000,المبيعات!$C$2:$C$2000,A1211))</f>
        <v/>
      </c>
      <c r="E1211" s="13">
        <f>IF(A1211="","",IF(COUNTIF(المبيعات!$C$2:$C$2000,A1211)=0,"",_xlfn.MAXIFS(المبيعات!$A$2:$A$2000,المبيعات!$C$2:$C$2000,A1211)))</f>
        <v/>
      </c>
      <c r="F1211">
        <f>IF(A1211="","",SUMIFS(المبيعات!$H$2:$H$2000,المبيعات!$C$2:$C$2000,A1211,المبيعات!$J$2:$J$2000,"آجل"))</f>
        <v/>
      </c>
      <c r="G1211" s="4" t="n"/>
      <c r="H1211">
        <f>IF(A1211="","",F1211-G1211)</f>
        <v/>
      </c>
    </row>
    <row r="1212">
      <c r="A1212" s="4" t="n"/>
      <c r="B1212" s="4" t="n"/>
      <c r="C1212">
        <f>IF(A1212="","",SUMPRODUCT((المبيعات!$C$2:$C$2000=A1212)*(المبيعات!$B$2:$B$2000&lt;&gt;"")/COUNTIFS(المبيعات!$B$2:$B$2000,المبيعات!$B$2:$B$2000&amp;"",المبيعات!$C$2:$C$2000,المبيعات!$C$2:$C$2000&amp;"")))</f>
        <v/>
      </c>
      <c r="D1212">
        <f>IF(A1212="","",SUMIFS(المبيعات!$H$2:$H$2000,المبيعات!$C$2:$C$2000,A1212))</f>
        <v/>
      </c>
      <c r="E1212" s="13">
        <f>IF(A1212="","",IF(COUNTIF(المبيعات!$C$2:$C$2000,A1212)=0,"",_xlfn.MAXIFS(المبيعات!$A$2:$A$2000,المبيعات!$C$2:$C$2000,A1212)))</f>
        <v/>
      </c>
      <c r="F1212">
        <f>IF(A1212="","",SUMIFS(المبيعات!$H$2:$H$2000,المبيعات!$C$2:$C$2000,A1212,المبيعات!$J$2:$J$2000,"آجل"))</f>
        <v/>
      </c>
      <c r="G1212" s="4" t="n"/>
      <c r="H1212">
        <f>IF(A1212="","",F1212-G1212)</f>
        <v/>
      </c>
    </row>
    <row r="1213">
      <c r="A1213" s="4" t="n"/>
      <c r="B1213" s="4" t="n"/>
      <c r="C1213">
        <f>IF(A1213="","",SUMPRODUCT((المبيعات!$C$2:$C$2000=A1213)*(المبيعات!$B$2:$B$2000&lt;&gt;"")/COUNTIFS(المبيعات!$B$2:$B$2000,المبيعات!$B$2:$B$2000&amp;"",المبيعات!$C$2:$C$2000,المبيعات!$C$2:$C$2000&amp;"")))</f>
        <v/>
      </c>
      <c r="D1213">
        <f>IF(A1213="","",SUMIFS(المبيعات!$H$2:$H$2000,المبيعات!$C$2:$C$2000,A1213))</f>
        <v/>
      </c>
      <c r="E1213" s="13">
        <f>IF(A1213="","",IF(COUNTIF(المبيعات!$C$2:$C$2000,A1213)=0,"",_xlfn.MAXIFS(المبيعات!$A$2:$A$2000,المبيعات!$C$2:$C$2000,A1213)))</f>
        <v/>
      </c>
      <c r="F1213">
        <f>IF(A1213="","",SUMIFS(المبيعات!$H$2:$H$2000,المبيعات!$C$2:$C$2000,A1213,المبيعات!$J$2:$J$2000,"آجل"))</f>
        <v/>
      </c>
      <c r="G1213" s="4" t="n"/>
      <c r="H1213">
        <f>IF(A1213="","",F1213-G1213)</f>
        <v/>
      </c>
    </row>
    <row r="1214">
      <c r="A1214" s="4" t="n"/>
      <c r="B1214" s="4" t="n"/>
      <c r="C1214">
        <f>IF(A1214="","",SUMPRODUCT((المبيعات!$C$2:$C$2000=A1214)*(المبيعات!$B$2:$B$2000&lt;&gt;"")/COUNTIFS(المبيعات!$B$2:$B$2000,المبيعات!$B$2:$B$2000&amp;"",المبيعات!$C$2:$C$2000,المبيعات!$C$2:$C$2000&amp;"")))</f>
        <v/>
      </c>
      <c r="D1214">
        <f>IF(A1214="","",SUMIFS(المبيعات!$H$2:$H$2000,المبيعات!$C$2:$C$2000,A1214))</f>
        <v/>
      </c>
      <c r="E1214" s="13">
        <f>IF(A1214="","",IF(COUNTIF(المبيعات!$C$2:$C$2000,A1214)=0,"",_xlfn.MAXIFS(المبيعات!$A$2:$A$2000,المبيعات!$C$2:$C$2000,A1214)))</f>
        <v/>
      </c>
      <c r="F1214">
        <f>IF(A1214="","",SUMIFS(المبيعات!$H$2:$H$2000,المبيعات!$C$2:$C$2000,A1214,المبيعات!$J$2:$J$2000,"آجل"))</f>
        <v/>
      </c>
      <c r="G1214" s="4" t="n"/>
      <c r="H1214">
        <f>IF(A1214="","",F1214-G1214)</f>
        <v/>
      </c>
    </row>
    <row r="1215">
      <c r="A1215" s="4" t="n"/>
      <c r="B1215" s="4" t="n"/>
      <c r="C1215">
        <f>IF(A1215="","",SUMPRODUCT((المبيعات!$C$2:$C$2000=A1215)*(المبيعات!$B$2:$B$2000&lt;&gt;"")/COUNTIFS(المبيعات!$B$2:$B$2000,المبيعات!$B$2:$B$2000&amp;"",المبيعات!$C$2:$C$2000,المبيعات!$C$2:$C$2000&amp;"")))</f>
        <v/>
      </c>
      <c r="D1215">
        <f>IF(A1215="","",SUMIFS(المبيعات!$H$2:$H$2000,المبيعات!$C$2:$C$2000,A1215))</f>
        <v/>
      </c>
      <c r="E1215" s="13">
        <f>IF(A1215="","",IF(COUNTIF(المبيعات!$C$2:$C$2000,A1215)=0,"",_xlfn.MAXIFS(المبيعات!$A$2:$A$2000,المبيعات!$C$2:$C$2000,A1215)))</f>
        <v/>
      </c>
      <c r="F1215">
        <f>IF(A1215="","",SUMIFS(المبيعات!$H$2:$H$2000,المبيعات!$C$2:$C$2000,A1215,المبيعات!$J$2:$J$2000,"آجل"))</f>
        <v/>
      </c>
      <c r="G1215" s="4" t="n"/>
      <c r="H1215">
        <f>IF(A1215="","",F1215-G1215)</f>
        <v/>
      </c>
    </row>
    <row r="1216">
      <c r="A1216" s="4" t="n"/>
      <c r="B1216" s="4" t="n"/>
      <c r="C1216">
        <f>IF(A1216="","",SUMPRODUCT((المبيعات!$C$2:$C$2000=A1216)*(المبيعات!$B$2:$B$2000&lt;&gt;"")/COUNTIFS(المبيعات!$B$2:$B$2000,المبيعات!$B$2:$B$2000&amp;"",المبيعات!$C$2:$C$2000,المبيعات!$C$2:$C$2000&amp;"")))</f>
        <v/>
      </c>
      <c r="D1216">
        <f>IF(A1216="","",SUMIFS(المبيعات!$H$2:$H$2000,المبيعات!$C$2:$C$2000,A1216))</f>
        <v/>
      </c>
      <c r="E1216" s="13">
        <f>IF(A1216="","",IF(COUNTIF(المبيعات!$C$2:$C$2000,A1216)=0,"",_xlfn.MAXIFS(المبيعات!$A$2:$A$2000,المبيعات!$C$2:$C$2000,A1216)))</f>
        <v/>
      </c>
      <c r="F1216">
        <f>IF(A1216="","",SUMIFS(المبيعات!$H$2:$H$2000,المبيعات!$C$2:$C$2000,A1216,المبيعات!$J$2:$J$2000,"آجل"))</f>
        <v/>
      </c>
      <c r="G1216" s="4" t="n"/>
      <c r="H1216">
        <f>IF(A1216="","",F1216-G1216)</f>
        <v/>
      </c>
    </row>
    <row r="1217">
      <c r="A1217" s="4" t="n"/>
      <c r="B1217" s="4" t="n"/>
      <c r="C1217">
        <f>IF(A1217="","",SUMPRODUCT((المبيعات!$C$2:$C$2000=A1217)*(المبيعات!$B$2:$B$2000&lt;&gt;"")/COUNTIFS(المبيعات!$B$2:$B$2000,المبيعات!$B$2:$B$2000&amp;"",المبيعات!$C$2:$C$2000,المبيعات!$C$2:$C$2000&amp;"")))</f>
        <v/>
      </c>
      <c r="D1217">
        <f>IF(A1217="","",SUMIFS(المبيعات!$H$2:$H$2000,المبيعات!$C$2:$C$2000,A1217))</f>
        <v/>
      </c>
      <c r="E1217" s="13">
        <f>IF(A1217="","",IF(COUNTIF(المبيعات!$C$2:$C$2000,A1217)=0,"",_xlfn.MAXIFS(المبيعات!$A$2:$A$2000,المبيعات!$C$2:$C$2000,A1217)))</f>
        <v/>
      </c>
      <c r="F1217">
        <f>IF(A1217="","",SUMIFS(المبيعات!$H$2:$H$2000,المبيعات!$C$2:$C$2000,A1217,المبيعات!$J$2:$J$2000,"آجل"))</f>
        <v/>
      </c>
      <c r="G1217" s="4" t="n"/>
      <c r="H1217">
        <f>IF(A1217="","",F1217-G1217)</f>
        <v/>
      </c>
    </row>
    <row r="1218">
      <c r="A1218" s="4" t="n"/>
      <c r="B1218" s="4" t="n"/>
      <c r="C1218">
        <f>IF(A1218="","",SUMPRODUCT((المبيعات!$C$2:$C$2000=A1218)*(المبيعات!$B$2:$B$2000&lt;&gt;"")/COUNTIFS(المبيعات!$B$2:$B$2000,المبيعات!$B$2:$B$2000&amp;"",المبيعات!$C$2:$C$2000,المبيعات!$C$2:$C$2000&amp;"")))</f>
        <v/>
      </c>
      <c r="D1218">
        <f>IF(A1218="","",SUMIFS(المبيعات!$H$2:$H$2000,المبيعات!$C$2:$C$2000,A1218))</f>
        <v/>
      </c>
      <c r="E1218" s="13">
        <f>IF(A1218="","",IF(COUNTIF(المبيعات!$C$2:$C$2000,A1218)=0,"",_xlfn.MAXIFS(المبيعات!$A$2:$A$2000,المبيعات!$C$2:$C$2000,A1218)))</f>
        <v/>
      </c>
      <c r="F1218">
        <f>IF(A1218="","",SUMIFS(المبيعات!$H$2:$H$2000,المبيعات!$C$2:$C$2000,A1218,المبيعات!$J$2:$J$2000,"آجل"))</f>
        <v/>
      </c>
      <c r="G1218" s="4" t="n"/>
      <c r="H1218">
        <f>IF(A1218="","",F1218-G1218)</f>
        <v/>
      </c>
    </row>
    <row r="1219">
      <c r="A1219" s="4" t="n"/>
      <c r="B1219" s="4" t="n"/>
      <c r="C1219">
        <f>IF(A1219="","",SUMPRODUCT((المبيعات!$C$2:$C$2000=A1219)*(المبيعات!$B$2:$B$2000&lt;&gt;"")/COUNTIFS(المبيعات!$B$2:$B$2000,المبيعات!$B$2:$B$2000&amp;"",المبيعات!$C$2:$C$2000,المبيعات!$C$2:$C$2000&amp;"")))</f>
        <v/>
      </c>
      <c r="D1219">
        <f>IF(A1219="","",SUMIFS(المبيعات!$H$2:$H$2000,المبيعات!$C$2:$C$2000,A1219))</f>
        <v/>
      </c>
      <c r="E1219" s="13">
        <f>IF(A1219="","",IF(COUNTIF(المبيعات!$C$2:$C$2000,A1219)=0,"",_xlfn.MAXIFS(المبيعات!$A$2:$A$2000,المبيعات!$C$2:$C$2000,A1219)))</f>
        <v/>
      </c>
      <c r="F1219">
        <f>IF(A1219="","",SUMIFS(المبيعات!$H$2:$H$2000,المبيعات!$C$2:$C$2000,A1219,المبيعات!$J$2:$J$2000,"آجل"))</f>
        <v/>
      </c>
      <c r="G1219" s="4" t="n"/>
      <c r="H1219">
        <f>IF(A1219="","",F1219-G1219)</f>
        <v/>
      </c>
    </row>
    <row r="1220">
      <c r="A1220" s="4" t="n"/>
      <c r="B1220" s="4" t="n"/>
      <c r="C1220">
        <f>IF(A1220="","",SUMPRODUCT((المبيعات!$C$2:$C$2000=A1220)*(المبيعات!$B$2:$B$2000&lt;&gt;"")/COUNTIFS(المبيعات!$B$2:$B$2000,المبيعات!$B$2:$B$2000&amp;"",المبيعات!$C$2:$C$2000,المبيعات!$C$2:$C$2000&amp;"")))</f>
        <v/>
      </c>
      <c r="D1220">
        <f>IF(A1220="","",SUMIFS(المبيعات!$H$2:$H$2000,المبيعات!$C$2:$C$2000,A1220))</f>
        <v/>
      </c>
      <c r="E1220" s="13">
        <f>IF(A1220="","",IF(COUNTIF(المبيعات!$C$2:$C$2000,A1220)=0,"",_xlfn.MAXIFS(المبيعات!$A$2:$A$2000,المبيعات!$C$2:$C$2000,A1220)))</f>
        <v/>
      </c>
      <c r="F1220">
        <f>IF(A1220="","",SUMIFS(المبيعات!$H$2:$H$2000,المبيعات!$C$2:$C$2000,A1220,المبيعات!$J$2:$J$2000,"آجل"))</f>
        <v/>
      </c>
      <c r="G1220" s="4" t="n"/>
      <c r="H1220">
        <f>IF(A1220="","",F1220-G1220)</f>
        <v/>
      </c>
    </row>
    <row r="1221">
      <c r="A1221" s="4" t="n"/>
      <c r="B1221" s="4" t="n"/>
      <c r="C1221">
        <f>IF(A1221="","",SUMPRODUCT((المبيعات!$C$2:$C$2000=A1221)*(المبيعات!$B$2:$B$2000&lt;&gt;"")/COUNTIFS(المبيعات!$B$2:$B$2000,المبيعات!$B$2:$B$2000&amp;"",المبيعات!$C$2:$C$2000,المبيعات!$C$2:$C$2000&amp;"")))</f>
        <v/>
      </c>
      <c r="D1221">
        <f>IF(A1221="","",SUMIFS(المبيعات!$H$2:$H$2000,المبيعات!$C$2:$C$2000,A1221))</f>
        <v/>
      </c>
      <c r="E1221" s="13">
        <f>IF(A1221="","",IF(COUNTIF(المبيعات!$C$2:$C$2000,A1221)=0,"",_xlfn.MAXIFS(المبيعات!$A$2:$A$2000,المبيعات!$C$2:$C$2000,A1221)))</f>
        <v/>
      </c>
      <c r="F1221">
        <f>IF(A1221="","",SUMIFS(المبيعات!$H$2:$H$2000,المبيعات!$C$2:$C$2000,A1221,المبيعات!$J$2:$J$2000,"آجل"))</f>
        <v/>
      </c>
      <c r="G1221" s="4" t="n"/>
      <c r="H1221">
        <f>IF(A1221="","",F1221-G1221)</f>
        <v/>
      </c>
    </row>
    <row r="1222">
      <c r="A1222" s="4" t="n"/>
      <c r="B1222" s="4" t="n"/>
      <c r="C1222">
        <f>IF(A1222="","",SUMPRODUCT((المبيعات!$C$2:$C$2000=A1222)*(المبيعات!$B$2:$B$2000&lt;&gt;"")/COUNTIFS(المبيعات!$B$2:$B$2000,المبيعات!$B$2:$B$2000&amp;"",المبيعات!$C$2:$C$2000,المبيعات!$C$2:$C$2000&amp;"")))</f>
        <v/>
      </c>
      <c r="D1222">
        <f>IF(A1222="","",SUMIFS(المبيعات!$H$2:$H$2000,المبيعات!$C$2:$C$2000,A1222))</f>
        <v/>
      </c>
      <c r="E1222" s="13">
        <f>IF(A1222="","",IF(COUNTIF(المبيعات!$C$2:$C$2000,A1222)=0,"",_xlfn.MAXIFS(المبيعات!$A$2:$A$2000,المبيعات!$C$2:$C$2000,A1222)))</f>
        <v/>
      </c>
      <c r="F1222">
        <f>IF(A1222="","",SUMIFS(المبيعات!$H$2:$H$2000,المبيعات!$C$2:$C$2000,A1222,المبيعات!$J$2:$J$2000,"آجل"))</f>
        <v/>
      </c>
      <c r="G1222" s="4" t="n"/>
      <c r="H1222">
        <f>IF(A1222="","",F1222-G1222)</f>
        <v/>
      </c>
    </row>
    <row r="1223">
      <c r="A1223" s="4" t="n"/>
      <c r="B1223" s="4" t="n"/>
      <c r="C1223">
        <f>IF(A1223="","",SUMPRODUCT((المبيعات!$C$2:$C$2000=A1223)*(المبيعات!$B$2:$B$2000&lt;&gt;"")/COUNTIFS(المبيعات!$B$2:$B$2000,المبيعات!$B$2:$B$2000&amp;"",المبيعات!$C$2:$C$2000,المبيعات!$C$2:$C$2000&amp;"")))</f>
        <v/>
      </c>
      <c r="D1223">
        <f>IF(A1223="","",SUMIFS(المبيعات!$H$2:$H$2000,المبيعات!$C$2:$C$2000,A1223))</f>
        <v/>
      </c>
      <c r="E1223" s="13">
        <f>IF(A1223="","",IF(COUNTIF(المبيعات!$C$2:$C$2000,A1223)=0,"",_xlfn.MAXIFS(المبيعات!$A$2:$A$2000,المبيعات!$C$2:$C$2000,A1223)))</f>
        <v/>
      </c>
      <c r="F1223">
        <f>IF(A1223="","",SUMIFS(المبيعات!$H$2:$H$2000,المبيعات!$C$2:$C$2000,A1223,المبيعات!$J$2:$J$2000,"آجل"))</f>
        <v/>
      </c>
      <c r="G1223" s="4" t="n"/>
      <c r="H1223">
        <f>IF(A1223="","",F1223-G1223)</f>
        <v/>
      </c>
    </row>
    <row r="1224">
      <c r="A1224" s="4" t="n"/>
      <c r="B1224" s="4" t="n"/>
      <c r="C1224">
        <f>IF(A1224="","",SUMPRODUCT((المبيعات!$C$2:$C$2000=A1224)*(المبيعات!$B$2:$B$2000&lt;&gt;"")/COUNTIFS(المبيعات!$B$2:$B$2000,المبيعات!$B$2:$B$2000&amp;"",المبيعات!$C$2:$C$2000,المبيعات!$C$2:$C$2000&amp;"")))</f>
        <v/>
      </c>
      <c r="D1224">
        <f>IF(A1224="","",SUMIFS(المبيعات!$H$2:$H$2000,المبيعات!$C$2:$C$2000,A1224))</f>
        <v/>
      </c>
      <c r="E1224" s="13">
        <f>IF(A1224="","",IF(COUNTIF(المبيعات!$C$2:$C$2000,A1224)=0,"",_xlfn.MAXIFS(المبيعات!$A$2:$A$2000,المبيعات!$C$2:$C$2000,A1224)))</f>
        <v/>
      </c>
      <c r="F1224">
        <f>IF(A1224="","",SUMIFS(المبيعات!$H$2:$H$2000,المبيعات!$C$2:$C$2000,A1224,المبيعات!$J$2:$J$2000,"آجل"))</f>
        <v/>
      </c>
      <c r="G1224" s="4" t="n"/>
      <c r="H1224">
        <f>IF(A1224="","",F1224-G1224)</f>
        <v/>
      </c>
    </row>
    <row r="1225">
      <c r="A1225" s="4" t="n"/>
      <c r="B1225" s="4" t="n"/>
      <c r="C1225">
        <f>IF(A1225="","",SUMPRODUCT((المبيعات!$C$2:$C$2000=A1225)*(المبيعات!$B$2:$B$2000&lt;&gt;"")/COUNTIFS(المبيعات!$B$2:$B$2000,المبيعات!$B$2:$B$2000&amp;"",المبيعات!$C$2:$C$2000,المبيعات!$C$2:$C$2000&amp;"")))</f>
        <v/>
      </c>
      <c r="D1225">
        <f>IF(A1225="","",SUMIFS(المبيعات!$H$2:$H$2000,المبيعات!$C$2:$C$2000,A1225))</f>
        <v/>
      </c>
      <c r="E1225" s="13">
        <f>IF(A1225="","",IF(COUNTIF(المبيعات!$C$2:$C$2000,A1225)=0,"",_xlfn.MAXIFS(المبيعات!$A$2:$A$2000,المبيعات!$C$2:$C$2000,A1225)))</f>
        <v/>
      </c>
      <c r="F1225">
        <f>IF(A1225="","",SUMIFS(المبيعات!$H$2:$H$2000,المبيعات!$C$2:$C$2000,A1225,المبيعات!$J$2:$J$2000,"آجل"))</f>
        <v/>
      </c>
      <c r="G1225" s="4" t="n"/>
      <c r="H1225">
        <f>IF(A1225="","",F1225-G1225)</f>
        <v/>
      </c>
    </row>
    <row r="1226">
      <c r="A1226" s="4" t="n"/>
      <c r="B1226" s="4" t="n"/>
      <c r="C1226">
        <f>IF(A1226="","",SUMPRODUCT((المبيعات!$C$2:$C$2000=A1226)*(المبيعات!$B$2:$B$2000&lt;&gt;"")/COUNTIFS(المبيعات!$B$2:$B$2000,المبيعات!$B$2:$B$2000&amp;"",المبيعات!$C$2:$C$2000,المبيعات!$C$2:$C$2000&amp;"")))</f>
        <v/>
      </c>
      <c r="D1226">
        <f>IF(A1226="","",SUMIFS(المبيعات!$H$2:$H$2000,المبيعات!$C$2:$C$2000,A1226))</f>
        <v/>
      </c>
      <c r="E1226" s="13">
        <f>IF(A1226="","",IF(COUNTIF(المبيعات!$C$2:$C$2000,A1226)=0,"",_xlfn.MAXIFS(المبيعات!$A$2:$A$2000,المبيعات!$C$2:$C$2000,A1226)))</f>
        <v/>
      </c>
      <c r="F1226">
        <f>IF(A1226="","",SUMIFS(المبيعات!$H$2:$H$2000,المبيعات!$C$2:$C$2000,A1226,المبيعات!$J$2:$J$2000,"آجل"))</f>
        <v/>
      </c>
      <c r="G1226" s="4" t="n"/>
      <c r="H1226">
        <f>IF(A1226="","",F1226-G1226)</f>
        <v/>
      </c>
    </row>
    <row r="1227">
      <c r="A1227" s="4" t="n"/>
      <c r="B1227" s="4" t="n"/>
      <c r="C1227">
        <f>IF(A1227="","",SUMPRODUCT((المبيعات!$C$2:$C$2000=A1227)*(المبيعات!$B$2:$B$2000&lt;&gt;"")/COUNTIFS(المبيعات!$B$2:$B$2000,المبيعات!$B$2:$B$2000&amp;"",المبيعات!$C$2:$C$2000,المبيعات!$C$2:$C$2000&amp;"")))</f>
        <v/>
      </c>
      <c r="D1227">
        <f>IF(A1227="","",SUMIFS(المبيعات!$H$2:$H$2000,المبيعات!$C$2:$C$2000,A1227))</f>
        <v/>
      </c>
      <c r="E1227" s="13">
        <f>IF(A1227="","",IF(COUNTIF(المبيعات!$C$2:$C$2000,A1227)=0,"",_xlfn.MAXIFS(المبيعات!$A$2:$A$2000,المبيعات!$C$2:$C$2000,A1227)))</f>
        <v/>
      </c>
      <c r="F1227">
        <f>IF(A1227="","",SUMIFS(المبيعات!$H$2:$H$2000,المبيعات!$C$2:$C$2000,A1227,المبيعات!$J$2:$J$2000,"آجل"))</f>
        <v/>
      </c>
      <c r="G1227" s="4" t="n"/>
      <c r="H1227">
        <f>IF(A1227="","",F1227-G1227)</f>
        <v/>
      </c>
    </row>
    <row r="1228">
      <c r="A1228" s="4" t="n"/>
      <c r="B1228" s="4" t="n"/>
      <c r="C1228">
        <f>IF(A1228="","",SUMPRODUCT((المبيعات!$C$2:$C$2000=A1228)*(المبيعات!$B$2:$B$2000&lt;&gt;"")/COUNTIFS(المبيعات!$B$2:$B$2000,المبيعات!$B$2:$B$2000&amp;"",المبيعات!$C$2:$C$2000,المبيعات!$C$2:$C$2000&amp;"")))</f>
        <v/>
      </c>
      <c r="D1228">
        <f>IF(A1228="","",SUMIFS(المبيعات!$H$2:$H$2000,المبيعات!$C$2:$C$2000,A1228))</f>
        <v/>
      </c>
      <c r="E1228" s="13">
        <f>IF(A1228="","",IF(COUNTIF(المبيعات!$C$2:$C$2000,A1228)=0,"",_xlfn.MAXIFS(المبيعات!$A$2:$A$2000,المبيعات!$C$2:$C$2000,A1228)))</f>
        <v/>
      </c>
      <c r="F1228">
        <f>IF(A1228="","",SUMIFS(المبيعات!$H$2:$H$2000,المبيعات!$C$2:$C$2000,A1228,المبيعات!$J$2:$J$2000,"آجل"))</f>
        <v/>
      </c>
      <c r="G1228" s="4" t="n"/>
      <c r="H1228">
        <f>IF(A1228="","",F1228-G1228)</f>
        <v/>
      </c>
    </row>
    <row r="1229">
      <c r="A1229" s="4" t="n"/>
      <c r="B1229" s="4" t="n"/>
      <c r="C1229">
        <f>IF(A1229="","",SUMPRODUCT((المبيعات!$C$2:$C$2000=A1229)*(المبيعات!$B$2:$B$2000&lt;&gt;"")/COUNTIFS(المبيعات!$B$2:$B$2000,المبيعات!$B$2:$B$2000&amp;"",المبيعات!$C$2:$C$2000,المبيعات!$C$2:$C$2000&amp;"")))</f>
        <v/>
      </c>
      <c r="D1229">
        <f>IF(A1229="","",SUMIFS(المبيعات!$H$2:$H$2000,المبيعات!$C$2:$C$2000,A1229))</f>
        <v/>
      </c>
      <c r="E1229" s="13">
        <f>IF(A1229="","",IF(COUNTIF(المبيعات!$C$2:$C$2000,A1229)=0,"",_xlfn.MAXIFS(المبيعات!$A$2:$A$2000,المبيعات!$C$2:$C$2000,A1229)))</f>
        <v/>
      </c>
      <c r="F1229">
        <f>IF(A1229="","",SUMIFS(المبيعات!$H$2:$H$2000,المبيعات!$C$2:$C$2000,A1229,المبيعات!$J$2:$J$2000,"آجل"))</f>
        <v/>
      </c>
      <c r="G1229" s="4" t="n"/>
      <c r="H1229">
        <f>IF(A1229="","",F1229-G1229)</f>
        <v/>
      </c>
    </row>
    <row r="1230">
      <c r="A1230" s="4" t="n"/>
      <c r="B1230" s="4" t="n"/>
      <c r="C1230">
        <f>IF(A1230="","",SUMPRODUCT((المبيعات!$C$2:$C$2000=A1230)*(المبيعات!$B$2:$B$2000&lt;&gt;"")/COUNTIFS(المبيعات!$B$2:$B$2000,المبيعات!$B$2:$B$2000&amp;"",المبيعات!$C$2:$C$2000,المبيعات!$C$2:$C$2000&amp;"")))</f>
        <v/>
      </c>
      <c r="D1230">
        <f>IF(A1230="","",SUMIFS(المبيعات!$H$2:$H$2000,المبيعات!$C$2:$C$2000,A1230))</f>
        <v/>
      </c>
      <c r="E1230" s="13">
        <f>IF(A1230="","",IF(COUNTIF(المبيعات!$C$2:$C$2000,A1230)=0,"",_xlfn.MAXIFS(المبيعات!$A$2:$A$2000,المبيعات!$C$2:$C$2000,A1230)))</f>
        <v/>
      </c>
      <c r="F1230">
        <f>IF(A1230="","",SUMIFS(المبيعات!$H$2:$H$2000,المبيعات!$C$2:$C$2000,A1230,المبيعات!$J$2:$J$2000,"آجل"))</f>
        <v/>
      </c>
      <c r="G1230" s="4" t="n"/>
      <c r="H1230">
        <f>IF(A1230="","",F1230-G1230)</f>
        <v/>
      </c>
    </row>
    <row r="1231">
      <c r="A1231" s="4" t="n"/>
      <c r="B1231" s="4" t="n"/>
      <c r="C1231">
        <f>IF(A1231="","",SUMPRODUCT((المبيعات!$C$2:$C$2000=A1231)*(المبيعات!$B$2:$B$2000&lt;&gt;"")/COUNTIFS(المبيعات!$B$2:$B$2000,المبيعات!$B$2:$B$2000&amp;"",المبيعات!$C$2:$C$2000,المبيعات!$C$2:$C$2000&amp;"")))</f>
        <v/>
      </c>
      <c r="D1231">
        <f>IF(A1231="","",SUMIFS(المبيعات!$H$2:$H$2000,المبيعات!$C$2:$C$2000,A1231))</f>
        <v/>
      </c>
      <c r="E1231" s="13">
        <f>IF(A1231="","",IF(COUNTIF(المبيعات!$C$2:$C$2000,A1231)=0,"",_xlfn.MAXIFS(المبيعات!$A$2:$A$2000,المبيعات!$C$2:$C$2000,A1231)))</f>
        <v/>
      </c>
      <c r="F1231">
        <f>IF(A1231="","",SUMIFS(المبيعات!$H$2:$H$2000,المبيعات!$C$2:$C$2000,A1231,المبيعات!$J$2:$J$2000,"آجل"))</f>
        <v/>
      </c>
      <c r="G1231" s="4" t="n"/>
      <c r="H1231">
        <f>IF(A1231="","",F1231-G1231)</f>
        <v/>
      </c>
    </row>
    <row r="1232">
      <c r="A1232" s="4" t="n"/>
      <c r="B1232" s="4" t="n"/>
      <c r="C1232">
        <f>IF(A1232="","",SUMPRODUCT((المبيعات!$C$2:$C$2000=A1232)*(المبيعات!$B$2:$B$2000&lt;&gt;"")/COUNTIFS(المبيعات!$B$2:$B$2000,المبيعات!$B$2:$B$2000&amp;"",المبيعات!$C$2:$C$2000,المبيعات!$C$2:$C$2000&amp;"")))</f>
        <v/>
      </c>
      <c r="D1232">
        <f>IF(A1232="","",SUMIFS(المبيعات!$H$2:$H$2000,المبيعات!$C$2:$C$2000,A1232))</f>
        <v/>
      </c>
      <c r="E1232" s="13">
        <f>IF(A1232="","",IF(COUNTIF(المبيعات!$C$2:$C$2000,A1232)=0,"",_xlfn.MAXIFS(المبيعات!$A$2:$A$2000,المبيعات!$C$2:$C$2000,A1232)))</f>
        <v/>
      </c>
      <c r="F1232">
        <f>IF(A1232="","",SUMIFS(المبيعات!$H$2:$H$2000,المبيعات!$C$2:$C$2000,A1232,المبيعات!$J$2:$J$2000,"آجل"))</f>
        <v/>
      </c>
      <c r="G1232" s="4" t="n"/>
      <c r="H1232">
        <f>IF(A1232="","",F1232-G1232)</f>
        <v/>
      </c>
    </row>
    <row r="1233">
      <c r="A1233" s="4" t="n"/>
      <c r="B1233" s="4" t="n"/>
      <c r="C1233">
        <f>IF(A1233="","",SUMPRODUCT((المبيعات!$C$2:$C$2000=A1233)*(المبيعات!$B$2:$B$2000&lt;&gt;"")/COUNTIFS(المبيعات!$B$2:$B$2000,المبيعات!$B$2:$B$2000&amp;"",المبيعات!$C$2:$C$2000,المبيعات!$C$2:$C$2000&amp;"")))</f>
        <v/>
      </c>
      <c r="D1233">
        <f>IF(A1233="","",SUMIFS(المبيعات!$H$2:$H$2000,المبيعات!$C$2:$C$2000,A1233))</f>
        <v/>
      </c>
      <c r="E1233" s="13">
        <f>IF(A1233="","",IF(COUNTIF(المبيعات!$C$2:$C$2000,A1233)=0,"",_xlfn.MAXIFS(المبيعات!$A$2:$A$2000,المبيعات!$C$2:$C$2000,A1233)))</f>
        <v/>
      </c>
      <c r="F1233">
        <f>IF(A1233="","",SUMIFS(المبيعات!$H$2:$H$2000,المبيعات!$C$2:$C$2000,A1233,المبيعات!$J$2:$J$2000,"آجل"))</f>
        <v/>
      </c>
      <c r="G1233" s="4" t="n"/>
      <c r="H1233">
        <f>IF(A1233="","",F1233-G1233)</f>
        <v/>
      </c>
    </row>
    <row r="1234">
      <c r="A1234" s="4" t="n"/>
      <c r="B1234" s="4" t="n"/>
      <c r="C1234">
        <f>IF(A1234="","",SUMPRODUCT((المبيعات!$C$2:$C$2000=A1234)*(المبيعات!$B$2:$B$2000&lt;&gt;"")/COUNTIFS(المبيعات!$B$2:$B$2000,المبيعات!$B$2:$B$2000&amp;"",المبيعات!$C$2:$C$2000,المبيعات!$C$2:$C$2000&amp;"")))</f>
        <v/>
      </c>
      <c r="D1234">
        <f>IF(A1234="","",SUMIFS(المبيعات!$H$2:$H$2000,المبيعات!$C$2:$C$2000,A1234))</f>
        <v/>
      </c>
      <c r="E1234" s="13">
        <f>IF(A1234="","",IF(COUNTIF(المبيعات!$C$2:$C$2000,A1234)=0,"",_xlfn.MAXIFS(المبيعات!$A$2:$A$2000,المبيعات!$C$2:$C$2000,A1234)))</f>
        <v/>
      </c>
      <c r="F1234">
        <f>IF(A1234="","",SUMIFS(المبيعات!$H$2:$H$2000,المبيعات!$C$2:$C$2000,A1234,المبيعات!$J$2:$J$2000,"آجل"))</f>
        <v/>
      </c>
      <c r="G1234" s="4" t="n"/>
      <c r="H1234">
        <f>IF(A1234="","",F1234-G1234)</f>
        <v/>
      </c>
    </row>
    <row r="1235">
      <c r="A1235" s="4" t="n"/>
      <c r="B1235" s="4" t="n"/>
      <c r="C1235">
        <f>IF(A1235="","",SUMPRODUCT((المبيعات!$C$2:$C$2000=A1235)*(المبيعات!$B$2:$B$2000&lt;&gt;"")/COUNTIFS(المبيعات!$B$2:$B$2000,المبيعات!$B$2:$B$2000&amp;"",المبيعات!$C$2:$C$2000,المبيعات!$C$2:$C$2000&amp;"")))</f>
        <v/>
      </c>
      <c r="D1235">
        <f>IF(A1235="","",SUMIFS(المبيعات!$H$2:$H$2000,المبيعات!$C$2:$C$2000,A1235))</f>
        <v/>
      </c>
      <c r="E1235" s="13">
        <f>IF(A1235="","",IF(COUNTIF(المبيعات!$C$2:$C$2000,A1235)=0,"",_xlfn.MAXIFS(المبيعات!$A$2:$A$2000,المبيعات!$C$2:$C$2000,A1235)))</f>
        <v/>
      </c>
      <c r="F1235">
        <f>IF(A1235="","",SUMIFS(المبيعات!$H$2:$H$2000,المبيعات!$C$2:$C$2000,A1235,المبيعات!$J$2:$J$2000,"آجل"))</f>
        <v/>
      </c>
      <c r="G1235" s="4" t="n"/>
      <c r="H1235">
        <f>IF(A1235="","",F1235-G1235)</f>
        <v/>
      </c>
    </row>
    <row r="1236">
      <c r="A1236" s="4" t="n"/>
      <c r="B1236" s="4" t="n"/>
      <c r="C1236">
        <f>IF(A1236="","",SUMPRODUCT((المبيعات!$C$2:$C$2000=A1236)*(المبيعات!$B$2:$B$2000&lt;&gt;"")/COUNTIFS(المبيعات!$B$2:$B$2000,المبيعات!$B$2:$B$2000&amp;"",المبيعات!$C$2:$C$2000,المبيعات!$C$2:$C$2000&amp;"")))</f>
        <v/>
      </c>
      <c r="D1236">
        <f>IF(A1236="","",SUMIFS(المبيعات!$H$2:$H$2000,المبيعات!$C$2:$C$2000,A1236))</f>
        <v/>
      </c>
      <c r="E1236" s="13">
        <f>IF(A1236="","",IF(COUNTIF(المبيعات!$C$2:$C$2000,A1236)=0,"",_xlfn.MAXIFS(المبيعات!$A$2:$A$2000,المبيعات!$C$2:$C$2000,A1236)))</f>
        <v/>
      </c>
      <c r="F1236">
        <f>IF(A1236="","",SUMIFS(المبيعات!$H$2:$H$2000,المبيعات!$C$2:$C$2000,A1236,المبيعات!$J$2:$J$2000,"آجل"))</f>
        <v/>
      </c>
      <c r="G1236" s="4" t="n"/>
      <c r="H1236">
        <f>IF(A1236="","",F1236-G1236)</f>
        <v/>
      </c>
    </row>
    <row r="1237">
      <c r="A1237" s="4" t="n"/>
      <c r="B1237" s="4" t="n"/>
      <c r="C1237">
        <f>IF(A1237="","",SUMPRODUCT((المبيعات!$C$2:$C$2000=A1237)*(المبيعات!$B$2:$B$2000&lt;&gt;"")/COUNTIFS(المبيعات!$B$2:$B$2000,المبيعات!$B$2:$B$2000&amp;"",المبيعات!$C$2:$C$2000,المبيعات!$C$2:$C$2000&amp;"")))</f>
        <v/>
      </c>
      <c r="D1237">
        <f>IF(A1237="","",SUMIFS(المبيعات!$H$2:$H$2000,المبيعات!$C$2:$C$2000,A1237))</f>
        <v/>
      </c>
      <c r="E1237" s="13">
        <f>IF(A1237="","",IF(COUNTIF(المبيعات!$C$2:$C$2000,A1237)=0,"",_xlfn.MAXIFS(المبيعات!$A$2:$A$2000,المبيعات!$C$2:$C$2000,A1237)))</f>
        <v/>
      </c>
      <c r="F1237">
        <f>IF(A1237="","",SUMIFS(المبيعات!$H$2:$H$2000,المبيعات!$C$2:$C$2000,A1237,المبيعات!$J$2:$J$2000,"آجل"))</f>
        <v/>
      </c>
      <c r="G1237" s="4" t="n"/>
      <c r="H1237">
        <f>IF(A1237="","",F1237-G1237)</f>
        <v/>
      </c>
    </row>
    <row r="1238">
      <c r="A1238" s="4" t="n"/>
      <c r="B1238" s="4" t="n"/>
      <c r="C1238">
        <f>IF(A1238="","",SUMPRODUCT((المبيعات!$C$2:$C$2000=A1238)*(المبيعات!$B$2:$B$2000&lt;&gt;"")/COUNTIFS(المبيعات!$B$2:$B$2000,المبيعات!$B$2:$B$2000&amp;"",المبيعات!$C$2:$C$2000,المبيعات!$C$2:$C$2000&amp;"")))</f>
        <v/>
      </c>
      <c r="D1238">
        <f>IF(A1238="","",SUMIFS(المبيعات!$H$2:$H$2000,المبيعات!$C$2:$C$2000,A1238))</f>
        <v/>
      </c>
      <c r="E1238" s="13">
        <f>IF(A1238="","",IF(COUNTIF(المبيعات!$C$2:$C$2000,A1238)=0,"",_xlfn.MAXIFS(المبيعات!$A$2:$A$2000,المبيعات!$C$2:$C$2000,A1238)))</f>
        <v/>
      </c>
      <c r="F1238">
        <f>IF(A1238="","",SUMIFS(المبيعات!$H$2:$H$2000,المبيعات!$C$2:$C$2000,A1238,المبيعات!$J$2:$J$2000,"آجل"))</f>
        <v/>
      </c>
      <c r="G1238" s="4" t="n"/>
      <c r="H1238">
        <f>IF(A1238="","",F1238-G1238)</f>
        <v/>
      </c>
    </row>
    <row r="1239">
      <c r="A1239" s="4" t="n"/>
      <c r="B1239" s="4" t="n"/>
      <c r="C1239">
        <f>IF(A1239="","",SUMPRODUCT((المبيعات!$C$2:$C$2000=A1239)*(المبيعات!$B$2:$B$2000&lt;&gt;"")/COUNTIFS(المبيعات!$B$2:$B$2000,المبيعات!$B$2:$B$2000&amp;"",المبيعات!$C$2:$C$2000,المبيعات!$C$2:$C$2000&amp;"")))</f>
        <v/>
      </c>
      <c r="D1239">
        <f>IF(A1239="","",SUMIFS(المبيعات!$H$2:$H$2000,المبيعات!$C$2:$C$2000,A1239))</f>
        <v/>
      </c>
      <c r="E1239" s="13">
        <f>IF(A1239="","",IF(COUNTIF(المبيعات!$C$2:$C$2000,A1239)=0,"",_xlfn.MAXIFS(المبيعات!$A$2:$A$2000,المبيعات!$C$2:$C$2000,A1239)))</f>
        <v/>
      </c>
      <c r="F1239">
        <f>IF(A1239="","",SUMIFS(المبيعات!$H$2:$H$2000,المبيعات!$C$2:$C$2000,A1239,المبيعات!$J$2:$J$2000,"آجل"))</f>
        <v/>
      </c>
      <c r="G1239" s="4" t="n"/>
      <c r="H1239">
        <f>IF(A1239="","",F1239-G1239)</f>
        <v/>
      </c>
    </row>
    <row r="1240">
      <c r="A1240" s="4" t="n"/>
      <c r="B1240" s="4" t="n"/>
      <c r="C1240">
        <f>IF(A1240="","",SUMPRODUCT((المبيعات!$C$2:$C$2000=A1240)*(المبيعات!$B$2:$B$2000&lt;&gt;"")/COUNTIFS(المبيعات!$B$2:$B$2000,المبيعات!$B$2:$B$2000&amp;"",المبيعات!$C$2:$C$2000,المبيعات!$C$2:$C$2000&amp;"")))</f>
        <v/>
      </c>
      <c r="D1240">
        <f>IF(A1240="","",SUMIFS(المبيعات!$H$2:$H$2000,المبيعات!$C$2:$C$2000,A1240))</f>
        <v/>
      </c>
      <c r="E1240" s="13">
        <f>IF(A1240="","",IF(COUNTIF(المبيعات!$C$2:$C$2000,A1240)=0,"",_xlfn.MAXIFS(المبيعات!$A$2:$A$2000,المبيعات!$C$2:$C$2000,A1240)))</f>
        <v/>
      </c>
      <c r="F1240">
        <f>IF(A1240="","",SUMIFS(المبيعات!$H$2:$H$2000,المبيعات!$C$2:$C$2000,A1240,المبيعات!$J$2:$J$2000,"آجل"))</f>
        <v/>
      </c>
      <c r="G1240" s="4" t="n"/>
      <c r="H1240">
        <f>IF(A1240="","",F1240-G1240)</f>
        <v/>
      </c>
    </row>
    <row r="1241">
      <c r="A1241" s="4" t="n"/>
      <c r="B1241" s="4" t="n"/>
      <c r="C1241">
        <f>IF(A1241="","",SUMPRODUCT((المبيعات!$C$2:$C$2000=A1241)*(المبيعات!$B$2:$B$2000&lt;&gt;"")/COUNTIFS(المبيعات!$B$2:$B$2000,المبيعات!$B$2:$B$2000&amp;"",المبيعات!$C$2:$C$2000,المبيعات!$C$2:$C$2000&amp;"")))</f>
        <v/>
      </c>
      <c r="D1241">
        <f>IF(A1241="","",SUMIFS(المبيعات!$H$2:$H$2000,المبيعات!$C$2:$C$2000,A1241))</f>
        <v/>
      </c>
      <c r="E1241" s="13">
        <f>IF(A1241="","",IF(COUNTIF(المبيعات!$C$2:$C$2000,A1241)=0,"",_xlfn.MAXIFS(المبيعات!$A$2:$A$2000,المبيعات!$C$2:$C$2000,A1241)))</f>
        <v/>
      </c>
      <c r="F1241">
        <f>IF(A1241="","",SUMIFS(المبيعات!$H$2:$H$2000,المبيعات!$C$2:$C$2000,A1241,المبيعات!$J$2:$J$2000,"آجل"))</f>
        <v/>
      </c>
      <c r="G1241" s="4" t="n"/>
      <c r="H1241">
        <f>IF(A1241="","",F1241-G1241)</f>
        <v/>
      </c>
    </row>
    <row r="1242">
      <c r="A1242" s="4" t="n"/>
      <c r="B1242" s="4" t="n"/>
      <c r="C1242">
        <f>IF(A1242="","",SUMPRODUCT((المبيعات!$C$2:$C$2000=A1242)*(المبيعات!$B$2:$B$2000&lt;&gt;"")/COUNTIFS(المبيعات!$B$2:$B$2000,المبيعات!$B$2:$B$2000&amp;"",المبيعات!$C$2:$C$2000,المبيعات!$C$2:$C$2000&amp;"")))</f>
        <v/>
      </c>
      <c r="D1242">
        <f>IF(A1242="","",SUMIFS(المبيعات!$H$2:$H$2000,المبيعات!$C$2:$C$2000,A1242))</f>
        <v/>
      </c>
      <c r="E1242" s="13">
        <f>IF(A1242="","",IF(COUNTIF(المبيعات!$C$2:$C$2000,A1242)=0,"",_xlfn.MAXIFS(المبيعات!$A$2:$A$2000,المبيعات!$C$2:$C$2000,A1242)))</f>
        <v/>
      </c>
      <c r="F1242">
        <f>IF(A1242="","",SUMIFS(المبيعات!$H$2:$H$2000,المبيعات!$C$2:$C$2000,A1242,المبيعات!$J$2:$J$2000,"آجل"))</f>
        <v/>
      </c>
      <c r="G1242" s="4" t="n"/>
      <c r="H1242">
        <f>IF(A1242="","",F1242-G1242)</f>
        <v/>
      </c>
    </row>
    <row r="1243">
      <c r="A1243" s="4" t="n"/>
      <c r="B1243" s="4" t="n"/>
      <c r="C1243">
        <f>IF(A1243="","",SUMPRODUCT((المبيعات!$C$2:$C$2000=A1243)*(المبيعات!$B$2:$B$2000&lt;&gt;"")/COUNTIFS(المبيعات!$B$2:$B$2000,المبيعات!$B$2:$B$2000&amp;"",المبيعات!$C$2:$C$2000,المبيعات!$C$2:$C$2000&amp;"")))</f>
        <v/>
      </c>
      <c r="D1243">
        <f>IF(A1243="","",SUMIFS(المبيعات!$H$2:$H$2000,المبيعات!$C$2:$C$2000,A1243))</f>
        <v/>
      </c>
      <c r="E1243" s="13">
        <f>IF(A1243="","",IF(COUNTIF(المبيعات!$C$2:$C$2000,A1243)=0,"",_xlfn.MAXIFS(المبيعات!$A$2:$A$2000,المبيعات!$C$2:$C$2000,A1243)))</f>
        <v/>
      </c>
      <c r="F1243">
        <f>IF(A1243="","",SUMIFS(المبيعات!$H$2:$H$2000,المبيعات!$C$2:$C$2000,A1243,المبيعات!$J$2:$J$2000,"آجل"))</f>
        <v/>
      </c>
      <c r="G1243" s="4" t="n"/>
      <c r="H1243">
        <f>IF(A1243="","",F1243-G1243)</f>
        <v/>
      </c>
    </row>
    <row r="1244">
      <c r="A1244" s="4" t="n"/>
      <c r="B1244" s="4" t="n"/>
      <c r="C1244">
        <f>IF(A1244="","",SUMPRODUCT((المبيعات!$C$2:$C$2000=A1244)*(المبيعات!$B$2:$B$2000&lt;&gt;"")/COUNTIFS(المبيعات!$B$2:$B$2000,المبيعات!$B$2:$B$2000&amp;"",المبيعات!$C$2:$C$2000,المبيعات!$C$2:$C$2000&amp;"")))</f>
        <v/>
      </c>
      <c r="D1244">
        <f>IF(A1244="","",SUMIFS(المبيعات!$H$2:$H$2000,المبيعات!$C$2:$C$2000,A1244))</f>
        <v/>
      </c>
      <c r="E1244" s="13">
        <f>IF(A1244="","",IF(COUNTIF(المبيعات!$C$2:$C$2000,A1244)=0,"",_xlfn.MAXIFS(المبيعات!$A$2:$A$2000,المبيعات!$C$2:$C$2000,A1244)))</f>
        <v/>
      </c>
      <c r="F1244">
        <f>IF(A1244="","",SUMIFS(المبيعات!$H$2:$H$2000,المبيعات!$C$2:$C$2000,A1244,المبيعات!$J$2:$J$2000,"آجل"))</f>
        <v/>
      </c>
      <c r="G1244" s="4" t="n"/>
      <c r="H1244">
        <f>IF(A1244="","",F1244-G1244)</f>
        <v/>
      </c>
    </row>
    <row r="1245">
      <c r="A1245" s="4" t="n"/>
      <c r="B1245" s="4" t="n"/>
      <c r="C1245">
        <f>IF(A1245="","",SUMPRODUCT((المبيعات!$C$2:$C$2000=A1245)*(المبيعات!$B$2:$B$2000&lt;&gt;"")/COUNTIFS(المبيعات!$B$2:$B$2000,المبيعات!$B$2:$B$2000&amp;"",المبيعات!$C$2:$C$2000,المبيعات!$C$2:$C$2000&amp;"")))</f>
        <v/>
      </c>
      <c r="D1245">
        <f>IF(A1245="","",SUMIFS(المبيعات!$H$2:$H$2000,المبيعات!$C$2:$C$2000,A1245))</f>
        <v/>
      </c>
      <c r="E1245" s="13">
        <f>IF(A1245="","",IF(COUNTIF(المبيعات!$C$2:$C$2000,A1245)=0,"",_xlfn.MAXIFS(المبيعات!$A$2:$A$2000,المبيعات!$C$2:$C$2000,A1245)))</f>
        <v/>
      </c>
      <c r="F1245">
        <f>IF(A1245="","",SUMIFS(المبيعات!$H$2:$H$2000,المبيعات!$C$2:$C$2000,A1245,المبيعات!$J$2:$J$2000,"آجل"))</f>
        <v/>
      </c>
      <c r="G1245" s="4" t="n"/>
      <c r="H1245">
        <f>IF(A1245="","",F1245-G1245)</f>
        <v/>
      </c>
    </row>
    <row r="1246">
      <c r="A1246" s="4" t="n"/>
      <c r="B1246" s="4" t="n"/>
      <c r="C1246">
        <f>IF(A1246="","",SUMPRODUCT((المبيعات!$C$2:$C$2000=A1246)*(المبيعات!$B$2:$B$2000&lt;&gt;"")/COUNTIFS(المبيعات!$B$2:$B$2000,المبيعات!$B$2:$B$2000&amp;"",المبيعات!$C$2:$C$2000,المبيعات!$C$2:$C$2000&amp;"")))</f>
        <v/>
      </c>
      <c r="D1246">
        <f>IF(A1246="","",SUMIFS(المبيعات!$H$2:$H$2000,المبيعات!$C$2:$C$2000,A1246))</f>
        <v/>
      </c>
      <c r="E1246" s="13">
        <f>IF(A1246="","",IF(COUNTIF(المبيعات!$C$2:$C$2000,A1246)=0,"",_xlfn.MAXIFS(المبيعات!$A$2:$A$2000,المبيعات!$C$2:$C$2000,A1246)))</f>
        <v/>
      </c>
      <c r="F1246">
        <f>IF(A1246="","",SUMIFS(المبيعات!$H$2:$H$2000,المبيعات!$C$2:$C$2000,A1246,المبيعات!$J$2:$J$2000,"آجل"))</f>
        <v/>
      </c>
      <c r="G1246" s="4" t="n"/>
      <c r="H1246">
        <f>IF(A1246="","",F1246-G1246)</f>
        <v/>
      </c>
    </row>
    <row r="1247">
      <c r="A1247" s="4" t="n"/>
      <c r="B1247" s="4" t="n"/>
      <c r="C1247">
        <f>IF(A1247="","",SUMPRODUCT((المبيعات!$C$2:$C$2000=A1247)*(المبيعات!$B$2:$B$2000&lt;&gt;"")/COUNTIFS(المبيعات!$B$2:$B$2000,المبيعات!$B$2:$B$2000&amp;"",المبيعات!$C$2:$C$2000,المبيعات!$C$2:$C$2000&amp;"")))</f>
        <v/>
      </c>
      <c r="D1247">
        <f>IF(A1247="","",SUMIFS(المبيعات!$H$2:$H$2000,المبيعات!$C$2:$C$2000,A1247))</f>
        <v/>
      </c>
      <c r="E1247" s="13">
        <f>IF(A1247="","",IF(COUNTIF(المبيعات!$C$2:$C$2000,A1247)=0,"",_xlfn.MAXIFS(المبيعات!$A$2:$A$2000,المبيعات!$C$2:$C$2000,A1247)))</f>
        <v/>
      </c>
      <c r="F1247">
        <f>IF(A1247="","",SUMIFS(المبيعات!$H$2:$H$2000,المبيعات!$C$2:$C$2000,A1247,المبيعات!$J$2:$J$2000,"آجل"))</f>
        <v/>
      </c>
      <c r="G1247" s="4" t="n"/>
      <c r="H1247">
        <f>IF(A1247="","",F1247-G1247)</f>
        <v/>
      </c>
    </row>
    <row r="1248">
      <c r="A1248" s="4" t="n"/>
      <c r="B1248" s="4" t="n"/>
      <c r="C1248">
        <f>IF(A1248="","",SUMPRODUCT((المبيعات!$C$2:$C$2000=A1248)*(المبيعات!$B$2:$B$2000&lt;&gt;"")/COUNTIFS(المبيعات!$B$2:$B$2000,المبيعات!$B$2:$B$2000&amp;"",المبيعات!$C$2:$C$2000,المبيعات!$C$2:$C$2000&amp;"")))</f>
        <v/>
      </c>
      <c r="D1248">
        <f>IF(A1248="","",SUMIFS(المبيعات!$H$2:$H$2000,المبيعات!$C$2:$C$2000,A1248))</f>
        <v/>
      </c>
      <c r="E1248" s="13">
        <f>IF(A1248="","",IF(COUNTIF(المبيعات!$C$2:$C$2000,A1248)=0,"",_xlfn.MAXIFS(المبيعات!$A$2:$A$2000,المبيعات!$C$2:$C$2000,A1248)))</f>
        <v/>
      </c>
      <c r="F1248">
        <f>IF(A1248="","",SUMIFS(المبيعات!$H$2:$H$2000,المبيعات!$C$2:$C$2000,A1248,المبيعات!$J$2:$J$2000,"آجل"))</f>
        <v/>
      </c>
      <c r="G1248" s="4" t="n"/>
      <c r="H1248">
        <f>IF(A1248="","",F1248-G1248)</f>
        <v/>
      </c>
    </row>
    <row r="1249">
      <c r="A1249" s="4" t="n"/>
      <c r="B1249" s="4" t="n"/>
      <c r="C1249">
        <f>IF(A1249="","",SUMPRODUCT((المبيعات!$C$2:$C$2000=A1249)*(المبيعات!$B$2:$B$2000&lt;&gt;"")/COUNTIFS(المبيعات!$B$2:$B$2000,المبيعات!$B$2:$B$2000&amp;"",المبيعات!$C$2:$C$2000,المبيعات!$C$2:$C$2000&amp;"")))</f>
        <v/>
      </c>
      <c r="D1249">
        <f>IF(A1249="","",SUMIFS(المبيعات!$H$2:$H$2000,المبيعات!$C$2:$C$2000,A1249))</f>
        <v/>
      </c>
      <c r="E1249" s="13">
        <f>IF(A1249="","",IF(COUNTIF(المبيعات!$C$2:$C$2000,A1249)=0,"",_xlfn.MAXIFS(المبيعات!$A$2:$A$2000,المبيعات!$C$2:$C$2000,A1249)))</f>
        <v/>
      </c>
      <c r="F1249">
        <f>IF(A1249="","",SUMIFS(المبيعات!$H$2:$H$2000,المبيعات!$C$2:$C$2000,A1249,المبيعات!$J$2:$J$2000,"آجل"))</f>
        <v/>
      </c>
      <c r="G1249" s="4" t="n"/>
      <c r="H1249">
        <f>IF(A1249="","",F1249-G1249)</f>
        <v/>
      </c>
    </row>
    <row r="1250">
      <c r="A1250" s="4" t="n"/>
      <c r="B1250" s="4" t="n"/>
      <c r="C1250">
        <f>IF(A1250="","",SUMPRODUCT((المبيعات!$C$2:$C$2000=A1250)*(المبيعات!$B$2:$B$2000&lt;&gt;"")/COUNTIFS(المبيعات!$B$2:$B$2000,المبيعات!$B$2:$B$2000&amp;"",المبيعات!$C$2:$C$2000,المبيعات!$C$2:$C$2000&amp;"")))</f>
        <v/>
      </c>
      <c r="D1250">
        <f>IF(A1250="","",SUMIFS(المبيعات!$H$2:$H$2000,المبيعات!$C$2:$C$2000,A1250))</f>
        <v/>
      </c>
      <c r="E1250" s="13">
        <f>IF(A1250="","",IF(COUNTIF(المبيعات!$C$2:$C$2000,A1250)=0,"",_xlfn.MAXIFS(المبيعات!$A$2:$A$2000,المبيعات!$C$2:$C$2000,A1250)))</f>
        <v/>
      </c>
      <c r="F1250">
        <f>IF(A1250="","",SUMIFS(المبيعات!$H$2:$H$2000,المبيعات!$C$2:$C$2000,A1250,المبيعات!$J$2:$J$2000,"آجل"))</f>
        <v/>
      </c>
      <c r="G1250" s="4" t="n"/>
      <c r="H1250">
        <f>IF(A1250="","",F1250-G1250)</f>
        <v/>
      </c>
    </row>
    <row r="1251">
      <c r="A1251" s="4" t="n"/>
      <c r="B1251" s="4" t="n"/>
      <c r="C1251">
        <f>IF(A1251="","",SUMPRODUCT((المبيعات!$C$2:$C$2000=A1251)*(المبيعات!$B$2:$B$2000&lt;&gt;"")/COUNTIFS(المبيعات!$B$2:$B$2000,المبيعات!$B$2:$B$2000&amp;"",المبيعات!$C$2:$C$2000,المبيعات!$C$2:$C$2000&amp;"")))</f>
        <v/>
      </c>
      <c r="D1251">
        <f>IF(A1251="","",SUMIFS(المبيعات!$H$2:$H$2000,المبيعات!$C$2:$C$2000,A1251))</f>
        <v/>
      </c>
      <c r="E1251" s="13">
        <f>IF(A1251="","",IF(COUNTIF(المبيعات!$C$2:$C$2000,A1251)=0,"",_xlfn.MAXIFS(المبيعات!$A$2:$A$2000,المبيعات!$C$2:$C$2000,A1251)))</f>
        <v/>
      </c>
      <c r="F1251">
        <f>IF(A1251="","",SUMIFS(المبيعات!$H$2:$H$2000,المبيعات!$C$2:$C$2000,A1251,المبيعات!$J$2:$J$2000,"آجل"))</f>
        <v/>
      </c>
      <c r="G1251" s="4" t="n"/>
      <c r="H1251">
        <f>IF(A1251="","",F1251-G1251)</f>
        <v/>
      </c>
    </row>
    <row r="1252">
      <c r="A1252" s="4" t="n"/>
      <c r="B1252" s="4" t="n"/>
      <c r="C1252">
        <f>IF(A1252="","",SUMPRODUCT((المبيعات!$C$2:$C$2000=A1252)*(المبيعات!$B$2:$B$2000&lt;&gt;"")/COUNTIFS(المبيعات!$B$2:$B$2000,المبيعات!$B$2:$B$2000&amp;"",المبيعات!$C$2:$C$2000,المبيعات!$C$2:$C$2000&amp;"")))</f>
        <v/>
      </c>
      <c r="D1252">
        <f>IF(A1252="","",SUMIFS(المبيعات!$H$2:$H$2000,المبيعات!$C$2:$C$2000,A1252))</f>
        <v/>
      </c>
      <c r="E1252" s="13">
        <f>IF(A1252="","",IF(COUNTIF(المبيعات!$C$2:$C$2000,A1252)=0,"",_xlfn.MAXIFS(المبيعات!$A$2:$A$2000,المبيعات!$C$2:$C$2000,A1252)))</f>
        <v/>
      </c>
      <c r="F1252">
        <f>IF(A1252="","",SUMIFS(المبيعات!$H$2:$H$2000,المبيعات!$C$2:$C$2000,A1252,المبيعات!$J$2:$J$2000,"آجل"))</f>
        <v/>
      </c>
      <c r="G1252" s="4" t="n"/>
      <c r="H1252">
        <f>IF(A1252="","",F1252-G1252)</f>
        <v/>
      </c>
    </row>
    <row r="1253">
      <c r="A1253" s="4" t="n"/>
      <c r="B1253" s="4" t="n"/>
      <c r="C1253">
        <f>IF(A1253="","",SUMPRODUCT((المبيعات!$C$2:$C$2000=A1253)*(المبيعات!$B$2:$B$2000&lt;&gt;"")/COUNTIFS(المبيعات!$B$2:$B$2000,المبيعات!$B$2:$B$2000&amp;"",المبيعات!$C$2:$C$2000,المبيعات!$C$2:$C$2000&amp;"")))</f>
        <v/>
      </c>
      <c r="D1253">
        <f>IF(A1253="","",SUMIFS(المبيعات!$H$2:$H$2000,المبيعات!$C$2:$C$2000,A1253))</f>
        <v/>
      </c>
      <c r="E1253" s="13">
        <f>IF(A1253="","",IF(COUNTIF(المبيعات!$C$2:$C$2000,A1253)=0,"",_xlfn.MAXIFS(المبيعات!$A$2:$A$2000,المبيعات!$C$2:$C$2000,A1253)))</f>
        <v/>
      </c>
      <c r="F1253">
        <f>IF(A1253="","",SUMIFS(المبيعات!$H$2:$H$2000,المبيعات!$C$2:$C$2000,A1253,المبيعات!$J$2:$J$2000,"آجل"))</f>
        <v/>
      </c>
      <c r="G1253" s="4" t="n"/>
      <c r="H1253">
        <f>IF(A1253="","",F1253-G1253)</f>
        <v/>
      </c>
    </row>
    <row r="1254">
      <c r="A1254" s="4" t="n"/>
      <c r="B1254" s="4" t="n"/>
      <c r="C1254">
        <f>IF(A1254="","",SUMPRODUCT((المبيعات!$C$2:$C$2000=A1254)*(المبيعات!$B$2:$B$2000&lt;&gt;"")/COUNTIFS(المبيعات!$B$2:$B$2000,المبيعات!$B$2:$B$2000&amp;"",المبيعات!$C$2:$C$2000,المبيعات!$C$2:$C$2000&amp;"")))</f>
        <v/>
      </c>
      <c r="D1254">
        <f>IF(A1254="","",SUMIFS(المبيعات!$H$2:$H$2000,المبيعات!$C$2:$C$2000,A1254))</f>
        <v/>
      </c>
      <c r="E1254" s="13">
        <f>IF(A1254="","",IF(COUNTIF(المبيعات!$C$2:$C$2000,A1254)=0,"",_xlfn.MAXIFS(المبيعات!$A$2:$A$2000,المبيعات!$C$2:$C$2000,A1254)))</f>
        <v/>
      </c>
      <c r="F1254">
        <f>IF(A1254="","",SUMIFS(المبيعات!$H$2:$H$2000,المبيعات!$C$2:$C$2000,A1254,المبيعات!$J$2:$J$2000,"آجل"))</f>
        <v/>
      </c>
      <c r="G1254" s="4" t="n"/>
      <c r="H1254">
        <f>IF(A1254="","",F1254-G1254)</f>
        <v/>
      </c>
    </row>
    <row r="1255">
      <c r="A1255" s="4" t="n"/>
      <c r="B1255" s="4" t="n"/>
      <c r="C1255">
        <f>IF(A1255="","",SUMPRODUCT((المبيعات!$C$2:$C$2000=A1255)*(المبيعات!$B$2:$B$2000&lt;&gt;"")/COUNTIFS(المبيعات!$B$2:$B$2000,المبيعات!$B$2:$B$2000&amp;"",المبيعات!$C$2:$C$2000,المبيعات!$C$2:$C$2000&amp;"")))</f>
        <v/>
      </c>
      <c r="D1255">
        <f>IF(A1255="","",SUMIFS(المبيعات!$H$2:$H$2000,المبيعات!$C$2:$C$2000,A1255))</f>
        <v/>
      </c>
      <c r="E1255" s="13">
        <f>IF(A1255="","",IF(COUNTIF(المبيعات!$C$2:$C$2000,A1255)=0,"",_xlfn.MAXIFS(المبيعات!$A$2:$A$2000,المبيعات!$C$2:$C$2000,A1255)))</f>
        <v/>
      </c>
      <c r="F1255">
        <f>IF(A1255="","",SUMIFS(المبيعات!$H$2:$H$2000,المبيعات!$C$2:$C$2000,A1255,المبيعات!$J$2:$J$2000,"آجل"))</f>
        <v/>
      </c>
      <c r="G1255" s="4" t="n"/>
      <c r="H1255">
        <f>IF(A1255="","",F1255-G1255)</f>
        <v/>
      </c>
    </row>
    <row r="1256">
      <c r="A1256" s="4" t="n"/>
      <c r="B1256" s="4" t="n"/>
      <c r="C1256">
        <f>IF(A1256="","",SUMPRODUCT((المبيعات!$C$2:$C$2000=A1256)*(المبيعات!$B$2:$B$2000&lt;&gt;"")/COUNTIFS(المبيعات!$B$2:$B$2000,المبيعات!$B$2:$B$2000&amp;"",المبيعات!$C$2:$C$2000,المبيعات!$C$2:$C$2000&amp;"")))</f>
        <v/>
      </c>
      <c r="D1256">
        <f>IF(A1256="","",SUMIFS(المبيعات!$H$2:$H$2000,المبيعات!$C$2:$C$2000,A1256))</f>
        <v/>
      </c>
      <c r="E1256" s="13">
        <f>IF(A1256="","",IF(COUNTIF(المبيعات!$C$2:$C$2000,A1256)=0,"",_xlfn.MAXIFS(المبيعات!$A$2:$A$2000,المبيعات!$C$2:$C$2000,A1256)))</f>
        <v/>
      </c>
      <c r="F1256">
        <f>IF(A1256="","",SUMIFS(المبيعات!$H$2:$H$2000,المبيعات!$C$2:$C$2000,A1256,المبيعات!$J$2:$J$2000,"آجل"))</f>
        <v/>
      </c>
      <c r="G1256" s="4" t="n"/>
      <c r="H1256">
        <f>IF(A1256="","",F1256-G1256)</f>
        <v/>
      </c>
    </row>
    <row r="1257">
      <c r="A1257" s="4" t="n"/>
      <c r="B1257" s="4" t="n"/>
      <c r="C1257">
        <f>IF(A1257="","",SUMPRODUCT((المبيعات!$C$2:$C$2000=A1257)*(المبيعات!$B$2:$B$2000&lt;&gt;"")/COUNTIFS(المبيعات!$B$2:$B$2000,المبيعات!$B$2:$B$2000&amp;"",المبيعات!$C$2:$C$2000,المبيعات!$C$2:$C$2000&amp;"")))</f>
        <v/>
      </c>
      <c r="D1257">
        <f>IF(A1257="","",SUMIFS(المبيعات!$H$2:$H$2000,المبيعات!$C$2:$C$2000,A1257))</f>
        <v/>
      </c>
      <c r="E1257" s="13">
        <f>IF(A1257="","",IF(COUNTIF(المبيعات!$C$2:$C$2000,A1257)=0,"",_xlfn.MAXIFS(المبيعات!$A$2:$A$2000,المبيعات!$C$2:$C$2000,A1257)))</f>
        <v/>
      </c>
      <c r="F1257">
        <f>IF(A1257="","",SUMIFS(المبيعات!$H$2:$H$2000,المبيعات!$C$2:$C$2000,A1257,المبيعات!$J$2:$J$2000,"آجل"))</f>
        <v/>
      </c>
      <c r="G1257" s="4" t="n"/>
      <c r="H1257">
        <f>IF(A1257="","",F1257-G1257)</f>
        <v/>
      </c>
    </row>
    <row r="1258">
      <c r="A1258" s="4" t="n"/>
      <c r="B1258" s="4" t="n"/>
      <c r="C1258">
        <f>IF(A1258="","",SUMPRODUCT((المبيعات!$C$2:$C$2000=A1258)*(المبيعات!$B$2:$B$2000&lt;&gt;"")/COUNTIFS(المبيعات!$B$2:$B$2000,المبيعات!$B$2:$B$2000&amp;"",المبيعات!$C$2:$C$2000,المبيعات!$C$2:$C$2000&amp;"")))</f>
        <v/>
      </c>
      <c r="D1258">
        <f>IF(A1258="","",SUMIFS(المبيعات!$H$2:$H$2000,المبيعات!$C$2:$C$2000,A1258))</f>
        <v/>
      </c>
      <c r="E1258" s="13">
        <f>IF(A1258="","",IF(COUNTIF(المبيعات!$C$2:$C$2000,A1258)=0,"",_xlfn.MAXIFS(المبيعات!$A$2:$A$2000,المبيعات!$C$2:$C$2000,A1258)))</f>
        <v/>
      </c>
      <c r="F1258">
        <f>IF(A1258="","",SUMIFS(المبيعات!$H$2:$H$2000,المبيعات!$C$2:$C$2000,A1258,المبيعات!$J$2:$J$2000,"آجل"))</f>
        <v/>
      </c>
      <c r="G1258" s="4" t="n"/>
      <c r="H1258">
        <f>IF(A1258="","",F1258-G1258)</f>
        <v/>
      </c>
    </row>
    <row r="1259">
      <c r="A1259" s="4" t="n"/>
      <c r="B1259" s="4" t="n"/>
      <c r="C1259">
        <f>IF(A1259="","",SUMPRODUCT((المبيعات!$C$2:$C$2000=A1259)*(المبيعات!$B$2:$B$2000&lt;&gt;"")/COUNTIFS(المبيعات!$B$2:$B$2000,المبيعات!$B$2:$B$2000&amp;"",المبيعات!$C$2:$C$2000,المبيعات!$C$2:$C$2000&amp;"")))</f>
        <v/>
      </c>
      <c r="D1259">
        <f>IF(A1259="","",SUMIFS(المبيعات!$H$2:$H$2000,المبيعات!$C$2:$C$2000,A1259))</f>
        <v/>
      </c>
      <c r="E1259" s="13">
        <f>IF(A1259="","",IF(COUNTIF(المبيعات!$C$2:$C$2000,A1259)=0,"",_xlfn.MAXIFS(المبيعات!$A$2:$A$2000,المبيعات!$C$2:$C$2000,A1259)))</f>
        <v/>
      </c>
      <c r="F1259">
        <f>IF(A1259="","",SUMIFS(المبيعات!$H$2:$H$2000,المبيعات!$C$2:$C$2000,A1259,المبيعات!$J$2:$J$2000,"آجل"))</f>
        <v/>
      </c>
      <c r="G1259" s="4" t="n"/>
      <c r="H1259">
        <f>IF(A1259="","",F1259-G1259)</f>
        <v/>
      </c>
    </row>
    <row r="1260">
      <c r="A1260" s="4" t="n"/>
      <c r="B1260" s="4" t="n"/>
      <c r="C1260">
        <f>IF(A1260="","",SUMPRODUCT((المبيعات!$C$2:$C$2000=A1260)*(المبيعات!$B$2:$B$2000&lt;&gt;"")/COUNTIFS(المبيعات!$B$2:$B$2000,المبيعات!$B$2:$B$2000&amp;"",المبيعات!$C$2:$C$2000,المبيعات!$C$2:$C$2000&amp;"")))</f>
        <v/>
      </c>
      <c r="D1260">
        <f>IF(A1260="","",SUMIFS(المبيعات!$H$2:$H$2000,المبيعات!$C$2:$C$2000,A1260))</f>
        <v/>
      </c>
      <c r="E1260" s="13">
        <f>IF(A1260="","",IF(COUNTIF(المبيعات!$C$2:$C$2000,A1260)=0,"",_xlfn.MAXIFS(المبيعات!$A$2:$A$2000,المبيعات!$C$2:$C$2000,A1260)))</f>
        <v/>
      </c>
      <c r="F1260">
        <f>IF(A1260="","",SUMIFS(المبيعات!$H$2:$H$2000,المبيعات!$C$2:$C$2000,A1260,المبيعات!$J$2:$J$2000,"آجل"))</f>
        <v/>
      </c>
      <c r="G1260" s="4" t="n"/>
      <c r="H1260">
        <f>IF(A1260="","",F1260-G1260)</f>
        <v/>
      </c>
    </row>
    <row r="1261">
      <c r="A1261" s="4" t="n"/>
      <c r="B1261" s="4" t="n"/>
      <c r="C1261">
        <f>IF(A1261="","",SUMPRODUCT((المبيعات!$C$2:$C$2000=A1261)*(المبيعات!$B$2:$B$2000&lt;&gt;"")/COUNTIFS(المبيعات!$B$2:$B$2000,المبيعات!$B$2:$B$2000&amp;"",المبيعات!$C$2:$C$2000,المبيعات!$C$2:$C$2000&amp;"")))</f>
        <v/>
      </c>
      <c r="D1261">
        <f>IF(A1261="","",SUMIFS(المبيعات!$H$2:$H$2000,المبيعات!$C$2:$C$2000,A1261))</f>
        <v/>
      </c>
      <c r="E1261" s="13">
        <f>IF(A1261="","",IF(COUNTIF(المبيعات!$C$2:$C$2000,A1261)=0,"",_xlfn.MAXIFS(المبيعات!$A$2:$A$2000,المبيعات!$C$2:$C$2000,A1261)))</f>
        <v/>
      </c>
      <c r="F1261">
        <f>IF(A1261="","",SUMIFS(المبيعات!$H$2:$H$2000,المبيعات!$C$2:$C$2000,A1261,المبيعات!$J$2:$J$2000,"آجل"))</f>
        <v/>
      </c>
      <c r="G1261" s="4" t="n"/>
      <c r="H1261">
        <f>IF(A1261="","",F1261-G1261)</f>
        <v/>
      </c>
    </row>
    <row r="1262">
      <c r="A1262" s="4" t="n"/>
      <c r="B1262" s="4" t="n"/>
      <c r="C1262">
        <f>IF(A1262="","",SUMPRODUCT((المبيعات!$C$2:$C$2000=A1262)*(المبيعات!$B$2:$B$2000&lt;&gt;"")/COUNTIFS(المبيعات!$B$2:$B$2000,المبيعات!$B$2:$B$2000&amp;"",المبيعات!$C$2:$C$2000,المبيعات!$C$2:$C$2000&amp;"")))</f>
        <v/>
      </c>
      <c r="D1262">
        <f>IF(A1262="","",SUMIFS(المبيعات!$H$2:$H$2000,المبيعات!$C$2:$C$2000,A1262))</f>
        <v/>
      </c>
      <c r="E1262" s="13">
        <f>IF(A1262="","",IF(COUNTIF(المبيعات!$C$2:$C$2000,A1262)=0,"",_xlfn.MAXIFS(المبيعات!$A$2:$A$2000,المبيعات!$C$2:$C$2000,A1262)))</f>
        <v/>
      </c>
      <c r="F1262">
        <f>IF(A1262="","",SUMIFS(المبيعات!$H$2:$H$2000,المبيعات!$C$2:$C$2000,A1262,المبيعات!$J$2:$J$2000,"آجل"))</f>
        <v/>
      </c>
      <c r="G1262" s="4" t="n"/>
      <c r="H1262">
        <f>IF(A1262="","",F1262-G1262)</f>
        <v/>
      </c>
    </row>
    <row r="1263">
      <c r="A1263" s="4" t="n"/>
      <c r="B1263" s="4" t="n"/>
      <c r="C1263">
        <f>IF(A1263="","",SUMPRODUCT((المبيعات!$C$2:$C$2000=A1263)*(المبيعات!$B$2:$B$2000&lt;&gt;"")/COUNTIFS(المبيعات!$B$2:$B$2000,المبيعات!$B$2:$B$2000&amp;"",المبيعات!$C$2:$C$2000,المبيعات!$C$2:$C$2000&amp;"")))</f>
        <v/>
      </c>
      <c r="D1263">
        <f>IF(A1263="","",SUMIFS(المبيعات!$H$2:$H$2000,المبيعات!$C$2:$C$2000,A1263))</f>
        <v/>
      </c>
      <c r="E1263" s="13">
        <f>IF(A1263="","",IF(COUNTIF(المبيعات!$C$2:$C$2000,A1263)=0,"",_xlfn.MAXIFS(المبيعات!$A$2:$A$2000,المبيعات!$C$2:$C$2000,A1263)))</f>
        <v/>
      </c>
      <c r="F1263">
        <f>IF(A1263="","",SUMIFS(المبيعات!$H$2:$H$2000,المبيعات!$C$2:$C$2000,A1263,المبيعات!$J$2:$J$2000,"آجل"))</f>
        <v/>
      </c>
      <c r="G1263" s="4" t="n"/>
      <c r="H1263">
        <f>IF(A1263="","",F1263-G1263)</f>
        <v/>
      </c>
    </row>
    <row r="1264">
      <c r="A1264" s="4" t="n"/>
      <c r="B1264" s="4" t="n"/>
      <c r="C1264">
        <f>IF(A1264="","",SUMPRODUCT((المبيعات!$C$2:$C$2000=A1264)*(المبيعات!$B$2:$B$2000&lt;&gt;"")/COUNTIFS(المبيعات!$B$2:$B$2000,المبيعات!$B$2:$B$2000&amp;"",المبيعات!$C$2:$C$2000,المبيعات!$C$2:$C$2000&amp;"")))</f>
        <v/>
      </c>
      <c r="D1264">
        <f>IF(A1264="","",SUMIFS(المبيعات!$H$2:$H$2000,المبيعات!$C$2:$C$2000,A1264))</f>
        <v/>
      </c>
      <c r="E1264" s="13">
        <f>IF(A1264="","",IF(COUNTIF(المبيعات!$C$2:$C$2000,A1264)=0,"",_xlfn.MAXIFS(المبيعات!$A$2:$A$2000,المبيعات!$C$2:$C$2000,A1264)))</f>
        <v/>
      </c>
      <c r="F1264">
        <f>IF(A1264="","",SUMIFS(المبيعات!$H$2:$H$2000,المبيعات!$C$2:$C$2000,A1264,المبيعات!$J$2:$J$2000,"آجل"))</f>
        <v/>
      </c>
      <c r="G1264" s="4" t="n"/>
      <c r="H1264">
        <f>IF(A1264="","",F1264-G1264)</f>
        <v/>
      </c>
    </row>
    <row r="1265">
      <c r="A1265" s="4" t="n"/>
      <c r="B1265" s="4" t="n"/>
      <c r="C1265">
        <f>IF(A1265="","",SUMPRODUCT((المبيعات!$C$2:$C$2000=A1265)*(المبيعات!$B$2:$B$2000&lt;&gt;"")/COUNTIFS(المبيعات!$B$2:$B$2000,المبيعات!$B$2:$B$2000&amp;"",المبيعات!$C$2:$C$2000,المبيعات!$C$2:$C$2000&amp;"")))</f>
        <v/>
      </c>
      <c r="D1265">
        <f>IF(A1265="","",SUMIFS(المبيعات!$H$2:$H$2000,المبيعات!$C$2:$C$2000,A1265))</f>
        <v/>
      </c>
      <c r="E1265" s="13">
        <f>IF(A1265="","",IF(COUNTIF(المبيعات!$C$2:$C$2000,A1265)=0,"",_xlfn.MAXIFS(المبيعات!$A$2:$A$2000,المبيعات!$C$2:$C$2000,A1265)))</f>
        <v/>
      </c>
      <c r="F1265">
        <f>IF(A1265="","",SUMIFS(المبيعات!$H$2:$H$2000,المبيعات!$C$2:$C$2000,A1265,المبيعات!$J$2:$J$2000,"آجل"))</f>
        <v/>
      </c>
      <c r="G1265" s="4" t="n"/>
      <c r="H1265">
        <f>IF(A1265="","",F1265-G1265)</f>
        <v/>
      </c>
    </row>
    <row r="1266">
      <c r="A1266" s="4" t="n"/>
      <c r="B1266" s="4" t="n"/>
      <c r="C1266">
        <f>IF(A1266="","",SUMPRODUCT((المبيعات!$C$2:$C$2000=A1266)*(المبيعات!$B$2:$B$2000&lt;&gt;"")/COUNTIFS(المبيعات!$B$2:$B$2000,المبيعات!$B$2:$B$2000&amp;"",المبيعات!$C$2:$C$2000,المبيعات!$C$2:$C$2000&amp;"")))</f>
        <v/>
      </c>
      <c r="D1266">
        <f>IF(A1266="","",SUMIFS(المبيعات!$H$2:$H$2000,المبيعات!$C$2:$C$2000,A1266))</f>
        <v/>
      </c>
      <c r="E1266" s="13">
        <f>IF(A1266="","",IF(COUNTIF(المبيعات!$C$2:$C$2000,A1266)=0,"",_xlfn.MAXIFS(المبيعات!$A$2:$A$2000,المبيعات!$C$2:$C$2000,A1266)))</f>
        <v/>
      </c>
      <c r="F1266">
        <f>IF(A1266="","",SUMIFS(المبيعات!$H$2:$H$2000,المبيعات!$C$2:$C$2000,A1266,المبيعات!$J$2:$J$2000,"آجل"))</f>
        <v/>
      </c>
      <c r="G1266" s="4" t="n"/>
      <c r="H1266">
        <f>IF(A1266="","",F1266-G1266)</f>
        <v/>
      </c>
    </row>
    <row r="1267">
      <c r="A1267" s="4" t="n"/>
      <c r="B1267" s="4" t="n"/>
      <c r="C1267">
        <f>IF(A1267="","",SUMPRODUCT((المبيعات!$C$2:$C$2000=A1267)*(المبيعات!$B$2:$B$2000&lt;&gt;"")/COUNTIFS(المبيعات!$B$2:$B$2000,المبيعات!$B$2:$B$2000&amp;"",المبيعات!$C$2:$C$2000,المبيعات!$C$2:$C$2000&amp;"")))</f>
        <v/>
      </c>
      <c r="D1267">
        <f>IF(A1267="","",SUMIFS(المبيعات!$H$2:$H$2000,المبيعات!$C$2:$C$2000,A1267))</f>
        <v/>
      </c>
      <c r="E1267" s="13">
        <f>IF(A1267="","",IF(COUNTIF(المبيعات!$C$2:$C$2000,A1267)=0,"",_xlfn.MAXIFS(المبيعات!$A$2:$A$2000,المبيعات!$C$2:$C$2000,A1267)))</f>
        <v/>
      </c>
      <c r="F1267">
        <f>IF(A1267="","",SUMIFS(المبيعات!$H$2:$H$2000,المبيعات!$C$2:$C$2000,A1267,المبيعات!$J$2:$J$2000,"آجل"))</f>
        <v/>
      </c>
      <c r="G1267" s="4" t="n"/>
      <c r="H1267">
        <f>IF(A1267="","",F1267-G1267)</f>
        <v/>
      </c>
    </row>
    <row r="1268">
      <c r="A1268" s="4" t="n"/>
      <c r="B1268" s="4" t="n"/>
      <c r="C1268">
        <f>IF(A1268="","",SUMPRODUCT((المبيعات!$C$2:$C$2000=A1268)*(المبيعات!$B$2:$B$2000&lt;&gt;"")/COUNTIFS(المبيعات!$B$2:$B$2000,المبيعات!$B$2:$B$2000&amp;"",المبيعات!$C$2:$C$2000,المبيعات!$C$2:$C$2000&amp;"")))</f>
        <v/>
      </c>
      <c r="D1268">
        <f>IF(A1268="","",SUMIFS(المبيعات!$H$2:$H$2000,المبيعات!$C$2:$C$2000,A1268))</f>
        <v/>
      </c>
      <c r="E1268" s="13">
        <f>IF(A1268="","",IF(COUNTIF(المبيعات!$C$2:$C$2000,A1268)=0,"",_xlfn.MAXIFS(المبيعات!$A$2:$A$2000,المبيعات!$C$2:$C$2000,A1268)))</f>
        <v/>
      </c>
      <c r="F1268">
        <f>IF(A1268="","",SUMIFS(المبيعات!$H$2:$H$2000,المبيعات!$C$2:$C$2000,A1268,المبيعات!$J$2:$J$2000,"آجل"))</f>
        <v/>
      </c>
      <c r="G1268" s="4" t="n"/>
      <c r="H1268">
        <f>IF(A1268="","",F1268-G1268)</f>
        <v/>
      </c>
    </row>
    <row r="1269">
      <c r="A1269" s="4" t="n"/>
      <c r="B1269" s="4" t="n"/>
      <c r="C1269">
        <f>IF(A1269="","",SUMPRODUCT((المبيعات!$C$2:$C$2000=A1269)*(المبيعات!$B$2:$B$2000&lt;&gt;"")/COUNTIFS(المبيعات!$B$2:$B$2000,المبيعات!$B$2:$B$2000&amp;"",المبيعات!$C$2:$C$2000,المبيعات!$C$2:$C$2000&amp;"")))</f>
        <v/>
      </c>
      <c r="D1269">
        <f>IF(A1269="","",SUMIFS(المبيعات!$H$2:$H$2000,المبيعات!$C$2:$C$2000,A1269))</f>
        <v/>
      </c>
      <c r="E1269" s="13">
        <f>IF(A1269="","",IF(COUNTIF(المبيعات!$C$2:$C$2000,A1269)=0,"",_xlfn.MAXIFS(المبيعات!$A$2:$A$2000,المبيعات!$C$2:$C$2000,A1269)))</f>
        <v/>
      </c>
      <c r="F1269">
        <f>IF(A1269="","",SUMIFS(المبيعات!$H$2:$H$2000,المبيعات!$C$2:$C$2000,A1269,المبيعات!$J$2:$J$2000,"آجل"))</f>
        <v/>
      </c>
      <c r="G1269" s="4" t="n"/>
      <c r="H1269">
        <f>IF(A1269="","",F1269-G1269)</f>
        <v/>
      </c>
    </row>
    <row r="1270">
      <c r="A1270" s="4" t="n"/>
      <c r="B1270" s="4" t="n"/>
      <c r="C1270">
        <f>IF(A1270="","",SUMPRODUCT((المبيعات!$C$2:$C$2000=A1270)*(المبيعات!$B$2:$B$2000&lt;&gt;"")/COUNTIFS(المبيعات!$B$2:$B$2000,المبيعات!$B$2:$B$2000&amp;"",المبيعات!$C$2:$C$2000,المبيعات!$C$2:$C$2000&amp;"")))</f>
        <v/>
      </c>
      <c r="D1270">
        <f>IF(A1270="","",SUMIFS(المبيعات!$H$2:$H$2000,المبيعات!$C$2:$C$2000,A1270))</f>
        <v/>
      </c>
      <c r="E1270" s="13">
        <f>IF(A1270="","",IF(COUNTIF(المبيعات!$C$2:$C$2000,A1270)=0,"",_xlfn.MAXIFS(المبيعات!$A$2:$A$2000,المبيعات!$C$2:$C$2000,A1270)))</f>
        <v/>
      </c>
      <c r="F1270">
        <f>IF(A1270="","",SUMIFS(المبيعات!$H$2:$H$2000,المبيعات!$C$2:$C$2000,A1270,المبيعات!$J$2:$J$2000,"آجل"))</f>
        <v/>
      </c>
      <c r="G1270" s="4" t="n"/>
      <c r="H1270">
        <f>IF(A1270="","",F1270-G1270)</f>
        <v/>
      </c>
    </row>
    <row r="1271">
      <c r="A1271" s="4" t="n"/>
      <c r="B1271" s="4" t="n"/>
      <c r="C1271">
        <f>IF(A1271="","",SUMPRODUCT((المبيعات!$C$2:$C$2000=A1271)*(المبيعات!$B$2:$B$2000&lt;&gt;"")/COUNTIFS(المبيعات!$B$2:$B$2000,المبيعات!$B$2:$B$2000&amp;"",المبيعات!$C$2:$C$2000,المبيعات!$C$2:$C$2000&amp;"")))</f>
        <v/>
      </c>
      <c r="D1271">
        <f>IF(A1271="","",SUMIFS(المبيعات!$H$2:$H$2000,المبيعات!$C$2:$C$2000,A1271))</f>
        <v/>
      </c>
      <c r="E1271" s="13">
        <f>IF(A1271="","",IF(COUNTIF(المبيعات!$C$2:$C$2000,A1271)=0,"",_xlfn.MAXIFS(المبيعات!$A$2:$A$2000,المبيعات!$C$2:$C$2000,A1271)))</f>
        <v/>
      </c>
      <c r="F1271">
        <f>IF(A1271="","",SUMIFS(المبيعات!$H$2:$H$2000,المبيعات!$C$2:$C$2000,A1271,المبيعات!$J$2:$J$2000,"آجل"))</f>
        <v/>
      </c>
      <c r="G1271" s="4" t="n"/>
      <c r="H1271">
        <f>IF(A1271="","",F1271-G1271)</f>
        <v/>
      </c>
    </row>
    <row r="1272">
      <c r="A1272" s="4" t="n"/>
      <c r="B1272" s="4" t="n"/>
      <c r="C1272">
        <f>IF(A1272="","",SUMPRODUCT((المبيعات!$C$2:$C$2000=A1272)*(المبيعات!$B$2:$B$2000&lt;&gt;"")/COUNTIFS(المبيعات!$B$2:$B$2000,المبيعات!$B$2:$B$2000&amp;"",المبيعات!$C$2:$C$2000,المبيعات!$C$2:$C$2000&amp;"")))</f>
        <v/>
      </c>
      <c r="D1272">
        <f>IF(A1272="","",SUMIFS(المبيعات!$H$2:$H$2000,المبيعات!$C$2:$C$2000,A1272))</f>
        <v/>
      </c>
      <c r="E1272" s="13">
        <f>IF(A1272="","",IF(COUNTIF(المبيعات!$C$2:$C$2000,A1272)=0,"",_xlfn.MAXIFS(المبيعات!$A$2:$A$2000,المبيعات!$C$2:$C$2000,A1272)))</f>
        <v/>
      </c>
      <c r="F1272">
        <f>IF(A1272="","",SUMIFS(المبيعات!$H$2:$H$2000,المبيعات!$C$2:$C$2000,A1272,المبيعات!$J$2:$J$2000,"آجل"))</f>
        <v/>
      </c>
      <c r="G1272" s="4" t="n"/>
      <c r="H1272">
        <f>IF(A1272="","",F1272-G1272)</f>
        <v/>
      </c>
    </row>
    <row r="1273">
      <c r="A1273" s="4" t="n"/>
      <c r="B1273" s="4" t="n"/>
      <c r="C1273">
        <f>IF(A1273="","",SUMPRODUCT((المبيعات!$C$2:$C$2000=A1273)*(المبيعات!$B$2:$B$2000&lt;&gt;"")/COUNTIFS(المبيعات!$B$2:$B$2000,المبيعات!$B$2:$B$2000&amp;"",المبيعات!$C$2:$C$2000,المبيعات!$C$2:$C$2000&amp;"")))</f>
        <v/>
      </c>
      <c r="D1273">
        <f>IF(A1273="","",SUMIFS(المبيعات!$H$2:$H$2000,المبيعات!$C$2:$C$2000,A1273))</f>
        <v/>
      </c>
      <c r="E1273" s="13">
        <f>IF(A1273="","",IF(COUNTIF(المبيعات!$C$2:$C$2000,A1273)=0,"",_xlfn.MAXIFS(المبيعات!$A$2:$A$2000,المبيعات!$C$2:$C$2000,A1273)))</f>
        <v/>
      </c>
      <c r="F1273">
        <f>IF(A1273="","",SUMIFS(المبيعات!$H$2:$H$2000,المبيعات!$C$2:$C$2000,A1273,المبيعات!$J$2:$J$2000,"آجل"))</f>
        <v/>
      </c>
      <c r="G1273" s="4" t="n"/>
      <c r="H1273">
        <f>IF(A1273="","",F1273-G1273)</f>
        <v/>
      </c>
    </row>
    <row r="1274">
      <c r="A1274" s="4" t="n"/>
      <c r="B1274" s="4" t="n"/>
      <c r="C1274">
        <f>IF(A1274="","",SUMPRODUCT((المبيعات!$C$2:$C$2000=A1274)*(المبيعات!$B$2:$B$2000&lt;&gt;"")/COUNTIFS(المبيعات!$B$2:$B$2000,المبيعات!$B$2:$B$2000&amp;"",المبيعات!$C$2:$C$2000,المبيعات!$C$2:$C$2000&amp;"")))</f>
        <v/>
      </c>
      <c r="D1274">
        <f>IF(A1274="","",SUMIFS(المبيعات!$H$2:$H$2000,المبيعات!$C$2:$C$2000,A1274))</f>
        <v/>
      </c>
      <c r="E1274" s="13">
        <f>IF(A1274="","",IF(COUNTIF(المبيعات!$C$2:$C$2000,A1274)=0,"",_xlfn.MAXIFS(المبيعات!$A$2:$A$2000,المبيعات!$C$2:$C$2000,A1274)))</f>
        <v/>
      </c>
      <c r="F1274">
        <f>IF(A1274="","",SUMIFS(المبيعات!$H$2:$H$2000,المبيعات!$C$2:$C$2000,A1274,المبيعات!$J$2:$J$2000,"آجل"))</f>
        <v/>
      </c>
      <c r="G1274" s="4" t="n"/>
      <c r="H1274">
        <f>IF(A1274="","",F1274-G1274)</f>
        <v/>
      </c>
    </row>
    <row r="1275">
      <c r="A1275" s="4" t="n"/>
      <c r="B1275" s="4" t="n"/>
      <c r="C1275">
        <f>IF(A1275="","",SUMPRODUCT((المبيعات!$C$2:$C$2000=A1275)*(المبيعات!$B$2:$B$2000&lt;&gt;"")/COUNTIFS(المبيعات!$B$2:$B$2000,المبيعات!$B$2:$B$2000&amp;"",المبيعات!$C$2:$C$2000,المبيعات!$C$2:$C$2000&amp;"")))</f>
        <v/>
      </c>
      <c r="D1275">
        <f>IF(A1275="","",SUMIFS(المبيعات!$H$2:$H$2000,المبيعات!$C$2:$C$2000,A1275))</f>
        <v/>
      </c>
      <c r="E1275" s="13">
        <f>IF(A1275="","",IF(COUNTIF(المبيعات!$C$2:$C$2000,A1275)=0,"",_xlfn.MAXIFS(المبيعات!$A$2:$A$2000,المبيعات!$C$2:$C$2000,A1275)))</f>
        <v/>
      </c>
      <c r="F1275">
        <f>IF(A1275="","",SUMIFS(المبيعات!$H$2:$H$2000,المبيعات!$C$2:$C$2000,A1275,المبيعات!$J$2:$J$2000,"آجل"))</f>
        <v/>
      </c>
      <c r="G1275" s="4" t="n"/>
      <c r="H1275">
        <f>IF(A1275="","",F1275-G1275)</f>
        <v/>
      </c>
    </row>
    <row r="1276">
      <c r="A1276" s="4" t="n"/>
      <c r="B1276" s="4" t="n"/>
      <c r="C1276">
        <f>IF(A1276="","",SUMPRODUCT((المبيعات!$C$2:$C$2000=A1276)*(المبيعات!$B$2:$B$2000&lt;&gt;"")/COUNTIFS(المبيعات!$B$2:$B$2000,المبيعات!$B$2:$B$2000&amp;"",المبيعات!$C$2:$C$2000,المبيعات!$C$2:$C$2000&amp;"")))</f>
        <v/>
      </c>
      <c r="D1276">
        <f>IF(A1276="","",SUMIFS(المبيعات!$H$2:$H$2000,المبيعات!$C$2:$C$2000,A1276))</f>
        <v/>
      </c>
      <c r="E1276" s="13">
        <f>IF(A1276="","",IF(COUNTIF(المبيعات!$C$2:$C$2000,A1276)=0,"",_xlfn.MAXIFS(المبيعات!$A$2:$A$2000,المبيعات!$C$2:$C$2000,A1276)))</f>
        <v/>
      </c>
      <c r="F1276">
        <f>IF(A1276="","",SUMIFS(المبيعات!$H$2:$H$2000,المبيعات!$C$2:$C$2000,A1276,المبيعات!$J$2:$J$2000,"آجل"))</f>
        <v/>
      </c>
      <c r="G1276" s="4" t="n"/>
      <c r="H1276">
        <f>IF(A1276="","",F1276-G1276)</f>
        <v/>
      </c>
    </row>
    <row r="1277">
      <c r="A1277" s="4" t="n"/>
      <c r="B1277" s="4" t="n"/>
      <c r="C1277">
        <f>IF(A1277="","",SUMPRODUCT((المبيعات!$C$2:$C$2000=A1277)*(المبيعات!$B$2:$B$2000&lt;&gt;"")/COUNTIFS(المبيعات!$B$2:$B$2000,المبيعات!$B$2:$B$2000&amp;"",المبيعات!$C$2:$C$2000,المبيعات!$C$2:$C$2000&amp;"")))</f>
        <v/>
      </c>
      <c r="D1277">
        <f>IF(A1277="","",SUMIFS(المبيعات!$H$2:$H$2000,المبيعات!$C$2:$C$2000,A1277))</f>
        <v/>
      </c>
      <c r="E1277" s="13">
        <f>IF(A1277="","",IF(COUNTIF(المبيعات!$C$2:$C$2000,A1277)=0,"",_xlfn.MAXIFS(المبيعات!$A$2:$A$2000,المبيعات!$C$2:$C$2000,A1277)))</f>
        <v/>
      </c>
      <c r="F1277">
        <f>IF(A1277="","",SUMIFS(المبيعات!$H$2:$H$2000,المبيعات!$C$2:$C$2000,A1277,المبيعات!$J$2:$J$2000,"آجل"))</f>
        <v/>
      </c>
      <c r="G1277" s="4" t="n"/>
      <c r="H1277">
        <f>IF(A1277="","",F1277-G1277)</f>
        <v/>
      </c>
    </row>
    <row r="1278">
      <c r="A1278" s="4" t="n"/>
      <c r="B1278" s="4" t="n"/>
      <c r="C1278">
        <f>IF(A1278="","",SUMPRODUCT((المبيعات!$C$2:$C$2000=A1278)*(المبيعات!$B$2:$B$2000&lt;&gt;"")/COUNTIFS(المبيعات!$B$2:$B$2000,المبيعات!$B$2:$B$2000&amp;"",المبيعات!$C$2:$C$2000,المبيعات!$C$2:$C$2000&amp;"")))</f>
        <v/>
      </c>
      <c r="D1278">
        <f>IF(A1278="","",SUMIFS(المبيعات!$H$2:$H$2000,المبيعات!$C$2:$C$2000,A1278))</f>
        <v/>
      </c>
      <c r="E1278" s="13">
        <f>IF(A1278="","",IF(COUNTIF(المبيعات!$C$2:$C$2000,A1278)=0,"",_xlfn.MAXIFS(المبيعات!$A$2:$A$2000,المبيعات!$C$2:$C$2000,A1278)))</f>
        <v/>
      </c>
      <c r="F1278">
        <f>IF(A1278="","",SUMIFS(المبيعات!$H$2:$H$2000,المبيعات!$C$2:$C$2000,A1278,المبيعات!$J$2:$J$2000,"آجل"))</f>
        <v/>
      </c>
      <c r="G1278" s="4" t="n"/>
      <c r="H1278">
        <f>IF(A1278="","",F1278-G1278)</f>
        <v/>
      </c>
    </row>
    <row r="1279">
      <c r="A1279" s="4" t="n"/>
      <c r="B1279" s="4" t="n"/>
      <c r="C1279">
        <f>IF(A1279="","",SUMPRODUCT((المبيعات!$C$2:$C$2000=A1279)*(المبيعات!$B$2:$B$2000&lt;&gt;"")/COUNTIFS(المبيعات!$B$2:$B$2000,المبيعات!$B$2:$B$2000&amp;"",المبيعات!$C$2:$C$2000,المبيعات!$C$2:$C$2000&amp;"")))</f>
        <v/>
      </c>
      <c r="D1279">
        <f>IF(A1279="","",SUMIFS(المبيعات!$H$2:$H$2000,المبيعات!$C$2:$C$2000,A1279))</f>
        <v/>
      </c>
      <c r="E1279" s="13">
        <f>IF(A1279="","",IF(COUNTIF(المبيعات!$C$2:$C$2000,A1279)=0,"",_xlfn.MAXIFS(المبيعات!$A$2:$A$2000,المبيعات!$C$2:$C$2000,A1279)))</f>
        <v/>
      </c>
      <c r="F1279">
        <f>IF(A1279="","",SUMIFS(المبيعات!$H$2:$H$2000,المبيعات!$C$2:$C$2000,A1279,المبيعات!$J$2:$J$2000,"آجل"))</f>
        <v/>
      </c>
      <c r="G1279" s="4" t="n"/>
      <c r="H1279">
        <f>IF(A1279="","",F1279-G1279)</f>
        <v/>
      </c>
    </row>
    <row r="1280">
      <c r="A1280" s="4" t="n"/>
      <c r="B1280" s="4" t="n"/>
      <c r="C1280">
        <f>IF(A1280="","",SUMPRODUCT((المبيعات!$C$2:$C$2000=A1280)*(المبيعات!$B$2:$B$2000&lt;&gt;"")/COUNTIFS(المبيعات!$B$2:$B$2000,المبيعات!$B$2:$B$2000&amp;"",المبيعات!$C$2:$C$2000,المبيعات!$C$2:$C$2000&amp;"")))</f>
        <v/>
      </c>
      <c r="D1280">
        <f>IF(A1280="","",SUMIFS(المبيعات!$H$2:$H$2000,المبيعات!$C$2:$C$2000,A1280))</f>
        <v/>
      </c>
      <c r="E1280" s="13">
        <f>IF(A1280="","",IF(COUNTIF(المبيعات!$C$2:$C$2000,A1280)=0,"",_xlfn.MAXIFS(المبيعات!$A$2:$A$2000,المبيعات!$C$2:$C$2000,A1280)))</f>
        <v/>
      </c>
      <c r="F1280">
        <f>IF(A1280="","",SUMIFS(المبيعات!$H$2:$H$2000,المبيعات!$C$2:$C$2000,A1280,المبيعات!$J$2:$J$2000,"آجل"))</f>
        <v/>
      </c>
      <c r="G1280" s="4" t="n"/>
      <c r="H1280">
        <f>IF(A1280="","",F1280-G1280)</f>
        <v/>
      </c>
    </row>
    <row r="1281">
      <c r="A1281" s="4" t="n"/>
      <c r="B1281" s="4" t="n"/>
      <c r="C1281">
        <f>IF(A1281="","",SUMPRODUCT((المبيعات!$C$2:$C$2000=A1281)*(المبيعات!$B$2:$B$2000&lt;&gt;"")/COUNTIFS(المبيعات!$B$2:$B$2000,المبيعات!$B$2:$B$2000&amp;"",المبيعات!$C$2:$C$2000,المبيعات!$C$2:$C$2000&amp;"")))</f>
        <v/>
      </c>
      <c r="D1281">
        <f>IF(A1281="","",SUMIFS(المبيعات!$H$2:$H$2000,المبيعات!$C$2:$C$2000,A1281))</f>
        <v/>
      </c>
      <c r="E1281" s="13">
        <f>IF(A1281="","",IF(COUNTIF(المبيعات!$C$2:$C$2000,A1281)=0,"",_xlfn.MAXIFS(المبيعات!$A$2:$A$2000,المبيعات!$C$2:$C$2000,A1281)))</f>
        <v/>
      </c>
      <c r="F1281">
        <f>IF(A1281="","",SUMIFS(المبيعات!$H$2:$H$2000,المبيعات!$C$2:$C$2000,A1281,المبيعات!$J$2:$J$2000,"آجل"))</f>
        <v/>
      </c>
      <c r="G1281" s="4" t="n"/>
      <c r="H1281">
        <f>IF(A1281="","",F1281-G1281)</f>
        <v/>
      </c>
    </row>
    <row r="1282">
      <c r="A1282" s="4" t="n"/>
      <c r="B1282" s="4" t="n"/>
      <c r="C1282">
        <f>IF(A1282="","",SUMPRODUCT((المبيعات!$C$2:$C$2000=A1282)*(المبيعات!$B$2:$B$2000&lt;&gt;"")/COUNTIFS(المبيعات!$B$2:$B$2000,المبيعات!$B$2:$B$2000&amp;"",المبيعات!$C$2:$C$2000,المبيعات!$C$2:$C$2000&amp;"")))</f>
        <v/>
      </c>
      <c r="D1282">
        <f>IF(A1282="","",SUMIFS(المبيعات!$H$2:$H$2000,المبيعات!$C$2:$C$2000,A1282))</f>
        <v/>
      </c>
      <c r="E1282" s="13">
        <f>IF(A1282="","",IF(COUNTIF(المبيعات!$C$2:$C$2000,A1282)=0,"",_xlfn.MAXIFS(المبيعات!$A$2:$A$2000,المبيعات!$C$2:$C$2000,A1282)))</f>
        <v/>
      </c>
      <c r="F1282">
        <f>IF(A1282="","",SUMIFS(المبيعات!$H$2:$H$2000,المبيعات!$C$2:$C$2000,A1282,المبيعات!$J$2:$J$2000,"آجل"))</f>
        <v/>
      </c>
      <c r="G1282" s="4" t="n"/>
      <c r="H1282">
        <f>IF(A1282="","",F1282-G1282)</f>
        <v/>
      </c>
    </row>
    <row r="1283">
      <c r="A1283" s="4" t="n"/>
      <c r="B1283" s="4" t="n"/>
      <c r="C1283">
        <f>IF(A1283="","",SUMPRODUCT((المبيعات!$C$2:$C$2000=A1283)*(المبيعات!$B$2:$B$2000&lt;&gt;"")/COUNTIFS(المبيعات!$B$2:$B$2000,المبيعات!$B$2:$B$2000&amp;"",المبيعات!$C$2:$C$2000,المبيعات!$C$2:$C$2000&amp;"")))</f>
        <v/>
      </c>
      <c r="D1283">
        <f>IF(A1283="","",SUMIFS(المبيعات!$H$2:$H$2000,المبيعات!$C$2:$C$2000,A1283))</f>
        <v/>
      </c>
      <c r="E1283" s="13">
        <f>IF(A1283="","",IF(COUNTIF(المبيعات!$C$2:$C$2000,A1283)=0,"",_xlfn.MAXIFS(المبيعات!$A$2:$A$2000,المبيعات!$C$2:$C$2000,A1283)))</f>
        <v/>
      </c>
      <c r="F1283">
        <f>IF(A1283="","",SUMIFS(المبيعات!$H$2:$H$2000,المبيعات!$C$2:$C$2000,A1283,المبيعات!$J$2:$J$2000,"آجل"))</f>
        <v/>
      </c>
      <c r="G1283" s="4" t="n"/>
      <c r="H1283">
        <f>IF(A1283="","",F1283-G1283)</f>
        <v/>
      </c>
    </row>
    <row r="1284">
      <c r="A1284" s="4" t="n"/>
      <c r="B1284" s="4" t="n"/>
      <c r="C1284">
        <f>IF(A1284="","",SUMPRODUCT((المبيعات!$C$2:$C$2000=A1284)*(المبيعات!$B$2:$B$2000&lt;&gt;"")/COUNTIFS(المبيعات!$B$2:$B$2000,المبيعات!$B$2:$B$2000&amp;"",المبيعات!$C$2:$C$2000,المبيعات!$C$2:$C$2000&amp;"")))</f>
        <v/>
      </c>
      <c r="D1284">
        <f>IF(A1284="","",SUMIFS(المبيعات!$H$2:$H$2000,المبيعات!$C$2:$C$2000,A1284))</f>
        <v/>
      </c>
      <c r="E1284" s="13">
        <f>IF(A1284="","",IF(COUNTIF(المبيعات!$C$2:$C$2000,A1284)=0,"",_xlfn.MAXIFS(المبيعات!$A$2:$A$2000,المبيعات!$C$2:$C$2000,A1284)))</f>
        <v/>
      </c>
      <c r="F1284">
        <f>IF(A1284="","",SUMIFS(المبيعات!$H$2:$H$2000,المبيعات!$C$2:$C$2000,A1284,المبيعات!$J$2:$J$2000,"آجل"))</f>
        <v/>
      </c>
      <c r="G1284" s="4" t="n"/>
      <c r="H1284">
        <f>IF(A1284="","",F1284-G1284)</f>
        <v/>
      </c>
    </row>
    <row r="1285">
      <c r="A1285" s="4" t="n"/>
      <c r="B1285" s="4" t="n"/>
      <c r="C1285">
        <f>IF(A1285="","",SUMPRODUCT((المبيعات!$C$2:$C$2000=A1285)*(المبيعات!$B$2:$B$2000&lt;&gt;"")/COUNTIFS(المبيعات!$B$2:$B$2000,المبيعات!$B$2:$B$2000&amp;"",المبيعات!$C$2:$C$2000,المبيعات!$C$2:$C$2000&amp;"")))</f>
        <v/>
      </c>
      <c r="D1285">
        <f>IF(A1285="","",SUMIFS(المبيعات!$H$2:$H$2000,المبيعات!$C$2:$C$2000,A1285))</f>
        <v/>
      </c>
      <c r="E1285" s="13">
        <f>IF(A1285="","",IF(COUNTIF(المبيعات!$C$2:$C$2000,A1285)=0,"",_xlfn.MAXIFS(المبيعات!$A$2:$A$2000,المبيعات!$C$2:$C$2000,A1285)))</f>
        <v/>
      </c>
      <c r="F1285">
        <f>IF(A1285="","",SUMIFS(المبيعات!$H$2:$H$2000,المبيعات!$C$2:$C$2000,A1285,المبيعات!$J$2:$J$2000,"آجل"))</f>
        <v/>
      </c>
      <c r="G1285" s="4" t="n"/>
      <c r="H1285">
        <f>IF(A1285="","",F1285-G1285)</f>
        <v/>
      </c>
    </row>
    <row r="1286">
      <c r="A1286" s="4" t="n"/>
      <c r="B1286" s="4" t="n"/>
      <c r="C1286">
        <f>IF(A1286="","",SUMPRODUCT((المبيعات!$C$2:$C$2000=A1286)*(المبيعات!$B$2:$B$2000&lt;&gt;"")/COUNTIFS(المبيعات!$B$2:$B$2000,المبيعات!$B$2:$B$2000&amp;"",المبيعات!$C$2:$C$2000,المبيعات!$C$2:$C$2000&amp;"")))</f>
        <v/>
      </c>
      <c r="D1286">
        <f>IF(A1286="","",SUMIFS(المبيعات!$H$2:$H$2000,المبيعات!$C$2:$C$2000,A1286))</f>
        <v/>
      </c>
      <c r="E1286" s="13">
        <f>IF(A1286="","",IF(COUNTIF(المبيعات!$C$2:$C$2000,A1286)=0,"",_xlfn.MAXIFS(المبيعات!$A$2:$A$2000,المبيعات!$C$2:$C$2000,A1286)))</f>
        <v/>
      </c>
      <c r="F1286">
        <f>IF(A1286="","",SUMIFS(المبيعات!$H$2:$H$2000,المبيعات!$C$2:$C$2000,A1286,المبيعات!$J$2:$J$2000,"آجل"))</f>
        <v/>
      </c>
      <c r="G1286" s="4" t="n"/>
      <c r="H1286">
        <f>IF(A1286="","",F1286-G1286)</f>
        <v/>
      </c>
    </row>
    <row r="1287">
      <c r="A1287" s="4" t="n"/>
      <c r="B1287" s="4" t="n"/>
      <c r="C1287">
        <f>IF(A1287="","",SUMPRODUCT((المبيعات!$C$2:$C$2000=A1287)*(المبيعات!$B$2:$B$2000&lt;&gt;"")/COUNTIFS(المبيعات!$B$2:$B$2000,المبيعات!$B$2:$B$2000&amp;"",المبيعات!$C$2:$C$2000,المبيعات!$C$2:$C$2000&amp;"")))</f>
        <v/>
      </c>
      <c r="D1287">
        <f>IF(A1287="","",SUMIFS(المبيعات!$H$2:$H$2000,المبيعات!$C$2:$C$2000,A1287))</f>
        <v/>
      </c>
      <c r="E1287" s="13">
        <f>IF(A1287="","",IF(COUNTIF(المبيعات!$C$2:$C$2000,A1287)=0,"",_xlfn.MAXIFS(المبيعات!$A$2:$A$2000,المبيعات!$C$2:$C$2000,A1287)))</f>
        <v/>
      </c>
      <c r="F1287">
        <f>IF(A1287="","",SUMIFS(المبيعات!$H$2:$H$2000,المبيعات!$C$2:$C$2000,A1287,المبيعات!$J$2:$J$2000,"آجل"))</f>
        <v/>
      </c>
      <c r="G1287" s="4" t="n"/>
      <c r="H1287">
        <f>IF(A1287="","",F1287-G1287)</f>
        <v/>
      </c>
    </row>
    <row r="1288">
      <c r="A1288" s="4" t="n"/>
      <c r="B1288" s="4" t="n"/>
      <c r="C1288">
        <f>IF(A1288="","",SUMPRODUCT((المبيعات!$C$2:$C$2000=A1288)*(المبيعات!$B$2:$B$2000&lt;&gt;"")/COUNTIFS(المبيعات!$B$2:$B$2000,المبيعات!$B$2:$B$2000&amp;"",المبيعات!$C$2:$C$2000,المبيعات!$C$2:$C$2000&amp;"")))</f>
        <v/>
      </c>
      <c r="D1288">
        <f>IF(A1288="","",SUMIFS(المبيعات!$H$2:$H$2000,المبيعات!$C$2:$C$2000,A1288))</f>
        <v/>
      </c>
      <c r="E1288" s="13">
        <f>IF(A1288="","",IF(COUNTIF(المبيعات!$C$2:$C$2000,A1288)=0,"",_xlfn.MAXIFS(المبيعات!$A$2:$A$2000,المبيعات!$C$2:$C$2000,A1288)))</f>
        <v/>
      </c>
      <c r="F1288">
        <f>IF(A1288="","",SUMIFS(المبيعات!$H$2:$H$2000,المبيعات!$C$2:$C$2000,A1288,المبيعات!$J$2:$J$2000,"آجل"))</f>
        <v/>
      </c>
      <c r="G1288" s="4" t="n"/>
      <c r="H1288">
        <f>IF(A1288="","",F1288-G1288)</f>
        <v/>
      </c>
    </row>
    <row r="1289">
      <c r="A1289" s="4" t="n"/>
      <c r="B1289" s="4" t="n"/>
      <c r="C1289">
        <f>IF(A1289="","",SUMPRODUCT((المبيعات!$C$2:$C$2000=A1289)*(المبيعات!$B$2:$B$2000&lt;&gt;"")/COUNTIFS(المبيعات!$B$2:$B$2000,المبيعات!$B$2:$B$2000&amp;"",المبيعات!$C$2:$C$2000,المبيعات!$C$2:$C$2000&amp;"")))</f>
        <v/>
      </c>
      <c r="D1289">
        <f>IF(A1289="","",SUMIFS(المبيعات!$H$2:$H$2000,المبيعات!$C$2:$C$2000,A1289))</f>
        <v/>
      </c>
      <c r="E1289" s="13">
        <f>IF(A1289="","",IF(COUNTIF(المبيعات!$C$2:$C$2000,A1289)=0,"",_xlfn.MAXIFS(المبيعات!$A$2:$A$2000,المبيعات!$C$2:$C$2000,A1289)))</f>
        <v/>
      </c>
      <c r="F1289">
        <f>IF(A1289="","",SUMIFS(المبيعات!$H$2:$H$2000,المبيعات!$C$2:$C$2000,A1289,المبيعات!$J$2:$J$2000,"آجل"))</f>
        <v/>
      </c>
      <c r="G1289" s="4" t="n"/>
      <c r="H1289">
        <f>IF(A1289="","",F1289-G1289)</f>
        <v/>
      </c>
    </row>
    <row r="1290">
      <c r="A1290" s="4" t="n"/>
      <c r="B1290" s="4" t="n"/>
      <c r="C1290">
        <f>IF(A1290="","",SUMPRODUCT((المبيعات!$C$2:$C$2000=A1290)*(المبيعات!$B$2:$B$2000&lt;&gt;"")/COUNTIFS(المبيعات!$B$2:$B$2000,المبيعات!$B$2:$B$2000&amp;"",المبيعات!$C$2:$C$2000,المبيعات!$C$2:$C$2000&amp;"")))</f>
        <v/>
      </c>
      <c r="D1290">
        <f>IF(A1290="","",SUMIFS(المبيعات!$H$2:$H$2000,المبيعات!$C$2:$C$2000,A1290))</f>
        <v/>
      </c>
      <c r="E1290" s="13">
        <f>IF(A1290="","",IF(COUNTIF(المبيعات!$C$2:$C$2000,A1290)=0,"",_xlfn.MAXIFS(المبيعات!$A$2:$A$2000,المبيعات!$C$2:$C$2000,A1290)))</f>
        <v/>
      </c>
      <c r="F1290">
        <f>IF(A1290="","",SUMIFS(المبيعات!$H$2:$H$2000,المبيعات!$C$2:$C$2000,A1290,المبيعات!$J$2:$J$2000,"آجل"))</f>
        <v/>
      </c>
      <c r="G1290" s="4" t="n"/>
      <c r="H1290">
        <f>IF(A1290="","",F1290-G1290)</f>
        <v/>
      </c>
    </row>
    <row r="1291">
      <c r="A1291" s="4" t="n"/>
      <c r="B1291" s="4" t="n"/>
      <c r="C1291">
        <f>IF(A1291="","",SUMPRODUCT((المبيعات!$C$2:$C$2000=A1291)*(المبيعات!$B$2:$B$2000&lt;&gt;"")/COUNTIFS(المبيعات!$B$2:$B$2000,المبيعات!$B$2:$B$2000&amp;"",المبيعات!$C$2:$C$2000,المبيعات!$C$2:$C$2000&amp;"")))</f>
        <v/>
      </c>
      <c r="D1291">
        <f>IF(A1291="","",SUMIFS(المبيعات!$H$2:$H$2000,المبيعات!$C$2:$C$2000,A1291))</f>
        <v/>
      </c>
      <c r="E1291" s="13">
        <f>IF(A1291="","",IF(COUNTIF(المبيعات!$C$2:$C$2000,A1291)=0,"",_xlfn.MAXIFS(المبيعات!$A$2:$A$2000,المبيعات!$C$2:$C$2000,A1291)))</f>
        <v/>
      </c>
      <c r="F1291">
        <f>IF(A1291="","",SUMIFS(المبيعات!$H$2:$H$2000,المبيعات!$C$2:$C$2000,A1291,المبيعات!$J$2:$J$2000,"آجل"))</f>
        <v/>
      </c>
      <c r="G1291" s="4" t="n"/>
      <c r="H1291">
        <f>IF(A1291="","",F1291-G1291)</f>
        <v/>
      </c>
    </row>
    <row r="1292">
      <c r="A1292" s="4" t="n"/>
      <c r="B1292" s="4" t="n"/>
      <c r="C1292">
        <f>IF(A1292="","",SUMPRODUCT((المبيعات!$C$2:$C$2000=A1292)*(المبيعات!$B$2:$B$2000&lt;&gt;"")/COUNTIFS(المبيعات!$B$2:$B$2000,المبيعات!$B$2:$B$2000&amp;"",المبيعات!$C$2:$C$2000,المبيعات!$C$2:$C$2000&amp;"")))</f>
        <v/>
      </c>
      <c r="D1292">
        <f>IF(A1292="","",SUMIFS(المبيعات!$H$2:$H$2000,المبيعات!$C$2:$C$2000,A1292))</f>
        <v/>
      </c>
      <c r="E1292" s="13">
        <f>IF(A1292="","",IF(COUNTIF(المبيعات!$C$2:$C$2000,A1292)=0,"",_xlfn.MAXIFS(المبيعات!$A$2:$A$2000,المبيعات!$C$2:$C$2000,A1292)))</f>
        <v/>
      </c>
      <c r="F1292">
        <f>IF(A1292="","",SUMIFS(المبيعات!$H$2:$H$2000,المبيعات!$C$2:$C$2000,A1292,المبيعات!$J$2:$J$2000,"آجل"))</f>
        <v/>
      </c>
      <c r="G1292" s="4" t="n"/>
      <c r="H1292">
        <f>IF(A1292="","",F1292-G1292)</f>
        <v/>
      </c>
    </row>
    <row r="1293">
      <c r="A1293" s="4" t="n"/>
      <c r="B1293" s="4" t="n"/>
      <c r="C1293">
        <f>IF(A1293="","",SUMPRODUCT((المبيعات!$C$2:$C$2000=A1293)*(المبيعات!$B$2:$B$2000&lt;&gt;"")/COUNTIFS(المبيعات!$B$2:$B$2000,المبيعات!$B$2:$B$2000&amp;"",المبيعات!$C$2:$C$2000,المبيعات!$C$2:$C$2000&amp;"")))</f>
        <v/>
      </c>
      <c r="D1293">
        <f>IF(A1293="","",SUMIFS(المبيعات!$H$2:$H$2000,المبيعات!$C$2:$C$2000,A1293))</f>
        <v/>
      </c>
      <c r="E1293" s="13">
        <f>IF(A1293="","",IF(COUNTIF(المبيعات!$C$2:$C$2000,A1293)=0,"",_xlfn.MAXIFS(المبيعات!$A$2:$A$2000,المبيعات!$C$2:$C$2000,A1293)))</f>
        <v/>
      </c>
      <c r="F1293">
        <f>IF(A1293="","",SUMIFS(المبيعات!$H$2:$H$2000,المبيعات!$C$2:$C$2000,A1293,المبيعات!$J$2:$J$2000,"آجل"))</f>
        <v/>
      </c>
      <c r="G1293" s="4" t="n"/>
      <c r="H1293">
        <f>IF(A1293="","",F1293-G1293)</f>
        <v/>
      </c>
    </row>
    <row r="1294">
      <c r="A1294" s="4" t="n"/>
      <c r="B1294" s="4" t="n"/>
      <c r="C1294">
        <f>IF(A1294="","",SUMPRODUCT((المبيعات!$C$2:$C$2000=A1294)*(المبيعات!$B$2:$B$2000&lt;&gt;"")/COUNTIFS(المبيعات!$B$2:$B$2000,المبيعات!$B$2:$B$2000&amp;"",المبيعات!$C$2:$C$2000,المبيعات!$C$2:$C$2000&amp;"")))</f>
        <v/>
      </c>
      <c r="D1294">
        <f>IF(A1294="","",SUMIFS(المبيعات!$H$2:$H$2000,المبيعات!$C$2:$C$2000,A1294))</f>
        <v/>
      </c>
      <c r="E1294" s="13">
        <f>IF(A1294="","",IF(COUNTIF(المبيعات!$C$2:$C$2000,A1294)=0,"",_xlfn.MAXIFS(المبيعات!$A$2:$A$2000,المبيعات!$C$2:$C$2000,A1294)))</f>
        <v/>
      </c>
      <c r="F1294">
        <f>IF(A1294="","",SUMIFS(المبيعات!$H$2:$H$2000,المبيعات!$C$2:$C$2000,A1294,المبيعات!$J$2:$J$2000,"آجل"))</f>
        <v/>
      </c>
      <c r="G1294" s="4" t="n"/>
      <c r="H1294">
        <f>IF(A1294="","",F1294-G1294)</f>
        <v/>
      </c>
    </row>
    <row r="1295">
      <c r="A1295" s="4" t="n"/>
      <c r="B1295" s="4" t="n"/>
      <c r="C1295">
        <f>IF(A1295="","",SUMPRODUCT((المبيعات!$C$2:$C$2000=A1295)*(المبيعات!$B$2:$B$2000&lt;&gt;"")/COUNTIFS(المبيعات!$B$2:$B$2000,المبيعات!$B$2:$B$2000&amp;"",المبيعات!$C$2:$C$2000,المبيعات!$C$2:$C$2000&amp;"")))</f>
        <v/>
      </c>
      <c r="D1295">
        <f>IF(A1295="","",SUMIFS(المبيعات!$H$2:$H$2000,المبيعات!$C$2:$C$2000,A1295))</f>
        <v/>
      </c>
      <c r="E1295" s="13">
        <f>IF(A1295="","",IF(COUNTIF(المبيعات!$C$2:$C$2000,A1295)=0,"",_xlfn.MAXIFS(المبيعات!$A$2:$A$2000,المبيعات!$C$2:$C$2000,A1295)))</f>
        <v/>
      </c>
      <c r="F1295">
        <f>IF(A1295="","",SUMIFS(المبيعات!$H$2:$H$2000,المبيعات!$C$2:$C$2000,A1295,المبيعات!$J$2:$J$2000,"آجل"))</f>
        <v/>
      </c>
      <c r="G1295" s="4" t="n"/>
      <c r="H1295">
        <f>IF(A1295="","",F1295-G1295)</f>
        <v/>
      </c>
    </row>
    <row r="1296">
      <c r="A1296" s="4" t="n"/>
      <c r="B1296" s="4" t="n"/>
      <c r="C1296">
        <f>IF(A1296="","",SUMPRODUCT((المبيعات!$C$2:$C$2000=A1296)*(المبيعات!$B$2:$B$2000&lt;&gt;"")/COUNTIFS(المبيعات!$B$2:$B$2000,المبيعات!$B$2:$B$2000&amp;"",المبيعات!$C$2:$C$2000,المبيعات!$C$2:$C$2000&amp;"")))</f>
        <v/>
      </c>
      <c r="D1296">
        <f>IF(A1296="","",SUMIFS(المبيعات!$H$2:$H$2000,المبيعات!$C$2:$C$2000,A1296))</f>
        <v/>
      </c>
      <c r="E1296" s="13">
        <f>IF(A1296="","",IF(COUNTIF(المبيعات!$C$2:$C$2000,A1296)=0,"",_xlfn.MAXIFS(المبيعات!$A$2:$A$2000,المبيعات!$C$2:$C$2000,A1296)))</f>
        <v/>
      </c>
      <c r="F1296">
        <f>IF(A1296="","",SUMIFS(المبيعات!$H$2:$H$2000,المبيعات!$C$2:$C$2000,A1296,المبيعات!$J$2:$J$2000,"آجل"))</f>
        <v/>
      </c>
      <c r="G1296" s="4" t="n"/>
      <c r="H1296">
        <f>IF(A1296="","",F1296-G1296)</f>
        <v/>
      </c>
    </row>
    <row r="1297">
      <c r="A1297" s="4" t="n"/>
      <c r="B1297" s="4" t="n"/>
      <c r="C1297">
        <f>IF(A1297="","",SUMPRODUCT((المبيعات!$C$2:$C$2000=A1297)*(المبيعات!$B$2:$B$2000&lt;&gt;"")/COUNTIFS(المبيعات!$B$2:$B$2000,المبيعات!$B$2:$B$2000&amp;"",المبيعات!$C$2:$C$2000,المبيعات!$C$2:$C$2000&amp;"")))</f>
        <v/>
      </c>
      <c r="D1297">
        <f>IF(A1297="","",SUMIFS(المبيعات!$H$2:$H$2000,المبيعات!$C$2:$C$2000,A1297))</f>
        <v/>
      </c>
      <c r="E1297" s="13">
        <f>IF(A1297="","",IF(COUNTIF(المبيعات!$C$2:$C$2000,A1297)=0,"",_xlfn.MAXIFS(المبيعات!$A$2:$A$2000,المبيعات!$C$2:$C$2000,A1297)))</f>
        <v/>
      </c>
      <c r="F1297">
        <f>IF(A1297="","",SUMIFS(المبيعات!$H$2:$H$2000,المبيعات!$C$2:$C$2000,A1297,المبيعات!$J$2:$J$2000,"آجل"))</f>
        <v/>
      </c>
      <c r="G1297" s="4" t="n"/>
      <c r="H1297">
        <f>IF(A1297="","",F1297-G1297)</f>
        <v/>
      </c>
    </row>
    <row r="1298">
      <c r="A1298" s="4" t="n"/>
      <c r="B1298" s="4" t="n"/>
      <c r="C1298">
        <f>IF(A1298="","",SUMPRODUCT((المبيعات!$C$2:$C$2000=A1298)*(المبيعات!$B$2:$B$2000&lt;&gt;"")/COUNTIFS(المبيعات!$B$2:$B$2000,المبيعات!$B$2:$B$2000&amp;"",المبيعات!$C$2:$C$2000,المبيعات!$C$2:$C$2000&amp;"")))</f>
        <v/>
      </c>
      <c r="D1298">
        <f>IF(A1298="","",SUMIFS(المبيعات!$H$2:$H$2000,المبيعات!$C$2:$C$2000,A1298))</f>
        <v/>
      </c>
      <c r="E1298" s="13">
        <f>IF(A1298="","",IF(COUNTIF(المبيعات!$C$2:$C$2000,A1298)=0,"",_xlfn.MAXIFS(المبيعات!$A$2:$A$2000,المبيعات!$C$2:$C$2000,A1298)))</f>
        <v/>
      </c>
      <c r="F1298">
        <f>IF(A1298="","",SUMIFS(المبيعات!$H$2:$H$2000,المبيعات!$C$2:$C$2000,A1298,المبيعات!$J$2:$J$2000,"آجل"))</f>
        <v/>
      </c>
      <c r="G1298" s="4" t="n"/>
      <c r="H1298">
        <f>IF(A1298="","",F1298-G1298)</f>
        <v/>
      </c>
    </row>
    <row r="1299">
      <c r="A1299" s="4" t="n"/>
      <c r="B1299" s="4" t="n"/>
      <c r="C1299">
        <f>IF(A1299="","",SUMPRODUCT((المبيعات!$C$2:$C$2000=A1299)*(المبيعات!$B$2:$B$2000&lt;&gt;"")/COUNTIFS(المبيعات!$B$2:$B$2000,المبيعات!$B$2:$B$2000&amp;"",المبيعات!$C$2:$C$2000,المبيعات!$C$2:$C$2000&amp;"")))</f>
        <v/>
      </c>
      <c r="D1299">
        <f>IF(A1299="","",SUMIFS(المبيعات!$H$2:$H$2000,المبيعات!$C$2:$C$2000,A1299))</f>
        <v/>
      </c>
      <c r="E1299" s="13">
        <f>IF(A1299="","",IF(COUNTIF(المبيعات!$C$2:$C$2000,A1299)=0,"",_xlfn.MAXIFS(المبيعات!$A$2:$A$2000,المبيعات!$C$2:$C$2000,A1299)))</f>
        <v/>
      </c>
      <c r="F1299">
        <f>IF(A1299="","",SUMIFS(المبيعات!$H$2:$H$2000,المبيعات!$C$2:$C$2000,A1299,المبيعات!$J$2:$J$2000,"آجل"))</f>
        <v/>
      </c>
      <c r="G1299" s="4" t="n"/>
      <c r="H1299">
        <f>IF(A1299="","",F1299-G1299)</f>
        <v/>
      </c>
    </row>
    <row r="1300">
      <c r="A1300" s="4" t="n"/>
      <c r="B1300" s="4" t="n"/>
      <c r="C1300">
        <f>IF(A1300="","",SUMPRODUCT((المبيعات!$C$2:$C$2000=A1300)*(المبيعات!$B$2:$B$2000&lt;&gt;"")/COUNTIFS(المبيعات!$B$2:$B$2000,المبيعات!$B$2:$B$2000&amp;"",المبيعات!$C$2:$C$2000,المبيعات!$C$2:$C$2000&amp;"")))</f>
        <v/>
      </c>
      <c r="D1300">
        <f>IF(A1300="","",SUMIFS(المبيعات!$H$2:$H$2000,المبيعات!$C$2:$C$2000,A1300))</f>
        <v/>
      </c>
      <c r="E1300" s="13">
        <f>IF(A1300="","",IF(COUNTIF(المبيعات!$C$2:$C$2000,A1300)=0,"",_xlfn.MAXIFS(المبيعات!$A$2:$A$2000,المبيعات!$C$2:$C$2000,A1300)))</f>
        <v/>
      </c>
      <c r="F1300">
        <f>IF(A1300="","",SUMIFS(المبيعات!$H$2:$H$2000,المبيعات!$C$2:$C$2000,A1300,المبيعات!$J$2:$J$2000,"آجل"))</f>
        <v/>
      </c>
      <c r="G1300" s="4" t="n"/>
      <c r="H1300">
        <f>IF(A1300="","",F1300-G1300)</f>
        <v/>
      </c>
    </row>
    <row r="1301">
      <c r="A1301" s="4" t="n"/>
      <c r="B1301" s="4" t="n"/>
      <c r="C1301">
        <f>IF(A1301="","",SUMPRODUCT((المبيعات!$C$2:$C$2000=A1301)*(المبيعات!$B$2:$B$2000&lt;&gt;"")/COUNTIFS(المبيعات!$B$2:$B$2000,المبيعات!$B$2:$B$2000&amp;"",المبيعات!$C$2:$C$2000,المبيعات!$C$2:$C$2000&amp;"")))</f>
        <v/>
      </c>
      <c r="D1301">
        <f>IF(A1301="","",SUMIFS(المبيعات!$H$2:$H$2000,المبيعات!$C$2:$C$2000,A1301))</f>
        <v/>
      </c>
      <c r="E1301" s="13">
        <f>IF(A1301="","",IF(COUNTIF(المبيعات!$C$2:$C$2000,A1301)=0,"",_xlfn.MAXIFS(المبيعات!$A$2:$A$2000,المبيعات!$C$2:$C$2000,A1301)))</f>
        <v/>
      </c>
      <c r="F1301">
        <f>IF(A1301="","",SUMIFS(المبيعات!$H$2:$H$2000,المبيعات!$C$2:$C$2000,A1301,المبيعات!$J$2:$J$2000,"آجل"))</f>
        <v/>
      </c>
      <c r="G1301" s="4" t="n"/>
      <c r="H1301">
        <f>IF(A1301="","",F1301-G1301)</f>
        <v/>
      </c>
    </row>
    <row r="1302">
      <c r="A1302" s="4" t="n"/>
      <c r="B1302" s="4" t="n"/>
      <c r="C1302">
        <f>IF(A1302="","",SUMPRODUCT((المبيعات!$C$2:$C$2000=A1302)*(المبيعات!$B$2:$B$2000&lt;&gt;"")/COUNTIFS(المبيعات!$B$2:$B$2000,المبيعات!$B$2:$B$2000&amp;"",المبيعات!$C$2:$C$2000,المبيعات!$C$2:$C$2000&amp;"")))</f>
        <v/>
      </c>
      <c r="D1302">
        <f>IF(A1302="","",SUMIFS(المبيعات!$H$2:$H$2000,المبيعات!$C$2:$C$2000,A1302))</f>
        <v/>
      </c>
      <c r="E1302" s="13">
        <f>IF(A1302="","",IF(COUNTIF(المبيعات!$C$2:$C$2000,A1302)=0,"",_xlfn.MAXIFS(المبيعات!$A$2:$A$2000,المبيعات!$C$2:$C$2000,A1302)))</f>
        <v/>
      </c>
      <c r="F1302">
        <f>IF(A1302="","",SUMIFS(المبيعات!$H$2:$H$2000,المبيعات!$C$2:$C$2000,A1302,المبيعات!$J$2:$J$2000,"آجل"))</f>
        <v/>
      </c>
      <c r="G1302" s="4" t="n"/>
      <c r="H1302">
        <f>IF(A1302="","",F1302-G1302)</f>
        <v/>
      </c>
    </row>
    <row r="1303">
      <c r="A1303" s="4" t="n"/>
      <c r="B1303" s="4" t="n"/>
      <c r="C1303">
        <f>IF(A1303="","",SUMPRODUCT((المبيعات!$C$2:$C$2000=A1303)*(المبيعات!$B$2:$B$2000&lt;&gt;"")/COUNTIFS(المبيعات!$B$2:$B$2000,المبيعات!$B$2:$B$2000&amp;"",المبيعات!$C$2:$C$2000,المبيعات!$C$2:$C$2000&amp;"")))</f>
        <v/>
      </c>
      <c r="D1303">
        <f>IF(A1303="","",SUMIFS(المبيعات!$H$2:$H$2000,المبيعات!$C$2:$C$2000,A1303))</f>
        <v/>
      </c>
      <c r="E1303" s="13">
        <f>IF(A1303="","",IF(COUNTIF(المبيعات!$C$2:$C$2000,A1303)=0,"",_xlfn.MAXIFS(المبيعات!$A$2:$A$2000,المبيعات!$C$2:$C$2000,A1303)))</f>
        <v/>
      </c>
      <c r="F1303">
        <f>IF(A1303="","",SUMIFS(المبيعات!$H$2:$H$2000,المبيعات!$C$2:$C$2000,A1303,المبيعات!$J$2:$J$2000,"آجل"))</f>
        <v/>
      </c>
      <c r="G1303" s="4" t="n"/>
      <c r="H1303">
        <f>IF(A1303="","",F1303-G1303)</f>
        <v/>
      </c>
    </row>
    <row r="1304">
      <c r="A1304" s="4" t="n"/>
      <c r="B1304" s="4" t="n"/>
      <c r="C1304">
        <f>IF(A1304="","",SUMPRODUCT((المبيعات!$C$2:$C$2000=A1304)*(المبيعات!$B$2:$B$2000&lt;&gt;"")/COUNTIFS(المبيعات!$B$2:$B$2000,المبيعات!$B$2:$B$2000&amp;"",المبيعات!$C$2:$C$2000,المبيعات!$C$2:$C$2000&amp;"")))</f>
        <v/>
      </c>
      <c r="D1304">
        <f>IF(A1304="","",SUMIFS(المبيعات!$H$2:$H$2000,المبيعات!$C$2:$C$2000,A1304))</f>
        <v/>
      </c>
      <c r="E1304" s="13">
        <f>IF(A1304="","",IF(COUNTIF(المبيعات!$C$2:$C$2000,A1304)=0,"",_xlfn.MAXIFS(المبيعات!$A$2:$A$2000,المبيعات!$C$2:$C$2000,A1304)))</f>
        <v/>
      </c>
      <c r="F1304">
        <f>IF(A1304="","",SUMIFS(المبيعات!$H$2:$H$2000,المبيعات!$C$2:$C$2000,A1304,المبيعات!$J$2:$J$2000,"آجل"))</f>
        <v/>
      </c>
      <c r="G1304" s="4" t="n"/>
      <c r="H1304">
        <f>IF(A1304="","",F1304-G1304)</f>
        <v/>
      </c>
    </row>
    <row r="1305">
      <c r="A1305" s="4" t="n"/>
      <c r="B1305" s="4" t="n"/>
      <c r="C1305">
        <f>IF(A1305="","",SUMPRODUCT((المبيعات!$C$2:$C$2000=A1305)*(المبيعات!$B$2:$B$2000&lt;&gt;"")/COUNTIFS(المبيعات!$B$2:$B$2000,المبيعات!$B$2:$B$2000&amp;"",المبيعات!$C$2:$C$2000,المبيعات!$C$2:$C$2000&amp;"")))</f>
        <v/>
      </c>
      <c r="D1305">
        <f>IF(A1305="","",SUMIFS(المبيعات!$H$2:$H$2000,المبيعات!$C$2:$C$2000,A1305))</f>
        <v/>
      </c>
      <c r="E1305" s="13">
        <f>IF(A1305="","",IF(COUNTIF(المبيعات!$C$2:$C$2000,A1305)=0,"",_xlfn.MAXIFS(المبيعات!$A$2:$A$2000,المبيعات!$C$2:$C$2000,A1305)))</f>
        <v/>
      </c>
      <c r="F1305">
        <f>IF(A1305="","",SUMIFS(المبيعات!$H$2:$H$2000,المبيعات!$C$2:$C$2000,A1305,المبيعات!$J$2:$J$2000,"آجل"))</f>
        <v/>
      </c>
      <c r="G1305" s="4" t="n"/>
      <c r="H1305">
        <f>IF(A1305="","",F1305-G1305)</f>
        <v/>
      </c>
    </row>
    <row r="1306">
      <c r="A1306" s="4" t="n"/>
      <c r="B1306" s="4" t="n"/>
      <c r="C1306">
        <f>IF(A1306="","",SUMPRODUCT((المبيعات!$C$2:$C$2000=A1306)*(المبيعات!$B$2:$B$2000&lt;&gt;"")/COUNTIFS(المبيعات!$B$2:$B$2000,المبيعات!$B$2:$B$2000&amp;"",المبيعات!$C$2:$C$2000,المبيعات!$C$2:$C$2000&amp;"")))</f>
        <v/>
      </c>
      <c r="D1306">
        <f>IF(A1306="","",SUMIFS(المبيعات!$H$2:$H$2000,المبيعات!$C$2:$C$2000,A1306))</f>
        <v/>
      </c>
      <c r="E1306" s="13">
        <f>IF(A1306="","",IF(COUNTIF(المبيعات!$C$2:$C$2000,A1306)=0,"",_xlfn.MAXIFS(المبيعات!$A$2:$A$2000,المبيعات!$C$2:$C$2000,A1306)))</f>
        <v/>
      </c>
      <c r="F1306">
        <f>IF(A1306="","",SUMIFS(المبيعات!$H$2:$H$2000,المبيعات!$C$2:$C$2000,A1306,المبيعات!$J$2:$J$2000,"آجل"))</f>
        <v/>
      </c>
      <c r="G1306" s="4" t="n"/>
      <c r="H1306">
        <f>IF(A1306="","",F1306-G1306)</f>
        <v/>
      </c>
    </row>
    <row r="1307">
      <c r="A1307" s="4" t="n"/>
      <c r="B1307" s="4" t="n"/>
      <c r="C1307">
        <f>IF(A1307="","",SUMPRODUCT((المبيعات!$C$2:$C$2000=A1307)*(المبيعات!$B$2:$B$2000&lt;&gt;"")/COUNTIFS(المبيعات!$B$2:$B$2000,المبيعات!$B$2:$B$2000&amp;"",المبيعات!$C$2:$C$2000,المبيعات!$C$2:$C$2000&amp;"")))</f>
        <v/>
      </c>
      <c r="D1307">
        <f>IF(A1307="","",SUMIFS(المبيعات!$H$2:$H$2000,المبيعات!$C$2:$C$2000,A1307))</f>
        <v/>
      </c>
      <c r="E1307" s="13">
        <f>IF(A1307="","",IF(COUNTIF(المبيعات!$C$2:$C$2000,A1307)=0,"",_xlfn.MAXIFS(المبيعات!$A$2:$A$2000,المبيعات!$C$2:$C$2000,A1307)))</f>
        <v/>
      </c>
      <c r="F1307">
        <f>IF(A1307="","",SUMIFS(المبيعات!$H$2:$H$2000,المبيعات!$C$2:$C$2000,A1307,المبيعات!$J$2:$J$2000,"آجل"))</f>
        <v/>
      </c>
      <c r="G1307" s="4" t="n"/>
      <c r="H1307">
        <f>IF(A1307="","",F1307-G1307)</f>
        <v/>
      </c>
    </row>
    <row r="1308">
      <c r="A1308" s="4" t="n"/>
      <c r="B1308" s="4" t="n"/>
      <c r="C1308">
        <f>IF(A1308="","",SUMPRODUCT((المبيعات!$C$2:$C$2000=A1308)*(المبيعات!$B$2:$B$2000&lt;&gt;"")/COUNTIFS(المبيعات!$B$2:$B$2000,المبيعات!$B$2:$B$2000&amp;"",المبيعات!$C$2:$C$2000,المبيعات!$C$2:$C$2000&amp;"")))</f>
        <v/>
      </c>
      <c r="D1308">
        <f>IF(A1308="","",SUMIFS(المبيعات!$H$2:$H$2000,المبيعات!$C$2:$C$2000,A1308))</f>
        <v/>
      </c>
      <c r="E1308" s="13">
        <f>IF(A1308="","",IF(COUNTIF(المبيعات!$C$2:$C$2000,A1308)=0,"",_xlfn.MAXIFS(المبيعات!$A$2:$A$2000,المبيعات!$C$2:$C$2000,A1308)))</f>
        <v/>
      </c>
      <c r="F1308">
        <f>IF(A1308="","",SUMIFS(المبيعات!$H$2:$H$2000,المبيعات!$C$2:$C$2000,A1308,المبيعات!$J$2:$J$2000,"آجل"))</f>
        <v/>
      </c>
      <c r="G1308" s="4" t="n"/>
      <c r="H1308">
        <f>IF(A1308="","",F1308-G1308)</f>
        <v/>
      </c>
    </row>
    <row r="1309">
      <c r="A1309" s="4" t="n"/>
      <c r="B1309" s="4" t="n"/>
      <c r="C1309">
        <f>IF(A1309="","",SUMPRODUCT((المبيعات!$C$2:$C$2000=A1309)*(المبيعات!$B$2:$B$2000&lt;&gt;"")/COUNTIFS(المبيعات!$B$2:$B$2000,المبيعات!$B$2:$B$2000&amp;"",المبيعات!$C$2:$C$2000,المبيعات!$C$2:$C$2000&amp;"")))</f>
        <v/>
      </c>
      <c r="D1309">
        <f>IF(A1309="","",SUMIFS(المبيعات!$H$2:$H$2000,المبيعات!$C$2:$C$2000,A1309))</f>
        <v/>
      </c>
      <c r="E1309" s="13">
        <f>IF(A1309="","",IF(COUNTIF(المبيعات!$C$2:$C$2000,A1309)=0,"",_xlfn.MAXIFS(المبيعات!$A$2:$A$2000,المبيعات!$C$2:$C$2000,A1309)))</f>
        <v/>
      </c>
      <c r="F1309">
        <f>IF(A1309="","",SUMIFS(المبيعات!$H$2:$H$2000,المبيعات!$C$2:$C$2000,A1309,المبيعات!$J$2:$J$2000,"آجل"))</f>
        <v/>
      </c>
      <c r="G1309" s="4" t="n"/>
      <c r="H1309">
        <f>IF(A1309="","",F1309-G1309)</f>
        <v/>
      </c>
    </row>
    <row r="1310">
      <c r="A1310" s="4" t="n"/>
      <c r="B1310" s="4" t="n"/>
      <c r="C1310">
        <f>IF(A1310="","",SUMPRODUCT((المبيعات!$C$2:$C$2000=A1310)*(المبيعات!$B$2:$B$2000&lt;&gt;"")/COUNTIFS(المبيعات!$B$2:$B$2000,المبيعات!$B$2:$B$2000&amp;"",المبيعات!$C$2:$C$2000,المبيعات!$C$2:$C$2000&amp;"")))</f>
        <v/>
      </c>
      <c r="D1310">
        <f>IF(A1310="","",SUMIFS(المبيعات!$H$2:$H$2000,المبيعات!$C$2:$C$2000,A1310))</f>
        <v/>
      </c>
      <c r="E1310" s="13">
        <f>IF(A1310="","",IF(COUNTIF(المبيعات!$C$2:$C$2000,A1310)=0,"",_xlfn.MAXIFS(المبيعات!$A$2:$A$2000,المبيعات!$C$2:$C$2000,A1310)))</f>
        <v/>
      </c>
      <c r="F1310">
        <f>IF(A1310="","",SUMIFS(المبيعات!$H$2:$H$2000,المبيعات!$C$2:$C$2000,A1310,المبيعات!$J$2:$J$2000,"آجل"))</f>
        <v/>
      </c>
      <c r="G1310" s="4" t="n"/>
      <c r="H1310">
        <f>IF(A1310="","",F1310-G1310)</f>
        <v/>
      </c>
    </row>
    <row r="1311">
      <c r="A1311" s="4" t="n"/>
      <c r="B1311" s="4" t="n"/>
      <c r="C1311">
        <f>IF(A1311="","",SUMPRODUCT((المبيعات!$C$2:$C$2000=A1311)*(المبيعات!$B$2:$B$2000&lt;&gt;"")/COUNTIFS(المبيعات!$B$2:$B$2000,المبيعات!$B$2:$B$2000&amp;"",المبيعات!$C$2:$C$2000,المبيعات!$C$2:$C$2000&amp;"")))</f>
        <v/>
      </c>
      <c r="D1311">
        <f>IF(A1311="","",SUMIFS(المبيعات!$H$2:$H$2000,المبيعات!$C$2:$C$2000,A1311))</f>
        <v/>
      </c>
      <c r="E1311" s="13">
        <f>IF(A1311="","",IF(COUNTIF(المبيعات!$C$2:$C$2000,A1311)=0,"",_xlfn.MAXIFS(المبيعات!$A$2:$A$2000,المبيعات!$C$2:$C$2000,A1311)))</f>
        <v/>
      </c>
      <c r="F1311">
        <f>IF(A1311="","",SUMIFS(المبيعات!$H$2:$H$2000,المبيعات!$C$2:$C$2000,A1311,المبيعات!$J$2:$J$2000,"آجل"))</f>
        <v/>
      </c>
      <c r="G1311" s="4" t="n"/>
      <c r="H1311">
        <f>IF(A1311="","",F1311-G1311)</f>
        <v/>
      </c>
    </row>
    <row r="1312">
      <c r="A1312" s="4" t="n"/>
      <c r="B1312" s="4" t="n"/>
      <c r="C1312">
        <f>IF(A1312="","",SUMPRODUCT((المبيعات!$C$2:$C$2000=A1312)*(المبيعات!$B$2:$B$2000&lt;&gt;"")/COUNTIFS(المبيعات!$B$2:$B$2000,المبيعات!$B$2:$B$2000&amp;"",المبيعات!$C$2:$C$2000,المبيعات!$C$2:$C$2000&amp;"")))</f>
        <v/>
      </c>
      <c r="D1312">
        <f>IF(A1312="","",SUMIFS(المبيعات!$H$2:$H$2000,المبيعات!$C$2:$C$2000,A1312))</f>
        <v/>
      </c>
      <c r="E1312" s="13">
        <f>IF(A1312="","",IF(COUNTIF(المبيعات!$C$2:$C$2000,A1312)=0,"",_xlfn.MAXIFS(المبيعات!$A$2:$A$2000,المبيعات!$C$2:$C$2000,A1312)))</f>
        <v/>
      </c>
      <c r="F1312">
        <f>IF(A1312="","",SUMIFS(المبيعات!$H$2:$H$2000,المبيعات!$C$2:$C$2000,A1312,المبيعات!$J$2:$J$2000,"آجل"))</f>
        <v/>
      </c>
      <c r="G1312" s="4" t="n"/>
      <c r="H1312">
        <f>IF(A1312="","",F1312-G1312)</f>
        <v/>
      </c>
    </row>
    <row r="1313">
      <c r="A1313" s="4" t="n"/>
      <c r="B1313" s="4" t="n"/>
      <c r="C1313">
        <f>IF(A1313="","",SUMPRODUCT((المبيعات!$C$2:$C$2000=A1313)*(المبيعات!$B$2:$B$2000&lt;&gt;"")/COUNTIFS(المبيعات!$B$2:$B$2000,المبيعات!$B$2:$B$2000&amp;"",المبيعات!$C$2:$C$2000,المبيعات!$C$2:$C$2000&amp;"")))</f>
        <v/>
      </c>
      <c r="D1313">
        <f>IF(A1313="","",SUMIFS(المبيعات!$H$2:$H$2000,المبيعات!$C$2:$C$2000,A1313))</f>
        <v/>
      </c>
      <c r="E1313" s="13">
        <f>IF(A1313="","",IF(COUNTIF(المبيعات!$C$2:$C$2000,A1313)=0,"",_xlfn.MAXIFS(المبيعات!$A$2:$A$2000,المبيعات!$C$2:$C$2000,A1313)))</f>
        <v/>
      </c>
      <c r="F1313">
        <f>IF(A1313="","",SUMIFS(المبيعات!$H$2:$H$2000,المبيعات!$C$2:$C$2000,A1313,المبيعات!$J$2:$J$2000,"آجل"))</f>
        <v/>
      </c>
      <c r="G1313" s="4" t="n"/>
      <c r="H1313">
        <f>IF(A1313="","",F1313-G1313)</f>
        <v/>
      </c>
    </row>
    <row r="1314">
      <c r="A1314" s="4" t="n"/>
      <c r="B1314" s="4" t="n"/>
      <c r="C1314">
        <f>IF(A1314="","",SUMPRODUCT((المبيعات!$C$2:$C$2000=A1314)*(المبيعات!$B$2:$B$2000&lt;&gt;"")/COUNTIFS(المبيعات!$B$2:$B$2000,المبيعات!$B$2:$B$2000&amp;"",المبيعات!$C$2:$C$2000,المبيعات!$C$2:$C$2000&amp;"")))</f>
        <v/>
      </c>
      <c r="D1314">
        <f>IF(A1314="","",SUMIFS(المبيعات!$H$2:$H$2000,المبيعات!$C$2:$C$2000,A1314))</f>
        <v/>
      </c>
      <c r="E1314" s="13">
        <f>IF(A1314="","",IF(COUNTIF(المبيعات!$C$2:$C$2000,A1314)=0,"",_xlfn.MAXIFS(المبيعات!$A$2:$A$2000,المبيعات!$C$2:$C$2000,A1314)))</f>
        <v/>
      </c>
      <c r="F1314">
        <f>IF(A1314="","",SUMIFS(المبيعات!$H$2:$H$2000,المبيعات!$C$2:$C$2000,A1314,المبيعات!$J$2:$J$2000,"آجل"))</f>
        <v/>
      </c>
      <c r="G1314" s="4" t="n"/>
      <c r="H1314">
        <f>IF(A1314="","",F1314-G1314)</f>
        <v/>
      </c>
    </row>
    <row r="1315">
      <c r="A1315" s="4" t="n"/>
      <c r="B1315" s="4" t="n"/>
      <c r="C1315">
        <f>IF(A1315="","",SUMPRODUCT((المبيعات!$C$2:$C$2000=A1315)*(المبيعات!$B$2:$B$2000&lt;&gt;"")/COUNTIFS(المبيعات!$B$2:$B$2000,المبيعات!$B$2:$B$2000&amp;"",المبيعات!$C$2:$C$2000,المبيعات!$C$2:$C$2000&amp;"")))</f>
        <v/>
      </c>
      <c r="D1315">
        <f>IF(A1315="","",SUMIFS(المبيعات!$H$2:$H$2000,المبيعات!$C$2:$C$2000,A1315))</f>
        <v/>
      </c>
      <c r="E1315" s="13">
        <f>IF(A1315="","",IF(COUNTIF(المبيعات!$C$2:$C$2000,A1315)=0,"",_xlfn.MAXIFS(المبيعات!$A$2:$A$2000,المبيعات!$C$2:$C$2000,A1315)))</f>
        <v/>
      </c>
      <c r="F1315">
        <f>IF(A1315="","",SUMIFS(المبيعات!$H$2:$H$2000,المبيعات!$C$2:$C$2000,A1315,المبيعات!$J$2:$J$2000,"آجل"))</f>
        <v/>
      </c>
      <c r="G1315" s="4" t="n"/>
      <c r="H1315">
        <f>IF(A1315="","",F1315-G1315)</f>
        <v/>
      </c>
    </row>
    <row r="1316">
      <c r="A1316" s="4" t="n"/>
      <c r="B1316" s="4" t="n"/>
      <c r="C1316">
        <f>IF(A1316="","",SUMPRODUCT((المبيعات!$C$2:$C$2000=A1316)*(المبيعات!$B$2:$B$2000&lt;&gt;"")/COUNTIFS(المبيعات!$B$2:$B$2000,المبيعات!$B$2:$B$2000&amp;"",المبيعات!$C$2:$C$2000,المبيعات!$C$2:$C$2000&amp;"")))</f>
        <v/>
      </c>
      <c r="D1316">
        <f>IF(A1316="","",SUMIFS(المبيعات!$H$2:$H$2000,المبيعات!$C$2:$C$2000,A1316))</f>
        <v/>
      </c>
      <c r="E1316" s="13">
        <f>IF(A1316="","",IF(COUNTIF(المبيعات!$C$2:$C$2000,A1316)=0,"",_xlfn.MAXIFS(المبيعات!$A$2:$A$2000,المبيعات!$C$2:$C$2000,A1316)))</f>
        <v/>
      </c>
      <c r="F1316">
        <f>IF(A1316="","",SUMIFS(المبيعات!$H$2:$H$2000,المبيعات!$C$2:$C$2000,A1316,المبيعات!$J$2:$J$2000,"آجل"))</f>
        <v/>
      </c>
      <c r="G1316" s="4" t="n"/>
      <c r="H1316">
        <f>IF(A1316="","",F1316-G1316)</f>
        <v/>
      </c>
    </row>
    <row r="1317">
      <c r="A1317" s="4" t="n"/>
      <c r="B1317" s="4" t="n"/>
      <c r="C1317">
        <f>IF(A1317="","",SUMPRODUCT((المبيعات!$C$2:$C$2000=A1317)*(المبيعات!$B$2:$B$2000&lt;&gt;"")/COUNTIFS(المبيعات!$B$2:$B$2000,المبيعات!$B$2:$B$2000&amp;"",المبيعات!$C$2:$C$2000,المبيعات!$C$2:$C$2000&amp;"")))</f>
        <v/>
      </c>
      <c r="D1317">
        <f>IF(A1317="","",SUMIFS(المبيعات!$H$2:$H$2000,المبيعات!$C$2:$C$2000,A1317))</f>
        <v/>
      </c>
      <c r="E1317" s="13">
        <f>IF(A1317="","",IF(COUNTIF(المبيعات!$C$2:$C$2000,A1317)=0,"",_xlfn.MAXIFS(المبيعات!$A$2:$A$2000,المبيعات!$C$2:$C$2000,A1317)))</f>
        <v/>
      </c>
      <c r="F1317">
        <f>IF(A1317="","",SUMIFS(المبيعات!$H$2:$H$2000,المبيعات!$C$2:$C$2000,A1317,المبيعات!$J$2:$J$2000,"آجل"))</f>
        <v/>
      </c>
      <c r="G1317" s="4" t="n"/>
      <c r="H1317">
        <f>IF(A1317="","",F1317-G1317)</f>
        <v/>
      </c>
    </row>
    <row r="1318">
      <c r="A1318" s="4" t="n"/>
      <c r="B1318" s="4" t="n"/>
      <c r="C1318">
        <f>IF(A1318="","",SUMPRODUCT((المبيعات!$C$2:$C$2000=A1318)*(المبيعات!$B$2:$B$2000&lt;&gt;"")/COUNTIFS(المبيعات!$B$2:$B$2000,المبيعات!$B$2:$B$2000&amp;"",المبيعات!$C$2:$C$2000,المبيعات!$C$2:$C$2000&amp;"")))</f>
        <v/>
      </c>
      <c r="D1318">
        <f>IF(A1318="","",SUMIFS(المبيعات!$H$2:$H$2000,المبيعات!$C$2:$C$2000,A1318))</f>
        <v/>
      </c>
      <c r="E1318" s="13">
        <f>IF(A1318="","",IF(COUNTIF(المبيعات!$C$2:$C$2000,A1318)=0,"",_xlfn.MAXIFS(المبيعات!$A$2:$A$2000,المبيعات!$C$2:$C$2000,A1318)))</f>
        <v/>
      </c>
      <c r="F1318">
        <f>IF(A1318="","",SUMIFS(المبيعات!$H$2:$H$2000,المبيعات!$C$2:$C$2000,A1318,المبيعات!$J$2:$J$2000,"آجل"))</f>
        <v/>
      </c>
      <c r="G1318" s="4" t="n"/>
      <c r="H1318">
        <f>IF(A1318="","",F1318-G1318)</f>
        <v/>
      </c>
    </row>
    <row r="1319">
      <c r="A1319" s="4" t="n"/>
      <c r="B1319" s="4" t="n"/>
      <c r="C1319">
        <f>IF(A1319="","",SUMPRODUCT((المبيعات!$C$2:$C$2000=A1319)*(المبيعات!$B$2:$B$2000&lt;&gt;"")/COUNTIFS(المبيعات!$B$2:$B$2000,المبيعات!$B$2:$B$2000&amp;"",المبيعات!$C$2:$C$2000,المبيعات!$C$2:$C$2000&amp;"")))</f>
        <v/>
      </c>
      <c r="D1319">
        <f>IF(A1319="","",SUMIFS(المبيعات!$H$2:$H$2000,المبيعات!$C$2:$C$2000,A1319))</f>
        <v/>
      </c>
      <c r="E1319" s="13">
        <f>IF(A1319="","",IF(COUNTIF(المبيعات!$C$2:$C$2000,A1319)=0,"",_xlfn.MAXIFS(المبيعات!$A$2:$A$2000,المبيعات!$C$2:$C$2000,A1319)))</f>
        <v/>
      </c>
      <c r="F1319">
        <f>IF(A1319="","",SUMIFS(المبيعات!$H$2:$H$2000,المبيعات!$C$2:$C$2000,A1319,المبيعات!$J$2:$J$2000,"آجل"))</f>
        <v/>
      </c>
      <c r="G1319" s="4" t="n"/>
      <c r="H1319">
        <f>IF(A1319="","",F1319-G1319)</f>
        <v/>
      </c>
    </row>
    <row r="1320">
      <c r="A1320" s="4" t="n"/>
      <c r="B1320" s="4" t="n"/>
      <c r="C1320">
        <f>IF(A1320="","",SUMPRODUCT((المبيعات!$C$2:$C$2000=A1320)*(المبيعات!$B$2:$B$2000&lt;&gt;"")/COUNTIFS(المبيعات!$B$2:$B$2000,المبيعات!$B$2:$B$2000&amp;"",المبيعات!$C$2:$C$2000,المبيعات!$C$2:$C$2000&amp;"")))</f>
        <v/>
      </c>
      <c r="D1320">
        <f>IF(A1320="","",SUMIFS(المبيعات!$H$2:$H$2000,المبيعات!$C$2:$C$2000,A1320))</f>
        <v/>
      </c>
      <c r="E1320" s="13">
        <f>IF(A1320="","",IF(COUNTIF(المبيعات!$C$2:$C$2000,A1320)=0,"",_xlfn.MAXIFS(المبيعات!$A$2:$A$2000,المبيعات!$C$2:$C$2000,A1320)))</f>
        <v/>
      </c>
      <c r="F1320">
        <f>IF(A1320="","",SUMIFS(المبيعات!$H$2:$H$2000,المبيعات!$C$2:$C$2000,A1320,المبيعات!$J$2:$J$2000,"آجل"))</f>
        <v/>
      </c>
      <c r="G1320" s="4" t="n"/>
      <c r="H1320">
        <f>IF(A1320="","",F1320-G1320)</f>
        <v/>
      </c>
    </row>
    <row r="1321">
      <c r="A1321" s="4" t="n"/>
      <c r="B1321" s="4" t="n"/>
      <c r="C1321">
        <f>IF(A1321="","",SUMPRODUCT((المبيعات!$C$2:$C$2000=A1321)*(المبيعات!$B$2:$B$2000&lt;&gt;"")/COUNTIFS(المبيعات!$B$2:$B$2000,المبيعات!$B$2:$B$2000&amp;"",المبيعات!$C$2:$C$2000,المبيعات!$C$2:$C$2000&amp;"")))</f>
        <v/>
      </c>
      <c r="D1321">
        <f>IF(A1321="","",SUMIFS(المبيعات!$H$2:$H$2000,المبيعات!$C$2:$C$2000,A1321))</f>
        <v/>
      </c>
      <c r="E1321" s="13">
        <f>IF(A1321="","",IF(COUNTIF(المبيعات!$C$2:$C$2000,A1321)=0,"",_xlfn.MAXIFS(المبيعات!$A$2:$A$2000,المبيعات!$C$2:$C$2000,A1321)))</f>
        <v/>
      </c>
      <c r="F1321">
        <f>IF(A1321="","",SUMIFS(المبيعات!$H$2:$H$2000,المبيعات!$C$2:$C$2000,A1321,المبيعات!$J$2:$J$2000,"آجل"))</f>
        <v/>
      </c>
      <c r="G1321" s="4" t="n"/>
      <c r="H1321">
        <f>IF(A1321="","",F1321-G1321)</f>
        <v/>
      </c>
    </row>
    <row r="1322">
      <c r="A1322" s="4" t="n"/>
      <c r="B1322" s="4" t="n"/>
      <c r="C1322">
        <f>IF(A1322="","",SUMPRODUCT((المبيعات!$C$2:$C$2000=A1322)*(المبيعات!$B$2:$B$2000&lt;&gt;"")/COUNTIFS(المبيعات!$B$2:$B$2000,المبيعات!$B$2:$B$2000&amp;"",المبيعات!$C$2:$C$2000,المبيعات!$C$2:$C$2000&amp;"")))</f>
        <v/>
      </c>
      <c r="D1322">
        <f>IF(A1322="","",SUMIFS(المبيعات!$H$2:$H$2000,المبيعات!$C$2:$C$2000,A1322))</f>
        <v/>
      </c>
      <c r="E1322" s="13">
        <f>IF(A1322="","",IF(COUNTIF(المبيعات!$C$2:$C$2000,A1322)=0,"",_xlfn.MAXIFS(المبيعات!$A$2:$A$2000,المبيعات!$C$2:$C$2000,A1322)))</f>
        <v/>
      </c>
      <c r="F1322">
        <f>IF(A1322="","",SUMIFS(المبيعات!$H$2:$H$2000,المبيعات!$C$2:$C$2000,A1322,المبيعات!$J$2:$J$2000,"آجل"))</f>
        <v/>
      </c>
      <c r="G1322" s="4" t="n"/>
      <c r="H1322">
        <f>IF(A1322="","",F1322-G1322)</f>
        <v/>
      </c>
    </row>
    <row r="1323">
      <c r="A1323" s="4" t="n"/>
      <c r="B1323" s="4" t="n"/>
      <c r="C1323">
        <f>IF(A1323="","",SUMPRODUCT((المبيعات!$C$2:$C$2000=A1323)*(المبيعات!$B$2:$B$2000&lt;&gt;"")/COUNTIFS(المبيعات!$B$2:$B$2000,المبيعات!$B$2:$B$2000&amp;"",المبيعات!$C$2:$C$2000,المبيعات!$C$2:$C$2000&amp;"")))</f>
        <v/>
      </c>
      <c r="D1323">
        <f>IF(A1323="","",SUMIFS(المبيعات!$H$2:$H$2000,المبيعات!$C$2:$C$2000,A1323))</f>
        <v/>
      </c>
      <c r="E1323" s="13">
        <f>IF(A1323="","",IF(COUNTIF(المبيعات!$C$2:$C$2000,A1323)=0,"",_xlfn.MAXIFS(المبيعات!$A$2:$A$2000,المبيعات!$C$2:$C$2000,A1323)))</f>
        <v/>
      </c>
      <c r="F1323">
        <f>IF(A1323="","",SUMIFS(المبيعات!$H$2:$H$2000,المبيعات!$C$2:$C$2000,A1323,المبيعات!$J$2:$J$2000,"آجل"))</f>
        <v/>
      </c>
      <c r="G1323" s="4" t="n"/>
      <c r="H1323">
        <f>IF(A1323="","",F1323-G1323)</f>
        <v/>
      </c>
    </row>
    <row r="1324">
      <c r="A1324" s="4" t="n"/>
      <c r="B1324" s="4" t="n"/>
      <c r="C1324">
        <f>IF(A1324="","",SUMPRODUCT((المبيعات!$C$2:$C$2000=A1324)*(المبيعات!$B$2:$B$2000&lt;&gt;"")/COUNTIFS(المبيعات!$B$2:$B$2000,المبيعات!$B$2:$B$2000&amp;"",المبيعات!$C$2:$C$2000,المبيعات!$C$2:$C$2000&amp;"")))</f>
        <v/>
      </c>
      <c r="D1324">
        <f>IF(A1324="","",SUMIFS(المبيعات!$H$2:$H$2000,المبيعات!$C$2:$C$2000,A1324))</f>
        <v/>
      </c>
      <c r="E1324" s="13">
        <f>IF(A1324="","",IF(COUNTIF(المبيعات!$C$2:$C$2000,A1324)=0,"",_xlfn.MAXIFS(المبيعات!$A$2:$A$2000,المبيعات!$C$2:$C$2000,A1324)))</f>
        <v/>
      </c>
      <c r="F1324">
        <f>IF(A1324="","",SUMIFS(المبيعات!$H$2:$H$2000,المبيعات!$C$2:$C$2000,A1324,المبيعات!$J$2:$J$2000,"آجل"))</f>
        <v/>
      </c>
      <c r="G1324" s="4" t="n"/>
      <c r="H1324">
        <f>IF(A1324="","",F1324-G1324)</f>
        <v/>
      </c>
    </row>
    <row r="1325">
      <c r="A1325" s="4" t="n"/>
      <c r="B1325" s="4" t="n"/>
      <c r="C1325">
        <f>IF(A1325="","",SUMPRODUCT((المبيعات!$C$2:$C$2000=A1325)*(المبيعات!$B$2:$B$2000&lt;&gt;"")/COUNTIFS(المبيعات!$B$2:$B$2000,المبيعات!$B$2:$B$2000&amp;"",المبيعات!$C$2:$C$2000,المبيعات!$C$2:$C$2000&amp;"")))</f>
        <v/>
      </c>
      <c r="D1325">
        <f>IF(A1325="","",SUMIFS(المبيعات!$H$2:$H$2000,المبيعات!$C$2:$C$2000,A1325))</f>
        <v/>
      </c>
      <c r="E1325" s="13">
        <f>IF(A1325="","",IF(COUNTIF(المبيعات!$C$2:$C$2000,A1325)=0,"",_xlfn.MAXIFS(المبيعات!$A$2:$A$2000,المبيعات!$C$2:$C$2000,A1325)))</f>
        <v/>
      </c>
      <c r="F1325">
        <f>IF(A1325="","",SUMIFS(المبيعات!$H$2:$H$2000,المبيعات!$C$2:$C$2000,A1325,المبيعات!$J$2:$J$2000,"آجل"))</f>
        <v/>
      </c>
      <c r="G1325" s="4" t="n"/>
      <c r="H1325">
        <f>IF(A1325="","",F1325-G1325)</f>
        <v/>
      </c>
    </row>
    <row r="1326">
      <c r="A1326" s="4" t="n"/>
      <c r="B1326" s="4" t="n"/>
      <c r="C1326">
        <f>IF(A1326="","",SUMPRODUCT((المبيعات!$C$2:$C$2000=A1326)*(المبيعات!$B$2:$B$2000&lt;&gt;"")/COUNTIFS(المبيعات!$B$2:$B$2000,المبيعات!$B$2:$B$2000&amp;"",المبيعات!$C$2:$C$2000,المبيعات!$C$2:$C$2000&amp;"")))</f>
        <v/>
      </c>
      <c r="D1326">
        <f>IF(A1326="","",SUMIFS(المبيعات!$H$2:$H$2000,المبيعات!$C$2:$C$2000,A1326))</f>
        <v/>
      </c>
      <c r="E1326" s="13">
        <f>IF(A1326="","",IF(COUNTIF(المبيعات!$C$2:$C$2000,A1326)=0,"",_xlfn.MAXIFS(المبيعات!$A$2:$A$2000,المبيعات!$C$2:$C$2000,A1326)))</f>
        <v/>
      </c>
      <c r="F1326">
        <f>IF(A1326="","",SUMIFS(المبيعات!$H$2:$H$2000,المبيعات!$C$2:$C$2000,A1326,المبيعات!$J$2:$J$2000,"آجل"))</f>
        <v/>
      </c>
      <c r="G1326" s="4" t="n"/>
      <c r="H1326">
        <f>IF(A1326="","",F1326-G1326)</f>
        <v/>
      </c>
    </row>
    <row r="1327">
      <c r="A1327" s="4" t="n"/>
      <c r="B1327" s="4" t="n"/>
      <c r="C1327">
        <f>IF(A1327="","",SUMPRODUCT((المبيعات!$C$2:$C$2000=A1327)*(المبيعات!$B$2:$B$2000&lt;&gt;"")/COUNTIFS(المبيعات!$B$2:$B$2000,المبيعات!$B$2:$B$2000&amp;"",المبيعات!$C$2:$C$2000,المبيعات!$C$2:$C$2000&amp;"")))</f>
        <v/>
      </c>
      <c r="D1327">
        <f>IF(A1327="","",SUMIFS(المبيعات!$H$2:$H$2000,المبيعات!$C$2:$C$2000,A1327))</f>
        <v/>
      </c>
      <c r="E1327" s="13">
        <f>IF(A1327="","",IF(COUNTIF(المبيعات!$C$2:$C$2000,A1327)=0,"",_xlfn.MAXIFS(المبيعات!$A$2:$A$2000,المبيعات!$C$2:$C$2000,A1327)))</f>
        <v/>
      </c>
      <c r="F1327">
        <f>IF(A1327="","",SUMIFS(المبيعات!$H$2:$H$2000,المبيعات!$C$2:$C$2000,A1327,المبيعات!$J$2:$J$2000,"آجل"))</f>
        <v/>
      </c>
      <c r="G1327" s="4" t="n"/>
      <c r="H1327">
        <f>IF(A1327="","",F1327-G1327)</f>
        <v/>
      </c>
    </row>
    <row r="1328">
      <c r="A1328" s="4" t="n"/>
      <c r="B1328" s="4" t="n"/>
      <c r="C1328">
        <f>IF(A1328="","",SUMPRODUCT((المبيعات!$C$2:$C$2000=A1328)*(المبيعات!$B$2:$B$2000&lt;&gt;"")/COUNTIFS(المبيعات!$B$2:$B$2000,المبيعات!$B$2:$B$2000&amp;"",المبيعات!$C$2:$C$2000,المبيعات!$C$2:$C$2000&amp;"")))</f>
        <v/>
      </c>
      <c r="D1328">
        <f>IF(A1328="","",SUMIFS(المبيعات!$H$2:$H$2000,المبيعات!$C$2:$C$2000,A1328))</f>
        <v/>
      </c>
      <c r="E1328" s="13">
        <f>IF(A1328="","",IF(COUNTIF(المبيعات!$C$2:$C$2000,A1328)=0,"",_xlfn.MAXIFS(المبيعات!$A$2:$A$2000,المبيعات!$C$2:$C$2000,A1328)))</f>
        <v/>
      </c>
      <c r="F1328">
        <f>IF(A1328="","",SUMIFS(المبيعات!$H$2:$H$2000,المبيعات!$C$2:$C$2000,A1328,المبيعات!$J$2:$J$2000,"آجل"))</f>
        <v/>
      </c>
      <c r="G1328" s="4" t="n"/>
      <c r="H1328">
        <f>IF(A1328="","",F1328-G1328)</f>
        <v/>
      </c>
    </row>
    <row r="1329">
      <c r="A1329" s="4" t="n"/>
      <c r="B1329" s="4" t="n"/>
      <c r="C1329">
        <f>IF(A1329="","",SUMPRODUCT((المبيعات!$C$2:$C$2000=A1329)*(المبيعات!$B$2:$B$2000&lt;&gt;"")/COUNTIFS(المبيعات!$B$2:$B$2000,المبيعات!$B$2:$B$2000&amp;"",المبيعات!$C$2:$C$2000,المبيعات!$C$2:$C$2000&amp;"")))</f>
        <v/>
      </c>
      <c r="D1329">
        <f>IF(A1329="","",SUMIFS(المبيعات!$H$2:$H$2000,المبيعات!$C$2:$C$2000,A1329))</f>
        <v/>
      </c>
      <c r="E1329" s="13">
        <f>IF(A1329="","",IF(COUNTIF(المبيعات!$C$2:$C$2000,A1329)=0,"",_xlfn.MAXIFS(المبيعات!$A$2:$A$2000,المبيعات!$C$2:$C$2000,A1329)))</f>
        <v/>
      </c>
      <c r="F1329">
        <f>IF(A1329="","",SUMIFS(المبيعات!$H$2:$H$2000,المبيعات!$C$2:$C$2000,A1329,المبيعات!$J$2:$J$2000,"آجل"))</f>
        <v/>
      </c>
      <c r="G1329" s="4" t="n"/>
      <c r="H1329">
        <f>IF(A1329="","",F1329-G1329)</f>
        <v/>
      </c>
    </row>
    <row r="1330">
      <c r="A1330" s="4" t="n"/>
      <c r="B1330" s="4" t="n"/>
      <c r="C1330">
        <f>IF(A1330="","",SUMPRODUCT((المبيعات!$C$2:$C$2000=A1330)*(المبيعات!$B$2:$B$2000&lt;&gt;"")/COUNTIFS(المبيعات!$B$2:$B$2000,المبيعات!$B$2:$B$2000&amp;"",المبيعات!$C$2:$C$2000,المبيعات!$C$2:$C$2000&amp;"")))</f>
        <v/>
      </c>
      <c r="D1330">
        <f>IF(A1330="","",SUMIFS(المبيعات!$H$2:$H$2000,المبيعات!$C$2:$C$2000,A1330))</f>
        <v/>
      </c>
      <c r="E1330" s="13">
        <f>IF(A1330="","",IF(COUNTIF(المبيعات!$C$2:$C$2000,A1330)=0,"",_xlfn.MAXIFS(المبيعات!$A$2:$A$2000,المبيعات!$C$2:$C$2000,A1330)))</f>
        <v/>
      </c>
      <c r="F1330">
        <f>IF(A1330="","",SUMIFS(المبيعات!$H$2:$H$2000,المبيعات!$C$2:$C$2000,A1330,المبيعات!$J$2:$J$2000,"آجل"))</f>
        <v/>
      </c>
      <c r="G1330" s="4" t="n"/>
      <c r="H1330">
        <f>IF(A1330="","",F1330-G1330)</f>
        <v/>
      </c>
    </row>
    <row r="1331">
      <c r="A1331" s="4" t="n"/>
      <c r="B1331" s="4" t="n"/>
      <c r="C1331">
        <f>IF(A1331="","",SUMPRODUCT((المبيعات!$C$2:$C$2000=A1331)*(المبيعات!$B$2:$B$2000&lt;&gt;"")/COUNTIFS(المبيعات!$B$2:$B$2000,المبيعات!$B$2:$B$2000&amp;"",المبيعات!$C$2:$C$2000,المبيعات!$C$2:$C$2000&amp;"")))</f>
        <v/>
      </c>
      <c r="D1331">
        <f>IF(A1331="","",SUMIFS(المبيعات!$H$2:$H$2000,المبيعات!$C$2:$C$2000,A1331))</f>
        <v/>
      </c>
      <c r="E1331" s="13">
        <f>IF(A1331="","",IF(COUNTIF(المبيعات!$C$2:$C$2000,A1331)=0,"",_xlfn.MAXIFS(المبيعات!$A$2:$A$2000,المبيعات!$C$2:$C$2000,A1331)))</f>
        <v/>
      </c>
      <c r="F1331">
        <f>IF(A1331="","",SUMIFS(المبيعات!$H$2:$H$2000,المبيعات!$C$2:$C$2000,A1331,المبيعات!$J$2:$J$2000,"آجل"))</f>
        <v/>
      </c>
      <c r="G1331" s="4" t="n"/>
      <c r="H1331">
        <f>IF(A1331="","",F1331-G1331)</f>
        <v/>
      </c>
    </row>
    <row r="1332">
      <c r="A1332" s="4" t="n"/>
      <c r="B1332" s="4" t="n"/>
      <c r="C1332">
        <f>IF(A1332="","",SUMPRODUCT((المبيعات!$C$2:$C$2000=A1332)*(المبيعات!$B$2:$B$2000&lt;&gt;"")/COUNTIFS(المبيعات!$B$2:$B$2000,المبيعات!$B$2:$B$2000&amp;"",المبيعات!$C$2:$C$2000,المبيعات!$C$2:$C$2000&amp;"")))</f>
        <v/>
      </c>
      <c r="D1332">
        <f>IF(A1332="","",SUMIFS(المبيعات!$H$2:$H$2000,المبيعات!$C$2:$C$2000,A1332))</f>
        <v/>
      </c>
      <c r="E1332" s="13">
        <f>IF(A1332="","",IF(COUNTIF(المبيعات!$C$2:$C$2000,A1332)=0,"",_xlfn.MAXIFS(المبيعات!$A$2:$A$2000,المبيعات!$C$2:$C$2000,A1332)))</f>
        <v/>
      </c>
      <c r="F1332">
        <f>IF(A1332="","",SUMIFS(المبيعات!$H$2:$H$2000,المبيعات!$C$2:$C$2000,A1332,المبيعات!$J$2:$J$2000,"آجل"))</f>
        <v/>
      </c>
      <c r="G1332" s="4" t="n"/>
      <c r="H1332">
        <f>IF(A1332="","",F1332-G1332)</f>
        <v/>
      </c>
    </row>
    <row r="1333">
      <c r="A1333" s="4" t="n"/>
      <c r="B1333" s="4" t="n"/>
      <c r="C1333">
        <f>IF(A1333="","",SUMPRODUCT((المبيعات!$C$2:$C$2000=A1333)*(المبيعات!$B$2:$B$2000&lt;&gt;"")/COUNTIFS(المبيعات!$B$2:$B$2000,المبيعات!$B$2:$B$2000&amp;"",المبيعات!$C$2:$C$2000,المبيعات!$C$2:$C$2000&amp;"")))</f>
        <v/>
      </c>
      <c r="D1333">
        <f>IF(A1333="","",SUMIFS(المبيعات!$H$2:$H$2000,المبيعات!$C$2:$C$2000,A1333))</f>
        <v/>
      </c>
      <c r="E1333" s="13">
        <f>IF(A1333="","",IF(COUNTIF(المبيعات!$C$2:$C$2000,A1333)=0,"",_xlfn.MAXIFS(المبيعات!$A$2:$A$2000,المبيعات!$C$2:$C$2000,A1333)))</f>
        <v/>
      </c>
      <c r="F1333">
        <f>IF(A1333="","",SUMIFS(المبيعات!$H$2:$H$2000,المبيعات!$C$2:$C$2000,A1333,المبيعات!$J$2:$J$2000,"آجل"))</f>
        <v/>
      </c>
      <c r="G1333" s="4" t="n"/>
      <c r="H1333">
        <f>IF(A1333="","",F1333-G1333)</f>
        <v/>
      </c>
    </row>
    <row r="1334">
      <c r="A1334" s="4" t="n"/>
      <c r="B1334" s="4" t="n"/>
      <c r="C1334">
        <f>IF(A1334="","",SUMPRODUCT((المبيعات!$C$2:$C$2000=A1334)*(المبيعات!$B$2:$B$2000&lt;&gt;"")/COUNTIFS(المبيعات!$B$2:$B$2000,المبيعات!$B$2:$B$2000&amp;"",المبيعات!$C$2:$C$2000,المبيعات!$C$2:$C$2000&amp;"")))</f>
        <v/>
      </c>
      <c r="D1334">
        <f>IF(A1334="","",SUMIFS(المبيعات!$H$2:$H$2000,المبيعات!$C$2:$C$2000,A1334))</f>
        <v/>
      </c>
      <c r="E1334" s="13">
        <f>IF(A1334="","",IF(COUNTIF(المبيعات!$C$2:$C$2000,A1334)=0,"",_xlfn.MAXIFS(المبيعات!$A$2:$A$2000,المبيعات!$C$2:$C$2000,A1334)))</f>
        <v/>
      </c>
      <c r="F1334">
        <f>IF(A1334="","",SUMIFS(المبيعات!$H$2:$H$2000,المبيعات!$C$2:$C$2000,A1334,المبيعات!$J$2:$J$2000,"آجل"))</f>
        <v/>
      </c>
      <c r="G1334" s="4" t="n"/>
      <c r="H1334">
        <f>IF(A1334="","",F1334-G1334)</f>
        <v/>
      </c>
    </row>
    <row r="1335">
      <c r="A1335" s="4" t="n"/>
      <c r="B1335" s="4" t="n"/>
      <c r="C1335">
        <f>IF(A1335="","",SUMPRODUCT((المبيعات!$C$2:$C$2000=A1335)*(المبيعات!$B$2:$B$2000&lt;&gt;"")/COUNTIFS(المبيعات!$B$2:$B$2000,المبيعات!$B$2:$B$2000&amp;"",المبيعات!$C$2:$C$2000,المبيعات!$C$2:$C$2000&amp;"")))</f>
        <v/>
      </c>
      <c r="D1335">
        <f>IF(A1335="","",SUMIFS(المبيعات!$H$2:$H$2000,المبيعات!$C$2:$C$2000,A1335))</f>
        <v/>
      </c>
      <c r="E1335" s="13">
        <f>IF(A1335="","",IF(COUNTIF(المبيعات!$C$2:$C$2000,A1335)=0,"",_xlfn.MAXIFS(المبيعات!$A$2:$A$2000,المبيعات!$C$2:$C$2000,A1335)))</f>
        <v/>
      </c>
      <c r="F1335">
        <f>IF(A1335="","",SUMIFS(المبيعات!$H$2:$H$2000,المبيعات!$C$2:$C$2000,A1335,المبيعات!$J$2:$J$2000,"آجل"))</f>
        <v/>
      </c>
      <c r="G1335" s="4" t="n"/>
      <c r="H1335">
        <f>IF(A1335="","",F1335-G1335)</f>
        <v/>
      </c>
    </row>
    <row r="1336">
      <c r="A1336" s="4" t="n"/>
      <c r="B1336" s="4" t="n"/>
      <c r="C1336">
        <f>IF(A1336="","",SUMPRODUCT((المبيعات!$C$2:$C$2000=A1336)*(المبيعات!$B$2:$B$2000&lt;&gt;"")/COUNTIFS(المبيعات!$B$2:$B$2000,المبيعات!$B$2:$B$2000&amp;"",المبيعات!$C$2:$C$2000,المبيعات!$C$2:$C$2000&amp;"")))</f>
        <v/>
      </c>
      <c r="D1336">
        <f>IF(A1336="","",SUMIFS(المبيعات!$H$2:$H$2000,المبيعات!$C$2:$C$2000,A1336))</f>
        <v/>
      </c>
      <c r="E1336" s="13">
        <f>IF(A1336="","",IF(COUNTIF(المبيعات!$C$2:$C$2000,A1336)=0,"",_xlfn.MAXIFS(المبيعات!$A$2:$A$2000,المبيعات!$C$2:$C$2000,A1336)))</f>
        <v/>
      </c>
      <c r="F1336">
        <f>IF(A1336="","",SUMIFS(المبيعات!$H$2:$H$2000,المبيعات!$C$2:$C$2000,A1336,المبيعات!$J$2:$J$2000,"آجل"))</f>
        <v/>
      </c>
      <c r="G1336" s="4" t="n"/>
      <c r="H1336">
        <f>IF(A1336="","",F1336-G1336)</f>
        <v/>
      </c>
    </row>
    <row r="1337">
      <c r="A1337" s="4" t="n"/>
      <c r="B1337" s="4" t="n"/>
      <c r="C1337">
        <f>IF(A1337="","",SUMPRODUCT((المبيعات!$C$2:$C$2000=A1337)*(المبيعات!$B$2:$B$2000&lt;&gt;"")/COUNTIFS(المبيعات!$B$2:$B$2000,المبيعات!$B$2:$B$2000&amp;"",المبيعات!$C$2:$C$2000,المبيعات!$C$2:$C$2000&amp;"")))</f>
        <v/>
      </c>
      <c r="D1337">
        <f>IF(A1337="","",SUMIFS(المبيعات!$H$2:$H$2000,المبيعات!$C$2:$C$2000,A1337))</f>
        <v/>
      </c>
      <c r="E1337" s="13">
        <f>IF(A1337="","",IF(COUNTIF(المبيعات!$C$2:$C$2000,A1337)=0,"",_xlfn.MAXIFS(المبيعات!$A$2:$A$2000,المبيعات!$C$2:$C$2000,A1337)))</f>
        <v/>
      </c>
      <c r="F1337">
        <f>IF(A1337="","",SUMIFS(المبيعات!$H$2:$H$2000,المبيعات!$C$2:$C$2000,A1337,المبيعات!$J$2:$J$2000,"آجل"))</f>
        <v/>
      </c>
      <c r="G1337" s="4" t="n"/>
      <c r="H1337">
        <f>IF(A1337="","",F1337-G1337)</f>
        <v/>
      </c>
    </row>
    <row r="1338">
      <c r="A1338" s="4" t="n"/>
      <c r="B1338" s="4" t="n"/>
      <c r="C1338">
        <f>IF(A1338="","",SUMPRODUCT((المبيعات!$C$2:$C$2000=A1338)*(المبيعات!$B$2:$B$2000&lt;&gt;"")/COUNTIFS(المبيعات!$B$2:$B$2000,المبيعات!$B$2:$B$2000&amp;"",المبيعات!$C$2:$C$2000,المبيعات!$C$2:$C$2000&amp;"")))</f>
        <v/>
      </c>
      <c r="D1338">
        <f>IF(A1338="","",SUMIFS(المبيعات!$H$2:$H$2000,المبيعات!$C$2:$C$2000,A1338))</f>
        <v/>
      </c>
      <c r="E1338" s="13">
        <f>IF(A1338="","",IF(COUNTIF(المبيعات!$C$2:$C$2000,A1338)=0,"",_xlfn.MAXIFS(المبيعات!$A$2:$A$2000,المبيعات!$C$2:$C$2000,A1338)))</f>
        <v/>
      </c>
      <c r="F1338">
        <f>IF(A1338="","",SUMIFS(المبيعات!$H$2:$H$2000,المبيعات!$C$2:$C$2000,A1338,المبيعات!$J$2:$J$2000,"آجل"))</f>
        <v/>
      </c>
      <c r="G1338" s="4" t="n"/>
      <c r="H1338">
        <f>IF(A1338="","",F1338-G1338)</f>
        <v/>
      </c>
    </row>
    <row r="1339">
      <c r="A1339" s="4" t="n"/>
      <c r="B1339" s="4" t="n"/>
      <c r="C1339">
        <f>IF(A1339="","",SUMPRODUCT((المبيعات!$C$2:$C$2000=A1339)*(المبيعات!$B$2:$B$2000&lt;&gt;"")/COUNTIFS(المبيعات!$B$2:$B$2000,المبيعات!$B$2:$B$2000&amp;"",المبيعات!$C$2:$C$2000,المبيعات!$C$2:$C$2000&amp;"")))</f>
        <v/>
      </c>
      <c r="D1339">
        <f>IF(A1339="","",SUMIFS(المبيعات!$H$2:$H$2000,المبيعات!$C$2:$C$2000,A1339))</f>
        <v/>
      </c>
      <c r="E1339" s="13">
        <f>IF(A1339="","",IF(COUNTIF(المبيعات!$C$2:$C$2000,A1339)=0,"",_xlfn.MAXIFS(المبيعات!$A$2:$A$2000,المبيعات!$C$2:$C$2000,A1339)))</f>
        <v/>
      </c>
      <c r="F1339">
        <f>IF(A1339="","",SUMIFS(المبيعات!$H$2:$H$2000,المبيعات!$C$2:$C$2000,A1339,المبيعات!$J$2:$J$2000,"آجل"))</f>
        <v/>
      </c>
      <c r="G1339" s="4" t="n"/>
      <c r="H1339">
        <f>IF(A1339="","",F1339-G1339)</f>
        <v/>
      </c>
    </row>
    <row r="1340">
      <c r="A1340" s="4" t="n"/>
      <c r="B1340" s="4" t="n"/>
      <c r="C1340">
        <f>IF(A1340="","",SUMPRODUCT((المبيعات!$C$2:$C$2000=A1340)*(المبيعات!$B$2:$B$2000&lt;&gt;"")/COUNTIFS(المبيعات!$B$2:$B$2000,المبيعات!$B$2:$B$2000&amp;"",المبيعات!$C$2:$C$2000,المبيعات!$C$2:$C$2000&amp;"")))</f>
        <v/>
      </c>
      <c r="D1340">
        <f>IF(A1340="","",SUMIFS(المبيعات!$H$2:$H$2000,المبيعات!$C$2:$C$2000,A1340))</f>
        <v/>
      </c>
      <c r="E1340" s="13">
        <f>IF(A1340="","",IF(COUNTIF(المبيعات!$C$2:$C$2000,A1340)=0,"",_xlfn.MAXIFS(المبيعات!$A$2:$A$2000,المبيعات!$C$2:$C$2000,A1340)))</f>
        <v/>
      </c>
      <c r="F1340">
        <f>IF(A1340="","",SUMIFS(المبيعات!$H$2:$H$2000,المبيعات!$C$2:$C$2000,A1340,المبيعات!$J$2:$J$2000,"آجل"))</f>
        <v/>
      </c>
      <c r="G1340" s="4" t="n"/>
      <c r="H1340">
        <f>IF(A1340="","",F1340-G1340)</f>
        <v/>
      </c>
    </row>
    <row r="1341">
      <c r="A1341" s="4" t="n"/>
      <c r="B1341" s="4" t="n"/>
      <c r="C1341">
        <f>IF(A1341="","",SUMPRODUCT((المبيعات!$C$2:$C$2000=A1341)*(المبيعات!$B$2:$B$2000&lt;&gt;"")/COUNTIFS(المبيعات!$B$2:$B$2000,المبيعات!$B$2:$B$2000&amp;"",المبيعات!$C$2:$C$2000,المبيعات!$C$2:$C$2000&amp;"")))</f>
        <v/>
      </c>
      <c r="D1341">
        <f>IF(A1341="","",SUMIFS(المبيعات!$H$2:$H$2000,المبيعات!$C$2:$C$2000,A1341))</f>
        <v/>
      </c>
      <c r="E1341" s="13">
        <f>IF(A1341="","",IF(COUNTIF(المبيعات!$C$2:$C$2000,A1341)=0,"",_xlfn.MAXIFS(المبيعات!$A$2:$A$2000,المبيعات!$C$2:$C$2000,A1341)))</f>
        <v/>
      </c>
      <c r="F1341">
        <f>IF(A1341="","",SUMIFS(المبيعات!$H$2:$H$2000,المبيعات!$C$2:$C$2000,A1341,المبيعات!$J$2:$J$2000,"آجل"))</f>
        <v/>
      </c>
      <c r="G1341" s="4" t="n"/>
      <c r="H1341">
        <f>IF(A1341="","",F1341-G1341)</f>
        <v/>
      </c>
    </row>
    <row r="1342">
      <c r="A1342" s="4" t="n"/>
      <c r="B1342" s="4" t="n"/>
      <c r="C1342">
        <f>IF(A1342="","",SUMPRODUCT((المبيعات!$C$2:$C$2000=A1342)*(المبيعات!$B$2:$B$2000&lt;&gt;"")/COUNTIFS(المبيعات!$B$2:$B$2000,المبيعات!$B$2:$B$2000&amp;"",المبيعات!$C$2:$C$2000,المبيعات!$C$2:$C$2000&amp;"")))</f>
        <v/>
      </c>
      <c r="D1342">
        <f>IF(A1342="","",SUMIFS(المبيعات!$H$2:$H$2000,المبيعات!$C$2:$C$2000,A1342))</f>
        <v/>
      </c>
      <c r="E1342" s="13">
        <f>IF(A1342="","",IF(COUNTIF(المبيعات!$C$2:$C$2000,A1342)=0,"",_xlfn.MAXIFS(المبيعات!$A$2:$A$2000,المبيعات!$C$2:$C$2000,A1342)))</f>
        <v/>
      </c>
      <c r="F1342">
        <f>IF(A1342="","",SUMIFS(المبيعات!$H$2:$H$2000,المبيعات!$C$2:$C$2000,A1342,المبيعات!$J$2:$J$2000,"آجل"))</f>
        <v/>
      </c>
      <c r="G1342" s="4" t="n"/>
      <c r="H1342">
        <f>IF(A1342="","",F1342-G1342)</f>
        <v/>
      </c>
    </row>
    <row r="1343">
      <c r="A1343" s="4" t="n"/>
      <c r="B1343" s="4" t="n"/>
      <c r="C1343">
        <f>IF(A1343="","",SUMPRODUCT((المبيعات!$C$2:$C$2000=A1343)*(المبيعات!$B$2:$B$2000&lt;&gt;"")/COUNTIFS(المبيعات!$B$2:$B$2000,المبيعات!$B$2:$B$2000&amp;"",المبيعات!$C$2:$C$2000,المبيعات!$C$2:$C$2000&amp;"")))</f>
        <v/>
      </c>
      <c r="D1343">
        <f>IF(A1343="","",SUMIFS(المبيعات!$H$2:$H$2000,المبيعات!$C$2:$C$2000,A1343))</f>
        <v/>
      </c>
      <c r="E1343" s="13">
        <f>IF(A1343="","",IF(COUNTIF(المبيعات!$C$2:$C$2000,A1343)=0,"",_xlfn.MAXIFS(المبيعات!$A$2:$A$2000,المبيعات!$C$2:$C$2000,A1343)))</f>
        <v/>
      </c>
      <c r="F1343">
        <f>IF(A1343="","",SUMIFS(المبيعات!$H$2:$H$2000,المبيعات!$C$2:$C$2000,A1343,المبيعات!$J$2:$J$2000,"آجل"))</f>
        <v/>
      </c>
      <c r="G1343" s="4" t="n"/>
      <c r="H1343">
        <f>IF(A1343="","",F1343-G1343)</f>
        <v/>
      </c>
    </row>
    <row r="1344">
      <c r="A1344" s="4" t="n"/>
      <c r="B1344" s="4" t="n"/>
      <c r="C1344">
        <f>IF(A1344="","",SUMPRODUCT((المبيعات!$C$2:$C$2000=A1344)*(المبيعات!$B$2:$B$2000&lt;&gt;"")/COUNTIFS(المبيعات!$B$2:$B$2000,المبيعات!$B$2:$B$2000&amp;"",المبيعات!$C$2:$C$2000,المبيعات!$C$2:$C$2000&amp;"")))</f>
        <v/>
      </c>
      <c r="D1344">
        <f>IF(A1344="","",SUMIFS(المبيعات!$H$2:$H$2000,المبيعات!$C$2:$C$2000,A1344))</f>
        <v/>
      </c>
      <c r="E1344" s="13">
        <f>IF(A1344="","",IF(COUNTIF(المبيعات!$C$2:$C$2000,A1344)=0,"",_xlfn.MAXIFS(المبيعات!$A$2:$A$2000,المبيعات!$C$2:$C$2000,A1344)))</f>
        <v/>
      </c>
      <c r="F1344">
        <f>IF(A1344="","",SUMIFS(المبيعات!$H$2:$H$2000,المبيعات!$C$2:$C$2000,A1344,المبيعات!$J$2:$J$2000,"آجل"))</f>
        <v/>
      </c>
      <c r="G1344" s="4" t="n"/>
      <c r="H1344">
        <f>IF(A1344="","",F1344-G1344)</f>
        <v/>
      </c>
    </row>
    <row r="1345">
      <c r="A1345" s="4" t="n"/>
      <c r="B1345" s="4" t="n"/>
      <c r="C1345">
        <f>IF(A1345="","",SUMPRODUCT((المبيعات!$C$2:$C$2000=A1345)*(المبيعات!$B$2:$B$2000&lt;&gt;"")/COUNTIFS(المبيعات!$B$2:$B$2000,المبيعات!$B$2:$B$2000&amp;"",المبيعات!$C$2:$C$2000,المبيعات!$C$2:$C$2000&amp;"")))</f>
        <v/>
      </c>
      <c r="D1345">
        <f>IF(A1345="","",SUMIFS(المبيعات!$H$2:$H$2000,المبيعات!$C$2:$C$2000,A1345))</f>
        <v/>
      </c>
      <c r="E1345" s="13">
        <f>IF(A1345="","",IF(COUNTIF(المبيعات!$C$2:$C$2000,A1345)=0,"",_xlfn.MAXIFS(المبيعات!$A$2:$A$2000,المبيعات!$C$2:$C$2000,A1345)))</f>
        <v/>
      </c>
      <c r="F1345">
        <f>IF(A1345="","",SUMIFS(المبيعات!$H$2:$H$2000,المبيعات!$C$2:$C$2000,A1345,المبيعات!$J$2:$J$2000,"آجل"))</f>
        <v/>
      </c>
      <c r="G1345" s="4" t="n"/>
      <c r="H1345">
        <f>IF(A1345="","",F1345-G1345)</f>
        <v/>
      </c>
    </row>
    <row r="1346">
      <c r="A1346" s="4" t="n"/>
      <c r="B1346" s="4" t="n"/>
      <c r="C1346">
        <f>IF(A1346="","",SUMPRODUCT((المبيعات!$C$2:$C$2000=A1346)*(المبيعات!$B$2:$B$2000&lt;&gt;"")/COUNTIFS(المبيعات!$B$2:$B$2000,المبيعات!$B$2:$B$2000&amp;"",المبيعات!$C$2:$C$2000,المبيعات!$C$2:$C$2000&amp;"")))</f>
        <v/>
      </c>
      <c r="D1346">
        <f>IF(A1346="","",SUMIFS(المبيعات!$H$2:$H$2000,المبيعات!$C$2:$C$2000,A1346))</f>
        <v/>
      </c>
      <c r="E1346" s="13">
        <f>IF(A1346="","",IF(COUNTIF(المبيعات!$C$2:$C$2000,A1346)=0,"",_xlfn.MAXIFS(المبيعات!$A$2:$A$2000,المبيعات!$C$2:$C$2000,A1346)))</f>
        <v/>
      </c>
      <c r="F1346">
        <f>IF(A1346="","",SUMIFS(المبيعات!$H$2:$H$2000,المبيعات!$C$2:$C$2000,A1346,المبيعات!$J$2:$J$2000,"آجل"))</f>
        <v/>
      </c>
      <c r="G1346" s="4" t="n"/>
      <c r="H1346">
        <f>IF(A1346="","",F1346-G1346)</f>
        <v/>
      </c>
    </row>
    <row r="1347">
      <c r="A1347" s="4" t="n"/>
      <c r="B1347" s="4" t="n"/>
      <c r="C1347">
        <f>IF(A1347="","",SUMPRODUCT((المبيعات!$C$2:$C$2000=A1347)*(المبيعات!$B$2:$B$2000&lt;&gt;"")/COUNTIFS(المبيعات!$B$2:$B$2000,المبيعات!$B$2:$B$2000&amp;"",المبيعات!$C$2:$C$2000,المبيعات!$C$2:$C$2000&amp;"")))</f>
        <v/>
      </c>
      <c r="D1347">
        <f>IF(A1347="","",SUMIFS(المبيعات!$H$2:$H$2000,المبيعات!$C$2:$C$2000,A1347))</f>
        <v/>
      </c>
      <c r="E1347" s="13">
        <f>IF(A1347="","",IF(COUNTIF(المبيعات!$C$2:$C$2000,A1347)=0,"",_xlfn.MAXIFS(المبيعات!$A$2:$A$2000,المبيعات!$C$2:$C$2000,A1347)))</f>
        <v/>
      </c>
      <c r="F1347">
        <f>IF(A1347="","",SUMIFS(المبيعات!$H$2:$H$2000,المبيعات!$C$2:$C$2000,A1347,المبيعات!$J$2:$J$2000,"آجل"))</f>
        <v/>
      </c>
      <c r="G1347" s="4" t="n"/>
      <c r="H1347">
        <f>IF(A1347="","",F1347-G1347)</f>
        <v/>
      </c>
    </row>
    <row r="1348">
      <c r="A1348" s="4" t="n"/>
      <c r="B1348" s="4" t="n"/>
      <c r="C1348">
        <f>IF(A1348="","",SUMPRODUCT((المبيعات!$C$2:$C$2000=A1348)*(المبيعات!$B$2:$B$2000&lt;&gt;"")/COUNTIFS(المبيعات!$B$2:$B$2000,المبيعات!$B$2:$B$2000&amp;"",المبيعات!$C$2:$C$2000,المبيعات!$C$2:$C$2000&amp;"")))</f>
        <v/>
      </c>
      <c r="D1348">
        <f>IF(A1348="","",SUMIFS(المبيعات!$H$2:$H$2000,المبيعات!$C$2:$C$2000,A1348))</f>
        <v/>
      </c>
      <c r="E1348" s="13">
        <f>IF(A1348="","",IF(COUNTIF(المبيعات!$C$2:$C$2000,A1348)=0,"",_xlfn.MAXIFS(المبيعات!$A$2:$A$2000,المبيعات!$C$2:$C$2000,A1348)))</f>
        <v/>
      </c>
      <c r="F1348">
        <f>IF(A1348="","",SUMIFS(المبيعات!$H$2:$H$2000,المبيعات!$C$2:$C$2000,A1348,المبيعات!$J$2:$J$2000,"آجل"))</f>
        <v/>
      </c>
      <c r="G1348" s="4" t="n"/>
      <c r="H1348">
        <f>IF(A1348="","",F1348-G1348)</f>
        <v/>
      </c>
    </row>
    <row r="1349">
      <c r="A1349" s="4" t="n"/>
      <c r="B1349" s="4" t="n"/>
      <c r="C1349">
        <f>IF(A1349="","",SUMPRODUCT((المبيعات!$C$2:$C$2000=A1349)*(المبيعات!$B$2:$B$2000&lt;&gt;"")/COUNTIFS(المبيعات!$B$2:$B$2000,المبيعات!$B$2:$B$2000&amp;"",المبيعات!$C$2:$C$2000,المبيعات!$C$2:$C$2000&amp;"")))</f>
        <v/>
      </c>
      <c r="D1349">
        <f>IF(A1349="","",SUMIFS(المبيعات!$H$2:$H$2000,المبيعات!$C$2:$C$2000,A1349))</f>
        <v/>
      </c>
      <c r="E1349" s="13">
        <f>IF(A1349="","",IF(COUNTIF(المبيعات!$C$2:$C$2000,A1349)=0,"",_xlfn.MAXIFS(المبيعات!$A$2:$A$2000,المبيعات!$C$2:$C$2000,A1349)))</f>
        <v/>
      </c>
      <c r="F1349">
        <f>IF(A1349="","",SUMIFS(المبيعات!$H$2:$H$2000,المبيعات!$C$2:$C$2000,A1349,المبيعات!$J$2:$J$2000,"آجل"))</f>
        <v/>
      </c>
      <c r="G1349" s="4" t="n"/>
      <c r="H1349">
        <f>IF(A1349="","",F1349-G1349)</f>
        <v/>
      </c>
    </row>
    <row r="1350">
      <c r="A1350" s="4" t="n"/>
      <c r="B1350" s="4" t="n"/>
      <c r="C1350">
        <f>IF(A1350="","",SUMPRODUCT((المبيعات!$C$2:$C$2000=A1350)*(المبيعات!$B$2:$B$2000&lt;&gt;"")/COUNTIFS(المبيعات!$B$2:$B$2000,المبيعات!$B$2:$B$2000&amp;"",المبيعات!$C$2:$C$2000,المبيعات!$C$2:$C$2000&amp;"")))</f>
        <v/>
      </c>
      <c r="D1350">
        <f>IF(A1350="","",SUMIFS(المبيعات!$H$2:$H$2000,المبيعات!$C$2:$C$2000,A1350))</f>
        <v/>
      </c>
      <c r="E1350" s="13">
        <f>IF(A1350="","",IF(COUNTIF(المبيعات!$C$2:$C$2000,A1350)=0,"",_xlfn.MAXIFS(المبيعات!$A$2:$A$2000,المبيعات!$C$2:$C$2000,A1350)))</f>
        <v/>
      </c>
      <c r="F1350">
        <f>IF(A1350="","",SUMIFS(المبيعات!$H$2:$H$2000,المبيعات!$C$2:$C$2000,A1350,المبيعات!$J$2:$J$2000,"آجل"))</f>
        <v/>
      </c>
      <c r="G1350" s="4" t="n"/>
      <c r="H1350">
        <f>IF(A1350="","",F1350-G1350)</f>
        <v/>
      </c>
    </row>
    <row r="1351">
      <c r="A1351" s="4" t="n"/>
      <c r="B1351" s="4" t="n"/>
      <c r="C1351">
        <f>IF(A1351="","",SUMPRODUCT((المبيعات!$C$2:$C$2000=A1351)*(المبيعات!$B$2:$B$2000&lt;&gt;"")/COUNTIFS(المبيعات!$B$2:$B$2000,المبيعات!$B$2:$B$2000&amp;"",المبيعات!$C$2:$C$2000,المبيعات!$C$2:$C$2000&amp;"")))</f>
        <v/>
      </c>
      <c r="D1351">
        <f>IF(A1351="","",SUMIFS(المبيعات!$H$2:$H$2000,المبيعات!$C$2:$C$2000,A1351))</f>
        <v/>
      </c>
      <c r="E1351" s="13">
        <f>IF(A1351="","",IF(COUNTIF(المبيعات!$C$2:$C$2000,A1351)=0,"",_xlfn.MAXIFS(المبيعات!$A$2:$A$2000,المبيعات!$C$2:$C$2000,A1351)))</f>
        <v/>
      </c>
      <c r="F1351">
        <f>IF(A1351="","",SUMIFS(المبيعات!$H$2:$H$2000,المبيعات!$C$2:$C$2000,A1351,المبيعات!$J$2:$J$2000,"آجل"))</f>
        <v/>
      </c>
      <c r="G1351" s="4" t="n"/>
      <c r="H1351">
        <f>IF(A1351="","",F1351-G1351)</f>
        <v/>
      </c>
    </row>
    <row r="1352">
      <c r="A1352" s="4" t="n"/>
      <c r="B1352" s="4" t="n"/>
      <c r="C1352">
        <f>IF(A1352="","",SUMPRODUCT((المبيعات!$C$2:$C$2000=A1352)*(المبيعات!$B$2:$B$2000&lt;&gt;"")/COUNTIFS(المبيعات!$B$2:$B$2000,المبيعات!$B$2:$B$2000&amp;"",المبيعات!$C$2:$C$2000,المبيعات!$C$2:$C$2000&amp;"")))</f>
        <v/>
      </c>
      <c r="D1352">
        <f>IF(A1352="","",SUMIFS(المبيعات!$H$2:$H$2000,المبيعات!$C$2:$C$2000,A1352))</f>
        <v/>
      </c>
      <c r="E1352" s="13">
        <f>IF(A1352="","",IF(COUNTIF(المبيعات!$C$2:$C$2000,A1352)=0,"",_xlfn.MAXIFS(المبيعات!$A$2:$A$2000,المبيعات!$C$2:$C$2000,A1352)))</f>
        <v/>
      </c>
      <c r="F1352">
        <f>IF(A1352="","",SUMIFS(المبيعات!$H$2:$H$2000,المبيعات!$C$2:$C$2000,A1352,المبيعات!$J$2:$J$2000,"آجل"))</f>
        <v/>
      </c>
      <c r="G1352" s="4" t="n"/>
      <c r="H1352">
        <f>IF(A1352="","",F1352-G1352)</f>
        <v/>
      </c>
    </row>
    <row r="1353">
      <c r="A1353" s="4" t="n"/>
      <c r="B1353" s="4" t="n"/>
      <c r="C1353">
        <f>IF(A1353="","",SUMPRODUCT((المبيعات!$C$2:$C$2000=A1353)*(المبيعات!$B$2:$B$2000&lt;&gt;"")/COUNTIFS(المبيعات!$B$2:$B$2000,المبيعات!$B$2:$B$2000&amp;"",المبيعات!$C$2:$C$2000,المبيعات!$C$2:$C$2000&amp;"")))</f>
        <v/>
      </c>
      <c r="D1353">
        <f>IF(A1353="","",SUMIFS(المبيعات!$H$2:$H$2000,المبيعات!$C$2:$C$2000,A1353))</f>
        <v/>
      </c>
      <c r="E1353" s="13">
        <f>IF(A1353="","",IF(COUNTIF(المبيعات!$C$2:$C$2000,A1353)=0,"",_xlfn.MAXIFS(المبيعات!$A$2:$A$2000,المبيعات!$C$2:$C$2000,A1353)))</f>
        <v/>
      </c>
      <c r="F1353">
        <f>IF(A1353="","",SUMIFS(المبيعات!$H$2:$H$2000,المبيعات!$C$2:$C$2000,A1353,المبيعات!$J$2:$J$2000,"آجل"))</f>
        <v/>
      </c>
      <c r="G1353" s="4" t="n"/>
      <c r="H1353">
        <f>IF(A1353="","",F1353-G1353)</f>
        <v/>
      </c>
    </row>
    <row r="1354">
      <c r="A1354" s="4" t="n"/>
      <c r="B1354" s="4" t="n"/>
      <c r="C1354">
        <f>IF(A1354="","",SUMPRODUCT((المبيعات!$C$2:$C$2000=A1354)*(المبيعات!$B$2:$B$2000&lt;&gt;"")/COUNTIFS(المبيعات!$B$2:$B$2000,المبيعات!$B$2:$B$2000&amp;"",المبيعات!$C$2:$C$2000,المبيعات!$C$2:$C$2000&amp;"")))</f>
        <v/>
      </c>
      <c r="D1354">
        <f>IF(A1354="","",SUMIFS(المبيعات!$H$2:$H$2000,المبيعات!$C$2:$C$2000,A1354))</f>
        <v/>
      </c>
      <c r="E1354" s="13">
        <f>IF(A1354="","",IF(COUNTIF(المبيعات!$C$2:$C$2000,A1354)=0,"",_xlfn.MAXIFS(المبيعات!$A$2:$A$2000,المبيعات!$C$2:$C$2000,A1354)))</f>
        <v/>
      </c>
      <c r="F1354">
        <f>IF(A1354="","",SUMIFS(المبيعات!$H$2:$H$2000,المبيعات!$C$2:$C$2000,A1354,المبيعات!$J$2:$J$2000,"آجل"))</f>
        <v/>
      </c>
      <c r="G1354" s="4" t="n"/>
      <c r="H1354">
        <f>IF(A1354="","",F1354-G1354)</f>
        <v/>
      </c>
    </row>
    <row r="1355">
      <c r="A1355" s="4" t="n"/>
      <c r="B1355" s="4" t="n"/>
      <c r="C1355">
        <f>IF(A1355="","",SUMPRODUCT((المبيعات!$C$2:$C$2000=A1355)*(المبيعات!$B$2:$B$2000&lt;&gt;"")/COUNTIFS(المبيعات!$B$2:$B$2000,المبيعات!$B$2:$B$2000&amp;"",المبيعات!$C$2:$C$2000,المبيعات!$C$2:$C$2000&amp;"")))</f>
        <v/>
      </c>
      <c r="D1355">
        <f>IF(A1355="","",SUMIFS(المبيعات!$H$2:$H$2000,المبيعات!$C$2:$C$2000,A1355))</f>
        <v/>
      </c>
      <c r="E1355" s="13">
        <f>IF(A1355="","",IF(COUNTIF(المبيعات!$C$2:$C$2000,A1355)=0,"",_xlfn.MAXIFS(المبيعات!$A$2:$A$2000,المبيعات!$C$2:$C$2000,A1355)))</f>
        <v/>
      </c>
      <c r="F1355">
        <f>IF(A1355="","",SUMIFS(المبيعات!$H$2:$H$2000,المبيعات!$C$2:$C$2000,A1355,المبيعات!$J$2:$J$2000,"آجل"))</f>
        <v/>
      </c>
      <c r="G1355" s="4" t="n"/>
      <c r="H1355">
        <f>IF(A1355="","",F1355-G1355)</f>
        <v/>
      </c>
    </row>
    <row r="1356">
      <c r="A1356" s="4" t="n"/>
      <c r="B1356" s="4" t="n"/>
      <c r="C1356">
        <f>IF(A1356="","",SUMPRODUCT((المبيعات!$C$2:$C$2000=A1356)*(المبيعات!$B$2:$B$2000&lt;&gt;"")/COUNTIFS(المبيعات!$B$2:$B$2000,المبيعات!$B$2:$B$2000&amp;"",المبيعات!$C$2:$C$2000,المبيعات!$C$2:$C$2000&amp;"")))</f>
        <v/>
      </c>
      <c r="D1356">
        <f>IF(A1356="","",SUMIFS(المبيعات!$H$2:$H$2000,المبيعات!$C$2:$C$2000,A1356))</f>
        <v/>
      </c>
      <c r="E1356" s="13">
        <f>IF(A1356="","",IF(COUNTIF(المبيعات!$C$2:$C$2000,A1356)=0,"",_xlfn.MAXIFS(المبيعات!$A$2:$A$2000,المبيعات!$C$2:$C$2000,A1356)))</f>
        <v/>
      </c>
      <c r="F1356">
        <f>IF(A1356="","",SUMIFS(المبيعات!$H$2:$H$2000,المبيعات!$C$2:$C$2000,A1356,المبيعات!$J$2:$J$2000,"آجل"))</f>
        <v/>
      </c>
      <c r="G1356" s="4" t="n"/>
      <c r="H1356">
        <f>IF(A1356="","",F1356-G1356)</f>
        <v/>
      </c>
    </row>
    <row r="1357">
      <c r="A1357" s="4" t="n"/>
      <c r="B1357" s="4" t="n"/>
      <c r="C1357">
        <f>IF(A1357="","",SUMPRODUCT((المبيعات!$C$2:$C$2000=A1357)*(المبيعات!$B$2:$B$2000&lt;&gt;"")/COUNTIFS(المبيعات!$B$2:$B$2000,المبيعات!$B$2:$B$2000&amp;"",المبيعات!$C$2:$C$2000,المبيعات!$C$2:$C$2000&amp;"")))</f>
        <v/>
      </c>
      <c r="D1357">
        <f>IF(A1357="","",SUMIFS(المبيعات!$H$2:$H$2000,المبيعات!$C$2:$C$2000,A1357))</f>
        <v/>
      </c>
      <c r="E1357" s="13">
        <f>IF(A1357="","",IF(COUNTIF(المبيعات!$C$2:$C$2000,A1357)=0,"",_xlfn.MAXIFS(المبيعات!$A$2:$A$2000,المبيعات!$C$2:$C$2000,A1357)))</f>
        <v/>
      </c>
      <c r="F1357">
        <f>IF(A1357="","",SUMIFS(المبيعات!$H$2:$H$2000,المبيعات!$C$2:$C$2000,A1357,المبيعات!$J$2:$J$2000,"آجل"))</f>
        <v/>
      </c>
      <c r="G1357" s="4" t="n"/>
      <c r="H1357">
        <f>IF(A1357="","",F1357-G1357)</f>
        <v/>
      </c>
    </row>
    <row r="1358">
      <c r="A1358" s="4" t="n"/>
      <c r="B1358" s="4" t="n"/>
      <c r="C1358">
        <f>IF(A1358="","",SUMPRODUCT((المبيعات!$C$2:$C$2000=A1358)*(المبيعات!$B$2:$B$2000&lt;&gt;"")/COUNTIFS(المبيعات!$B$2:$B$2000,المبيعات!$B$2:$B$2000&amp;"",المبيعات!$C$2:$C$2000,المبيعات!$C$2:$C$2000&amp;"")))</f>
        <v/>
      </c>
      <c r="D1358">
        <f>IF(A1358="","",SUMIFS(المبيعات!$H$2:$H$2000,المبيعات!$C$2:$C$2000,A1358))</f>
        <v/>
      </c>
      <c r="E1358" s="13">
        <f>IF(A1358="","",IF(COUNTIF(المبيعات!$C$2:$C$2000,A1358)=0,"",_xlfn.MAXIFS(المبيعات!$A$2:$A$2000,المبيعات!$C$2:$C$2000,A1358)))</f>
        <v/>
      </c>
      <c r="F1358">
        <f>IF(A1358="","",SUMIFS(المبيعات!$H$2:$H$2000,المبيعات!$C$2:$C$2000,A1358,المبيعات!$J$2:$J$2000,"آجل"))</f>
        <v/>
      </c>
      <c r="G1358" s="4" t="n"/>
      <c r="H1358">
        <f>IF(A1358="","",F1358-G1358)</f>
        <v/>
      </c>
    </row>
    <row r="1359">
      <c r="A1359" s="4" t="n"/>
      <c r="B1359" s="4" t="n"/>
      <c r="C1359">
        <f>IF(A1359="","",SUMPRODUCT((المبيعات!$C$2:$C$2000=A1359)*(المبيعات!$B$2:$B$2000&lt;&gt;"")/COUNTIFS(المبيعات!$B$2:$B$2000,المبيعات!$B$2:$B$2000&amp;"",المبيعات!$C$2:$C$2000,المبيعات!$C$2:$C$2000&amp;"")))</f>
        <v/>
      </c>
      <c r="D1359">
        <f>IF(A1359="","",SUMIFS(المبيعات!$H$2:$H$2000,المبيعات!$C$2:$C$2000,A1359))</f>
        <v/>
      </c>
      <c r="E1359" s="13">
        <f>IF(A1359="","",IF(COUNTIF(المبيعات!$C$2:$C$2000,A1359)=0,"",_xlfn.MAXIFS(المبيعات!$A$2:$A$2000,المبيعات!$C$2:$C$2000,A1359)))</f>
        <v/>
      </c>
      <c r="F1359">
        <f>IF(A1359="","",SUMIFS(المبيعات!$H$2:$H$2000,المبيعات!$C$2:$C$2000,A1359,المبيعات!$J$2:$J$2000,"آجل"))</f>
        <v/>
      </c>
      <c r="G1359" s="4" t="n"/>
      <c r="H1359">
        <f>IF(A1359="","",F1359-G1359)</f>
        <v/>
      </c>
    </row>
    <row r="1360">
      <c r="A1360" s="4" t="n"/>
      <c r="B1360" s="4" t="n"/>
      <c r="C1360">
        <f>IF(A1360="","",SUMPRODUCT((المبيعات!$C$2:$C$2000=A1360)*(المبيعات!$B$2:$B$2000&lt;&gt;"")/COUNTIFS(المبيعات!$B$2:$B$2000,المبيعات!$B$2:$B$2000&amp;"",المبيعات!$C$2:$C$2000,المبيعات!$C$2:$C$2000&amp;"")))</f>
        <v/>
      </c>
      <c r="D1360">
        <f>IF(A1360="","",SUMIFS(المبيعات!$H$2:$H$2000,المبيعات!$C$2:$C$2000,A1360))</f>
        <v/>
      </c>
      <c r="E1360" s="13">
        <f>IF(A1360="","",IF(COUNTIF(المبيعات!$C$2:$C$2000,A1360)=0,"",_xlfn.MAXIFS(المبيعات!$A$2:$A$2000,المبيعات!$C$2:$C$2000,A1360)))</f>
        <v/>
      </c>
      <c r="F1360">
        <f>IF(A1360="","",SUMIFS(المبيعات!$H$2:$H$2000,المبيعات!$C$2:$C$2000,A1360,المبيعات!$J$2:$J$2000,"آجل"))</f>
        <v/>
      </c>
      <c r="G1360" s="4" t="n"/>
      <c r="H1360">
        <f>IF(A1360="","",F1360-G1360)</f>
        <v/>
      </c>
    </row>
    <row r="1361">
      <c r="A1361" s="4" t="n"/>
      <c r="B1361" s="4" t="n"/>
      <c r="C1361">
        <f>IF(A1361="","",SUMPRODUCT((المبيعات!$C$2:$C$2000=A1361)*(المبيعات!$B$2:$B$2000&lt;&gt;"")/COUNTIFS(المبيعات!$B$2:$B$2000,المبيعات!$B$2:$B$2000&amp;"",المبيعات!$C$2:$C$2000,المبيعات!$C$2:$C$2000&amp;"")))</f>
        <v/>
      </c>
      <c r="D1361">
        <f>IF(A1361="","",SUMIFS(المبيعات!$H$2:$H$2000,المبيعات!$C$2:$C$2000,A1361))</f>
        <v/>
      </c>
      <c r="E1361" s="13">
        <f>IF(A1361="","",IF(COUNTIF(المبيعات!$C$2:$C$2000,A1361)=0,"",_xlfn.MAXIFS(المبيعات!$A$2:$A$2000,المبيعات!$C$2:$C$2000,A1361)))</f>
        <v/>
      </c>
      <c r="F1361">
        <f>IF(A1361="","",SUMIFS(المبيعات!$H$2:$H$2000,المبيعات!$C$2:$C$2000,A1361,المبيعات!$J$2:$J$2000,"آجل"))</f>
        <v/>
      </c>
      <c r="G1361" s="4" t="n"/>
      <c r="H1361">
        <f>IF(A1361="","",F1361-G1361)</f>
        <v/>
      </c>
    </row>
    <row r="1362">
      <c r="A1362" s="4" t="n"/>
      <c r="B1362" s="4" t="n"/>
      <c r="C1362">
        <f>IF(A1362="","",SUMPRODUCT((المبيعات!$C$2:$C$2000=A1362)*(المبيعات!$B$2:$B$2000&lt;&gt;"")/COUNTIFS(المبيعات!$B$2:$B$2000,المبيعات!$B$2:$B$2000&amp;"",المبيعات!$C$2:$C$2000,المبيعات!$C$2:$C$2000&amp;"")))</f>
        <v/>
      </c>
      <c r="D1362">
        <f>IF(A1362="","",SUMIFS(المبيعات!$H$2:$H$2000,المبيعات!$C$2:$C$2000,A1362))</f>
        <v/>
      </c>
      <c r="E1362" s="13">
        <f>IF(A1362="","",IF(COUNTIF(المبيعات!$C$2:$C$2000,A1362)=0,"",_xlfn.MAXIFS(المبيعات!$A$2:$A$2000,المبيعات!$C$2:$C$2000,A1362)))</f>
        <v/>
      </c>
      <c r="F1362">
        <f>IF(A1362="","",SUMIFS(المبيعات!$H$2:$H$2000,المبيعات!$C$2:$C$2000,A1362,المبيعات!$J$2:$J$2000,"آجل"))</f>
        <v/>
      </c>
      <c r="G1362" s="4" t="n"/>
      <c r="H1362">
        <f>IF(A1362="","",F1362-G1362)</f>
        <v/>
      </c>
    </row>
    <row r="1363">
      <c r="A1363" s="4" t="n"/>
      <c r="B1363" s="4" t="n"/>
      <c r="C1363">
        <f>IF(A1363="","",SUMPRODUCT((المبيعات!$C$2:$C$2000=A1363)*(المبيعات!$B$2:$B$2000&lt;&gt;"")/COUNTIFS(المبيعات!$B$2:$B$2000,المبيعات!$B$2:$B$2000&amp;"",المبيعات!$C$2:$C$2000,المبيعات!$C$2:$C$2000&amp;"")))</f>
        <v/>
      </c>
      <c r="D1363">
        <f>IF(A1363="","",SUMIFS(المبيعات!$H$2:$H$2000,المبيعات!$C$2:$C$2000,A1363))</f>
        <v/>
      </c>
      <c r="E1363" s="13">
        <f>IF(A1363="","",IF(COUNTIF(المبيعات!$C$2:$C$2000,A1363)=0,"",_xlfn.MAXIFS(المبيعات!$A$2:$A$2000,المبيعات!$C$2:$C$2000,A1363)))</f>
        <v/>
      </c>
      <c r="F1363">
        <f>IF(A1363="","",SUMIFS(المبيعات!$H$2:$H$2000,المبيعات!$C$2:$C$2000,A1363,المبيعات!$J$2:$J$2000,"آجل"))</f>
        <v/>
      </c>
      <c r="G1363" s="4" t="n"/>
      <c r="H1363">
        <f>IF(A1363="","",F1363-G1363)</f>
        <v/>
      </c>
    </row>
    <row r="1364">
      <c r="A1364" s="4" t="n"/>
      <c r="B1364" s="4" t="n"/>
      <c r="C1364">
        <f>IF(A1364="","",SUMPRODUCT((المبيعات!$C$2:$C$2000=A1364)*(المبيعات!$B$2:$B$2000&lt;&gt;"")/COUNTIFS(المبيعات!$B$2:$B$2000,المبيعات!$B$2:$B$2000&amp;"",المبيعات!$C$2:$C$2000,المبيعات!$C$2:$C$2000&amp;"")))</f>
        <v/>
      </c>
      <c r="D1364">
        <f>IF(A1364="","",SUMIFS(المبيعات!$H$2:$H$2000,المبيعات!$C$2:$C$2000,A1364))</f>
        <v/>
      </c>
      <c r="E1364" s="13">
        <f>IF(A1364="","",IF(COUNTIF(المبيعات!$C$2:$C$2000,A1364)=0,"",_xlfn.MAXIFS(المبيعات!$A$2:$A$2000,المبيعات!$C$2:$C$2000,A1364)))</f>
        <v/>
      </c>
      <c r="F1364">
        <f>IF(A1364="","",SUMIFS(المبيعات!$H$2:$H$2000,المبيعات!$C$2:$C$2000,A1364,المبيعات!$J$2:$J$2000,"آجل"))</f>
        <v/>
      </c>
      <c r="G1364" s="4" t="n"/>
      <c r="H1364">
        <f>IF(A1364="","",F1364-G1364)</f>
        <v/>
      </c>
    </row>
    <row r="1365">
      <c r="A1365" s="4" t="n"/>
      <c r="B1365" s="4" t="n"/>
      <c r="C1365">
        <f>IF(A1365="","",SUMPRODUCT((المبيعات!$C$2:$C$2000=A1365)*(المبيعات!$B$2:$B$2000&lt;&gt;"")/COUNTIFS(المبيعات!$B$2:$B$2000,المبيعات!$B$2:$B$2000&amp;"",المبيعات!$C$2:$C$2000,المبيعات!$C$2:$C$2000&amp;"")))</f>
        <v/>
      </c>
      <c r="D1365">
        <f>IF(A1365="","",SUMIFS(المبيعات!$H$2:$H$2000,المبيعات!$C$2:$C$2000,A1365))</f>
        <v/>
      </c>
      <c r="E1365" s="13">
        <f>IF(A1365="","",IF(COUNTIF(المبيعات!$C$2:$C$2000,A1365)=0,"",_xlfn.MAXIFS(المبيعات!$A$2:$A$2000,المبيعات!$C$2:$C$2000,A1365)))</f>
        <v/>
      </c>
      <c r="F1365">
        <f>IF(A1365="","",SUMIFS(المبيعات!$H$2:$H$2000,المبيعات!$C$2:$C$2000,A1365,المبيعات!$J$2:$J$2000,"آجل"))</f>
        <v/>
      </c>
      <c r="G1365" s="4" t="n"/>
      <c r="H1365">
        <f>IF(A1365="","",F1365-G1365)</f>
        <v/>
      </c>
    </row>
    <row r="1366">
      <c r="A1366" s="4" t="n"/>
      <c r="B1366" s="4" t="n"/>
      <c r="C1366">
        <f>IF(A1366="","",SUMPRODUCT((المبيعات!$C$2:$C$2000=A1366)*(المبيعات!$B$2:$B$2000&lt;&gt;"")/COUNTIFS(المبيعات!$B$2:$B$2000,المبيعات!$B$2:$B$2000&amp;"",المبيعات!$C$2:$C$2000,المبيعات!$C$2:$C$2000&amp;"")))</f>
        <v/>
      </c>
      <c r="D1366">
        <f>IF(A1366="","",SUMIFS(المبيعات!$H$2:$H$2000,المبيعات!$C$2:$C$2000,A1366))</f>
        <v/>
      </c>
      <c r="E1366" s="13">
        <f>IF(A1366="","",IF(COUNTIF(المبيعات!$C$2:$C$2000,A1366)=0,"",_xlfn.MAXIFS(المبيعات!$A$2:$A$2000,المبيعات!$C$2:$C$2000,A1366)))</f>
        <v/>
      </c>
      <c r="F1366">
        <f>IF(A1366="","",SUMIFS(المبيعات!$H$2:$H$2000,المبيعات!$C$2:$C$2000,A1366,المبيعات!$J$2:$J$2000,"آجل"))</f>
        <v/>
      </c>
      <c r="G1366" s="4" t="n"/>
      <c r="H1366">
        <f>IF(A1366="","",F1366-G1366)</f>
        <v/>
      </c>
    </row>
    <row r="1367">
      <c r="A1367" s="4" t="n"/>
      <c r="B1367" s="4" t="n"/>
      <c r="C1367">
        <f>IF(A1367="","",SUMPRODUCT((المبيعات!$C$2:$C$2000=A1367)*(المبيعات!$B$2:$B$2000&lt;&gt;"")/COUNTIFS(المبيعات!$B$2:$B$2000,المبيعات!$B$2:$B$2000&amp;"",المبيعات!$C$2:$C$2000,المبيعات!$C$2:$C$2000&amp;"")))</f>
        <v/>
      </c>
      <c r="D1367">
        <f>IF(A1367="","",SUMIFS(المبيعات!$H$2:$H$2000,المبيعات!$C$2:$C$2000,A1367))</f>
        <v/>
      </c>
      <c r="E1367" s="13">
        <f>IF(A1367="","",IF(COUNTIF(المبيعات!$C$2:$C$2000,A1367)=0,"",_xlfn.MAXIFS(المبيعات!$A$2:$A$2000,المبيعات!$C$2:$C$2000,A1367)))</f>
        <v/>
      </c>
      <c r="F1367">
        <f>IF(A1367="","",SUMIFS(المبيعات!$H$2:$H$2000,المبيعات!$C$2:$C$2000,A1367,المبيعات!$J$2:$J$2000,"آجل"))</f>
        <v/>
      </c>
      <c r="G1367" s="4" t="n"/>
      <c r="H1367">
        <f>IF(A1367="","",F1367-G1367)</f>
        <v/>
      </c>
    </row>
    <row r="1368">
      <c r="A1368" s="4" t="n"/>
      <c r="B1368" s="4" t="n"/>
      <c r="C1368">
        <f>IF(A1368="","",SUMPRODUCT((المبيعات!$C$2:$C$2000=A1368)*(المبيعات!$B$2:$B$2000&lt;&gt;"")/COUNTIFS(المبيعات!$B$2:$B$2000,المبيعات!$B$2:$B$2000&amp;"",المبيعات!$C$2:$C$2000,المبيعات!$C$2:$C$2000&amp;"")))</f>
        <v/>
      </c>
      <c r="D1368">
        <f>IF(A1368="","",SUMIFS(المبيعات!$H$2:$H$2000,المبيعات!$C$2:$C$2000,A1368))</f>
        <v/>
      </c>
      <c r="E1368" s="13">
        <f>IF(A1368="","",IF(COUNTIF(المبيعات!$C$2:$C$2000,A1368)=0,"",_xlfn.MAXIFS(المبيعات!$A$2:$A$2000,المبيعات!$C$2:$C$2000,A1368)))</f>
        <v/>
      </c>
      <c r="F1368">
        <f>IF(A1368="","",SUMIFS(المبيعات!$H$2:$H$2000,المبيعات!$C$2:$C$2000,A1368,المبيعات!$J$2:$J$2000,"آجل"))</f>
        <v/>
      </c>
      <c r="G1368" s="4" t="n"/>
      <c r="H1368">
        <f>IF(A1368="","",F1368-G1368)</f>
        <v/>
      </c>
    </row>
    <row r="1369">
      <c r="A1369" s="4" t="n"/>
      <c r="B1369" s="4" t="n"/>
      <c r="C1369">
        <f>IF(A1369="","",SUMPRODUCT((المبيعات!$C$2:$C$2000=A1369)*(المبيعات!$B$2:$B$2000&lt;&gt;"")/COUNTIFS(المبيعات!$B$2:$B$2000,المبيعات!$B$2:$B$2000&amp;"",المبيعات!$C$2:$C$2000,المبيعات!$C$2:$C$2000&amp;"")))</f>
        <v/>
      </c>
      <c r="D1369">
        <f>IF(A1369="","",SUMIFS(المبيعات!$H$2:$H$2000,المبيعات!$C$2:$C$2000,A1369))</f>
        <v/>
      </c>
      <c r="E1369" s="13">
        <f>IF(A1369="","",IF(COUNTIF(المبيعات!$C$2:$C$2000,A1369)=0,"",_xlfn.MAXIFS(المبيعات!$A$2:$A$2000,المبيعات!$C$2:$C$2000,A1369)))</f>
        <v/>
      </c>
      <c r="F1369">
        <f>IF(A1369="","",SUMIFS(المبيعات!$H$2:$H$2000,المبيعات!$C$2:$C$2000,A1369,المبيعات!$J$2:$J$2000,"آجل"))</f>
        <v/>
      </c>
      <c r="G1369" s="4" t="n"/>
      <c r="H1369">
        <f>IF(A1369="","",F1369-G1369)</f>
        <v/>
      </c>
    </row>
    <row r="1370">
      <c r="A1370" s="4" t="n"/>
      <c r="B1370" s="4" t="n"/>
      <c r="C1370">
        <f>IF(A1370="","",SUMPRODUCT((المبيعات!$C$2:$C$2000=A1370)*(المبيعات!$B$2:$B$2000&lt;&gt;"")/COUNTIFS(المبيعات!$B$2:$B$2000,المبيعات!$B$2:$B$2000&amp;"",المبيعات!$C$2:$C$2000,المبيعات!$C$2:$C$2000&amp;"")))</f>
        <v/>
      </c>
      <c r="D1370">
        <f>IF(A1370="","",SUMIFS(المبيعات!$H$2:$H$2000,المبيعات!$C$2:$C$2000,A1370))</f>
        <v/>
      </c>
      <c r="E1370" s="13">
        <f>IF(A1370="","",IF(COUNTIF(المبيعات!$C$2:$C$2000,A1370)=0,"",_xlfn.MAXIFS(المبيعات!$A$2:$A$2000,المبيعات!$C$2:$C$2000,A1370)))</f>
        <v/>
      </c>
      <c r="F1370">
        <f>IF(A1370="","",SUMIFS(المبيعات!$H$2:$H$2000,المبيعات!$C$2:$C$2000,A1370,المبيعات!$J$2:$J$2000,"آجل"))</f>
        <v/>
      </c>
      <c r="G1370" s="4" t="n"/>
      <c r="H1370">
        <f>IF(A1370="","",F1370-G1370)</f>
        <v/>
      </c>
    </row>
    <row r="1371">
      <c r="A1371" s="4" t="n"/>
      <c r="B1371" s="4" t="n"/>
      <c r="C1371">
        <f>IF(A1371="","",SUMPRODUCT((المبيعات!$C$2:$C$2000=A1371)*(المبيعات!$B$2:$B$2000&lt;&gt;"")/COUNTIFS(المبيعات!$B$2:$B$2000,المبيعات!$B$2:$B$2000&amp;"",المبيعات!$C$2:$C$2000,المبيعات!$C$2:$C$2000&amp;"")))</f>
        <v/>
      </c>
      <c r="D1371">
        <f>IF(A1371="","",SUMIFS(المبيعات!$H$2:$H$2000,المبيعات!$C$2:$C$2000,A1371))</f>
        <v/>
      </c>
      <c r="E1371" s="13">
        <f>IF(A1371="","",IF(COUNTIF(المبيعات!$C$2:$C$2000,A1371)=0,"",_xlfn.MAXIFS(المبيعات!$A$2:$A$2000,المبيعات!$C$2:$C$2000,A1371)))</f>
        <v/>
      </c>
      <c r="F1371">
        <f>IF(A1371="","",SUMIFS(المبيعات!$H$2:$H$2000,المبيعات!$C$2:$C$2000,A1371,المبيعات!$J$2:$J$2000,"آجل"))</f>
        <v/>
      </c>
      <c r="G1371" s="4" t="n"/>
      <c r="H1371">
        <f>IF(A1371="","",F1371-G1371)</f>
        <v/>
      </c>
    </row>
    <row r="1372">
      <c r="A1372" s="4" t="n"/>
      <c r="B1372" s="4" t="n"/>
      <c r="C1372">
        <f>IF(A1372="","",SUMPRODUCT((المبيعات!$C$2:$C$2000=A1372)*(المبيعات!$B$2:$B$2000&lt;&gt;"")/COUNTIFS(المبيعات!$B$2:$B$2000,المبيعات!$B$2:$B$2000&amp;"",المبيعات!$C$2:$C$2000,المبيعات!$C$2:$C$2000&amp;"")))</f>
        <v/>
      </c>
      <c r="D1372">
        <f>IF(A1372="","",SUMIFS(المبيعات!$H$2:$H$2000,المبيعات!$C$2:$C$2000,A1372))</f>
        <v/>
      </c>
      <c r="E1372" s="13">
        <f>IF(A1372="","",IF(COUNTIF(المبيعات!$C$2:$C$2000,A1372)=0,"",_xlfn.MAXIFS(المبيعات!$A$2:$A$2000,المبيعات!$C$2:$C$2000,A1372)))</f>
        <v/>
      </c>
      <c r="F1372">
        <f>IF(A1372="","",SUMIFS(المبيعات!$H$2:$H$2000,المبيعات!$C$2:$C$2000,A1372,المبيعات!$J$2:$J$2000,"آجل"))</f>
        <v/>
      </c>
      <c r="G1372" s="4" t="n"/>
      <c r="H1372">
        <f>IF(A1372="","",F1372-G1372)</f>
        <v/>
      </c>
    </row>
    <row r="1373">
      <c r="A1373" s="4" t="n"/>
      <c r="B1373" s="4" t="n"/>
      <c r="C1373">
        <f>IF(A1373="","",SUMPRODUCT((المبيعات!$C$2:$C$2000=A1373)*(المبيعات!$B$2:$B$2000&lt;&gt;"")/COUNTIFS(المبيعات!$B$2:$B$2000,المبيعات!$B$2:$B$2000&amp;"",المبيعات!$C$2:$C$2000,المبيعات!$C$2:$C$2000&amp;"")))</f>
        <v/>
      </c>
      <c r="D1373">
        <f>IF(A1373="","",SUMIFS(المبيعات!$H$2:$H$2000,المبيعات!$C$2:$C$2000,A1373))</f>
        <v/>
      </c>
      <c r="E1373" s="13">
        <f>IF(A1373="","",IF(COUNTIF(المبيعات!$C$2:$C$2000,A1373)=0,"",_xlfn.MAXIFS(المبيعات!$A$2:$A$2000,المبيعات!$C$2:$C$2000,A1373)))</f>
        <v/>
      </c>
      <c r="F1373">
        <f>IF(A1373="","",SUMIFS(المبيعات!$H$2:$H$2000,المبيعات!$C$2:$C$2000,A1373,المبيعات!$J$2:$J$2000,"آجل"))</f>
        <v/>
      </c>
      <c r="G1373" s="4" t="n"/>
      <c r="H1373">
        <f>IF(A1373="","",F1373-G1373)</f>
        <v/>
      </c>
    </row>
    <row r="1374">
      <c r="A1374" s="4" t="n"/>
      <c r="B1374" s="4" t="n"/>
      <c r="C1374">
        <f>IF(A1374="","",SUMPRODUCT((المبيعات!$C$2:$C$2000=A1374)*(المبيعات!$B$2:$B$2000&lt;&gt;"")/COUNTIFS(المبيعات!$B$2:$B$2000,المبيعات!$B$2:$B$2000&amp;"",المبيعات!$C$2:$C$2000,المبيعات!$C$2:$C$2000&amp;"")))</f>
        <v/>
      </c>
      <c r="D1374">
        <f>IF(A1374="","",SUMIFS(المبيعات!$H$2:$H$2000,المبيعات!$C$2:$C$2000,A1374))</f>
        <v/>
      </c>
      <c r="E1374" s="13">
        <f>IF(A1374="","",IF(COUNTIF(المبيعات!$C$2:$C$2000,A1374)=0,"",_xlfn.MAXIFS(المبيعات!$A$2:$A$2000,المبيعات!$C$2:$C$2000,A1374)))</f>
        <v/>
      </c>
      <c r="F1374">
        <f>IF(A1374="","",SUMIFS(المبيعات!$H$2:$H$2000,المبيعات!$C$2:$C$2000,A1374,المبيعات!$J$2:$J$2000,"آجل"))</f>
        <v/>
      </c>
      <c r="G1374" s="4" t="n"/>
      <c r="H1374">
        <f>IF(A1374="","",F1374-G1374)</f>
        <v/>
      </c>
    </row>
    <row r="1375">
      <c r="A1375" s="4" t="n"/>
      <c r="B1375" s="4" t="n"/>
      <c r="C1375">
        <f>IF(A1375="","",SUMPRODUCT((المبيعات!$C$2:$C$2000=A1375)*(المبيعات!$B$2:$B$2000&lt;&gt;"")/COUNTIFS(المبيعات!$B$2:$B$2000,المبيعات!$B$2:$B$2000&amp;"",المبيعات!$C$2:$C$2000,المبيعات!$C$2:$C$2000&amp;"")))</f>
        <v/>
      </c>
      <c r="D1375">
        <f>IF(A1375="","",SUMIFS(المبيعات!$H$2:$H$2000,المبيعات!$C$2:$C$2000,A1375))</f>
        <v/>
      </c>
      <c r="E1375" s="13">
        <f>IF(A1375="","",IF(COUNTIF(المبيعات!$C$2:$C$2000,A1375)=0,"",_xlfn.MAXIFS(المبيعات!$A$2:$A$2000,المبيعات!$C$2:$C$2000,A1375)))</f>
        <v/>
      </c>
      <c r="F1375">
        <f>IF(A1375="","",SUMIFS(المبيعات!$H$2:$H$2000,المبيعات!$C$2:$C$2000,A1375,المبيعات!$J$2:$J$2000,"آجل"))</f>
        <v/>
      </c>
      <c r="G1375" s="4" t="n"/>
      <c r="H1375">
        <f>IF(A1375="","",F1375-G1375)</f>
        <v/>
      </c>
    </row>
    <row r="1376">
      <c r="A1376" s="4" t="n"/>
      <c r="B1376" s="4" t="n"/>
      <c r="C1376">
        <f>IF(A1376="","",SUMPRODUCT((المبيعات!$C$2:$C$2000=A1376)*(المبيعات!$B$2:$B$2000&lt;&gt;"")/COUNTIFS(المبيعات!$B$2:$B$2000,المبيعات!$B$2:$B$2000&amp;"",المبيعات!$C$2:$C$2000,المبيعات!$C$2:$C$2000&amp;"")))</f>
        <v/>
      </c>
      <c r="D1376">
        <f>IF(A1376="","",SUMIFS(المبيعات!$H$2:$H$2000,المبيعات!$C$2:$C$2000,A1376))</f>
        <v/>
      </c>
      <c r="E1376" s="13">
        <f>IF(A1376="","",IF(COUNTIF(المبيعات!$C$2:$C$2000,A1376)=0,"",_xlfn.MAXIFS(المبيعات!$A$2:$A$2000,المبيعات!$C$2:$C$2000,A1376)))</f>
        <v/>
      </c>
      <c r="F1376">
        <f>IF(A1376="","",SUMIFS(المبيعات!$H$2:$H$2000,المبيعات!$C$2:$C$2000,A1376,المبيعات!$J$2:$J$2000,"آجل"))</f>
        <v/>
      </c>
      <c r="G1376" s="4" t="n"/>
      <c r="H1376">
        <f>IF(A1376="","",F1376-G1376)</f>
        <v/>
      </c>
    </row>
    <row r="1377">
      <c r="A1377" s="4" t="n"/>
      <c r="B1377" s="4" t="n"/>
      <c r="C1377">
        <f>IF(A1377="","",SUMPRODUCT((المبيعات!$C$2:$C$2000=A1377)*(المبيعات!$B$2:$B$2000&lt;&gt;"")/COUNTIFS(المبيعات!$B$2:$B$2000,المبيعات!$B$2:$B$2000&amp;"",المبيعات!$C$2:$C$2000,المبيعات!$C$2:$C$2000&amp;"")))</f>
        <v/>
      </c>
      <c r="D1377">
        <f>IF(A1377="","",SUMIFS(المبيعات!$H$2:$H$2000,المبيعات!$C$2:$C$2000,A1377))</f>
        <v/>
      </c>
      <c r="E1377" s="13">
        <f>IF(A1377="","",IF(COUNTIF(المبيعات!$C$2:$C$2000,A1377)=0,"",_xlfn.MAXIFS(المبيعات!$A$2:$A$2000,المبيعات!$C$2:$C$2000,A1377)))</f>
        <v/>
      </c>
      <c r="F1377">
        <f>IF(A1377="","",SUMIFS(المبيعات!$H$2:$H$2000,المبيعات!$C$2:$C$2000,A1377,المبيعات!$J$2:$J$2000,"آجل"))</f>
        <v/>
      </c>
      <c r="G1377" s="4" t="n"/>
      <c r="H1377">
        <f>IF(A1377="","",F1377-G1377)</f>
        <v/>
      </c>
    </row>
    <row r="1378">
      <c r="A1378" s="4" t="n"/>
      <c r="B1378" s="4" t="n"/>
      <c r="C1378">
        <f>IF(A1378="","",SUMPRODUCT((المبيعات!$C$2:$C$2000=A1378)*(المبيعات!$B$2:$B$2000&lt;&gt;"")/COUNTIFS(المبيعات!$B$2:$B$2000,المبيعات!$B$2:$B$2000&amp;"",المبيعات!$C$2:$C$2000,المبيعات!$C$2:$C$2000&amp;"")))</f>
        <v/>
      </c>
      <c r="D1378">
        <f>IF(A1378="","",SUMIFS(المبيعات!$H$2:$H$2000,المبيعات!$C$2:$C$2000,A1378))</f>
        <v/>
      </c>
      <c r="E1378" s="13">
        <f>IF(A1378="","",IF(COUNTIF(المبيعات!$C$2:$C$2000,A1378)=0,"",_xlfn.MAXIFS(المبيعات!$A$2:$A$2000,المبيعات!$C$2:$C$2000,A1378)))</f>
        <v/>
      </c>
      <c r="F1378">
        <f>IF(A1378="","",SUMIFS(المبيعات!$H$2:$H$2000,المبيعات!$C$2:$C$2000,A1378,المبيعات!$J$2:$J$2000,"آجل"))</f>
        <v/>
      </c>
      <c r="G1378" s="4" t="n"/>
      <c r="H1378">
        <f>IF(A1378="","",F1378-G1378)</f>
        <v/>
      </c>
    </row>
    <row r="1379">
      <c r="A1379" s="4" t="n"/>
      <c r="B1379" s="4" t="n"/>
      <c r="C1379">
        <f>IF(A1379="","",SUMPRODUCT((المبيعات!$C$2:$C$2000=A1379)*(المبيعات!$B$2:$B$2000&lt;&gt;"")/COUNTIFS(المبيعات!$B$2:$B$2000,المبيعات!$B$2:$B$2000&amp;"",المبيعات!$C$2:$C$2000,المبيعات!$C$2:$C$2000&amp;"")))</f>
        <v/>
      </c>
      <c r="D1379">
        <f>IF(A1379="","",SUMIFS(المبيعات!$H$2:$H$2000,المبيعات!$C$2:$C$2000,A1379))</f>
        <v/>
      </c>
      <c r="E1379" s="13">
        <f>IF(A1379="","",IF(COUNTIF(المبيعات!$C$2:$C$2000,A1379)=0,"",_xlfn.MAXIFS(المبيعات!$A$2:$A$2000,المبيعات!$C$2:$C$2000,A1379)))</f>
        <v/>
      </c>
      <c r="F1379">
        <f>IF(A1379="","",SUMIFS(المبيعات!$H$2:$H$2000,المبيعات!$C$2:$C$2000,A1379,المبيعات!$J$2:$J$2000,"آجل"))</f>
        <v/>
      </c>
      <c r="G1379" s="4" t="n"/>
      <c r="H1379">
        <f>IF(A1379="","",F1379-G1379)</f>
        <v/>
      </c>
    </row>
    <row r="1380">
      <c r="A1380" s="4" t="n"/>
      <c r="B1380" s="4" t="n"/>
      <c r="C1380">
        <f>IF(A1380="","",SUMPRODUCT((المبيعات!$C$2:$C$2000=A1380)*(المبيعات!$B$2:$B$2000&lt;&gt;"")/COUNTIFS(المبيعات!$B$2:$B$2000,المبيعات!$B$2:$B$2000&amp;"",المبيعات!$C$2:$C$2000,المبيعات!$C$2:$C$2000&amp;"")))</f>
        <v/>
      </c>
      <c r="D1380">
        <f>IF(A1380="","",SUMIFS(المبيعات!$H$2:$H$2000,المبيعات!$C$2:$C$2000,A1380))</f>
        <v/>
      </c>
      <c r="E1380" s="13">
        <f>IF(A1380="","",IF(COUNTIF(المبيعات!$C$2:$C$2000,A1380)=0,"",_xlfn.MAXIFS(المبيعات!$A$2:$A$2000,المبيعات!$C$2:$C$2000,A1380)))</f>
        <v/>
      </c>
      <c r="F1380">
        <f>IF(A1380="","",SUMIFS(المبيعات!$H$2:$H$2000,المبيعات!$C$2:$C$2000,A1380,المبيعات!$J$2:$J$2000,"آجل"))</f>
        <v/>
      </c>
      <c r="G1380" s="4" t="n"/>
      <c r="H1380">
        <f>IF(A1380="","",F1380-G1380)</f>
        <v/>
      </c>
    </row>
    <row r="1381">
      <c r="A1381" s="4" t="n"/>
      <c r="B1381" s="4" t="n"/>
      <c r="C1381">
        <f>IF(A1381="","",SUMPRODUCT((المبيعات!$C$2:$C$2000=A1381)*(المبيعات!$B$2:$B$2000&lt;&gt;"")/COUNTIFS(المبيعات!$B$2:$B$2000,المبيعات!$B$2:$B$2000&amp;"",المبيعات!$C$2:$C$2000,المبيعات!$C$2:$C$2000&amp;"")))</f>
        <v/>
      </c>
      <c r="D1381">
        <f>IF(A1381="","",SUMIFS(المبيعات!$H$2:$H$2000,المبيعات!$C$2:$C$2000,A1381))</f>
        <v/>
      </c>
      <c r="E1381" s="13">
        <f>IF(A1381="","",IF(COUNTIF(المبيعات!$C$2:$C$2000,A1381)=0,"",_xlfn.MAXIFS(المبيعات!$A$2:$A$2000,المبيعات!$C$2:$C$2000,A1381)))</f>
        <v/>
      </c>
      <c r="F1381">
        <f>IF(A1381="","",SUMIFS(المبيعات!$H$2:$H$2000,المبيعات!$C$2:$C$2000,A1381,المبيعات!$J$2:$J$2000,"آجل"))</f>
        <v/>
      </c>
      <c r="G1381" s="4" t="n"/>
      <c r="H1381">
        <f>IF(A1381="","",F1381-G1381)</f>
        <v/>
      </c>
    </row>
    <row r="1382">
      <c r="A1382" s="4" t="n"/>
      <c r="B1382" s="4" t="n"/>
      <c r="C1382">
        <f>IF(A1382="","",SUMPRODUCT((المبيعات!$C$2:$C$2000=A1382)*(المبيعات!$B$2:$B$2000&lt;&gt;"")/COUNTIFS(المبيعات!$B$2:$B$2000,المبيعات!$B$2:$B$2000&amp;"",المبيعات!$C$2:$C$2000,المبيعات!$C$2:$C$2000&amp;"")))</f>
        <v/>
      </c>
      <c r="D1382">
        <f>IF(A1382="","",SUMIFS(المبيعات!$H$2:$H$2000,المبيعات!$C$2:$C$2000,A1382))</f>
        <v/>
      </c>
      <c r="E1382" s="13">
        <f>IF(A1382="","",IF(COUNTIF(المبيعات!$C$2:$C$2000,A1382)=0,"",_xlfn.MAXIFS(المبيعات!$A$2:$A$2000,المبيعات!$C$2:$C$2000,A1382)))</f>
        <v/>
      </c>
      <c r="F1382">
        <f>IF(A1382="","",SUMIFS(المبيعات!$H$2:$H$2000,المبيعات!$C$2:$C$2000,A1382,المبيعات!$J$2:$J$2000,"آجل"))</f>
        <v/>
      </c>
      <c r="G1382" s="4" t="n"/>
      <c r="H1382">
        <f>IF(A1382="","",F1382-G1382)</f>
        <v/>
      </c>
    </row>
    <row r="1383">
      <c r="A1383" s="4" t="n"/>
      <c r="B1383" s="4" t="n"/>
      <c r="C1383">
        <f>IF(A1383="","",SUMPRODUCT((المبيعات!$C$2:$C$2000=A1383)*(المبيعات!$B$2:$B$2000&lt;&gt;"")/COUNTIFS(المبيعات!$B$2:$B$2000,المبيعات!$B$2:$B$2000&amp;"",المبيعات!$C$2:$C$2000,المبيعات!$C$2:$C$2000&amp;"")))</f>
        <v/>
      </c>
      <c r="D1383">
        <f>IF(A1383="","",SUMIFS(المبيعات!$H$2:$H$2000,المبيعات!$C$2:$C$2000,A1383))</f>
        <v/>
      </c>
      <c r="E1383" s="13">
        <f>IF(A1383="","",IF(COUNTIF(المبيعات!$C$2:$C$2000,A1383)=0,"",_xlfn.MAXIFS(المبيعات!$A$2:$A$2000,المبيعات!$C$2:$C$2000,A1383)))</f>
        <v/>
      </c>
      <c r="F1383">
        <f>IF(A1383="","",SUMIFS(المبيعات!$H$2:$H$2000,المبيعات!$C$2:$C$2000,A1383,المبيعات!$J$2:$J$2000,"آجل"))</f>
        <v/>
      </c>
      <c r="G1383" s="4" t="n"/>
      <c r="H1383">
        <f>IF(A1383="","",F1383-G1383)</f>
        <v/>
      </c>
    </row>
    <row r="1384">
      <c r="A1384" s="4" t="n"/>
      <c r="B1384" s="4" t="n"/>
      <c r="C1384">
        <f>IF(A1384="","",SUMPRODUCT((المبيعات!$C$2:$C$2000=A1384)*(المبيعات!$B$2:$B$2000&lt;&gt;"")/COUNTIFS(المبيعات!$B$2:$B$2000,المبيعات!$B$2:$B$2000&amp;"",المبيعات!$C$2:$C$2000,المبيعات!$C$2:$C$2000&amp;"")))</f>
        <v/>
      </c>
      <c r="D1384">
        <f>IF(A1384="","",SUMIFS(المبيعات!$H$2:$H$2000,المبيعات!$C$2:$C$2000,A1384))</f>
        <v/>
      </c>
      <c r="E1384" s="13">
        <f>IF(A1384="","",IF(COUNTIF(المبيعات!$C$2:$C$2000,A1384)=0,"",_xlfn.MAXIFS(المبيعات!$A$2:$A$2000,المبيعات!$C$2:$C$2000,A1384)))</f>
        <v/>
      </c>
      <c r="F1384">
        <f>IF(A1384="","",SUMIFS(المبيعات!$H$2:$H$2000,المبيعات!$C$2:$C$2000,A1384,المبيعات!$J$2:$J$2000,"آجل"))</f>
        <v/>
      </c>
      <c r="G1384" s="4" t="n"/>
      <c r="H1384">
        <f>IF(A1384="","",F1384-G1384)</f>
        <v/>
      </c>
    </row>
    <row r="1385">
      <c r="A1385" s="4" t="n"/>
      <c r="B1385" s="4" t="n"/>
      <c r="C1385">
        <f>IF(A1385="","",SUMPRODUCT((المبيعات!$C$2:$C$2000=A1385)*(المبيعات!$B$2:$B$2000&lt;&gt;"")/COUNTIFS(المبيعات!$B$2:$B$2000,المبيعات!$B$2:$B$2000&amp;"",المبيعات!$C$2:$C$2000,المبيعات!$C$2:$C$2000&amp;"")))</f>
        <v/>
      </c>
      <c r="D1385">
        <f>IF(A1385="","",SUMIFS(المبيعات!$H$2:$H$2000,المبيعات!$C$2:$C$2000,A1385))</f>
        <v/>
      </c>
      <c r="E1385" s="13">
        <f>IF(A1385="","",IF(COUNTIF(المبيعات!$C$2:$C$2000,A1385)=0,"",_xlfn.MAXIFS(المبيعات!$A$2:$A$2000,المبيعات!$C$2:$C$2000,A1385)))</f>
        <v/>
      </c>
      <c r="F1385">
        <f>IF(A1385="","",SUMIFS(المبيعات!$H$2:$H$2000,المبيعات!$C$2:$C$2000,A1385,المبيعات!$J$2:$J$2000,"آجل"))</f>
        <v/>
      </c>
      <c r="G1385" s="4" t="n"/>
      <c r="H1385">
        <f>IF(A1385="","",F1385-G1385)</f>
        <v/>
      </c>
    </row>
    <row r="1386">
      <c r="A1386" s="4" t="n"/>
      <c r="B1386" s="4" t="n"/>
      <c r="C1386">
        <f>IF(A1386="","",SUMPRODUCT((المبيعات!$C$2:$C$2000=A1386)*(المبيعات!$B$2:$B$2000&lt;&gt;"")/COUNTIFS(المبيعات!$B$2:$B$2000,المبيعات!$B$2:$B$2000&amp;"",المبيعات!$C$2:$C$2000,المبيعات!$C$2:$C$2000&amp;"")))</f>
        <v/>
      </c>
      <c r="D1386">
        <f>IF(A1386="","",SUMIFS(المبيعات!$H$2:$H$2000,المبيعات!$C$2:$C$2000,A1386))</f>
        <v/>
      </c>
      <c r="E1386" s="13">
        <f>IF(A1386="","",IF(COUNTIF(المبيعات!$C$2:$C$2000,A1386)=0,"",_xlfn.MAXIFS(المبيعات!$A$2:$A$2000,المبيعات!$C$2:$C$2000,A1386)))</f>
        <v/>
      </c>
      <c r="F1386">
        <f>IF(A1386="","",SUMIFS(المبيعات!$H$2:$H$2000,المبيعات!$C$2:$C$2000,A1386,المبيعات!$J$2:$J$2000,"آجل"))</f>
        <v/>
      </c>
      <c r="G1386" s="4" t="n"/>
      <c r="H1386">
        <f>IF(A1386="","",F1386-G1386)</f>
        <v/>
      </c>
    </row>
    <row r="1387">
      <c r="A1387" s="4" t="n"/>
      <c r="B1387" s="4" t="n"/>
      <c r="C1387">
        <f>IF(A1387="","",SUMPRODUCT((المبيعات!$C$2:$C$2000=A1387)*(المبيعات!$B$2:$B$2000&lt;&gt;"")/COUNTIFS(المبيعات!$B$2:$B$2000,المبيعات!$B$2:$B$2000&amp;"",المبيعات!$C$2:$C$2000,المبيعات!$C$2:$C$2000&amp;"")))</f>
        <v/>
      </c>
      <c r="D1387">
        <f>IF(A1387="","",SUMIFS(المبيعات!$H$2:$H$2000,المبيعات!$C$2:$C$2000,A1387))</f>
        <v/>
      </c>
      <c r="E1387" s="13">
        <f>IF(A1387="","",IF(COUNTIF(المبيعات!$C$2:$C$2000,A1387)=0,"",_xlfn.MAXIFS(المبيعات!$A$2:$A$2000,المبيعات!$C$2:$C$2000,A1387)))</f>
        <v/>
      </c>
      <c r="F1387">
        <f>IF(A1387="","",SUMIFS(المبيعات!$H$2:$H$2000,المبيعات!$C$2:$C$2000,A1387,المبيعات!$J$2:$J$2000,"آجل"))</f>
        <v/>
      </c>
      <c r="G1387" s="4" t="n"/>
      <c r="H1387">
        <f>IF(A1387="","",F1387-G1387)</f>
        <v/>
      </c>
    </row>
    <row r="1388">
      <c r="A1388" s="4" t="n"/>
      <c r="B1388" s="4" t="n"/>
      <c r="C1388">
        <f>IF(A1388="","",SUMPRODUCT((المبيعات!$C$2:$C$2000=A1388)*(المبيعات!$B$2:$B$2000&lt;&gt;"")/COUNTIFS(المبيعات!$B$2:$B$2000,المبيعات!$B$2:$B$2000&amp;"",المبيعات!$C$2:$C$2000,المبيعات!$C$2:$C$2000&amp;"")))</f>
        <v/>
      </c>
      <c r="D1388">
        <f>IF(A1388="","",SUMIFS(المبيعات!$H$2:$H$2000,المبيعات!$C$2:$C$2000,A1388))</f>
        <v/>
      </c>
      <c r="E1388" s="13">
        <f>IF(A1388="","",IF(COUNTIF(المبيعات!$C$2:$C$2000,A1388)=0,"",_xlfn.MAXIFS(المبيعات!$A$2:$A$2000,المبيعات!$C$2:$C$2000,A1388)))</f>
        <v/>
      </c>
      <c r="F1388">
        <f>IF(A1388="","",SUMIFS(المبيعات!$H$2:$H$2000,المبيعات!$C$2:$C$2000,A1388,المبيعات!$J$2:$J$2000,"آجل"))</f>
        <v/>
      </c>
      <c r="G1388" s="4" t="n"/>
      <c r="H1388">
        <f>IF(A1388="","",F1388-G1388)</f>
        <v/>
      </c>
    </row>
    <row r="1389">
      <c r="A1389" s="4" t="n"/>
      <c r="B1389" s="4" t="n"/>
      <c r="C1389">
        <f>IF(A1389="","",SUMPRODUCT((المبيعات!$C$2:$C$2000=A1389)*(المبيعات!$B$2:$B$2000&lt;&gt;"")/COUNTIFS(المبيعات!$B$2:$B$2000,المبيعات!$B$2:$B$2000&amp;"",المبيعات!$C$2:$C$2000,المبيعات!$C$2:$C$2000&amp;"")))</f>
        <v/>
      </c>
      <c r="D1389">
        <f>IF(A1389="","",SUMIFS(المبيعات!$H$2:$H$2000,المبيعات!$C$2:$C$2000,A1389))</f>
        <v/>
      </c>
      <c r="E1389" s="13">
        <f>IF(A1389="","",IF(COUNTIF(المبيعات!$C$2:$C$2000,A1389)=0,"",_xlfn.MAXIFS(المبيعات!$A$2:$A$2000,المبيعات!$C$2:$C$2000,A1389)))</f>
        <v/>
      </c>
      <c r="F1389">
        <f>IF(A1389="","",SUMIFS(المبيعات!$H$2:$H$2000,المبيعات!$C$2:$C$2000,A1389,المبيعات!$J$2:$J$2000,"آجل"))</f>
        <v/>
      </c>
      <c r="G1389" s="4" t="n"/>
      <c r="H1389">
        <f>IF(A1389="","",F1389-G1389)</f>
        <v/>
      </c>
    </row>
    <row r="1390">
      <c r="A1390" s="4" t="n"/>
      <c r="B1390" s="4" t="n"/>
      <c r="C1390">
        <f>IF(A1390="","",SUMPRODUCT((المبيعات!$C$2:$C$2000=A1390)*(المبيعات!$B$2:$B$2000&lt;&gt;"")/COUNTIFS(المبيعات!$B$2:$B$2000,المبيعات!$B$2:$B$2000&amp;"",المبيعات!$C$2:$C$2000,المبيعات!$C$2:$C$2000&amp;"")))</f>
        <v/>
      </c>
      <c r="D1390">
        <f>IF(A1390="","",SUMIFS(المبيعات!$H$2:$H$2000,المبيعات!$C$2:$C$2000,A1390))</f>
        <v/>
      </c>
      <c r="E1390" s="13">
        <f>IF(A1390="","",IF(COUNTIF(المبيعات!$C$2:$C$2000,A1390)=0,"",_xlfn.MAXIFS(المبيعات!$A$2:$A$2000,المبيعات!$C$2:$C$2000,A1390)))</f>
        <v/>
      </c>
      <c r="F1390">
        <f>IF(A1390="","",SUMIFS(المبيعات!$H$2:$H$2000,المبيعات!$C$2:$C$2000,A1390,المبيعات!$J$2:$J$2000,"آجل"))</f>
        <v/>
      </c>
      <c r="G1390" s="4" t="n"/>
      <c r="H1390">
        <f>IF(A1390="","",F1390-G1390)</f>
        <v/>
      </c>
    </row>
    <row r="1391">
      <c r="A1391" s="4" t="n"/>
      <c r="B1391" s="4" t="n"/>
      <c r="C1391">
        <f>IF(A1391="","",SUMPRODUCT((المبيعات!$C$2:$C$2000=A1391)*(المبيعات!$B$2:$B$2000&lt;&gt;"")/COUNTIFS(المبيعات!$B$2:$B$2000,المبيعات!$B$2:$B$2000&amp;"",المبيعات!$C$2:$C$2000,المبيعات!$C$2:$C$2000&amp;"")))</f>
        <v/>
      </c>
      <c r="D1391">
        <f>IF(A1391="","",SUMIFS(المبيعات!$H$2:$H$2000,المبيعات!$C$2:$C$2000,A1391))</f>
        <v/>
      </c>
      <c r="E1391" s="13">
        <f>IF(A1391="","",IF(COUNTIF(المبيعات!$C$2:$C$2000,A1391)=0,"",_xlfn.MAXIFS(المبيعات!$A$2:$A$2000,المبيعات!$C$2:$C$2000,A1391)))</f>
        <v/>
      </c>
      <c r="F1391">
        <f>IF(A1391="","",SUMIFS(المبيعات!$H$2:$H$2000,المبيعات!$C$2:$C$2000,A1391,المبيعات!$J$2:$J$2000,"آجل"))</f>
        <v/>
      </c>
      <c r="G1391" s="4" t="n"/>
      <c r="H1391">
        <f>IF(A1391="","",F1391-G1391)</f>
        <v/>
      </c>
    </row>
    <row r="1392">
      <c r="A1392" s="4" t="n"/>
      <c r="B1392" s="4" t="n"/>
      <c r="C1392">
        <f>IF(A1392="","",SUMPRODUCT((المبيعات!$C$2:$C$2000=A1392)*(المبيعات!$B$2:$B$2000&lt;&gt;"")/COUNTIFS(المبيعات!$B$2:$B$2000,المبيعات!$B$2:$B$2000&amp;"",المبيعات!$C$2:$C$2000,المبيعات!$C$2:$C$2000&amp;"")))</f>
        <v/>
      </c>
      <c r="D1392">
        <f>IF(A1392="","",SUMIFS(المبيعات!$H$2:$H$2000,المبيعات!$C$2:$C$2000,A1392))</f>
        <v/>
      </c>
      <c r="E1392" s="13">
        <f>IF(A1392="","",IF(COUNTIF(المبيعات!$C$2:$C$2000,A1392)=0,"",_xlfn.MAXIFS(المبيعات!$A$2:$A$2000,المبيعات!$C$2:$C$2000,A1392)))</f>
        <v/>
      </c>
      <c r="F1392">
        <f>IF(A1392="","",SUMIFS(المبيعات!$H$2:$H$2000,المبيعات!$C$2:$C$2000,A1392,المبيعات!$J$2:$J$2000,"آجل"))</f>
        <v/>
      </c>
      <c r="G1392" s="4" t="n"/>
      <c r="H1392">
        <f>IF(A1392="","",F1392-G1392)</f>
        <v/>
      </c>
    </row>
    <row r="1393">
      <c r="A1393" s="4" t="n"/>
      <c r="B1393" s="4" t="n"/>
      <c r="C1393">
        <f>IF(A1393="","",SUMPRODUCT((المبيعات!$C$2:$C$2000=A1393)*(المبيعات!$B$2:$B$2000&lt;&gt;"")/COUNTIFS(المبيعات!$B$2:$B$2000,المبيعات!$B$2:$B$2000&amp;"",المبيعات!$C$2:$C$2000,المبيعات!$C$2:$C$2000&amp;"")))</f>
        <v/>
      </c>
      <c r="D1393">
        <f>IF(A1393="","",SUMIFS(المبيعات!$H$2:$H$2000,المبيعات!$C$2:$C$2000,A1393))</f>
        <v/>
      </c>
      <c r="E1393" s="13">
        <f>IF(A1393="","",IF(COUNTIF(المبيعات!$C$2:$C$2000,A1393)=0,"",_xlfn.MAXIFS(المبيعات!$A$2:$A$2000,المبيعات!$C$2:$C$2000,A1393)))</f>
        <v/>
      </c>
      <c r="F1393">
        <f>IF(A1393="","",SUMIFS(المبيعات!$H$2:$H$2000,المبيعات!$C$2:$C$2000,A1393,المبيعات!$J$2:$J$2000,"آجل"))</f>
        <v/>
      </c>
      <c r="G1393" s="4" t="n"/>
      <c r="H1393">
        <f>IF(A1393="","",F1393-G1393)</f>
        <v/>
      </c>
    </row>
    <row r="1394">
      <c r="A1394" s="4" t="n"/>
      <c r="B1394" s="4" t="n"/>
      <c r="C1394">
        <f>IF(A1394="","",SUMPRODUCT((المبيعات!$C$2:$C$2000=A1394)*(المبيعات!$B$2:$B$2000&lt;&gt;"")/COUNTIFS(المبيعات!$B$2:$B$2000,المبيعات!$B$2:$B$2000&amp;"",المبيعات!$C$2:$C$2000,المبيعات!$C$2:$C$2000&amp;"")))</f>
        <v/>
      </c>
      <c r="D1394">
        <f>IF(A1394="","",SUMIFS(المبيعات!$H$2:$H$2000,المبيعات!$C$2:$C$2000,A1394))</f>
        <v/>
      </c>
      <c r="E1394" s="13">
        <f>IF(A1394="","",IF(COUNTIF(المبيعات!$C$2:$C$2000,A1394)=0,"",_xlfn.MAXIFS(المبيعات!$A$2:$A$2000,المبيعات!$C$2:$C$2000,A1394)))</f>
        <v/>
      </c>
      <c r="F1394">
        <f>IF(A1394="","",SUMIFS(المبيعات!$H$2:$H$2000,المبيعات!$C$2:$C$2000,A1394,المبيعات!$J$2:$J$2000,"آجل"))</f>
        <v/>
      </c>
      <c r="G1394" s="4" t="n"/>
      <c r="H1394">
        <f>IF(A1394="","",F1394-G1394)</f>
        <v/>
      </c>
    </row>
    <row r="1395">
      <c r="A1395" s="4" t="n"/>
      <c r="B1395" s="4" t="n"/>
      <c r="C1395">
        <f>IF(A1395="","",SUMPRODUCT((المبيعات!$C$2:$C$2000=A1395)*(المبيعات!$B$2:$B$2000&lt;&gt;"")/COUNTIFS(المبيعات!$B$2:$B$2000,المبيعات!$B$2:$B$2000&amp;"",المبيعات!$C$2:$C$2000,المبيعات!$C$2:$C$2000&amp;"")))</f>
        <v/>
      </c>
      <c r="D1395">
        <f>IF(A1395="","",SUMIFS(المبيعات!$H$2:$H$2000,المبيعات!$C$2:$C$2000,A1395))</f>
        <v/>
      </c>
      <c r="E1395" s="13">
        <f>IF(A1395="","",IF(COUNTIF(المبيعات!$C$2:$C$2000,A1395)=0,"",_xlfn.MAXIFS(المبيعات!$A$2:$A$2000,المبيعات!$C$2:$C$2000,A1395)))</f>
        <v/>
      </c>
      <c r="F1395">
        <f>IF(A1395="","",SUMIFS(المبيعات!$H$2:$H$2000,المبيعات!$C$2:$C$2000,A1395,المبيعات!$J$2:$J$2000,"آجل"))</f>
        <v/>
      </c>
      <c r="G1395" s="4" t="n"/>
      <c r="H1395">
        <f>IF(A1395="","",F1395-G1395)</f>
        <v/>
      </c>
    </row>
    <row r="1396">
      <c r="A1396" s="4" t="n"/>
      <c r="B1396" s="4" t="n"/>
      <c r="C1396">
        <f>IF(A1396="","",SUMPRODUCT((المبيعات!$C$2:$C$2000=A1396)*(المبيعات!$B$2:$B$2000&lt;&gt;"")/COUNTIFS(المبيعات!$B$2:$B$2000,المبيعات!$B$2:$B$2000&amp;"",المبيعات!$C$2:$C$2000,المبيعات!$C$2:$C$2000&amp;"")))</f>
        <v/>
      </c>
      <c r="D1396">
        <f>IF(A1396="","",SUMIFS(المبيعات!$H$2:$H$2000,المبيعات!$C$2:$C$2000,A1396))</f>
        <v/>
      </c>
      <c r="E1396" s="13">
        <f>IF(A1396="","",IF(COUNTIF(المبيعات!$C$2:$C$2000,A1396)=0,"",_xlfn.MAXIFS(المبيعات!$A$2:$A$2000,المبيعات!$C$2:$C$2000,A1396)))</f>
        <v/>
      </c>
      <c r="F1396">
        <f>IF(A1396="","",SUMIFS(المبيعات!$H$2:$H$2000,المبيعات!$C$2:$C$2000,A1396,المبيعات!$J$2:$J$2000,"آجل"))</f>
        <v/>
      </c>
      <c r="G1396" s="4" t="n"/>
      <c r="H1396">
        <f>IF(A1396="","",F1396-G1396)</f>
        <v/>
      </c>
    </row>
    <row r="1397">
      <c r="A1397" s="4" t="n"/>
      <c r="B1397" s="4" t="n"/>
      <c r="C1397">
        <f>IF(A1397="","",SUMPRODUCT((المبيعات!$C$2:$C$2000=A1397)*(المبيعات!$B$2:$B$2000&lt;&gt;"")/COUNTIFS(المبيعات!$B$2:$B$2000,المبيعات!$B$2:$B$2000&amp;"",المبيعات!$C$2:$C$2000,المبيعات!$C$2:$C$2000&amp;"")))</f>
        <v/>
      </c>
      <c r="D1397">
        <f>IF(A1397="","",SUMIFS(المبيعات!$H$2:$H$2000,المبيعات!$C$2:$C$2000,A1397))</f>
        <v/>
      </c>
      <c r="E1397" s="13">
        <f>IF(A1397="","",IF(COUNTIF(المبيعات!$C$2:$C$2000,A1397)=0,"",_xlfn.MAXIFS(المبيعات!$A$2:$A$2000,المبيعات!$C$2:$C$2000,A1397)))</f>
        <v/>
      </c>
      <c r="F1397">
        <f>IF(A1397="","",SUMIFS(المبيعات!$H$2:$H$2000,المبيعات!$C$2:$C$2000,A1397,المبيعات!$J$2:$J$2000,"آجل"))</f>
        <v/>
      </c>
      <c r="G1397" s="4" t="n"/>
      <c r="H1397">
        <f>IF(A1397="","",F1397-G1397)</f>
        <v/>
      </c>
    </row>
    <row r="1398">
      <c r="A1398" s="4" t="n"/>
      <c r="B1398" s="4" t="n"/>
      <c r="C1398">
        <f>IF(A1398="","",SUMPRODUCT((المبيعات!$C$2:$C$2000=A1398)*(المبيعات!$B$2:$B$2000&lt;&gt;"")/COUNTIFS(المبيعات!$B$2:$B$2000,المبيعات!$B$2:$B$2000&amp;"",المبيعات!$C$2:$C$2000,المبيعات!$C$2:$C$2000&amp;"")))</f>
        <v/>
      </c>
      <c r="D1398">
        <f>IF(A1398="","",SUMIFS(المبيعات!$H$2:$H$2000,المبيعات!$C$2:$C$2000,A1398))</f>
        <v/>
      </c>
      <c r="E1398" s="13">
        <f>IF(A1398="","",IF(COUNTIF(المبيعات!$C$2:$C$2000,A1398)=0,"",_xlfn.MAXIFS(المبيعات!$A$2:$A$2000,المبيعات!$C$2:$C$2000,A1398)))</f>
        <v/>
      </c>
      <c r="F1398">
        <f>IF(A1398="","",SUMIFS(المبيعات!$H$2:$H$2000,المبيعات!$C$2:$C$2000,A1398,المبيعات!$J$2:$J$2000,"آجل"))</f>
        <v/>
      </c>
      <c r="G1398" s="4" t="n"/>
      <c r="H1398">
        <f>IF(A1398="","",F1398-G1398)</f>
        <v/>
      </c>
    </row>
    <row r="1399">
      <c r="A1399" s="4" t="n"/>
      <c r="B1399" s="4" t="n"/>
      <c r="C1399">
        <f>IF(A1399="","",SUMPRODUCT((المبيعات!$C$2:$C$2000=A1399)*(المبيعات!$B$2:$B$2000&lt;&gt;"")/COUNTIFS(المبيعات!$B$2:$B$2000,المبيعات!$B$2:$B$2000&amp;"",المبيعات!$C$2:$C$2000,المبيعات!$C$2:$C$2000&amp;"")))</f>
        <v/>
      </c>
      <c r="D1399">
        <f>IF(A1399="","",SUMIFS(المبيعات!$H$2:$H$2000,المبيعات!$C$2:$C$2000,A1399))</f>
        <v/>
      </c>
      <c r="E1399" s="13">
        <f>IF(A1399="","",IF(COUNTIF(المبيعات!$C$2:$C$2000,A1399)=0,"",_xlfn.MAXIFS(المبيعات!$A$2:$A$2000,المبيعات!$C$2:$C$2000,A1399)))</f>
        <v/>
      </c>
      <c r="F1399">
        <f>IF(A1399="","",SUMIFS(المبيعات!$H$2:$H$2000,المبيعات!$C$2:$C$2000,A1399,المبيعات!$J$2:$J$2000,"آجل"))</f>
        <v/>
      </c>
      <c r="G1399" s="4" t="n"/>
      <c r="H1399">
        <f>IF(A1399="","",F1399-G1399)</f>
        <v/>
      </c>
    </row>
    <row r="1400">
      <c r="A1400" s="4" t="n"/>
      <c r="B1400" s="4" t="n"/>
      <c r="C1400">
        <f>IF(A1400="","",SUMPRODUCT((المبيعات!$C$2:$C$2000=A1400)*(المبيعات!$B$2:$B$2000&lt;&gt;"")/COUNTIFS(المبيعات!$B$2:$B$2000,المبيعات!$B$2:$B$2000&amp;"",المبيعات!$C$2:$C$2000,المبيعات!$C$2:$C$2000&amp;"")))</f>
        <v/>
      </c>
      <c r="D1400">
        <f>IF(A1400="","",SUMIFS(المبيعات!$H$2:$H$2000,المبيعات!$C$2:$C$2000,A1400))</f>
        <v/>
      </c>
      <c r="E1400" s="13">
        <f>IF(A1400="","",IF(COUNTIF(المبيعات!$C$2:$C$2000,A1400)=0,"",_xlfn.MAXIFS(المبيعات!$A$2:$A$2000,المبيعات!$C$2:$C$2000,A1400)))</f>
        <v/>
      </c>
      <c r="F1400">
        <f>IF(A1400="","",SUMIFS(المبيعات!$H$2:$H$2000,المبيعات!$C$2:$C$2000,A1400,المبيعات!$J$2:$J$2000,"آجل"))</f>
        <v/>
      </c>
      <c r="G1400" s="4" t="n"/>
      <c r="H1400">
        <f>IF(A1400="","",F1400-G1400)</f>
        <v/>
      </c>
    </row>
    <row r="1401">
      <c r="A1401" s="4" t="n"/>
      <c r="B1401" s="4" t="n"/>
      <c r="C1401">
        <f>IF(A1401="","",SUMPRODUCT((المبيعات!$C$2:$C$2000=A1401)*(المبيعات!$B$2:$B$2000&lt;&gt;"")/COUNTIFS(المبيعات!$B$2:$B$2000,المبيعات!$B$2:$B$2000&amp;"",المبيعات!$C$2:$C$2000,المبيعات!$C$2:$C$2000&amp;"")))</f>
        <v/>
      </c>
      <c r="D1401">
        <f>IF(A1401="","",SUMIFS(المبيعات!$H$2:$H$2000,المبيعات!$C$2:$C$2000,A1401))</f>
        <v/>
      </c>
      <c r="E1401" s="13">
        <f>IF(A1401="","",IF(COUNTIF(المبيعات!$C$2:$C$2000,A1401)=0,"",_xlfn.MAXIFS(المبيعات!$A$2:$A$2000,المبيعات!$C$2:$C$2000,A1401)))</f>
        <v/>
      </c>
      <c r="F1401">
        <f>IF(A1401="","",SUMIFS(المبيعات!$H$2:$H$2000,المبيعات!$C$2:$C$2000,A1401,المبيعات!$J$2:$J$2000,"آجل"))</f>
        <v/>
      </c>
      <c r="G1401" s="4" t="n"/>
      <c r="H1401">
        <f>IF(A1401="","",F1401-G1401)</f>
        <v/>
      </c>
    </row>
    <row r="1402">
      <c r="A1402" s="4" t="n"/>
      <c r="B1402" s="4" t="n"/>
      <c r="C1402">
        <f>IF(A1402="","",SUMPRODUCT((المبيعات!$C$2:$C$2000=A1402)*(المبيعات!$B$2:$B$2000&lt;&gt;"")/COUNTIFS(المبيعات!$B$2:$B$2000,المبيعات!$B$2:$B$2000&amp;"",المبيعات!$C$2:$C$2000,المبيعات!$C$2:$C$2000&amp;"")))</f>
        <v/>
      </c>
      <c r="D1402">
        <f>IF(A1402="","",SUMIFS(المبيعات!$H$2:$H$2000,المبيعات!$C$2:$C$2000,A1402))</f>
        <v/>
      </c>
      <c r="E1402" s="13">
        <f>IF(A1402="","",IF(COUNTIF(المبيعات!$C$2:$C$2000,A1402)=0,"",_xlfn.MAXIFS(المبيعات!$A$2:$A$2000,المبيعات!$C$2:$C$2000,A1402)))</f>
        <v/>
      </c>
      <c r="F1402">
        <f>IF(A1402="","",SUMIFS(المبيعات!$H$2:$H$2000,المبيعات!$C$2:$C$2000,A1402,المبيعات!$J$2:$J$2000,"آجل"))</f>
        <v/>
      </c>
      <c r="G1402" s="4" t="n"/>
      <c r="H1402">
        <f>IF(A1402="","",F1402-G1402)</f>
        <v/>
      </c>
    </row>
    <row r="1403">
      <c r="A1403" s="4" t="n"/>
      <c r="B1403" s="4" t="n"/>
      <c r="C1403">
        <f>IF(A1403="","",SUMPRODUCT((المبيعات!$C$2:$C$2000=A1403)*(المبيعات!$B$2:$B$2000&lt;&gt;"")/COUNTIFS(المبيعات!$B$2:$B$2000,المبيعات!$B$2:$B$2000&amp;"",المبيعات!$C$2:$C$2000,المبيعات!$C$2:$C$2000&amp;"")))</f>
        <v/>
      </c>
      <c r="D1403">
        <f>IF(A1403="","",SUMIFS(المبيعات!$H$2:$H$2000,المبيعات!$C$2:$C$2000,A1403))</f>
        <v/>
      </c>
      <c r="E1403" s="13">
        <f>IF(A1403="","",IF(COUNTIF(المبيعات!$C$2:$C$2000,A1403)=0,"",_xlfn.MAXIFS(المبيعات!$A$2:$A$2000,المبيعات!$C$2:$C$2000,A1403)))</f>
        <v/>
      </c>
      <c r="F1403">
        <f>IF(A1403="","",SUMIFS(المبيعات!$H$2:$H$2000,المبيعات!$C$2:$C$2000,A1403,المبيعات!$J$2:$J$2000,"آجل"))</f>
        <v/>
      </c>
      <c r="G1403" s="4" t="n"/>
      <c r="H1403">
        <f>IF(A1403="","",F1403-G1403)</f>
        <v/>
      </c>
    </row>
    <row r="1404">
      <c r="A1404" s="4" t="n"/>
      <c r="B1404" s="4" t="n"/>
      <c r="C1404">
        <f>IF(A1404="","",SUMPRODUCT((المبيعات!$C$2:$C$2000=A1404)*(المبيعات!$B$2:$B$2000&lt;&gt;"")/COUNTIFS(المبيعات!$B$2:$B$2000,المبيعات!$B$2:$B$2000&amp;"",المبيعات!$C$2:$C$2000,المبيعات!$C$2:$C$2000&amp;"")))</f>
        <v/>
      </c>
      <c r="D1404">
        <f>IF(A1404="","",SUMIFS(المبيعات!$H$2:$H$2000,المبيعات!$C$2:$C$2000,A1404))</f>
        <v/>
      </c>
      <c r="E1404" s="13">
        <f>IF(A1404="","",IF(COUNTIF(المبيعات!$C$2:$C$2000,A1404)=0,"",_xlfn.MAXIFS(المبيعات!$A$2:$A$2000,المبيعات!$C$2:$C$2000,A1404)))</f>
        <v/>
      </c>
      <c r="F1404">
        <f>IF(A1404="","",SUMIFS(المبيعات!$H$2:$H$2000,المبيعات!$C$2:$C$2000,A1404,المبيعات!$J$2:$J$2000,"آجل"))</f>
        <v/>
      </c>
      <c r="G1404" s="4" t="n"/>
      <c r="H1404">
        <f>IF(A1404="","",F1404-G1404)</f>
        <v/>
      </c>
    </row>
    <row r="1405">
      <c r="A1405" s="4" t="n"/>
      <c r="B1405" s="4" t="n"/>
      <c r="C1405">
        <f>IF(A1405="","",SUMPRODUCT((المبيعات!$C$2:$C$2000=A1405)*(المبيعات!$B$2:$B$2000&lt;&gt;"")/COUNTIFS(المبيعات!$B$2:$B$2000,المبيعات!$B$2:$B$2000&amp;"",المبيعات!$C$2:$C$2000,المبيعات!$C$2:$C$2000&amp;"")))</f>
        <v/>
      </c>
      <c r="D1405">
        <f>IF(A1405="","",SUMIFS(المبيعات!$H$2:$H$2000,المبيعات!$C$2:$C$2000,A1405))</f>
        <v/>
      </c>
      <c r="E1405" s="13">
        <f>IF(A1405="","",IF(COUNTIF(المبيعات!$C$2:$C$2000,A1405)=0,"",_xlfn.MAXIFS(المبيعات!$A$2:$A$2000,المبيعات!$C$2:$C$2000,A1405)))</f>
        <v/>
      </c>
      <c r="F1405">
        <f>IF(A1405="","",SUMIFS(المبيعات!$H$2:$H$2000,المبيعات!$C$2:$C$2000,A1405,المبيعات!$J$2:$J$2000,"آجل"))</f>
        <v/>
      </c>
      <c r="G1405" s="4" t="n"/>
      <c r="H1405">
        <f>IF(A1405="","",F1405-G1405)</f>
        <v/>
      </c>
    </row>
    <row r="1406">
      <c r="A1406" s="4" t="n"/>
      <c r="B1406" s="4" t="n"/>
      <c r="C1406">
        <f>IF(A1406="","",SUMPRODUCT((المبيعات!$C$2:$C$2000=A1406)*(المبيعات!$B$2:$B$2000&lt;&gt;"")/COUNTIFS(المبيعات!$B$2:$B$2000,المبيعات!$B$2:$B$2000&amp;"",المبيعات!$C$2:$C$2000,المبيعات!$C$2:$C$2000&amp;"")))</f>
        <v/>
      </c>
      <c r="D1406">
        <f>IF(A1406="","",SUMIFS(المبيعات!$H$2:$H$2000,المبيعات!$C$2:$C$2000,A1406))</f>
        <v/>
      </c>
      <c r="E1406" s="13">
        <f>IF(A1406="","",IF(COUNTIF(المبيعات!$C$2:$C$2000,A1406)=0,"",_xlfn.MAXIFS(المبيعات!$A$2:$A$2000,المبيعات!$C$2:$C$2000,A1406)))</f>
        <v/>
      </c>
      <c r="F1406">
        <f>IF(A1406="","",SUMIFS(المبيعات!$H$2:$H$2000,المبيعات!$C$2:$C$2000,A1406,المبيعات!$J$2:$J$2000,"آجل"))</f>
        <v/>
      </c>
      <c r="G1406" s="4" t="n"/>
      <c r="H1406">
        <f>IF(A1406="","",F1406-G1406)</f>
        <v/>
      </c>
    </row>
    <row r="1407">
      <c r="A1407" s="4" t="n"/>
      <c r="B1407" s="4" t="n"/>
      <c r="C1407">
        <f>IF(A1407="","",SUMPRODUCT((المبيعات!$C$2:$C$2000=A1407)*(المبيعات!$B$2:$B$2000&lt;&gt;"")/COUNTIFS(المبيعات!$B$2:$B$2000,المبيعات!$B$2:$B$2000&amp;"",المبيعات!$C$2:$C$2000,المبيعات!$C$2:$C$2000&amp;"")))</f>
        <v/>
      </c>
      <c r="D1407">
        <f>IF(A1407="","",SUMIFS(المبيعات!$H$2:$H$2000,المبيعات!$C$2:$C$2000,A1407))</f>
        <v/>
      </c>
      <c r="E1407" s="13">
        <f>IF(A1407="","",IF(COUNTIF(المبيعات!$C$2:$C$2000,A1407)=0,"",_xlfn.MAXIFS(المبيعات!$A$2:$A$2000,المبيعات!$C$2:$C$2000,A1407)))</f>
        <v/>
      </c>
      <c r="F1407">
        <f>IF(A1407="","",SUMIFS(المبيعات!$H$2:$H$2000,المبيعات!$C$2:$C$2000,A1407,المبيعات!$J$2:$J$2000,"آجل"))</f>
        <v/>
      </c>
      <c r="G1407" s="4" t="n"/>
      <c r="H1407">
        <f>IF(A1407="","",F1407-G1407)</f>
        <v/>
      </c>
    </row>
    <row r="1408">
      <c r="A1408" s="4" t="n"/>
      <c r="B1408" s="4" t="n"/>
      <c r="C1408">
        <f>IF(A1408="","",SUMPRODUCT((المبيعات!$C$2:$C$2000=A1408)*(المبيعات!$B$2:$B$2000&lt;&gt;"")/COUNTIFS(المبيعات!$B$2:$B$2000,المبيعات!$B$2:$B$2000&amp;"",المبيعات!$C$2:$C$2000,المبيعات!$C$2:$C$2000&amp;"")))</f>
        <v/>
      </c>
      <c r="D1408">
        <f>IF(A1408="","",SUMIFS(المبيعات!$H$2:$H$2000,المبيعات!$C$2:$C$2000,A1408))</f>
        <v/>
      </c>
      <c r="E1408" s="13">
        <f>IF(A1408="","",IF(COUNTIF(المبيعات!$C$2:$C$2000,A1408)=0,"",_xlfn.MAXIFS(المبيعات!$A$2:$A$2000,المبيعات!$C$2:$C$2000,A1408)))</f>
        <v/>
      </c>
      <c r="F1408">
        <f>IF(A1408="","",SUMIFS(المبيعات!$H$2:$H$2000,المبيعات!$C$2:$C$2000,A1408,المبيعات!$J$2:$J$2000,"آجل"))</f>
        <v/>
      </c>
      <c r="G1408" s="4" t="n"/>
      <c r="H1408">
        <f>IF(A1408="","",F1408-G1408)</f>
        <v/>
      </c>
    </row>
    <row r="1409">
      <c r="A1409" s="4" t="n"/>
      <c r="B1409" s="4" t="n"/>
      <c r="C1409">
        <f>IF(A1409="","",SUMPRODUCT((المبيعات!$C$2:$C$2000=A1409)*(المبيعات!$B$2:$B$2000&lt;&gt;"")/COUNTIFS(المبيعات!$B$2:$B$2000,المبيعات!$B$2:$B$2000&amp;"",المبيعات!$C$2:$C$2000,المبيعات!$C$2:$C$2000&amp;"")))</f>
        <v/>
      </c>
      <c r="D1409">
        <f>IF(A1409="","",SUMIFS(المبيعات!$H$2:$H$2000,المبيعات!$C$2:$C$2000,A1409))</f>
        <v/>
      </c>
      <c r="E1409" s="13">
        <f>IF(A1409="","",IF(COUNTIF(المبيعات!$C$2:$C$2000,A1409)=0,"",_xlfn.MAXIFS(المبيعات!$A$2:$A$2000,المبيعات!$C$2:$C$2000,A1409)))</f>
        <v/>
      </c>
      <c r="F1409">
        <f>IF(A1409="","",SUMIFS(المبيعات!$H$2:$H$2000,المبيعات!$C$2:$C$2000,A1409,المبيعات!$J$2:$J$2000,"آجل"))</f>
        <v/>
      </c>
      <c r="G1409" s="4" t="n"/>
      <c r="H1409">
        <f>IF(A1409="","",F1409-G1409)</f>
        <v/>
      </c>
    </row>
    <row r="1410">
      <c r="A1410" s="4" t="n"/>
      <c r="B1410" s="4" t="n"/>
      <c r="C1410">
        <f>IF(A1410="","",SUMPRODUCT((المبيعات!$C$2:$C$2000=A1410)*(المبيعات!$B$2:$B$2000&lt;&gt;"")/COUNTIFS(المبيعات!$B$2:$B$2000,المبيعات!$B$2:$B$2000&amp;"",المبيعات!$C$2:$C$2000,المبيعات!$C$2:$C$2000&amp;"")))</f>
        <v/>
      </c>
      <c r="D1410">
        <f>IF(A1410="","",SUMIFS(المبيعات!$H$2:$H$2000,المبيعات!$C$2:$C$2000,A1410))</f>
        <v/>
      </c>
      <c r="E1410" s="13">
        <f>IF(A1410="","",IF(COUNTIF(المبيعات!$C$2:$C$2000,A1410)=0,"",_xlfn.MAXIFS(المبيعات!$A$2:$A$2000,المبيعات!$C$2:$C$2000,A1410)))</f>
        <v/>
      </c>
      <c r="F1410">
        <f>IF(A1410="","",SUMIFS(المبيعات!$H$2:$H$2000,المبيعات!$C$2:$C$2000,A1410,المبيعات!$J$2:$J$2000,"آجل"))</f>
        <v/>
      </c>
      <c r="G1410" s="4" t="n"/>
      <c r="H1410">
        <f>IF(A1410="","",F1410-G1410)</f>
        <v/>
      </c>
    </row>
    <row r="1411">
      <c r="A1411" s="4" t="n"/>
      <c r="B1411" s="4" t="n"/>
      <c r="C1411">
        <f>IF(A1411="","",SUMPRODUCT((المبيعات!$C$2:$C$2000=A1411)*(المبيعات!$B$2:$B$2000&lt;&gt;"")/COUNTIFS(المبيعات!$B$2:$B$2000,المبيعات!$B$2:$B$2000&amp;"",المبيعات!$C$2:$C$2000,المبيعات!$C$2:$C$2000&amp;"")))</f>
        <v/>
      </c>
      <c r="D1411">
        <f>IF(A1411="","",SUMIFS(المبيعات!$H$2:$H$2000,المبيعات!$C$2:$C$2000,A1411))</f>
        <v/>
      </c>
      <c r="E1411" s="13">
        <f>IF(A1411="","",IF(COUNTIF(المبيعات!$C$2:$C$2000,A1411)=0,"",_xlfn.MAXIFS(المبيعات!$A$2:$A$2000,المبيعات!$C$2:$C$2000,A1411)))</f>
        <v/>
      </c>
      <c r="F1411">
        <f>IF(A1411="","",SUMIFS(المبيعات!$H$2:$H$2000,المبيعات!$C$2:$C$2000,A1411,المبيعات!$J$2:$J$2000,"آجل"))</f>
        <v/>
      </c>
      <c r="G1411" s="4" t="n"/>
      <c r="H1411">
        <f>IF(A1411="","",F1411-G1411)</f>
        <v/>
      </c>
    </row>
    <row r="1412">
      <c r="A1412" s="4" t="n"/>
      <c r="B1412" s="4" t="n"/>
      <c r="C1412">
        <f>IF(A1412="","",SUMPRODUCT((المبيعات!$C$2:$C$2000=A1412)*(المبيعات!$B$2:$B$2000&lt;&gt;"")/COUNTIFS(المبيعات!$B$2:$B$2000,المبيعات!$B$2:$B$2000&amp;"",المبيعات!$C$2:$C$2000,المبيعات!$C$2:$C$2000&amp;"")))</f>
        <v/>
      </c>
      <c r="D1412">
        <f>IF(A1412="","",SUMIFS(المبيعات!$H$2:$H$2000,المبيعات!$C$2:$C$2000,A1412))</f>
        <v/>
      </c>
      <c r="E1412" s="13">
        <f>IF(A1412="","",IF(COUNTIF(المبيعات!$C$2:$C$2000,A1412)=0,"",_xlfn.MAXIFS(المبيعات!$A$2:$A$2000,المبيعات!$C$2:$C$2000,A1412)))</f>
        <v/>
      </c>
      <c r="F1412">
        <f>IF(A1412="","",SUMIFS(المبيعات!$H$2:$H$2000,المبيعات!$C$2:$C$2000,A1412,المبيعات!$J$2:$J$2000,"آجل"))</f>
        <v/>
      </c>
      <c r="G1412" s="4" t="n"/>
      <c r="H1412">
        <f>IF(A1412="","",F1412-G1412)</f>
        <v/>
      </c>
    </row>
    <row r="1413">
      <c r="A1413" s="4" t="n"/>
      <c r="B1413" s="4" t="n"/>
      <c r="C1413">
        <f>IF(A1413="","",SUMPRODUCT((المبيعات!$C$2:$C$2000=A1413)*(المبيعات!$B$2:$B$2000&lt;&gt;"")/COUNTIFS(المبيعات!$B$2:$B$2000,المبيعات!$B$2:$B$2000&amp;"",المبيعات!$C$2:$C$2000,المبيعات!$C$2:$C$2000&amp;"")))</f>
        <v/>
      </c>
      <c r="D1413">
        <f>IF(A1413="","",SUMIFS(المبيعات!$H$2:$H$2000,المبيعات!$C$2:$C$2000,A1413))</f>
        <v/>
      </c>
      <c r="E1413" s="13">
        <f>IF(A1413="","",IF(COUNTIF(المبيعات!$C$2:$C$2000,A1413)=0,"",_xlfn.MAXIFS(المبيعات!$A$2:$A$2000,المبيعات!$C$2:$C$2000,A1413)))</f>
        <v/>
      </c>
      <c r="F1413">
        <f>IF(A1413="","",SUMIFS(المبيعات!$H$2:$H$2000,المبيعات!$C$2:$C$2000,A1413,المبيعات!$J$2:$J$2000,"آجل"))</f>
        <v/>
      </c>
      <c r="G1413" s="4" t="n"/>
      <c r="H1413">
        <f>IF(A1413="","",F1413-G1413)</f>
        <v/>
      </c>
    </row>
    <row r="1414">
      <c r="A1414" s="4" t="n"/>
      <c r="B1414" s="4" t="n"/>
      <c r="C1414">
        <f>IF(A1414="","",SUMPRODUCT((المبيعات!$C$2:$C$2000=A1414)*(المبيعات!$B$2:$B$2000&lt;&gt;"")/COUNTIFS(المبيعات!$B$2:$B$2000,المبيعات!$B$2:$B$2000&amp;"",المبيعات!$C$2:$C$2000,المبيعات!$C$2:$C$2000&amp;"")))</f>
        <v/>
      </c>
      <c r="D1414">
        <f>IF(A1414="","",SUMIFS(المبيعات!$H$2:$H$2000,المبيعات!$C$2:$C$2000,A1414))</f>
        <v/>
      </c>
      <c r="E1414" s="13">
        <f>IF(A1414="","",IF(COUNTIF(المبيعات!$C$2:$C$2000,A1414)=0,"",_xlfn.MAXIFS(المبيعات!$A$2:$A$2000,المبيعات!$C$2:$C$2000,A1414)))</f>
        <v/>
      </c>
      <c r="F1414">
        <f>IF(A1414="","",SUMIFS(المبيعات!$H$2:$H$2000,المبيعات!$C$2:$C$2000,A1414,المبيعات!$J$2:$J$2000,"آجل"))</f>
        <v/>
      </c>
      <c r="G1414" s="4" t="n"/>
      <c r="H1414">
        <f>IF(A1414="","",F1414-G1414)</f>
        <v/>
      </c>
    </row>
    <row r="1415">
      <c r="A1415" s="4" t="n"/>
      <c r="B1415" s="4" t="n"/>
      <c r="C1415">
        <f>IF(A1415="","",SUMPRODUCT((المبيعات!$C$2:$C$2000=A1415)*(المبيعات!$B$2:$B$2000&lt;&gt;"")/COUNTIFS(المبيعات!$B$2:$B$2000,المبيعات!$B$2:$B$2000&amp;"",المبيعات!$C$2:$C$2000,المبيعات!$C$2:$C$2000&amp;"")))</f>
        <v/>
      </c>
      <c r="D1415">
        <f>IF(A1415="","",SUMIFS(المبيعات!$H$2:$H$2000,المبيعات!$C$2:$C$2000,A1415))</f>
        <v/>
      </c>
      <c r="E1415" s="13">
        <f>IF(A1415="","",IF(COUNTIF(المبيعات!$C$2:$C$2000,A1415)=0,"",_xlfn.MAXIFS(المبيعات!$A$2:$A$2000,المبيعات!$C$2:$C$2000,A1415)))</f>
        <v/>
      </c>
      <c r="F1415">
        <f>IF(A1415="","",SUMIFS(المبيعات!$H$2:$H$2000,المبيعات!$C$2:$C$2000,A1415,المبيعات!$J$2:$J$2000,"آجل"))</f>
        <v/>
      </c>
      <c r="G1415" s="4" t="n"/>
      <c r="H1415">
        <f>IF(A1415="","",F1415-G1415)</f>
        <v/>
      </c>
    </row>
    <row r="1416">
      <c r="A1416" s="4" t="n"/>
      <c r="B1416" s="4" t="n"/>
      <c r="C1416">
        <f>IF(A1416="","",SUMPRODUCT((المبيعات!$C$2:$C$2000=A1416)*(المبيعات!$B$2:$B$2000&lt;&gt;"")/COUNTIFS(المبيعات!$B$2:$B$2000,المبيعات!$B$2:$B$2000&amp;"",المبيعات!$C$2:$C$2000,المبيعات!$C$2:$C$2000&amp;"")))</f>
        <v/>
      </c>
      <c r="D1416">
        <f>IF(A1416="","",SUMIFS(المبيعات!$H$2:$H$2000,المبيعات!$C$2:$C$2000,A1416))</f>
        <v/>
      </c>
      <c r="E1416" s="13">
        <f>IF(A1416="","",IF(COUNTIF(المبيعات!$C$2:$C$2000,A1416)=0,"",_xlfn.MAXIFS(المبيعات!$A$2:$A$2000,المبيعات!$C$2:$C$2000,A1416)))</f>
        <v/>
      </c>
      <c r="F1416">
        <f>IF(A1416="","",SUMIFS(المبيعات!$H$2:$H$2000,المبيعات!$C$2:$C$2000,A1416,المبيعات!$J$2:$J$2000,"آجل"))</f>
        <v/>
      </c>
      <c r="G1416" s="4" t="n"/>
      <c r="H1416">
        <f>IF(A1416="","",F1416-G1416)</f>
        <v/>
      </c>
    </row>
    <row r="1417">
      <c r="A1417" s="4" t="n"/>
      <c r="B1417" s="4" t="n"/>
      <c r="C1417">
        <f>IF(A1417="","",SUMPRODUCT((المبيعات!$C$2:$C$2000=A1417)*(المبيعات!$B$2:$B$2000&lt;&gt;"")/COUNTIFS(المبيعات!$B$2:$B$2000,المبيعات!$B$2:$B$2000&amp;"",المبيعات!$C$2:$C$2000,المبيعات!$C$2:$C$2000&amp;"")))</f>
        <v/>
      </c>
      <c r="D1417">
        <f>IF(A1417="","",SUMIFS(المبيعات!$H$2:$H$2000,المبيعات!$C$2:$C$2000,A1417))</f>
        <v/>
      </c>
      <c r="E1417" s="13">
        <f>IF(A1417="","",IF(COUNTIF(المبيعات!$C$2:$C$2000,A1417)=0,"",_xlfn.MAXIFS(المبيعات!$A$2:$A$2000,المبيعات!$C$2:$C$2000,A1417)))</f>
        <v/>
      </c>
      <c r="F1417">
        <f>IF(A1417="","",SUMIFS(المبيعات!$H$2:$H$2000,المبيعات!$C$2:$C$2000,A1417,المبيعات!$J$2:$J$2000,"آجل"))</f>
        <v/>
      </c>
      <c r="G1417" s="4" t="n"/>
      <c r="H1417">
        <f>IF(A1417="","",F1417-G1417)</f>
        <v/>
      </c>
    </row>
    <row r="1418">
      <c r="A1418" s="4" t="n"/>
      <c r="B1418" s="4" t="n"/>
      <c r="C1418">
        <f>IF(A1418="","",SUMPRODUCT((المبيعات!$C$2:$C$2000=A1418)*(المبيعات!$B$2:$B$2000&lt;&gt;"")/COUNTIFS(المبيعات!$B$2:$B$2000,المبيعات!$B$2:$B$2000&amp;"",المبيعات!$C$2:$C$2000,المبيعات!$C$2:$C$2000&amp;"")))</f>
        <v/>
      </c>
      <c r="D1418">
        <f>IF(A1418="","",SUMIFS(المبيعات!$H$2:$H$2000,المبيعات!$C$2:$C$2000,A1418))</f>
        <v/>
      </c>
      <c r="E1418" s="13">
        <f>IF(A1418="","",IF(COUNTIF(المبيعات!$C$2:$C$2000,A1418)=0,"",_xlfn.MAXIFS(المبيعات!$A$2:$A$2000,المبيعات!$C$2:$C$2000,A1418)))</f>
        <v/>
      </c>
      <c r="F1418">
        <f>IF(A1418="","",SUMIFS(المبيعات!$H$2:$H$2000,المبيعات!$C$2:$C$2000,A1418,المبيعات!$J$2:$J$2000,"آجل"))</f>
        <v/>
      </c>
      <c r="G1418" s="4" t="n"/>
      <c r="H1418">
        <f>IF(A1418="","",F1418-G1418)</f>
        <v/>
      </c>
    </row>
    <row r="1419">
      <c r="A1419" s="4" t="n"/>
      <c r="B1419" s="4" t="n"/>
      <c r="C1419">
        <f>IF(A1419="","",SUMPRODUCT((المبيعات!$C$2:$C$2000=A1419)*(المبيعات!$B$2:$B$2000&lt;&gt;"")/COUNTIFS(المبيعات!$B$2:$B$2000,المبيعات!$B$2:$B$2000&amp;"",المبيعات!$C$2:$C$2000,المبيعات!$C$2:$C$2000&amp;"")))</f>
        <v/>
      </c>
      <c r="D1419">
        <f>IF(A1419="","",SUMIFS(المبيعات!$H$2:$H$2000,المبيعات!$C$2:$C$2000,A1419))</f>
        <v/>
      </c>
      <c r="E1419" s="13">
        <f>IF(A1419="","",IF(COUNTIF(المبيعات!$C$2:$C$2000,A1419)=0,"",_xlfn.MAXIFS(المبيعات!$A$2:$A$2000,المبيعات!$C$2:$C$2000,A1419)))</f>
        <v/>
      </c>
      <c r="F1419">
        <f>IF(A1419="","",SUMIFS(المبيعات!$H$2:$H$2000,المبيعات!$C$2:$C$2000,A1419,المبيعات!$J$2:$J$2000,"آجل"))</f>
        <v/>
      </c>
      <c r="G1419" s="4" t="n"/>
      <c r="H1419">
        <f>IF(A1419="","",F1419-G1419)</f>
        <v/>
      </c>
    </row>
    <row r="1420">
      <c r="A1420" s="4" t="n"/>
      <c r="B1420" s="4" t="n"/>
      <c r="C1420">
        <f>IF(A1420="","",SUMPRODUCT((المبيعات!$C$2:$C$2000=A1420)*(المبيعات!$B$2:$B$2000&lt;&gt;"")/COUNTIFS(المبيعات!$B$2:$B$2000,المبيعات!$B$2:$B$2000&amp;"",المبيعات!$C$2:$C$2000,المبيعات!$C$2:$C$2000&amp;"")))</f>
        <v/>
      </c>
      <c r="D1420">
        <f>IF(A1420="","",SUMIFS(المبيعات!$H$2:$H$2000,المبيعات!$C$2:$C$2000,A1420))</f>
        <v/>
      </c>
      <c r="E1420" s="13">
        <f>IF(A1420="","",IF(COUNTIF(المبيعات!$C$2:$C$2000,A1420)=0,"",_xlfn.MAXIFS(المبيعات!$A$2:$A$2000,المبيعات!$C$2:$C$2000,A1420)))</f>
        <v/>
      </c>
      <c r="F1420">
        <f>IF(A1420="","",SUMIFS(المبيعات!$H$2:$H$2000,المبيعات!$C$2:$C$2000,A1420,المبيعات!$J$2:$J$2000,"آجل"))</f>
        <v/>
      </c>
      <c r="G1420" s="4" t="n"/>
      <c r="H1420">
        <f>IF(A1420="","",F1420-G1420)</f>
        <v/>
      </c>
    </row>
    <row r="1421">
      <c r="A1421" s="4" t="n"/>
      <c r="B1421" s="4" t="n"/>
      <c r="C1421">
        <f>IF(A1421="","",SUMPRODUCT((المبيعات!$C$2:$C$2000=A1421)*(المبيعات!$B$2:$B$2000&lt;&gt;"")/COUNTIFS(المبيعات!$B$2:$B$2000,المبيعات!$B$2:$B$2000&amp;"",المبيعات!$C$2:$C$2000,المبيعات!$C$2:$C$2000&amp;"")))</f>
        <v/>
      </c>
      <c r="D1421">
        <f>IF(A1421="","",SUMIFS(المبيعات!$H$2:$H$2000,المبيعات!$C$2:$C$2000,A1421))</f>
        <v/>
      </c>
      <c r="E1421" s="13">
        <f>IF(A1421="","",IF(COUNTIF(المبيعات!$C$2:$C$2000,A1421)=0,"",_xlfn.MAXIFS(المبيعات!$A$2:$A$2000,المبيعات!$C$2:$C$2000,A1421)))</f>
        <v/>
      </c>
      <c r="F1421">
        <f>IF(A1421="","",SUMIFS(المبيعات!$H$2:$H$2000,المبيعات!$C$2:$C$2000,A1421,المبيعات!$J$2:$J$2000,"آجل"))</f>
        <v/>
      </c>
      <c r="G1421" s="4" t="n"/>
      <c r="H1421">
        <f>IF(A1421="","",F1421-G1421)</f>
        <v/>
      </c>
    </row>
    <row r="1422">
      <c r="A1422" s="4" t="n"/>
      <c r="B1422" s="4" t="n"/>
      <c r="C1422">
        <f>IF(A1422="","",SUMPRODUCT((المبيعات!$C$2:$C$2000=A1422)*(المبيعات!$B$2:$B$2000&lt;&gt;"")/COUNTIFS(المبيعات!$B$2:$B$2000,المبيعات!$B$2:$B$2000&amp;"",المبيعات!$C$2:$C$2000,المبيعات!$C$2:$C$2000&amp;"")))</f>
        <v/>
      </c>
      <c r="D1422">
        <f>IF(A1422="","",SUMIFS(المبيعات!$H$2:$H$2000,المبيعات!$C$2:$C$2000,A1422))</f>
        <v/>
      </c>
      <c r="E1422" s="13">
        <f>IF(A1422="","",IF(COUNTIF(المبيعات!$C$2:$C$2000,A1422)=0,"",_xlfn.MAXIFS(المبيعات!$A$2:$A$2000,المبيعات!$C$2:$C$2000,A1422)))</f>
        <v/>
      </c>
      <c r="F1422">
        <f>IF(A1422="","",SUMIFS(المبيعات!$H$2:$H$2000,المبيعات!$C$2:$C$2000,A1422,المبيعات!$J$2:$J$2000,"آجل"))</f>
        <v/>
      </c>
      <c r="G1422" s="4" t="n"/>
      <c r="H1422">
        <f>IF(A1422="","",F1422-G1422)</f>
        <v/>
      </c>
    </row>
    <row r="1423">
      <c r="A1423" s="4" t="n"/>
      <c r="B1423" s="4" t="n"/>
      <c r="C1423">
        <f>IF(A1423="","",SUMPRODUCT((المبيعات!$C$2:$C$2000=A1423)*(المبيعات!$B$2:$B$2000&lt;&gt;"")/COUNTIFS(المبيعات!$B$2:$B$2000,المبيعات!$B$2:$B$2000&amp;"",المبيعات!$C$2:$C$2000,المبيعات!$C$2:$C$2000&amp;"")))</f>
        <v/>
      </c>
      <c r="D1423">
        <f>IF(A1423="","",SUMIFS(المبيعات!$H$2:$H$2000,المبيعات!$C$2:$C$2000,A1423))</f>
        <v/>
      </c>
      <c r="E1423" s="13">
        <f>IF(A1423="","",IF(COUNTIF(المبيعات!$C$2:$C$2000,A1423)=0,"",_xlfn.MAXIFS(المبيعات!$A$2:$A$2000,المبيعات!$C$2:$C$2000,A1423)))</f>
        <v/>
      </c>
      <c r="F1423">
        <f>IF(A1423="","",SUMIFS(المبيعات!$H$2:$H$2000,المبيعات!$C$2:$C$2000,A1423,المبيعات!$J$2:$J$2000,"آجل"))</f>
        <v/>
      </c>
      <c r="G1423" s="4" t="n"/>
      <c r="H1423">
        <f>IF(A1423="","",F1423-G1423)</f>
        <v/>
      </c>
    </row>
    <row r="1424">
      <c r="A1424" s="4" t="n"/>
      <c r="B1424" s="4" t="n"/>
      <c r="C1424">
        <f>IF(A1424="","",SUMPRODUCT((المبيعات!$C$2:$C$2000=A1424)*(المبيعات!$B$2:$B$2000&lt;&gt;"")/COUNTIFS(المبيعات!$B$2:$B$2000,المبيعات!$B$2:$B$2000&amp;"",المبيعات!$C$2:$C$2000,المبيعات!$C$2:$C$2000&amp;"")))</f>
        <v/>
      </c>
      <c r="D1424">
        <f>IF(A1424="","",SUMIFS(المبيعات!$H$2:$H$2000,المبيعات!$C$2:$C$2000,A1424))</f>
        <v/>
      </c>
      <c r="E1424" s="13">
        <f>IF(A1424="","",IF(COUNTIF(المبيعات!$C$2:$C$2000,A1424)=0,"",_xlfn.MAXIFS(المبيعات!$A$2:$A$2000,المبيعات!$C$2:$C$2000,A1424)))</f>
        <v/>
      </c>
      <c r="F1424">
        <f>IF(A1424="","",SUMIFS(المبيعات!$H$2:$H$2000,المبيعات!$C$2:$C$2000,A1424,المبيعات!$J$2:$J$2000,"آجل"))</f>
        <v/>
      </c>
      <c r="G1424" s="4" t="n"/>
      <c r="H1424">
        <f>IF(A1424="","",F1424-G1424)</f>
        <v/>
      </c>
    </row>
    <row r="1425">
      <c r="A1425" s="4" t="n"/>
      <c r="B1425" s="4" t="n"/>
      <c r="C1425">
        <f>IF(A1425="","",SUMPRODUCT((المبيعات!$C$2:$C$2000=A1425)*(المبيعات!$B$2:$B$2000&lt;&gt;"")/COUNTIFS(المبيعات!$B$2:$B$2000,المبيعات!$B$2:$B$2000&amp;"",المبيعات!$C$2:$C$2000,المبيعات!$C$2:$C$2000&amp;"")))</f>
        <v/>
      </c>
      <c r="D1425">
        <f>IF(A1425="","",SUMIFS(المبيعات!$H$2:$H$2000,المبيعات!$C$2:$C$2000,A1425))</f>
        <v/>
      </c>
      <c r="E1425" s="13">
        <f>IF(A1425="","",IF(COUNTIF(المبيعات!$C$2:$C$2000,A1425)=0,"",_xlfn.MAXIFS(المبيعات!$A$2:$A$2000,المبيعات!$C$2:$C$2000,A1425)))</f>
        <v/>
      </c>
      <c r="F1425">
        <f>IF(A1425="","",SUMIFS(المبيعات!$H$2:$H$2000,المبيعات!$C$2:$C$2000,A1425,المبيعات!$J$2:$J$2000,"آجل"))</f>
        <v/>
      </c>
      <c r="G1425" s="4" t="n"/>
      <c r="H1425">
        <f>IF(A1425="","",F1425-G1425)</f>
        <v/>
      </c>
    </row>
    <row r="1426">
      <c r="A1426" s="4" t="n"/>
      <c r="B1426" s="4" t="n"/>
      <c r="C1426">
        <f>IF(A1426="","",SUMPRODUCT((المبيعات!$C$2:$C$2000=A1426)*(المبيعات!$B$2:$B$2000&lt;&gt;"")/COUNTIFS(المبيعات!$B$2:$B$2000,المبيعات!$B$2:$B$2000&amp;"",المبيعات!$C$2:$C$2000,المبيعات!$C$2:$C$2000&amp;"")))</f>
        <v/>
      </c>
      <c r="D1426">
        <f>IF(A1426="","",SUMIFS(المبيعات!$H$2:$H$2000,المبيعات!$C$2:$C$2000,A1426))</f>
        <v/>
      </c>
      <c r="E1426" s="13">
        <f>IF(A1426="","",IF(COUNTIF(المبيعات!$C$2:$C$2000,A1426)=0,"",_xlfn.MAXIFS(المبيعات!$A$2:$A$2000,المبيعات!$C$2:$C$2000,A1426)))</f>
        <v/>
      </c>
      <c r="F1426">
        <f>IF(A1426="","",SUMIFS(المبيعات!$H$2:$H$2000,المبيعات!$C$2:$C$2000,A1426,المبيعات!$J$2:$J$2000,"آجل"))</f>
        <v/>
      </c>
      <c r="G1426" s="4" t="n"/>
      <c r="H1426">
        <f>IF(A1426="","",F1426-G1426)</f>
        <v/>
      </c>
    </row>
    <row r="1427">
      <c r="A1427" s="4" t="n"/>
      <c r="B1427" s="4" t="n"/>
      <c r="C1427">
        <f>IF(A1427="","",SUMPRODUCT((المبيعات!$C$2:$C$2000=A1427)*(المبيعات!$B$2:$B$2000&lt;&gt;"")/COUNTIFS(المبيعات!$B$2:$B$2000,المبيعات!$B$2:$B$2000&amp;"",المبيعات!$C$2:$C$2000,المبيعات!$C$2:$C$2000&amp;"")))</f>
        <v/>
      </c>
      <c r="D1427">
        <f>IF(A1427="","",SUMIFS(المبيعات!$H$2:$H$2000,المبيعات!$C$2:$C$2000,A1427))</f>
        <v/>
      </c>
      <c r="E1427" s="13">
        <f>IF(A1427="","",IF(COUNTIF(المبيعات!$C$2:$C$2000,A1427)=0,"",_xlfn.MAXIFS(المبيعات!$A$2:$A$2000,المبيعات!$C$2:$C$2000,A1427)))</f>
        <v/>
      </c>
      <c r="F1427">
        <f>IF(A1427="","",SUMIFS(المبيعات!$H$2:$H$2000,المبيعات!$C$2:$C$2000,A1427,المبيعات!$J$2:$J$2000,"آجل"))</f>
        <v/>
      </c>
      <c r="G1427" s="4" t="n"/>
      <c r="H1427">
        <f>IF(A1427="","",F1427-G1427)</f>
        <v/>
      </c>
    </row>
    <row r="1428">
      <c r="A1428" s="4" t="n"/>
      <c r="B1428" s="4" t="n"/>
      <c r="C1428">
        <f>IF(A1428="","",SUMPRODUCT((المبيعات!$C$2:$C$2000=A1428)*(المبيعات!$B$2:$B$2000&lt;&gt;"")/COUNTIFS(المبيعات!$B$2:$B$2000,المبيعات!$B$2:$B$2000&amp;"",المبيعات!$C$2:$C$2000,المبيعات!$C$2:$C$2000&amp;"")))</f>
        <v/>
      </c>
      <c r="D1428">
        <f>IF(A1428="","",SUMIFS(المبيعات!$H$2:$H$2000,المبيعات!$C$2:$C$2000,A1428))</f>
        <v/>
      </c>
      <c r="E1428" s="13">
        <f>IF(A1428="","",IF(COUNTIF(المبيعات!$C$2:$C$2000,A1428)=0,"",_xlfn.MAXIFS(المبيعات!$A$2:$A$2000,المبيعات!$C$2:$C$2000,A1428)))</f>
        <v/>
      </c>
      <c r="F1428">
        <f>IF(A1428="","",SUMIFS(المبيعات!$H$2:$H$2000,المبيعات!$C$2:$C$2000,A1428,المبيعات!$J$2:$J$2000,"آجل"))</f>
        <v/>
      </c>
      <c r="G1428" s="4" t="n"/>
      <c r="H1428">
        <f>IF(A1428="","",F1428-G1428)</f>
        <v/>
      </c>
    </row>
    <row r="1429">
      <c r="A1429" s="4" t="n"/>
      <c r="B1429" s="4" t="n"/>
      <c r="C1429">
        <f>IF(A1429="","",SUMPRODUCT((المبيعات!$C$2:$C$2000=A1429)*(المبيعات!$B$2:$B$2000&lt;&gt;"")/COUNTIFS(المبيعات!$B$2:$B$2000,المبيعات!$B$2:$B$2000&amp;"",المبيعات!$C$2:$C$2000,المبيعات!$C$2:$C$2000&amp;"")))</f>
        <v/>
      </c>
      <c r="D1429">
        <f>IF(A1429="","",SUMIFS(المبيعات!$H$2:$H$2000,المبيعات!$C$2:$C$2000,A1429))</f>
        <v/>
      </c>
      <c r="E1429" s="13">
        <f>IF(A1429="","",IF(COUNTIF(المبيعات!$C$2:$C$2000,A1429)=0,"",_xlfn.MAXIFS(المبيعات!$A$2:$A$2000,المبيعات!$C$2:$C$2000,A1429)))</f>
        <v/>
      </c>
      <c r="F1429">
        <f>IF(A1429="","",SUMIFS(المبيعات!$H$2:$H$2000,المبيعات!$C$2:$C$2000,A1429,المبيعات!$J$2:$J$2000,"آجل"))</f>
        <v/>
      </c>
      <c r="G1429" s="4" t="n"/>
      <c r="H1429">
        <f>IF(A1429="","",F1429-G1429)</f>
        <v/>
      </c>
    </row>
    <row r="1430">
      <c r="A1430" s="4" t="n"/>
      <c r="B1430" s="4" t="n"/>
      <c r="C1430">
        <f>IF(A1430="","",SUMPRODUCT((المبيعات!$C$2:$C$2000=A1430)*(المبيعات!$B$2:$B$2000&lt;&gt;"")/COUNTIFS(المبيعات!$B$2:$B$2000,المبيعات!$B$2:$B$2000&amp;"",المبيعات!$C$2:$C$2000,المبيعات!$C$2:$C$2000&amp;"")))</f>
        <v/>
      </c>
      <c r="D1430">
        <f>IF(A1430="","",SUMIFS(المبيعات!$H$2:$H$2000,المبيعات!$C$2:$C$2000,A1430))</f>
        <v/>
      </c>
      <c r="E1430" s="13">
        <f>IF(A1430="","",IF(COUNTIF(المبيعات!$C$2:$C$2000,A1430)=0,"",_xlfn.MAXIFS(المبيعات!$A$2:$A$2000,المبيعات!$C$2:$C$2000,A1430)))</f>
        <v/>
      </c>
      <c r="F1430">
        <f>IF(A1430="","",SUMIFS(المبيعات!$H$2:$H$2000,المبيعات!$C$2:$C$2000,A1430,المبيعات!$J$2:$J$2000,"آجل"))</f>
        <v/>
      </c>
      <c r="G1430" s="4" t="n"/>
      <c r="H1430">
        <f>IF(A1430="","",F1430-G1430)</f>
        <v/>
      </c>
    </row>
    <row r="1431">
      <c r="A1431" s="4" t="n"/>
      <c r="B1431" s="4" t="n"/>
      <c r="C1431">
        <f>IF(A1431="","",SUMPRODUCT((المبيعات!$C$2:$C$2000=A1431)*(المبيعات!$B$2:$B$2000&lt;&gt;"")/COUNTIFS(المبيعات!$B$2:$B$2000,المبيعات!$B$2:$B$2000&amp;"",المبيعات!$C$2:$C$2000,المبيعات!$C$2:$C$2000&amp;"")))</f>
        <v/>
      </c>
      <c r="D1431">
        <f>IF(A1431="","",SUMIFS(المبيعات!$H$2:$H$2000,المبيعات!$C$2:$C$2000,A1431))</f>
        <v/>
      </c>
      <c r="E1431" s="13">
        <f>IF(A1431="","",IF(COUNTIF(المبيعات!$C$2:$C$2000,A1431)=0,"",_xlfn.MAXIFS(المبيعات!$A$2:$A$2000,المبيعات!$C$2:$C$2000,A1431)))</f>
        <v/>
      </c>
      <c r="F1431">
        <f>IF(A1431="","",SUMIFS(المبيعات!$H$2:$H$2000,المبيعات!$C$2:$C$2000,A1431,المبيعات!$J$2:$J$2000,"آجل"))</f>
        <v/>
      </c>
      <c r="G1431" s="4" t="n"/>
      <c r="H1431">
        <f>IF(A1431="","",F1431-G1431)</f>
        <v/>
      </c>
    </row>
    <row r="1432">
      <c r="A1432" s="4" t="n"/>
      <c r="B1432" s="4" t="n"/>
      <c r="C1432">
        <f>IF(A1432="","",SUMPRODUCT((المبيعات!$C$2:$C$2000=A1432)*(المبيعات!$B$2:$B$2000&lt;&gt;"")/COUNTIFS(المبيعات!$B$2:$B$2000,المبيعات!$B$2:$B$2000&amp;"",المبيعات!$C$2:$C$2000,المبيعات!$C$2:$C$2000&amp;"")))</f>
        <v/>
      </c>
      <c r="D1432">
        <f>IF(A1432="","",SUMIFS(المبيعات!$H$2:$H$2000,المبيعات!$C$2:$C$2000,A1432))</f>
        <v/>
      </c>
      <c r="E1432" s="13">
        <f>IF(A1432="","",IF(COUNTIF(المبيعات!$C$2:$C$2000,A1432)=0,"",_xlfn.MAXIFS(المبيعات!$A$2:$A$2000,المبيعات!$C$2:$C$2000,A1432)))</f>
        <v/>
      </c>
      <c r="F1432">
        <f>IF(A1432="","",SUMIFS(المبيعات!$H$2:$H$2000,المبيعات!$C$2:$C$2000,A1432,المبيعات!$J$2:$J$2000,"آجل"))</f>
        <v/>
      </c>
      <c r="G1432" s="4" t="n"/>
      <c r="H1432">
        <f>IF(A1432="","",F1432-G1432)</f>
        <v/>
      </c>
    </row>
    <row r="1433">
      <c r="A1433" s="4" t="n"/>
      <c r="B1433" s="4" t="n"/>
      <c r="C1433">
        <f>IF(A1433="","",SUMPRODUCT((المبيعات!$C$2:$C$2000=A1433)*(المبيعات!$B$2:$B$2000&lt;&gt;"")/COUNTIFS(المبيعات!$B$2:$B$2000,المبيعات!$B$2:$B$2000&amp;"",المبيعات!$C$2:$C$2000,المبيعات!$C$2:$C$2000&amp;"")))</f>
        <v/>
      </c>
      <c r="D1433">
        <f>IF(A1433="","",SUMIFS(المبيعات!$H$2:$H$2000,المبيعات!$C$2:$C$2000,A1433))</f>
        <v/>
      </c>
      <c r="E1433" s="13">
        <f>IF(A1433="","",IF(COUNTIF(المبيعات!$C$2:$C$2000,A1433)=0,"",_xlfn.MAXIFS(المبيعات!$A$2:$A$2000,المبيعات!$C$2:$C$2000,A1433)))</f>
        <v/>
      </c>
      <c r="F1433">
        <f>IF(A1433="","",SUMIFS(المبيعات!$H$2:$H$2000,المبيعات!$C$2:$C$2000,A1433,المبيعات!$J$2:$J$2000,"آجل"))</f>
        <v/>
      </c>
      <c r="G1433" s="4" t="n"/>
      <c r="H1433">
        <f>IF(A1433="","",F1433-G1433)</f>
        <v/>
      </c>
    </row>
    <row r="1434">
      <c r="A1434" s="4" t="n"/>
      <c r="B1434" s="4" t="n"/>
      <c r="C1434">
        <f>IF(A1434="","",SUMPRODUCT((المبيعات!$C$2:$C$2000=A1434)*(المبيعات!$B$2:$B$2000&lt;&gt;"")/COUNTIFS(المبيعات!$B$2:$B$2000,المبيعات!$B$2:$B$2000&amp;"",المبيعات!$C$2:$C$2000,المبيعات!$C$2:$C$2000&amp;"")))</f>
        <v/>
      </c>
      <c r="D1434">
        <f>IF(A1434="","",SUMIFS(المبيعات!$H$2:$H$2000,المبيعات!$C$2:$C$2000,A1434))</f>
        <v/>
      </c>
      <c r="E1434" s="13">
        <f>IF(A1434="","",IF(COUNTIF(المبيعات!$C$2:$C$2000,A1434)=0,"",_xlfn.MAXIFS(المبيعات!$A$2:$A$2000,المبيعات!$C$2:$C$2000,A1434)))</f>
        <v/>
      </c>
      <c r="F1434">
        <f>IF(A1434="","",SUMIFS(المبيعات!$H$2:$H$2000,المبيعات!$C$2:$C$2000,A1434,المبيعات!$J$2:$J$2000,"آجل"))</f>
        <v/>
      </c>
      <c r="G1434" s="4" t="n"/>
      <c r="H1434">
        <f>IF(A1434="","",F1434-G1434)</f>
        <v/>
      </c>
    </row>
    <row r="1435">
      <c r="A1435" s="4" t="n"/>
      <c r="B1435" s="4" t="n"/>
      <c r="C1435">
        <f>IF(A1435="","",SUMPRODUCT((المبيعات!$C$2:$C$2000=A1435)*(المبيعات!$B$2:$B$2000&lt;&gt;"")/COUNTIFS(المبيعات!$B$2:$B$2000,المبيعات!$B$2:$B$2000&amp;"",المبيعات!$C$2:$C$2000,المبيعات!$C$2:$C$2000&amp;"")))</f>
        <v/>
      </c>
      <c r="D1435">
        <f>IF(A1435="","",SUMIFS(المبيعات!$H$2:$H$2000,المبيعات!$C$2:$C$2000,A1435))</f>
        <v/>
      </c>
      <c r="E1435" s="13">
        <f>IF(A1435="","",IF(COUNTIF(المبيعات!$C$2:$C$2000,A1435)=0,"",_xlfn.MAXIFS(المبيعات!$A$2:$A$2000,المبيعات!$C$2:$C$2000,A1435)))</f>
        <v/>
      </c>
      <c r="F1435">
        <f>IF(A1435="","",SUMIFS(المبيعات!$H$2:$H$2000,المبيعات!$C$2:$C$2000,A1435,المبيعات!$J$2:$J$2000,"آجل"))</f>
        <v/>
      </c>
      <c r="G1435" s="4" t="n"/>
      <c r="H1435">
        <f>IF(A1435="","",F1435-G1435)</f>
        <v/>
      </c>
    </row>
    <row r="1436">
      <c r="A1436" s="4" t="n"/>
      <c r="B1436" s="4" t="n"/>
      <c r="C1436">
        <f>IF(A1436="","",SUMPRODUCT((المبيعات!$C$2:$C$2000=A1436)*(المبيعات!$B$2:$B$2000&lt;&gt;"")/COUNTIFS(المبيعات!$B$2:$B$2000,المبيعات!$B$2:$B$2000&amp;"",المبيعات!$C$2:$C$2000,المبيعات!$C$2:$C$2000&amp;"")))</f>
        <v/>
      </c>
      <c r="D1436">
        <f>IF(A1436="","",SUMIFS(المبيعات!$H$2:$H$2000,المبيعات!$C$2:$C$2000,A1436))</f>
        <v/>
      </c>
      <c r="E1436" s="13">
        <f>IF(A1436="","",IF(COUNTIF(المبيعات!$C$2:$C$2000,A1436)=0,"",_xlfn.MAXIFS(المبيعات!$A$2:$A$2000,المبيعات!$C$2:$C$2000,A1436)))</f>
        <v/>
      </c>
      <c r="F1436">
        <f>IF(A1436="","",SUMIFS(المبيعات!$H$2:$H$2000,المبيعات!$C$2:$C$2000,A1436,المبيعات!$J$2:$J$2000,"آجل"))</f>
        <v/>
      </c>
      <c r="G1436" s="4" t="n"/>
      <c r="H1436">
        <f>IF(A1436="","",F1436-G1436)</f>
        <v/>
      </c>
    </row>
    <row r="1437">
      <c r="A1437" s="4" t="n"/>
      <c r="B1437" s="4" t="n"/>
      <c r="C1437">
        <f>IF(A1437="","",SUMPRODUCT((المبيعات!$C$2:$C$2000=A1437)*(المبيعات!$B$2:$B$2000&lt;&gt;"")/COUNTIFS(المبيعات!$B$2:$B$2000,المبيعات!$B$2:$B$2000&amp;"",المبيعات!$C$2:$C$2000,المبيعات!$C$2:$C$2000&amp;"")))</f>
        <v/>
      </c>
      <c r="D1437">
        <f>IF(A1437="","",SUMIFS(المبيعات!$H$2:$H$2000,المبيعات!$C$2:$C$2000,A1437))</f>
        <v/>
      </c>
      <c r="E1437" s="13">
        <f>IF(A1437="","",IF(COUNTIF(المبيعات!$C$2:$C$2000,A1437)=0,"",_xlfn.MAXIFS(المبيعات!$A$2:$A$2000,المبيعات!$C$2:$C$2000,A1437)))</f>
        <v/>
      </c>
      <c r="F1437">
        <f>IF(A1437="","",SUMIFS(المبيعات!$H$2:$H$2000,المبيعات!$C$2:$C$2000,A1437,المبيعات!$J$2:$J$2000,"آجل"))</f>
        <v/>
      </c>
      <c r="G1437" s="4" t="n"/>
      <c r="H1437">
        <f>IF(A1437="","",F1437-G1437)</f>
        <v/>
      </c>
    </row>
    <row r="1438">
      <c r="A1438" s="4" t="n"/>
      <c r="B1438" s="4" t="n"/>
      <c r="C1438">
        <f>IF(A1438="","",SUMPRODUCT((المبيعات!$C$2:$C$2000=A1438)*(المبيعات!$B$2:$B$2000&lt;&gt;"")/COUNTIFS(المبيعات!$B$2:$B$2000,المبيعات!$B$2:$B$2000&amp;"",المبيعات!$C$2:$C$2000,المبيعات!$C$2:$C$2000&amp;"")))</f>
        <v/>
      </c>
      <c r="D1438">
        <f>IF(A1438="","",SUMIFS(المبيعات!$H$2:$H$2000,المبيعات!$C$2:$C$2000,A1438))</f>
        <v/>
      </c>
      <c r="E1438" s="13">
        <f>IF(A1438="","",IF(COUNTIF(المبيعات!$C$2:$C$2000,A1438)=0,"",_xlfn.MAXIFS(المبيعات!$A$2:$A$2000,المبيعات!$C$2:$C$2000,A1438)))</f>
        <v/>
      </c>
      <c r="F1438">
        <f>IF(A1438="","",SUMIFS(المبيعات!$H$2:$H$2000,المبيعات!$C$2:$C$2000,A1438,المبيعات!$J$2:$J$2000,"آجل"))</f>
        <v/>
      </c>
      <c r="G1438" s="4" t="n"/>
      <c r="H1438">
        <f>IF(A1438="","",F1438-G1438)</f>
        <v/>
      </c>
    </row>
    <row r="1439">
      <c r="A1439" s="4" t="n"/>
      <c r="B1439" s="4" t="n"/>
      <c r="C1439">
        <f>IF(A1439="","",SUMPRODUCT((المبيعات!$C$2:$C$2000=A1439)*(المبيعات!$B$2:$B$2000&lt;&gt;"")/COUNTIFS(المبيعات!$B$2:$B$2000,المبيعات!$B$2:$B$2000&amp;"",المبيعات!$C$2:$C$2000,المبيعات!$C$2:$C$2000&amp;"")))</f>
        <v/>
      </c>
      <c r="D1439">
        <f>IF(A1439="","",SUMIFS(المبيعات!$H$2:$H$2000,المبيعات!$C$2:$C$2000,A1439))</f>
        <v/>
      </c>
      <c r="E1439" s="13">
        <f>IF(A1439="","",IF(COUNTIF(المبيعات!$C$2:$C$2000,A1439)=0,"",_xlfn.MAXIFS(المبيعات!$A$2:$A$2000,المبيعات!$C$2:$C$2000,A1439)))</f>
        <v/>
      </c>
      <c r="F1439">
        <f>IF(A1439="","",SUMIFS(المبيعات!$H$2:$H$2000,المبيعات!$C$2:$C$2000,A1439,المبيعات!$J$2:$J$2000,"آجل"))</f>
        <v/>
      </c>
      <c r="G1439" s="4" t="n"/>
      <c r="H1439">
        <f>IF(A1439="","",F1439-G1439)</f>
        <v/>
      </c>
    </row>
    <row r="1440">
      <c r="A1440" s="4" t="n"/>
      <c r="B1440" s="4" t="n"/>
      <c r="C1440">
        <f>IF(A1440="","",SUMPRODUCT((المبيعات!$C$2:$C$2000=A1440)*(المبيعات!$B$2:$B$2000&lt;&gt;"")/COUNTIFS(المبيعات!$B$2:$B$2000,المبيعات!$B$2:$B$2000&amp;"",المبيعات!$C$2:$C$2000,المبيعات!$C$2:$C$2000&amp;"")))</f>
        <v/>
      </c>
      <c r="D1440">
        <f>IF(A1440="","",SUMIFS(المبيعات!$H$2:$H$2000,المبيعات!$C$2:$C$2000,A1440))</f>
        <v/>
      </c>
      <c r="E1440" s="13">
        <f>IF(A1440="","",IF(COUNTIF(المبيعات!$C$2:$C$2000,A1440)=0,"",_xlfn.MAXIFS(المبيعات!$A$2:$A$2000,المبيعات!$C$2:$C$2000,A1440)))</f>
        <v/>
      </c>
      <c r="F1440">
        <f>IF(A1440="","",SUMIFS(المبيعات!$H$2:$H$2000,المبيعات!$C$2:$C$2000,A1440,المبيعات!$J$2:$J$2000,"آجل"))</f>
        <v/>
      </c>
      <c r="G1440" s="4" t="n"/>
      <c r="H1440">
        <f>IF(A1440="","",F1440-G1440)</f>
        <v/>
      </c>
    </row>
    <row r="1441">
      <c r="A1441" s="4" t="n"/>
      <c r="B1441" s="4" t="n"/>
      <c r="C1441">
        <f>IF(A1441="","",SUMPRODUCT((المبيعات!$C$2:$C$2000=A1441)*(المبيعات!$B$2:$B$2000&lt;&gt;"")/COUNTIFS(المبيعات!$B$2:$B$2000,المبيعات!$B$2:$B$2000&amp;"",المبيعات!$C$2:$C$2000,المبيعات!$C$2:$C$2000&amp;"")))</f>
        <v/>
      </c>
      <c r="D1441">
        <f>IF(A1441="","",SUMIFS(المبيعات!$H$2:$H$2000,المبيعات!$C$2:$C$2000,A1441))</f>
        <v/>
      </c>
      <c r="E1441" s="13">
        <f>IF(A1441="","",IF(COUNTIF(المبيعات!$C$2:$C$2000,A1441)=0,"",_xlfn.MAXIFS(المبيعات!$A$2:$A$2000,المبيعات!$C$2:$C$2000,A1441)))</f>
        <v/>
      </c>
      <c r="F1441">
        <f>IF(A1441="","",SUMIFS(المبيعات!$H$2:$H$2000,المبيعات!$C$2:$C$2000,A1441,المبيعات!$J$2:$J$2000,"آجل"))</f>
        <v/>
      </c>
      <c r="G1441" s="4" t="n"/>
      <c r="H1441">
        <f>IF(A1441="","",F1441-G1441)</f>
        <v/>
      </c>
    </row>
    <row r="1442">
      <c r="A1442" s="4" t="n"/>
      <c r="B1442" s="4" t="n"/>
      <c r="C1442">
        <f>IF(A1442="","",SUMPRODUCT((المبيعات!$C$2:$C$2000=A1442)*(المبيعات!$B$2:$B$2000&lt;&gt;"")/COUNTIFS(المبيعات!$B$2:$B$2000,المبيعات!$B$2:$B$2000&amp;"",المبيعات!$C$2:$C$2000,المبيعات!$C$2:$C$2000&amp;"")))</f>
        <v/>
      </c>
      <c r="D1442">
        <f>IF(A1442="","",SUMIFS(المبيعات!$H$2:$H$2000,المبيعات!$C$2:$C$2000,A1442))</f>
        <v/>
      </c>
      <c r="E1442" s="13">
        <f>IF(A1442="","",IF(COUNTIF(المبيعات!$C$2:$C$2000,A1442)=0,"",_xlfn.MAXIFS(المبيعات!$A$2:$A$2000,المبيعات!$C$2:$C$2000,A1442)))</f>
        <v/>
      </c>
      <c r="F1442">
        <f>IF(A1442="","",SUMIFS(المبيعات!$H$2:$H$2000,المبيعات!$C$2:$C$2000,A1442,المبيعات!$J$2:$J$2000,"آجل"))</f>
        <v/>
      </c>
      <c r="G1442" s="4" t="n"/>
      <c r="H1442">
        <f>IF(A1442="","",F1442-G1442)</f>
        <v/>
      </c>
    </row>
    <row r="1443">
      <c r="A1443" s="4" t="n"/>
      <c r="B1443" s="4" t="n"/>
      <c r="C1443">
        <f>IF(A1443="","",SUMPRODUCT((المبيعات!$C$2:$C$2000=A1443)*(المبيعات!$B$2:$B$2000&lt;&gt;"")/COUNTIFS(المبيعات!$B$2:$B$2000,المبيعات!$B$2:$B$2000&amp;"",المبيعات!$C$2:$C$2000,المبيعات!$C$2:$C$2000&amp;"")))</f>
        <v/>
      </c>
      <c r="D1443">
        <f>IF(A1443="","",SUMIFS(المبيعات!$H$2:$H$2000,المبيعات!$C$2:$C$2000,A1443))</f>
        <v/>
      </c>
      <c r="E1443" s="13">
        <f>IF(A1443="","",IF(COUNTIF(المبيعات!$C$2:$C$2000,A1443)=0,"",_xlfn.MAXIFS(المبيعات!$A$2:$A$2000,المبيعات!$C$2:$C$2000,A1443)))</f>
        <v/>
      </c>
      <c r="F1443">
        <f>IF(A1443="","",SUMIFS(المبيعات!$H$2:$H$2000,المبيعات!$C$2:$C$2000,A1443,المبيعات!$J$2:$J$2000,"آجل"))</f>
        <v/>
      </c>
      <c r="G1443" s="4" t="n"/>
      <c r="H1443">
        <f>IF(A1443="","",F1443-G1443)</f>
        <v/>
      </c>
    </row>
    <row r="1444">
      <c r="A1444" s="4" t="n"/>
      <c r="B1444" s="4" t="n"/>
      <c r="C1444">
        <f>IF(A1444="","",SUMPRODUCT((المبيعات!$C$2:$C$2000=A1444)*(المبيعات!$B$2:$B$2000&lt;&gt;"")/COUNTIFS(المبيعات!$B$2:$B$2000,المبيعات!$B$2:$B$2000&amp;"",المبيعات!$C$2:$C$2000,المبيعات!$C$2:$C$2000&amp;"")))</f>
        <v/>
      </c>
      <c r="D1444">
        <f>IF(A1444="","",SUMIFS(المبيعات!$H$2:$H$2000,المبيعات!$C$2:$C$2000,A1444))</f>
        <v/>
      </c>
      <c r="E1444" s="13">
        <f>IF(A1444="","",IF(COUNTIF(المبيعات!$C$2:$C$2000,A1444)=0,"",_xlfn.MAXIFS(المبيعات!$A$2:$A$2000,المبيعات!$C$2:$C$2000,A1444)))</f>
        <v/>
      </c>
      <c r="F1444">
        <f>IF(A1444="","",SUMIFS(المبيعات!$H$2:$H$2000,المبيعات!$C$2:$C$2000,A1444,المبيعات!$J$2:$J$2000,"آجل"))</f>
        <v/>
      </c>
      <c r="G1444" s="4" t="n"/>
      <c r="H1444">
        <f>IF(A1444="","",F1444-G1444)</f>
        <v/>
      </c>
    </row>
    <row r="1445">
      <c r="A1445" s="4" t="n"/>
      <c r="B1445" s="4" t="n"/>
      <c r="C1445">
        <f>IF(A1445="","",SUMPRODUCT((المبيعات!$C$2:$C$2000=A1445)*(المبيعات!$B$2:$B$2000&lt;&gt;"")/COUNTIFS(المبيعات!$B$2:$B$2000,المبيعات!$B$2:$B$2000&amp;"",المبيعات!$C$2:$C$2000,المبيعات!$C$2:$C$2000&amp;"")))</f>
        <v/>
      </c>
      <c r="D1445">
        <f>IF(A1445="","",SUMIFS(المبيعات!$H$2:$H$2000,المبيعات!$C$2:$C$2000,A1445))</f>
        <v/>
      </c>
      <c r="E1445" s="13">
        <f>IF(A1445="","",IF(COUNTIF(المبيعات!$C$2:$C$2000,A1445)=0,"",_xlfn.MAXIFS(المبيعات!$A$2:$A$2000,المبيعات!$C$2:$C$2000,A1445)))</f>
        <v/>
      </c>
      <c r="F1445">
        <f>IF(A1445="","",SUMIFS(المبيعات!$H$2:$H$2000,المبيعات!$C$2:$C$2000,A1445,المبيعات!$J$2:$J$2000,"آجل"))</f>
        <v/>
      </c>
      <c r="G1445" s="4" t="n"/>
      <c r="H1445">
        <f>IF(A1445="","",F1445-G1445)</f>
        <v/>
      </c>
    </row>
    <row r="1446">
      <c r="A1446" s="4" t="n"/>
      <c r="B1446" s="4" t="n"/>
      <c r="C1446">
        <f>IF(A1446="","",SUMPRODUCT((المبيعات!$C$2:$C$2000=A1446)*(المبيعات!$B$2:$B$2000&lt;&gt;"")/COUNTIFS(المبيعات!$B$2:$B$2000,المبيعات!$B$2:$B$2000&amp;"",المبيعات!$C$2:$C$2000,المبيعات!$C$2:$C$2000&amp;"")))</f>
        <v/>
      </c>
      <c r="D1446">
        <f>IF(A1446="","",SUMIFS(المبيعات!$H$2:$H$2000,المبيعات!$C$2:$C$2000,A1446))</f>
        <v/>
      </c>
      <c r="E1446" s="13">
        <f>IF(A1446="","",IF(COUNTIF(المبيعات!$C$2:$C$2000,A1446)=0,"",_xlfn.MAXIFS(المبيعات!$A$2:$A$2000,المبيعات!$C$2:$C$2000,A1446)))</f>
        <v/>
      </c>
      <c r="F1446">
        <f>IF(A1446="","",SUMIFS(المبيعات!$H$2:$H$2000,المبيعات!$C$2:$C$2000,A1446,المبيعات!$J$2:$J$2000,"آجل"))</f>
        <v/>
      </c>
      <c r="G1446" s="4" t="n"/>
      <c r="H1446">
        <f>IF(A1446="","",F1446-G1446)</f>
        <v/>
      </c>
    </row>
    <row r="1447">
      <c r="A1447" s="4" t="n"/>
      <c r="B1447" s="4" t="n"/>
      <c r="C1447">
        <f>IF(A1447="","",SUMPRODUCT((المبيعات!$C$2:$C$2000=A1447)*(المبيعات!$B$2:$B$2000&lt;&gt;"")/COUNTIFS(المبيعات!$B$2:$B$2000,المبيعات!$B$2:$B$2000&amp;"",المبيعات!$C$2:$C$2000,المبيعات!$C$2:$C$2000&amp;"")))</f>
        <v/>
      </c>
      <c r="D1447">
        <f>IF(A1447="","",SUMIFS(المبيعات!$H$2:$H$2000,المبيعات!$C$2:$C$2000,A1447))</f>
        <v/>
      </c>
      <c r="E1447" s="13">
        <f>IF(A1447="","",IF(COUNTIF(المبيعات!$C$2:$C$2000,A1447)=0,"",_xlfn.MAXIFS(المبيعات!$A$2:$A$2000,المبيعات!$C$2:$C$2000,A1447)))</f>
        <v/>
      </c>
      <c r="F1447">
        <f>IF(A1447="","",SUMIFS(المبيعات!$H$2:$H$2000,المبيعات!$C$2:$C$2000,A1447,المبيعات!$J$2:$J$2000,"آجل"))</f>
        <v/>
      </c>
      <c r="G1447" s="4" t="n"/>
      <c r="H1447">
        <f>IF(A1447="","",F1447-G1447)</f>
        <v/>
      </c>
    </row>
    <row r="1448">
      <c r="A1448" s="4" t="n"/>
      <c r="B1448" s="4" t="n"/>
      <c r="C1448">
        <f>IF(A1448="","",SUMPRODUCT((المبيعات!$C$2:$C$2000=A1448)*(المبيعات!$B$2:$B$2000&lt;&gt;"")/COUNTIFS(المبيعات!$B$2:$B$2000,المبيعات!$B$2:$B$2000&amp;"",المبيعات!$C$2:$C$2000,المبيعات!$C$2:$C$2000&amp;"")))</f>
        <v/>
      </c>
      <c r="D1448">
        <f>IF(A1448="","",SUMIFS(المبيعات!$H$2:$H$2000,المبيعات!$C$2:$C$2000,A1448))</f>
        <v/>
      </c>
      <c r="E1448" s="13">
        <f>IF(A1448="","",IF(COUNTIF(المبيعات!$C$2:$C$2000,A1448)=0,"",_xlfn.MAXIFS(المبيعات!$A$2:$A$2000,المبيعات!$C$2:$C$2000,A1448)))</f>
        <v/>
      </c>
      <c r="F1448">
        <f>IF(A1448="","",SUMIFS(المبيعات!$H$2:$H$2000,المبيعات!$C$2:$C$2000,A1448,المبيعات!$J$2:$J$2000,"آجل"))</f>
        <v/>
      </c>
      <c r="G1448" s="4" t="n"/>
      <c r="H1448">
        <f>IF(A1448="","",F1448-G1448)</f>
        <v/>
      </c>
    </row>
    <row r="1449">
      <c r="A1449" s="4" t="n"/>
      <c r="B1449" s="4" t="n"/>
      <c r="C1449">
        <f>IF(A1449="","",SUMPRODUCT((المبيعات!$C$2:$C$2000=A1449)*(المبيعات!$B$2:$B$2000&lt;&gt;"")/COUNTIFS(المبيعات!$B$2:$B$2000,المبيعات!$B$2:$B$2000&amp;"",المبيعات!$C$2:$C$2000,المبيعات!$C$2:$C$2000&amp;"")))</f>
        <v/>
      </c>
      <c r="D1449">
        <f>IF(A1449="","",SUMIFS(المبيعات!$H$2:$H$2000,المبيعات!$C$2:$C$2000,A1449))</f>
        <v/>
      </c>
      <c r="E1449" s="13">
        <f>IF(A1449="","",IF(COUNTIF(المبيعات!$C$2:$C$2000,A1449)=0,"",_xlfn.MAXIFS(المبيعات!$A$2:$A$2000,المبيعات!$C$2:$C$2000,A1449)))</f>
        <v/>
      </c>
      <c r="F1449">
        <f>IF(A1449="","",SUMIFS(المبيعات!$H$2:$H$2000,المبيعات!$C$2:$C$2000,A1449,المبيعات!$J$2:$J$2000,"آجل"))</f>
        <v/>
      </c>
      <c r="G1449" s="4" t="n"/>
      <c r="H1449">
        <f>IF(A1449="","",F1449-G1449)</f>
        <v/>
      </c>
    </row>
    <row r="1450">
      <c r="A1450" s="4" t="n"/>
      <c r="B1450" s="4" t="n"/>
      <c r="C1450">
        <f>IF(A1450="","",SUMPRODUCT((المبيعات!$C$2:$C$2000=A1450)*(المبيعات!$B$2:$B$2000&lt;&gt;"")/COUNTIFS(المبيعات!$B$2:$B$2000,المبيعات!$B$2:$B$2000&amp;"",المبيعات!$C$2:$C$2000,المبيعات!$C$2:$C$2000&amp;"")))</f>
        <v/>
      </c>
      <c r="D1450">
        <f>IF(A1450="","",SUMIFS(المبيعات!$H$2:$H$2000,المبيعات!$C$2:$C$2000,A1450))</f>
        <v/>
      </c>
      <c r="E1450" s="13">
        <f>IF(A1450="","",IF(COUNTIF(المبيعات!$C$2:$C$2000,A1450)=0,"",_xlfn.MAXIFS(المبيعات!$A$2:$A$2000,المبيعات!$C$2:$C$2000,A1450)))</f>
        <v/>
      </c>
      <c r="F1450">
        <f>IF(A1450="","",SUMIFS(المبيعات!$H$2:$H$2000,المبيعات!$C$2:$C$2000,A1450,المبيعات!$J$2:$J$2000,"آجل"))</f>
        <v/>
      </c>
      <c r="G1450" s="4" t="n"/>
      <c r="H1450">
        <f>IF(A1450="","",F1450-G1450)</f>
        <v/>
      </c>
    </row>
    <row r="1451">
      <c r="A1451" s="4" t="n"/>
      <c r="B1451" s="4" t="n"/>
      <c r="C1451">
        <f>IF(A1451="","",SUMPRODUCT((المبيعات!$C$2:$C$2000=A1451)*(المبيعات!$B$2:$B$2000&lt;&gt;"")/COUNTIFS(المبيعات!$B$2:$B$2000,المبيعات!$B$2:$B$2000&amp;"",المبيعات!$C$2:$C$2000,المبيعات!$C$2:$C$2000&amp;"")))</f>
        <v/>
      </c>
      <c r="D1451">
        <f>IF(A1451="","",SUMIFS(المبيعات!$H$2:$H$2000,المبيعات!$C$2:$C$2000,A1451))</f>
        <v/>
      </c>
      <c r="E1451" s="13">
        <f>IF(A1451="","",IF(COUNTIF(المبيعات!$C$2:$C$2000,A1451)=0,"",_xlfn.MAXIFS(المبيعات!$A$2:$A$2000,المبيعات!$C$2:$C$2000,A1451)))</f>
        <v/>
      </c>
      <c r="F1451">
        <f>IF(A1451="","",SUMIFS(المبيعات!$H$2:$H$2000,المبيعات!$C$2:$C$2000,A1451,المبيعات!$J$2:$J$2000,"آجل"))</f>
        <v/>
      </c>
      <c r="G1451" s="4" t="n"/>
      <c r="H1451">
        <f>IF(A1451="","",F1451-G1451)</f>
        <v/>
      </c>
    </row>
    <row r="1452">
      <c r="A1452" s="4" t="n"/>
      <c r="B1452" s="4" t="n"/>
      <c r="C1452">
        <f>IF(A1452="","",SUMPRODUCT((المبيعات!$C$2:$C$2000=A1452)*(المبيعات!$B$2:$B$2000&lt;&gt;"")/COUNTIFS(المبيعات!$B$2:$B$2000,المبيعات!$B$2:$B$2000&amp;"",المبيعات!$C$2:$C$2000,المبيعات!$C$2:$C$2000&amp;"")))</f>
        <v/>
      </c>
      <c r="D1452">
        <f>IF(A1452="","",SUMIFS(المبيعات!$H$2:$H$2000,المبيعات!$C$2:$C$2000,A1452))</f>
        <v/>
      </c>
      <c r="E1452" s="13">
        <f>IF(A1452="","",IF(COUNTIF(المبيعات!$C$2:$C$2000,A1452)=0,"",_xlfn.MAXIFS(المبيعات!$A$2:$A$2000,المبيعات!$C$2:$C$2000,A1452)))</f>
        <v/>
      </c>
      <c r="F1452">
        <f>IF(A1452="","",SUMIFS(المبيعات!$H$2:$H$2000,المبيعات!$C$2:$C$2000,A1452,المبيعات!$J$2:$J$2000,"آجل"))</f>
        <v/>
      </c>
      <c r="G1452" s="4" t="n"/>
      <c r="H1452">
        <f>IF(A1452="","",F1452-G1452)</f>
        <v/>
      </c>
    </row>
    <row r="1453">
      <c r="A1453" s="4" t="n"/>
      <c r="B1453" s="4" t="n"/>
      <c r="C1453">
        <f>IF(A1453="","",SUMPRODUCT((المبيعات!$C$2:$C$2000=A1453)*(المبيعات!$B$2:$B$2000&lt;&gt;"")/COUNTIFS(المبيعات!$B$2:$B$2000,المبيعات!$B$2:$B$2000&amp;"",المبيعات!$C$2:$C$2000,المبيعات!$C$2:$C$2000&amp;"")))</f>
        <v/>
      </c>
      <c r="D1453">
        <f>IF(A1453="","",SUMIFS(المبيعات!$H$2:$H$2000,المبيعات!$C$2:$C$2000,A1453))</f>
        <v/>
      </c>
      <c r="E1453" s="13">
        <f>IF(A1453="","",IF(COUNTIF(المبيعات!$C$2:$C$2000,A1453)=0,"",_xlfn.MAXIFS(المبيعات!$A$2:$A$2000,المبيعات!$C$2:$C$2000,A1453)))</f>
        <v/>
      </c>
      <c r="F1453">
        <f>IF(A1453="","",SUMIFS(المبيعات!$H$2:$H$2000,المبيعات!$C$2:$C$2000,A1453,المبيعات!$J$2:$J$2000,"آجل"))</f>
        <v/>
      </c>
      <c r="G1453" s="4" t="n"/>
      <c r="H1453">
        <f>IF(A1453="","",F1453-G1453)</f>
        <v/>
      </c>
    </row>
    <row r="1454">
      <c r="A1454" s="4" t="n"/>
      <c r="B1454" s="4" t="n"/>
      <c r="C1454">
        <f>IF(A1454="","",SUMPRODUCT((المبيعات!$C$2:$C$2000=A1454)*(المبيعات!$B$2:$B$2000&lt;&gt;"")/COUNTIFS(المبيعات!$B$2:$B$2000,المبيعات!$B$2:$B$2000&amp;"",المبيعات!$C$2:$C$2000,المبيعات!$C$2:$C$2000&amp;"")))</f>
        <v/>
      </c>
      <c r="D1454">
        <f>IF(A1454="","",SUMIFS(المبيعات!$H$2:$H$2000,المبيعات!$C$2:$C$2000,A1454))</f>
        <v/>
      </c>
      <c r="E1454" s="13">
        <f>IF(A1454="","",IF(COUNTIF(المبيعات!$C$2:$C$2000,A1454)=0,"",_xlfn.MAXIFS(المبيعات!$A$2:$A$2000,المبيعات!$C$2:$C$2000,A1454)))</f>
        <v/>
      </c>
      <c r="F1454">
        <f>IF(A1454="","",SUMIFS(المبيعات!$H$2:$H$2000,المبيعات!$C$2:$C$2000,A1454,المبيعات!$J$2:$J$2000,"آجل"))</f>
        <v/>
      </c>
      <c r="G1454" s="4" t="n"/>
      <c r="H1454">
        <f>IF(A1454="","",F1454-G1454)</f>
        <v/>
      </c>
    </row>
    <row r="1455">
      <c r="A1455" s="4" t="n"/>
      <c r="B1455" s="4" t="n"/>
      <c r="C1455">
        <f>IF(A1455="","",SUMPRODUCT((المبيعات!$C$2:$C$2000=A1455)*(المبيعات!$B$2:$B$2000&lt;&gt;"")/COUNTIFS(المبيعات!$B$2:$B$2000,المبيعات!$B$2:$B$2000&amp;"",المبيعات!$C$2:$C$2000,المبيعات!$C$2:$C$2000&amp;"")))</f>
        <v/>
      </c>
      <c r="D1455">
        <f>IF(A1455="","",SUMIFS(المبيعات!$H$2:$H$2000,المبيعات!$C$2:$C$2000,A1455))</f>
        <v/>
      </c>
      <c r="E1455" s="13">
        <f>IF(A1455="","",IF(COUNTIF(المبيعات!$C$2:$C$2000,A1455)=0,"",_xlfn.MAXIFS(المبيعات!$A$2:$A$2000,المبيعات!$C$2:$C$2000,A1455)))</f>
        <v/>
      </c>
      <c r="F1455">
        <f>IF(A1455="","",SUMIFS(المبيعات!$H$2:$H$2000,المبيعات!$C$2:$C$2000,A1455,المبيعات!$J$2:$J$2000,"آجل"))</f>
        <v/>
      </c>
      <c r="G1455" s="4" t="n"/>
      <c r="H1455">
        <f>IF(A1455="","",F1455-G1455)</f>
        <v/>
      </c>
    </row>
    <row r="1456">
      <c r="A1456" s="4" t="n"/>
      <c r="B1456" s="4" t="n"/>
      <c r="C1456">
        <f>IF(A1456="","",SUMPRODUCT((المبيعات!$C$2:$C$2000=A1456)*(المبيعات!$B$2:$B$2000&lt;&gt;"")/COUNTIFS(المبيعات!$B$2:$B$2000,المبيعات!$B$2:$B$2000&amp;"",المبيعات!$C$2:$C$2000,المبيعات!$C$2:$C$2000&amp;"")))</f>
        <v/>
      </c>
      <c r="D1456">
        <f>IF(A1456="","",SUMIFS(المبيعات!$H$2:$H$2000,المبيعات!$C$2:$C$2000,A1456))</f>
        <v/>
      </c>
      <c r="E1456" s="13">
        <f>IF(A1456="","",IF(COUNTIF(المبيعات!$C$2:$C$2000,A1456)=0,"",_xlfn.MAXIFS(المبيعات!$A$2:$A$2000,المبيعات!$C$2:$C$2000,A1456)))</f>
        <v/>
      </c>
      <c r="F1456">
        <f>IF(A1456="","",SUMIFS(المبيعات!$H$2:$H$2000,المبيعات!$C$2:$C$2000,A1456,المبيعات!$J$2:$J$2000,"آجل"))</f>
        <v/>
      </c>
      <c r="G1456" s="4" t="n"/>
      <c r="H1456">
        <f>IF(A1456="","",F1456-G1456)</f>
        <v/>
      </c>
    </row>
    <row r="1457">
      <c r="A1457" s="4" t="n"/>
      <c r="B1457" s="4" t="n"/>
      <c r="C1457">
        <f>IF(A1457="","",SUMPRODUCT((المبيعات!$C$2:$C$2000=A1457)*(المبيعات!$B$2:$B$2000&lt;&gt;"")/COUNTIFS(المبيعات!$B$2:$B$2000,المبيعات!$B$2:$B$2000&amp;"",المبيعات!$C$2:$C$2000,المبيعات!$C$2:$C$2000&amp;"")))</f>
        <v/>
      </c>
      <c r="D1457">
        <f>IF(A1457="","",SUMIFS(المبيعات!$H$2:$H$2000,المبيعات!$C$2:$C$2000,A1457))</f>
        <v/>
      </c>
      <c r="E1457" s="13">
        <f>IF(A1457="","",IF(COUNTIF(المبيعات!$C$2:$C$2000,A1457)=0,"",_xlfn.MAXIFS(المبيعات!$A$2:$A$2000,المبيعات!$C$2:$C$2000,A1457)))</f>
        <v/>
      </c>
      <c r="F1457">
        <f>IF(A1457="","",SUMIFS(المبيعات!$H$2:$H$2000,المبيعات!$C$2:$C$2000,A1457,المبيعات!$J$2:$J$2000,"آجل"))</f>
        <v/>
      </c>
      <c r="G1457" s="4" t="n"/>
      <c r="H1457">
        <f>IF(A1457="","",F1457-G1457)</f>
        <v/>
      </c>
    </row>
    <row r="1458">
      <c r="A1458" s="4" t="n"/>
      <c r="B1458" s="4" t="n"/>
      <c r="C1458">
        <f>IF(A1458="","",SUMPRODUCT((المبيعات!$C$2:$C$2000=A1458)*(المبيعات!$B$2:$B$2000&lt;&gt;"")/COUNTIFS(المبيعات!$B$2:$B$2000,المبيعات!$B$2:$B$2000&amp;"",المبيعات!$C$2:$C$2000,المبيعات!$C$2:$C$2000&amp;"")))</f>
        <v/>
      </c>
      <c r="D1458">
        <f>IF(A1458="","",SUMIFS(المبيعات!$H$2:$H$2000,المبيعات!$C$2:$C$2000,A1458))</f>
        <v/>
      </c>
      <c r="E1458" s="13">
        <f>IF(A1458="","",IF(COUNTIF(المبيعات!$C$2:$C$2000,A1458)=0,"",_xlfn.MAXIFS(المبيعات!$A$2:$A$2000,المبيعات!$C$2:$C$2000,A1458)))</f>
        <v/>
      </c>
      <c r="F1458">
        <f>IF(A1458="","",SUMIFS(المبيعات!$H$2:$H$2000,المبيعات!$C$2:$C$2000,A1458,المبيعات!$J$2:$J$2000,"آجل"))</f>
        <v/>
      </c>
      <c r="G1458" s="4" t="n"/>
      <c r="H1458">
        <f>IF(A1458="","",F1458-G1458)</f>
        <v/>
      </c>
    </row>
    <row r="1459">
      <c r="A1459" s="4" t="n"/>
      <c r="B1459" s="4" t="n"/>
      <c r="C1459">
        <f>IF(A1459="","",SUMPRODUCT((المبيعات!$C$2:$C$2000=A1459)*(المبيعات!$B$2:$B$2000&lt;&gt;"")/COUNTIFS(المبيعات!$B$2:$B$2000,المبيعات!$B$2:$B$2000&amp;"",المبيعات!$C$2:$C$2000,المبيعات!$C$2:$C$2000&amp;"")))</f>
        <v/>
      </c>
      <c r="D1459">
        <f>IF(A1459="","",SUMIFS(المبيعات!$H$2:$H$2000,المبيعات!$C$2:$C$2000,A1459))</f>
        <v/>
      </c>
      <c r="E1459" s="13">
        <f>IF(A1459="","",IF(COUNTIF(المبيعات!$C$2:$C$2000,A1459)=0,"",_xlfn.MAXIFS(المبيعات!$A$2:$A$2000,المبيعات!$C$2:$C$2000,A1459)))</f>
        <v/>
      </c>
      <c r="F1459">
        <f>IF(A1459="","",SUMIFS(المبيعات!$H$2:$H$2000,المبيعات!$C$2:$C$2000,A1459,المبيعات!$J$2:$J$2000,"آجل"))</f>
        <v/>
      </c>
      <c r="G1459" s="4" t="n"/>
      <c r="H1459">
        <f>IF(A1459="","",F1459-G1459)</f>
        <v/>
      </c>
    </row>
    <row r="1460">
      <c r="A1460" s="4" t="n"/>
      <c r="B1460" s="4" t="n"/>
      <c r="C1460">
        <f>IF(A1460="","",SUMPRODUCT((المبيعات!$C$2:$C$2000=A1460)*(المبيعات!$B$2:$B$2000&lt;&gt;"")/COUNTIFS(المبيعات!$B$2:$B$2000,المبيعات!$B$2:$B$2000&amp;"",المبيعات!$C$2:$C$2000,المبيعات!$C$2:$C$2000&amp;"")))</f>
        <v/>
      </c>
      <c r="D1460">
        <f>IF(A1460="","",SUMIFS(المبيعات!$H$2:$H$2000,المبيعات!$C$2:$C$2000,A1460))</f>
        <v/>
      </c>
      <c r="E1460" s="13">
        <f>IF(A1460="","",IF(COUNTIF(المبيعات!$C$2:$C$2000,A1460)=0,"",_xlfn.MAXIFS(المبيعات!$A$2:$A$2000,المبيعات!$C$2:$C$2000,A1460)))</f>
        <v/>
      </c>
      <c r="F1460">
        <f>IF(A1460="","",SUMIFS(المبيعات!$H$2:$H$2000,المبيعات!$C$2:$C$2000,A1460,المبيعات!$J$2:$J$2000,"آجل"))</f>
        <v/>
      </c>
      <c r="G1460" s="4" t="n"/>
      <c r="H1460">
        <f>IF(A1460="","",F1460-G1460)</f>
        <v/>
      </c>
    </row>
    <row r="1461">
      <c r="A1461" s="4" t="n"/>
      <c r="B1461" s="4" t="n"/>
      <c r="C1461">
        <f>IF(A1461="","",SUMPRODUCT((المبيعات!$C$2:$C$2000=A1461)*(المبيعات!$B$2:$B$2000&lt;&gt;"")/COUNTIFS(المبيعات!$B$2:$B$2000,المبيعات!$B$2:$B$2000&amp;"",المبيعات!$C$2:$C$2000,المبيعات!$C$2:$C$2000&amp;"")))</f>
        <v/>
      </c>
      <c r="D1461">
        <f>IF(A1461="","",SUMIFS(المبيعات!$H$2:$H$2000,المبيعات!$C$2:$C$2000,A1461))</f>
        <v/>
      </c>
      <c r="E1461" s="13">
        <f>IF(A1461="","",IF(COUNTIF(المبيعات!$C$2:$C$2000,A1461)=0,"",_xlfn.MAXIFS(المبيعات!$A$2:$A$2000,المبيعات!$C$2:$C$2000,A1461)))</f>
        <v/>
      </c>
      <c r="F1461">
        <f>IF(A1461="","",SUMIFS(المبيعات!$H$2:$H$2000,المبيعات!$C$2:$C$2000,A1461,المبيعات!$J$2:$J$2000,"آجل"))</f>
        <v/>
      </c>
      <c r="G1461" s="4" t="n"/>
      <c r="H1461">
        <f>IF(A1461="","",F1461-G1461)</f>
        <v/>
      </c>
    </row>
    <row r="1462">
      <c r="A1462" s="4" t="n"/>
      <c r="B1462" s="4" t="n"/>
      <c r="C1462">
        <f>IF(A1462="","",SUMPRODUCT((المبيعات!$C$2:$C$2000=A1462)*(المبيعات!$B$2:$B$2000&lt;&gt;"")/COUNTIFS(المبيعات!$B$2:$B$2000,المبيعات!$B$2:$B$2000&amp;"",المبيعات!$C$2:$C$2000,المبيعات!$C$2:$C$2000&amp;"")))</f>
        <v/>
      </c>
      <c r="D1462">
        <f>IF(A1462="","",SUMIFS(المبيعات!$H$2:$H$2000,المبيعات!$C$2:$C$2000,A1462))</f>
        <v/>
      </c>
      <c r="E1462" s="13">
        <f>IF(A1462="","",IF(COUNTIF(المبيعات!$C$2:$C$2000,A1462)=0,"",_xlfn.MAXIFS(المبيعات!$A$2:$A$2000,المبيعات!$C$2:$C$2000,A1462)))</f>
        <v/>
      </c>
      <c r="F1462">
        <f>IF(A1462="","",SUMIFS(المبيعات!$H$2:$H$2000,المبيعات!$C$2:$C$2000,A1462,المبيعات!$J$2:$J$2000,"آجل"))</f>
        <v/>
      </c>
      <c r="G1462" s="4" t="n"/>
      <c r="H1462">
        <f>IF(A1462="","",F1462-G1462)</f>
        <v/>
      </c>
    </row>
    <row r="1463">
      <c r="A1463" s="4" t="n"/>
      <c r="B1463" s="4" t="n"/>
      <c r="C1463">
        <f>IF(A1463="","",SUMPRODUCT((المبيعات!$C$2:$C$2000=A1463)*(المبيعات!$B$2:$B$2000&lt;&gt;"")/COUNTIFS(المبيعات!$B$2:$B$2000,المبيعات!$B$2:$B$2000&amp;"",المبيعات!$C$2:$C$2000,المبيعات!$C$2:$C$2000&amp;"")))</f>
        <v/>
      </c>
      <c r="D1463">
        <f>IF(A1463="","",SUMIFS(المبيعات!$H$2:$H$2000,المبيعات!$C$2:$C$2000,A1463))</f>
        <v/>
      </c>
      <c r="E1463" s="13">
        <f>IF(A1463="","",IF(COUNTIF(المبيعات!$C$2:$C$2000,A1463)=0,"",_xlfn.MAXIFS(المبيعات!$A$2:$A$2000,المبيعات!$C$2:$C$2000,A1463)))</f>
        <v/>
      </c>
      <c r="F1463">
        <f>IF(A1463="","",SUMIFS(المبيعات!$H$2:$H$2000,المبيعات!$C$2:$C$2000,A1463,المبيعات!$J$2:$J$2000,"آجل"))</f>
        <v/>
      </c>
      <c r="G1463" s="4" t="n"/>
      <c r="H1463">
        <f>IF(A1463="","",F1463-G1463)</f>
        <v/>
      </c>
    </row>
    <row r="1464">
      <c r="A1464" s="4" t="n"/>
      <c r="B1464" s="4" t="n"/>
      <c r="C1464">
        <f>IF(A1464="","",SUMPRODUCT((المبيعات!$C$2:$C$2000=A1464)*(المبيعات!$B$2:$B$2000&lt;&gt;"")/COUNTIFS(المبيعات!$B$2:$B$2000,المبيعات!$B$2:$B$2000&amp;"",المبيعات!$C$2:$C$2000,المبيعات!$C$2:$C$2000&amp;"")))</f>
        <v/>
      </c>
      <c r="D1464">
        <f>IF(A1464="","",SUMIFS(المبيعات!$H$2:$H$2000,المبيعات!$C$2:$C$2000,A1464))</f>
        <v/>
      </c>
      <c r="E1464" s="13">
        <f>IF(A1464="","",IF(COUNTIF(المبيعات!$C$2:$C$2000,A1464)=0,"",_xlfn.MAXIFS(المبيعات!$A$2:$A$2000,المبيعات!$C$2:$C$2000,A1464)))</f>
        <v/>
      </c>
      <c r="F1464">
        <f>IF(A1464="","",SUMIFS(المبيعات!$H$2:$H$2000,المبيعات!$C$2:$C$2000,A1464,المبيعات!$J$2:$J$2000,"آجل"))</f>
        <v/>
      </c>
      <c r="G1464" s="4" t="n"/>
      <c r="H1464">
        <f>IF(A1464="","",F1464-G1464)</f>
        <v/>
      </c>
    </row>
    <row r="1465">
      <c r="A1465" s="4" t="n"/>
      <c r="B1465" s="4" t="n"/>
      <c r="C1465">
        <f>IF(A1465="","",SUMPRODUCT((المبيعات!$C$2:$C$2000=A1465)*(المبيعات!$B$2:$B$2000&lt;&gt;"")/COUNTIFS(المبيعات!$B$2:$B$2000,المبيعات!$B$2:$B$2000&amp;"",المبيعات!$C$2:$C$2000,المبيعات!$C$2:$C$2000&amp;"")))</f>
        <v/>
      </c>
      <c r="D1465">
        <f>IF(A1465="","",SUMIFS(المبيعات!$H$2:$H$2000,المبيعات!$C$2:$C$2000,A1465))</f>
        <v/>
      </c>
      <c r="E1465" s="13">
        <f>IF(A1465="","",IF(COUNTIF(المبيعات!$C$2:$C$2000,A1465)=0,"",_xlfn.MAXIFS(المبيعات!$A$2:$A$2000,المبيعات!$C$2:$C$2000,A1465)))</f>
        <v/>
      </c>
      <c r="F1465">
        <f>IF(A1465="","",SUMIFS(المبيعات!$H$2:$H$2000,المبيعات!$C$2:$C$2000,A1465,المبيعات!$J$2:$J$2000,"آجل"))</f>
        <v/>
      </c>
      <c r="G1465" s="4" t="n"/>
      <c r="H1465">
        <f>IF(A1465="","",F1465-G1465)</f>
        <v/>
      </c>
    </row>
    <row r="1466">
      <c r="A1466" s="4" t="n"/>
      <c r="B1466" s="4" t="n"/>
      <c r="C1466">
        <f>IF(A1466="","",SUMPRODUCT((المبيعات!$C$2:$C$2000=A1466)*(المبيعات!$B$2:$B$2000&lt;&gt;"")/COUNTIFS(المبيعات!$B$2:$B$2000,المبيعات!$B$2:$B$2000&amp;"",المبيعات!$C$2:$C$2000,المبيعات!$C$2:$C$2000&amp;"")))</f>
        <v/>
      </c>
      <c r="D1466">
        <f>IF(A1466="","",SUMIFS(المبيعات!$H$2:$H$2000,المبيعات!$C$2:$C$2000,A1466))</f>
        <v/>
      </c>
      <c r="E1466" s="13">
        <f>IF(A1466="","",IF(COUNTIF(المبيعات!$C$2:$C$2000,A1466)=0,"",_xlfn.MAXIFS(المبيعات!$A$2:$A$2000,المبيعات!$C$2:$C$2000,A1466)))</f>
        <v/>
      </c>
      <c r="F1466">
        <f>IF(A1466="","",SUMIFS(المبيعات!$H$2:$H$2000,المبيعات!$C$2:$C$2000,A1466,المبيعات!$J$2:$J$2000,"آجل"))</f>
        <v/>
      </c>
      <c r="G1466" s="4" t="n"/>
      <c r="H1466">
        <f>IF(A1466="","",F1466-G1466)</f>
        <v/>
      </c>
    </row>
    <row r="1467">
      <c r="A1467" s="4" t="n"/>
      <c r="B1467" s="4" t="n"/>
      <c r="C1467">
        <f>IF(A1467="","",SUMPRODUCT((المبيعات!$C$2:$C$2000=A1467)*(المبيعات!$B$2:$B$2000&lt;&gt;"")/COUNTIFS(المبيعات!$B$2:$B$2000,المبيعات!$B$2:$B$2000&amp;"",المبيعات!$C$2:$C$2000,المبيعات!$C$2:$C$2000&amp;"")))</f>
        <v/>
      </c>
      <c r="D1467">
        <f>IF(A1467="","",SUMIFS(المبيعات!$H$2:$H$2000,المبيعات!$C$2:$C$2000,A1467))</f>
        <v/>
      </c>
      <c r="E1467" s="13">
        <f>IF(A1467="","",IF(COUNTIF(المبيعات!$C$2:$C$2000,A1467)=0,"",_xlfn.MAXIFS(المبيعات!$A$2:$A$2000,المبيعات!$C$2:$C$2000,A1467)))</f>
        <v/>
      </c>
      <c r="F1467">
        <f>IF(A1467="","",SUMIFS(المبيعات!$H$2:$H$2000,المبيعات!$C$2:$C$2000,A1467,المبيعات!$J$2:$J$2000,"آجل"))</f>
        <v/>
      </c>
      <c r="G1467" s="4" t="n"/>
      <c r="H1467">
        <f>IF(A1467="","",F1467-G1467)</f>
        <v/>
      </c>
    </row>
    <row r="1468">
      <c r="A1468" s="4" t="n"/>
      <c r="B1468" s="4" t="n"/>
      <c r="C1468">
        <f>IF(A1468="","",SUMPRODUCT((المبيعات!$C$2:$C$2000=A1468)*(المبيعات!$B$2:$B$2000&lt;&gt;"")/COUNTIFS(المبيعات!$B$2:$B$2000,المبيعات!$B$2:$B$2000&amp;"",المبيعات!$C$2:$C$2000,المبيعات!$C$2:$C$2000&amp;"")))</f>
        <v/>
      </c>
      <c r="D1468">
        <f>IF(A1468="","",SUMIFS(المبيعات!$H$2:$H$2000,المبيعات!$C$2:$C$2000,A1468))</f>
        <v/>
      </c>
      <c r="E1468" s="13">
        <f>IF(A1468="","",IF(COUNTIF(المبيعات!$C$2:$C$2000,A1468)=0,"",_xlfn.MAXIFS(المبيعات!$A$2:$A$2000,المبيعات!$C$2:$C$2000,A1468)))</f>
        <v/>
      </c>
      <c r="F1468">
        <f>IF(A1468="","",SUMIFS(المبيعات!$H$2:$H$2000,المبيعات!$C$2:$C$2000,A1468,المبيعات!$J$2:$J$2000,"آجل"))</f>
        <v/>
      </c>
      <c r="G1468" s="4" t="n"/>
      <c r="H1468">
        <f>IF(A1468="","",F1468-G1468)</f>
        <v/>
      </c>
    </row>
    <row r="1469">
      <c r="A1469" s="4" t="n"/>
      <c r="B1469" s="4" t="n"/>
      <c r="C1469">
        <f>IF(A1469="","",SUMPRODUCT((المبيعات!$C$2:$C$2000=A1469)*(المبيعات!$B$2:$B$2000&lt;&gt;"")/COUNTIFS(المبيعات!$B$2:$B$2000,المبيعات!$B$2:$B$2000&amp;"",المبيعات!$C$2:$C$2000,المبيعات!$C$2:$C$2000&amp;"")))</f>
        <v/>
      </c>
      <c r="D1469">
        <f>IF(A1469="","",SUMIFS(المبيعات!$H$2:$H$2000,المبيعات!$C$2:$C$2000,A1469))</f>
        <v/>
      </c>
      <c r="E1469" s="13">
        <f>IF(A1469="","",IF(COUNTIF(المبيعات!$C$2:$C$2000,A1469)=0,"",_xlfn.MAXIFS(المبيعات!$A$2:$A$2000,المبيعات!$C$2:$C$2000,A1469)))</f>
        <v/>
      </c>
      <c r="F1469">
        <f>IF(A1469="","",SUMIFS(المبيعات!$H$2:$H$2000,المبيعات!$C$2:$C$2000,A1469,المبيعات!$J$2:$J$2000,"آجل"))</f>
        <v/>
      </c>
      <c r="G1469" s="4" t="n"/>
      <c r="H1469">
        <f>IF(A1469="","",F1469-G1469)</f>
        <v/>
      </c>
    </row>
    <row r="1470">
      <c r="A1470" s="4" t="n"/>
      <c r="B1470" s="4" t="n"/>
      <c r="C1470">
        <f>IF(A1470="","",SUMPRODUCT((المبيعات!$C$2:$C$2000=A1470)*(المبيعات!$B$2:$B$2000&lt;&gt;"")/COUNTIFS(المبيعات!$B$2:$B$2000,المبيعات!$B$2:$B$2000&amp;"",المبيعات!$C$2:$C$2000,المبيعات!$C$2:$C$2000&amp;"")))</f>
        <v/>
      </c>
      <c r="D1470">
        <f>IF(A1470="","",SUMIFS(المبيعات!$H$2:$H$2000,المبيعات!$C$2:$C$2000,A1470))</f>
        <v/>
      </c>
      <c r="E1470" s="13">
        <f>IF(A1470="","",IF(COUNTIF(المبيعات!$C$2:$C$2000,A1470)=0,"",_xlfn.MAXIFS(المبيعات!$A$2:$A$2000,المبيعات!$C$2:$C$2000,A1470)))</f>
        <v/>
      </c>
      <c r="F1470">
        <f>IF(A1470="","",SUMIFS(المبيعات!$H$2:$H$2000,المبيعات!$C$2:$C$2000,A1470,المبيعات!$J$2:$J$2000,"آجل"))</f>
        <v/>
      </c>
      <c r="G1470" s="4" t="n"/>
      <c r="H1470">
        <f>IF(A1470="","",F1470-G1470)</f>
        <v/>
      </c>
    </row>
    <row r="1471">
      <c r="A1471" s="4" t="n"/>
      <c r="B1471" s="4" t="n"/>
      <c r="C1471">
        <f>IF(A1471="","",SUMPRODUCT((المبيعات!$C$2:$C$2000=A1471)*(المبيعات!$B$2:$B$2000&lt;&gt;"")/COUNTIFS(المبيعات!$B$2:$B$2000,المبيعات!$B$2:$B$2000&amp;"",المبيعات!$C$2:$C$2000,المبيعات!$C$2:$C$2000&amp;"")))</f>
        <v/>
      </c>
      <c r="D1471">
        <f>IF(A1471="","",SUMIFS(المبيعات!$H$2:$H$2000,المبيعات!$C$2:$C$2000,A1471))</f>
        <v/>
      </c>
      <c r="E1471" s="13">
        <f>IF(A1471="","",IF(COUNTIF(المبيعات!$C$2:$C$2000,A1471)=0,"",_xlfn.MAXIFS(المبيعات!$A$2:$A$2000,المبيعات!$C$2:$C$2000,A1471)))</f>
        <v/>
      </c>
      <c r="F1471">
        <f>IF(A1471="","",SUMIFS(المبيعات!$H$2:$H$2000,المبيعات!$C$2:$C$2000,A1471,المبيعات!$J$2:$J$2000,"آجل"))</f>
        <v/>
      </c>
      <c r="G1471" s="4" t="n"/>
      <c r="H1471">
        <f>IF(A1471="","",F1471-G1471)</f>
        <v/>
      </c>
    </row>
    <row r="1472">
      <c r="A1472" s="4" t="n"/>
      <c r="B1472" s="4" t="n"/>
      <c r="C1472">
        <f>IF(A1472="","",SUMPRODUCT((المبيعات!$C$2:$C$2000=A1472)*(المبيعات!$B$2:$B$2000&lt;&gt;"")/COUNTIFS(المبيعات!$B$2:$B$2000,المبيعات!$B$2:$B$2000&amp;"",المبيعات!$C$2:$C$2000,المبيعات!$C$2:$C$2000&amp;"")))</f>
        <v/>
      </c>
      <c r="D1472">
        <f>IF(A1472="","",SUMIFS(المبيعات!$H$2:$H$2000,المبيعات!$C$2:$C$2000,A1472))</f>
        <v/>
      </c>
      <c r="E1472" s="13">
        <f>IF(A1472="","",IF(COUNTIF(المبيعات!$C$2:$C$2000,A1472)=0,"",_xlfn.MAXIFS(المبيعات!$A$2:$A$2000,المبيعات!$C$2:$C$2000,A1472)))</f>
        <v/>
      </c>
      <c r="F1472">
        <f>IF(A1472="","",SUMIFS(المبيعات!$H$2:$H$2000,المبيعات!$C$2:$C$2000,A1472,المبيعات!$J$2:$J$2000,"آجل"))</f>
        <v/>
      </c>
      <c r="G1472" s="4" t="n"/>
      <c r="H1472">
        <f>IF(A1472="","",F1472-G1472)</f>
        <v/>
      </c>
    </row>
    <row r="1473">
      <c r="A1473" s="4" t="n"/>
      <c r="B1473" s="4" t="n"/>
      <c r="C1473">
        <f>IF(A1473="","",SUMPRODUCT((المبيعات!$C$2:$C$2000=A1473)*(المبيعات!$B$2:$B$2000&lt;&gt;"")/COUNTIFS(المبيعات!$B$2:$B$2000,المبيعات!$B$2:$B$2000&amp;"",المبيعات!$C$2:$C$2000,المبيعات!$C$2:$C$2000&amp;"")))</f>
        <v/>
      </c>
      <c r="D1473">
        <f>IF(A1473="","",SUMIFS(المبيعات!$H$2:$H$2000,المبيعات!$C$2:$C$2000,A1473))</f>
        <v/>
      </c>
      <c r="E1473" s="13">
        <f>IF(A1473="","",IF(COUNTIF(المبيعات!$C$2:$C$2000,A1473)=0,"",_xlfn.MAXIFS(المبيعات!$A$2:$A$2000,المبيعات!$C$2:$C$2000,A1473)))</f>
        <v/>
      </c>
      <c r="F1473">
        <f>IF(A1473="","",SUMIFS(المبيعات!$H$2:$H$2000,المبيعات!$C$2:$C$2000,A1473,المبيعات!$J$2:$J$2000,"آجل"))</f>
        <v/>
      </c>
      <c r="G1473" s="4" t="n"/>
      <c r="H1473">
        <f>IF(A1473="","",F1473-G1473)</f>
        <v/>
      </c>
    </row>
    <row r="1474">
      <c r="A1474" s="4" t="n"/>
      <c r="B1474" s="4" t="n"/>
      <c r="C1474">
        <f>IF(A1474="","",SUMPRODUCT((المبيعات!$C$2:$C$2000=A1474)*(المبيعات!$B$2:$B$2000&lt;&gt;"")/COUNTIFS(المبيعات!$B$2:$B$2000,المبيعات!$B$2:$B$2000&amp;"",المبيعات!$C$2:$C$2000,المبيعات!$C$2:$C$2000&amp;"")))</f>
        <v/>
      </c>
      <c r="D1474">
        <f>IF(A1474="","",SUMIFS(المبيعات!$H$2:$H$2000,المبيعات!$C$2:$C$2000,A1474))</f>
        <v/>
      </c>
      <c r="E1474" s="13">
        <f>IF(A1474="","",IF(COUNTIF(المبيعات!$C$2:$C$2000,A1474)=0,"",_xlfn.MAXIFS(المبيعات!$A$2:$A$2000,المبيعات!$C$2:$C$2000,A1474)))</f>
        <v/>
      </c>
      <c r="F1474">
        <f>IF(A1474="","",SUMIFS(المبيعات!$H$2:$H$2000,المبيعات!$C$2:$C$2000,A1474,المبيعات!$J$2:$J$2000,"آجل"))</f>
        <v/>
      </c>
      <c r="G1474" s="4" t="n"/>
      <c r="H1474">
        <f>IF(A1474="","",F1474-G1474)</f>
        <v/>
      </c>
    </row>
    <row r="1475">
      <c r="A1475" s="4" t="n"/>
      <c r="B1475" s="4" t="n"/>
      <c r="C1475">
        <f>IF(A1475="","",SUMPRODUCT((المبيعات!$C$2:$C$2000=A1475)*(المبيعات!$B$2:$B$2000&lt;&gt;"")/COUNTIFS(المبيعات!$B$2:$B$2000,المبيعات!$B$2:$B$2000&amp;"",المبيعات!$C$2:$C$2000,المبيعات!$C$2:$C$2000&amp;"")))</f>
        <v/>
      </c>
      <c r="D1475">
        <f>IF(A1475="","",SUMIFS(المبيعات!$H$2:$H$2000,المبيعات!$C$2:$C$2000,A1475))</f>
        <v/>
      </c>
      <c r="E1475" s="13">
        <f>IF(A1475="","",IF(COUNTIF(المبيعات!$C$2:$C$2000,A1475)=0,"",_xlfn.MAXIFS(المبيعات!$A$2:$A$2000,المبيعات!$C$2:$C$2000,A1475)))</f>
        <v/>
      </c>
      <c r="F1475">
        <f>IF(A1475="","",SUMIFS(المبيعات!$H$2:$H$2000,المبيعات!$C$2:$C$2000,A1475,المبيعات!$J$2:$J$2000,"آجل"))</f>
        <v/>
      </c>
      <c r="G1475" s="4" t="n"/>
      <c r="H1475">
        <f>IF(A1475="","",F1475-G1475)</f>
        <v/>
      </c>
    </row>
    <row r="1476">
      <c r="A1476" s="4" t="n"/>
      <c r="B1476" s="4" t="n"/>
      <c r="C1476">
        <f>IF(A1476="","",SUMPRODUCT((المبيعات!$C$2:$C$2000=A1476)*(المبيعات!$B$2:$B$2000&lt;&gt;"")/COUNTIFS(المبيعات!$B$2:$B$2000,المبيعات!$B$2:$B$2000&amp;"",المبيعات!$C$2:$C$2000,المبيعات!$C$2:$C$2000&amp;"")))</f>
        <v/>
      </c>
      <c r="D1476">
        <f>IF(A1476="","",SUMIFS(المبيعات!$H$2:$H$2000,المبيعات!$C$2:$C$2000,A1476))</f>
        <v/>
      </c>
      <c r="E1476" s="13">
        <f>IF(A1476="","",IF(COUNTIF(المبيعات!$C$2:$C$2000,A1476)=0,"",_xlfn.MAXIFS(المبيعات!$A$2:$A$2000,المبيعات!$C$2:$C$2000,A1476)))</f>
        <v/>
      </c>
      <c r="F1476">
        <f>IF(A1476="","",SUMIFS(المبيعات!$H$2:$H$2000,المبيعات!$C$2:$C$2000,A1476,المبيعات!$J$2:$J$2000,"آجل"))</f>
        <v/>
      </c>
      <c r="G1476" s="4" t="n"/>
      <c r="H1476">
        <f>IF(A1476="","",F1476-G1476)</f>
        <v/>
      </c>
    </row>
    <row r="1477">
      <c r="A1477" s="4" t="n"/>
      <c r="B1477" s="4" t="n"/>
      <c r="C1477">
        <f>IF(A1477="","",SUMPRODUCT((المبيعات!$C$2:$C$2000=A1477)*(المبيعات!$B$2:$B$2000&lt;&gt;"")/COUNTIFS(المبيعات!$B$2:$B$2000,المبيعات!$B$2:$B$2000&amp;"",المبيعات!$C$2:$C$2000,المبيعات!$C$2:$C$2000&amp;"")))</f>
        <v/>
      </c>
      <c r="D1477">
        <f>IF(A1477="","",SUMIFS(المبيعات!$H$2:$H$2000,المبيعات!$C$2:$C$2000,A1477))</f>
        <v/>
      </c>
      <c r="E1477" s="13">
        <f>IF(A1477="","",IF(COUNTIF(المبيعات!$C$2:$C$2000,A1477)=0,"",_xlfn.MAXIFS(المبيعات!$A$2:$A$2000,المبيعات!$C$2:$C$2000,A1477)))</f>
        <v/>
      </c>
      <c r="F1477">
        <f>IF(A1477="","",SUMIFS(المبيعات!$H$2:$H$2000,المبيعات!$C$2:$C$2000,A1477,المبيعات!$J$2:$J$2000,"آجل"))</f>
        <v/>
      </c>
      <c r="G1477" s="4" t="n"/>
      <c r="H1477">
        <f>IF(A1477="","",F1477-G1477)</f>
        <v/>
      </c>
    </row>
    <row r="1478">
      <c r="A1478" s="4" t="n"/>
      <c r="B1478" s="4" t="n"/>
      <c r="C1478">
        <f>IF(A1478="","",SUMPRODUCT((المبيعات!$C$2:$C$2000=A1478)*(المبيعات!$B$2:$B$2000&lt;&gt;"")/COUNTIFS(المبيعات!$B$2:$B$2000,المبيعات!$B$2:$B$2000&amp;"",المبيعات!$C$2:$C$2000,المبيعات!$C$2:$C$2000&amp;"")))</f>
        <v/>
      </c>
      <c r="D1478">
        <f>IF(A1478="","",SUMIFS(المبيعات!$H$2:$H$2000,المبيعات!$C$2:$C$2000,A1478))</f>
        <v/>
      </c>
      <c r="E1478" s="13">
        <f>IF(A1478="","",IF(COUNTIF(المبيعات!$C$2:$C$2000,A1478)=0,"",_xlfn.MAXIFS(المبيعات!$A$2:$A$2000,المبيعات!$C$2:$C$2000,A1478)))</f>
        <v/>
      </c>
      <c r="F1478">
        <f>IF(A1478="","",SUMIFS(المبيعات!$H$2:$H$2000,المبيعات!$C$2:$C$2000,A1478,المبيعات!$J$2:$J$2000,"آجل"))</f>
        <v/>
      </c>
      <c r="G1478" s="4" t="n"/>
      <c r="H1478">
        <f>IF(A1478="","",F1478-G1478)</f>
        <v/>
      </c>
    </row>
    <row r="1479">
      <c r="A1479" s="4" t="n"/>
      <c r="B1479" s="4" t="n"/>
      <c r="C1479">
        <f>IF(A1479="","",SUMPRODUCT((المبيعات!$C$2:$C$2000=A1479)*(المبيعات!$B$2:$B$2000&lt;&gt;"")/COUNTIFS(المبيعات!$B$2:$B$2000,المبيعات!$B$2:$B$2000&amp;"",المبيعات!$C$2:$C$2000,المبيعات!$C$2:$C$2000&amp;"")))</f>
        <v/>
      </c>
      <c r="D1479">
        <f>IF(A1479="","",SUMIFS(المبيعات!$H$2:$H$2000,المبيعات!$C$2:$C$2000,A1479))</f>
        <v/>
      </c>
      <c r="E1479" s="13">
        <f>IF(A1479="","",IF(COUNTIF(المبيعات!$C$2:$C$2000,A1479)=0,"",_xlfn.MAXIFS(المبيعات!$A$2:$A$2000,المبيعات!$C$2:$C$2000,A1479)))</f>
        <v/>
      </c>
      <c r="F1479">
        <f>IF(A1479="","",SUMIFS(المبيعات!$H$2:$H$2000,المبيعات!$C$2:$C$2000,A1479,المبيعات!$J$2:$J$2000,"آجل"))</f>
        <v/>
      </c>
      <c r="G1479" s="4" t="n"/>
      <c r="H1479">
        <f>IF(A1479="","",F1479-G1479)</f>
        <v/>
      </c>
    </row>
    <row r="1480">
      <c r="A1480" s="4" t="n"/>
      <c r="B1480" s="4" t="n"/>
      <c r="C1480">
        <f>IF(A1480="","",SUMPRODUCT((المبيعات!$C$2:$C$2000=A1480)*(المبيعات!$B$2:$B$2000&lt;&gt;"")/COUNTIFS(المبيعات!$B$2:$B$2000,المبيعات!$B$2:$B$2000&amp;"",المبيعات!$C$2:$C$2000,المبيعات!$C$2:$C$2000&amp;"")))</f>
        <v/>
      </c>
      <c r="D1480">
        <f>IF(A1480="","",SUMIFS(المبيعات!$H$2:$H$2000,المبيعات!$C$2:$C$2000,A1480))</f>
        <v/>
      </c>
      <c r="E1480" s="13">
        <f>IF(A1480="","",IF(COUNTIF(المبيعات!$C$2:$C$2000,A1480)=0,"",_xlfn.MAXIFS(المبيعات!$A$2:$A$2000,المبيعات!$C$2:$C$2000,A1480)))</f>
        <v/>
      </c>
      <c r="F1480">
        <f>IF(A1480="","",SUMIFS(المبيعات!$H$2:$H$2000,المبيعات!$C$2:$C$2000,A1480,المبيعات!$J$2:$J$2000,"آجل"))</f>
        <v/>
      </c>
      <c r="G1480" s="4" t="n"/>
      <c r="H1480">
        <f>IF(A1480="","",F1480-G1480)</f>
        <v/>
      </c>
    </row>
    <row r="1481">
      <c r="A1481" s="4" t="n"/>
      <c r="B1481" s="4" t="n"/>
      <c r="C1481">
        <f>IF(A1481="","",SUMPRODUCT((المبيعات!$C$2:$C$2000=A1481)*(المبيعات!$B$2:$B$2000&lt;&gt;"")/COUNTIFS(المبيعات!$B$2:$B$2000,المبيعات!$B$2:$B$2000&amp;"",المبيعات!$C$2:$C$2000,المبيعات!$C$2:$C$2000&amp;"")))</f>
        <v/>
      </c>
      <c r="D1481">
        <f>IF(A1481="","",SUMIFS(المبيعات!$H$2:$H$2000,المبيعات!$C$2:$C$2000,A1481))</f>
        <v/>
      </c>
      <c r="E1481" s="13">
        <f>IF(A1481="","",IF(COUNTIF(المبيعات!$C$2:$C$2000,A1481)=0,"",_xlfn.MAXIFS(المبيعات!$A$2:$A$2000,المبيعات!$C$2:$C$2000,A1481)))</f>
        <v/>
      </c>
      <c r="F1481">
        <f>IF(A1481="","",SUMIFS(المبيعات!$H$2:$H$2000,المبيعات!$C$2:$C$2000,A1481,المبيعات!$J$2:$J$2000,"آجل"))</f>
        <v/>
      </c>
      <c r="G1481" s="4" t="n"/>
      <c r="H1481">
        <f>IF(A1481="","",F1481-G1481)</f>
        <v/>
      </c>
    </row>
    <row r="1482">
      <c r="A1482" s="4" t="n"/>
      <c r="B1482" s="4" t="n"/>
      <c r="C1482">
        <f>IF(A1482="","",SUMPRODUCT((المبيعات!$C$2:$C$2000=A1482)*(المبيعات!$B$2:$B$2000&lt;&gt;"")/COUNTIFS(المبيعات!$B$2:$B$2000,المبيعات!$B$2:$B$2000&amp;"",المبيعات!$C$2:$C$2000,المبيعات!$C$2:$C$2000&amp;"")))</f>
        <v/>
      </c>
      <c r="D1482">
        <f>IF(A1482="","",SUMIFS(المبيعات!$H$2:$H$2000,المبيعات!$C$2:$C$2000,A1482))</f>
        <v/>
      </c>
      <c r="E1482" s="13">
        <f>IF(A1482="","",IF(COUNTIF(المبيعات!$C$2:$C$2000,A1482)=0,"",_xlfn.MAXIFS(المبيعات!$A$2:$A$2000,المبيعات!$C$2:$C$2000,A1482)))</f>
        <v/>
      </c>
      <c r="F1482">
        <f>IF(A1482="","",SUMIFS(المبيعات!$H$2:$H$2000,المبيعات!$C$2:$C$2000,A1482,المبيعات!$J$2:$J$2000,"آجل"))</f>
        <v/>
      </c>
      <c r="G1482" s="4" t="n"/>
      <c r="H1482">
        <f>IF(A1482="","",F1482-G1482)</f>
        <v/>
      </c>
    </row>
    <row r="1483">
      <c r="A1483" s="4" t="n"/>
      <c r="B1483" s="4" t="n"/>
      <c r="C1483">
        <f>IF(A1483="","",SUMPRODUCT((المبيعات!$C$2:$C$2000=A1483)*(المبيعات!$B$2:$B$2000&lt;&gt;"")/COUNTIFS(المبيعات!$B$2:$B$2000,المبيعات!$B$2:$B$2000&amp;"",المبيعات!$C$2:$C$2000,المبيعات!$C$2:$C$2000&amp;"")))</f>
        <v/>
      </c>
      <c r="D1483">
        <f>IF(A1483="","",SUMIFS(المبيعات!$H$2:$H$2000,المبيعات!$C$2:$C$2000,A1483))</f>
        <v/>
      </c>
      <c r="E1483" s="13">
        <f>IF(A1483="","",IF(COUNTIF(المبيعات!$C$2:$C$2000,A1483)=0,"",_xlfn.MAXIFS(المبيعات!$A$2:$A$2000,المبيعات!$C$2:$C$2000,A1483)))</f>
        <v/>
      </c>
      <c r="F1483">
        <f>IF(A1483="","",SUMIFS(المبيعات!$H$2:$H$2000,المبيعات!$C$2:$C$2000,A1483,المبيعات!$J$2:$J$2000,"آجل"))</f>
        <v/>
      </c>
      <c r="G1483" s="4" t="n"/>
      <c r="H1483">
        <f>IF(A1483="","",F1483-G1483)</f>
        <v/>
      </c>
    </row>
    <row r="1484">
      <c r="A1484" s="4" t="n"/>
      <c r="B1484" s="4" t="n"/>
      <c r="C1484">
        <f>IF(A1484="","",SUMPRODUCT((المبيعات!$C$2:$C$2000=A1484)*(المبيعات!$B$2:$B$2000&lt;&gt;"")/COUNTIFS(المبيعات!$B$2:$B$2000,المبيعات!$B$2:$B$2000&amp;"",المبيعات!$C$2:$C$2000,المبيعات!$C$2:$C$2000&amp;"")))</f>
        <v/>
      </c>
      <c r="D1484">
        <f>IF(A1484="","",SUMIFS(المبيعات!$H$2:$H$2000,المبيعات!$C$2:$C$2000,A1484))</f>
        <v/>
      </c>
      <c r="E1484" s="13">
        <f>IF(A1484="","",IF(COUNTIF(المبيعات!$C$2:$C$2000,A1484)=0,"",_xlfn.MAXIFS(المبيعات!$A$2:$A$2000,المبيعات!$C$2:$C$2000,A1484)))</f>
        <v/>
      </c>
      <c r="F1484">
        <f>IF(A1484="","",SUMIFS(المبيعات!$H$2:$H$2000,المبيعات!$C$2:$C$2000,A1484,المبيعات!$J$2:$J$2000,"آجل"))</f>
        <v/>
      </c>
      <c r="G1484" s="4" t="n"/>
      <c r="H1484">
        <f>IF(A1484="","",F1484-G1484)</f>
        <v/>
      </c>
    </row>
    <row r="1485">
      <c r="A1485" s="4" t="n"/>
      <c r="B1485" s="4" t="n"/>
      <c r="C1485">
        <f>IF(A1485="","",SUMPRODUCT((المبيعات!$C$2:$C$2000=A1485)*(المبيعات!$B$2:$B$2000&lt;&gt;"")/COUNTIFS(المبيعات!$B$2:$B$2000,المبيعات!$B$2:$B$2000&amp;"",المبيعات!$C$2:$C$2000,المبيعات!$C$2:$C$2000&amp;"")))</f>
        <v/>
      </c>
      <c r="D1485">
        <f>IF(A1485="","",SUMIFS(المبيعات!$H$2:$H$2000,المبيعات!$C$2:$C$2000,A1485))</f>
        <v/>
      </c>
      <c r="E1485" s="13">
        <f>IF(A1485="","",IF(COUNTIF(المبيعات!$C$2:$C$2000,A1485)=0,"",_xlfn.MAXIFS(المبيعات!$A$2:$A$2000,المبيعات!$C$2:$C$2000,A1485)))</f>
        <v/>
      </c>
      <c r="F1485">
        <f>IF(A1485="","",SUMIFS(المبيعات!$H$2:$H$2000,المبيعات!$C$2:$C$2000,A1485,المبيعات!$J$2:$J$2000,"آجل"))</f>
        <v/>
      </c>
      <c r="G1485" s="4" t="n"/>
      <c r="H1485">
        <f>IF(A1485="","",F1485-G1485)</f>
        <v/>
      </c>
    </row>
    <row r="1486">
      <c r="A1486" s="4" t="n"/>
      <c r="B1486" s="4" t="n"/>
      <c r="C1486">
        <f>IF(A1486="","",SUMPRODUCT((المبيعات!$C$2:$C$2000=A1486)*(المبيعات!$B$2:$B$2000&lt;&gt;"")/COUNTIFS(المبيعات!$B$2:$B$2000,المبيعات!$B$2:$B$2000&amp;"",المبيعات!$C$2:$C$2000,المبيعات!$C$2:$C$2000&amp;"")))</f>
        <v/>
      </c>
      <c r="D1486">
        <f>IF(A1486="","",SUMIFS(المبيعات!$H$2:$H$2000,المبيعات!$C$2:$C$2000,A1486))</f>
        <v/>
      </c>
      <c r="E1486" s="13">
        <f>IF(A1486="","",IF(COUNTIF(المبيعات!$C$2:$C$2000,A1486)=0,"",_xlfn.MAXIFS(المبيعات!$A$2:$A$2000,المبيعات!$C$2:$C$2000,A1486)))</f>
        <v/>
      </c>
      <c r="F1486">
        <f>IF(A1486="","",SUMIFS(المبيعات!$H$2:$H$2000,المبيعات!$C$2:$C$2000,A1486,المبيعات!$J$2:$J$2000,"آجل"))</f>
        <v/>
      </c>
      <c r="G1486" s="4" t="n"/>
      <c r="H1486">
        <f>IF(A1486="","",F1486-G1486)</f>
        <v/>
      </c>
    </row>
    <row r="1487">
      <c r="A1487" s="4" t="n"/>
      <c r="B1487" s="4" t="n"/>
      <c r="C1487">
        <f>IF(A1487="","",SUMPRODUCT((المبيعات!$C$2:$C$2000=A1487)*(المبيعات!$B$2:$B$2000&lt;&gt;"")/COUNTIFS(المبيعات!$B$2:$B$2000,المبيعات!$B$2:$B$2000&amp;"",المبيعات!$C$2:$C$2000,المبيعات!$C$2:$C$2000&amp;"")))</f>
        <v/>
      </c>
      <c r="D1487">
        <f>IF(A1487="","",SUMIFS(المبيعات!$H$2:$H$2000,المبيعات!$C$2:$C$2000,A1487))</f>
        <v/>
      </c>
      <c r="E1487" s="13">
        <f>IF(A1487="","",IF(COUNTIF(المبيعات!$C$2:$C$2000,A1487)=0,"",_xlfn.MAXIFS(المبيعات!$A$2:$A$2000,المبيعات!$C$2:$C$2000,A1487)))</f>
        <v/>
      </c>
      <c r="F1487">
        <f>IF(A1487="","",SUMIFS(المبيعات!$H$2:$H$2000,المبيعات!$C$2:$C$2000,A1487,المبيعات!$J$2:$J$2000,"آجل"))</f>
        <v/>
      </c>
      <c r="G1487" s="4" t="n"/>
      <c r="H1487">
        <f>IF(A1487="","",F1487-G1487)</f>
        <v/>
      </c>
    </row>
    <row r="1488">
      <c r="A1488" s="4" t="n"/>
      <c r="B1488" s="4" t="n"/>
      <c r="C1488">
        <f>IF(A1488="","",SUMPRODUCT((المبيعات!$C$2:$C$2000=A1488)*(المبيعات!$B$2:$B$2000&lt;&gt;"")/COUNTIFS(المبيعات!$B$2:$B$2000,المبيعات!$B$2:$B$2000&amp;"",المبيعات!$C$2:$C$2000,المبيعات!$C$2:$C$2000&amp;"")))</f>
        <v/>
      </c>
      <c r="D1488">
        <f>IF(A1488="","",SUMIFS(المبيعات!$H$2:$H$2000,المبيعات!$C$2:$C$2000,A1488))</f>
        <v/>
      </c>
      <c r="E1488" s="13">
        <f>IF(A1488="","",IF(COUNTIF(المبيعات!$C$2:$C$2000,A1488)=0,"",_xlfn.MAXIFS(المبيعات!$A$2:$A$2000,المبيعات!$C$2:$C$2000,A1488)))</f>
        <v/>
      </c>
      <c r="F1488">
        <f>IF(A1488="","",SUMIFS(المبيعات!$H$2:$H$2000,المبيعات!$C$2:$C$2000,A1488,المبيعات!$J$2:$J$2000,"آجل"))</f>
        <v/>
      </c>
      <c r="G1488" s="4" t="n"/>
      <c r="H1488">
        <f>IF(A1488="","",F1488-G1488)</f>
        <v/>
      </c>
    </row>
    <row r="1489">
      <c r="A1489" s="4" t="n"/>
      <c r="B1489" s="4" t="n"/>
      <c r="C1489">
        <f>IF(A1489="","",SUMPRODUCT((المبيعات!$C$2:$C$2000=A1489)*(المبيعات!$B$2:$B$2000&lt;&gt;"")/COUNTIFS(المبيعات!$B$2:$B$2000,المبيعات!$B$2:$B$2000&amp;"",المبيعات!$C$2:$C$2000,المبيعات!$C$2:$C$2000&amp;"")))</f>
        <v/>
      </c>
      <c r="D1489">
        <f>IF(A1489="","",SUMIFS(المبيعات!$H$2:$H$2000,المبيعات!$C$2:$C$2000,A1489))</f>
        <v/>
      </c>
      <c r="E1489" s="13">
        <f>IF(A1489="","",IF(COUNTIF(المبيعات!$C$2:$C$2000,A1489)=0,"",_xlfn.MAXIFS(المبيعات!$A$2:$A$2000,المبيعات!$C$2:$C$2000,A1489)))</f>
        <v/>
      </c>
      <c r="F1489">
        <f>IF(A1489="","",SUMIFS(المبيعات!$H$2:$H$2000,المبيعات!$C$2:$C$2000,A1489,المبيعات!$J$2:$J$2000,"آجل"))</f>
        <v/>
      </c>
      <c r="G1489" s="4" t="n"/>
      <c r="H1489">
        <f>IF(A1489="","",F1489-G1489)</f>
        <v/>
      </c>
    </row>
    <row r="1490">
      <c r="A1490" s="4" t="n"/>
      <c r="B1490" s="4" t="n"/>
      <c r="C1490">
        <f>IF(A1490="","",SUMPRODUCT((المبيعات!$C$2:$C$2000=A1490)*(المبيعات!$B$2:$B$2000&lt;&gt;"")/COUNTIFS(المبيعات!$B$2:$B$2000,المبيعات!$B$2:$B$2000&amp;"",المبيعات!$C$2:$C$2000,المبيعات!$C$2:$C$2000&amp;"")))</f>
        <v/>
      </c>
      <c r="D1490">
        <f>IF(A1490="","",SUMIFS(المبيعات!$H$2:$H$2000,المبيعات!$C$2:$C$2000,A1490))</f>
        <v/>
      </c>
      <c r="E1490" s="13">
        <f>IF(A1490="","",IF(COUNTIF(المبيعات!$C$2:$C$2000,A1490)=0,"",_xlfn.MAXIFS(المبيعات!$A$2:$A$2000,المبيعات!$C$2:$C$2000,A1490)))</f>
        <v/>
      </c>
      <c r="F1490">
        <f>IF(A1490="","",SUMIFS(المبيعات!$H$2:$H$2000,المبيعات!$C$2:$C$2000,A1490,المبيعات!$J$2:$J$2000,"آجل"))</f>
        <v/>
      </c>
      <c r="G1490" s="4" t="n"/>
      <c r="H1490">
        <f>IF(A1490="","",F1490-G1490)</f>
        <v/>
      </c>
    </row>
    <row r="1491">
      <c r="A1491" s="4" t="n"/>
      <c r="B1491" s="4" t="n"/>
      <c r="C1491">
        <f>IF(A1491="","",SUMPRODUCT((المبيعات!$C$2:$C$2000=A1491)*(المبيعات!$B$2:$B$2000&lt;&gt;"")/COUNTIFS(المبيعات!$B$2:$B$2000,المبيعات!$B$2:$B$2000&amp;"",المبيعات!$C$2:$C$2000,المبيعات!$C$2:$C$2000&amp;"")))</f>
        <v/>
      </c>
      <c r="D1491">
        <f>IF(A1491="","",SUMIFS(المبيعات!$H$2:$H$2000,المبيعات!$C$2:$C$2000,A1491))</f>
        <v/>
      </c>
      <c r="E1491" s="13">
        <f>IF(A1491="","",IF(COUNTIF(المبيعات!$C$2:$C$2000,A1491)=0,"",_xlfn.MAXIFS(المبيعات!$A$2:$A$2000,المبيعات!$C$2:$C$2000,A1491)))</f>
        <v/>
      </c>
      <c r="F1491">
        <f>IF(A1491="","",SUMIFS(المبيعات!$H$2:$H$2000,المبيعات!$C$2:$C$2000,A1491,المبيعات!$J$2:$J$2000,"آجل"))</f>
        <v/>
      </c>
      <c r="G1491" s="4" t="n"/>
      <c r="H1491">
        <f>IF(A1491="","",F1491-G1491)</f>
        <v/>
      </c>
    </row>
    <row r="1492">
      <c r="A1492" s="4" t="n"/>
      <c r="B1492" s="4" t="n"/>
      <c r="C1492">
        <f>IF(A1492="","",SUMPRODUCT((المبيعات!$C$2:$C$2000=A1492)*(المبيعات!$B$2:$B$2000&lt;&gt;"")/COUNTIFS(المبيعات!$B$2:$B$2000,المبيعات!$B$2:$B$2000&amp;"",المبيعات!$C$2:$C$2000,المبيعات!$C$2:$C$2000&amp;"")))</f>
        <v/>
      </c>
      <c r="D1492">
        <f>IF(A1492="","",SUMIFS(المبيعات!$H$2:$H$2000,المبيعات!$C$2:$C$2000,A1492))</f>
        <v/>
      </c>
      <c r="E1492" s="13">
        <f>IF(A1492="","",IF(COUNTIF(المبيعات!$C$2:$C$2000,A1492)=0,"",_xlfn.MAXIFS(المبيعات!$A$2:$A$2000,المبيعات!$C$2:$C$2000,A1492)))</f>
        <v/>
      </c>
      <c r="F1492">
        <f>IF(A1492="","",SUMIFS(المبيعات!$H$2:$H$2000,المبيعات!$C$2:$C$2000,A1492,المبيعات!$J$2:$J$2000,"آجل"))</f>
        <v/>
      </c>
      <c r="G1492" s="4" t="n"/>
      <c r="H1492">
        <f>IF(A1492="","",F1492-G1492)</f>
        <v/>
      </c>
    </row>
    <row r="1493">
      <c r="A1493" s="4" t="n"/>
      <c r="B1493" s="4" t="n"/>
      <c r="C1493">
        <f>IF(A1493="","",SUMPRODUCT((المبيعات!$C$2:$C$2000=A1493)*(المبيعات!$B$2:$B$2000&lt;&gt;"")/COUNTIFS(المبيعات!$B$2:$B$2000,المبيعات!$B$2:$B$2000&amp;"",المبيعات!$C$2:$C$2000,المبيعات!$C$2:$C$2000&amp;"")))</f>
        <v/>
      </c>
      <c r="D1493">
        <f>IF(A1493="","",SUMIFS(المبيعات!$H$2:$H$2000,المبيعات!$C$2:$C$2000,A1493))</f>
        <v/>
      </c>
      <c r="E1493" s="13">
        <f>IF(A1493="","",IF(COUNTIF(المبيعات!$C$2:$C$2000,A1493)=0,"",_xlfn.MAXIFS(المبيعات!$A$2:$A$2000,المبيعات!$C$2:$C$2000,A1493)))</f>
        <v/>
      </c>
      <c r="F1493">
        <f>IF(A1493="","",SUMIFS(المبيعات!$H$2:$H$2000,المبيعات!$C$2:$C$2000,A1493,المبيعات!$J$2:$J$2000,"آجل"))</f>
        <v/>
      </c>
      <c r="G1493" s="4" t="n"/>
      <c r="H1493">
        <f>IF(A1493="","",F1493-G1493)</f>
        <v/>
      </c>
    </row>
    <row r="1494">
      <c r="A1494" s="4" t="n"/>
      <c r="B1494" s="4" t="n"/>
      <c r="C1494">
        <f>IF(A1494="","",SUMPRODUCT((المبيعات!$C$2:$C$2000=A1494)*(المبيعات!$B$2:$B$2000&lt;&gt;"")/COUNTIFS(المبيعات!$B$2:$B$2000,المبيعات!$B$2:$B$2000&amp;"",المبيعات!$C$2:$C$2000,المبيعات!$C$2:$C$2000&amp;"")))</f>
        <v/>
      </c>
      <c r="D1494">
        <f>IF(A1494="","",SUMIFS(المبيعات!$H$2:$H$2000,المبيعات!$C$2:$C$2000,A1494))</f>
        <v/>
      </c>
      <c r="E1494" s="13">
        <f>IF(A1494="","",IF(COUNTIF(المبيعات!$C$2:$C$2000,A1494)=0,"",_xlfn.MAXIFS(المبيعات!$A$2:$A$2000,المبيعات!$C$2:$C$2000,A1494)))</f>
        <v/>
      </c>
      <c r="F1494">
        <f>IF(A1494="","",SUMIFS(المبيعات!$H$2:$H$2000,المبيعات!$C$2:$C$2000,A1494,المبيعات!$J$2:$J$2000,"آجل"))</f>
        <v/>
      </c>
      <c r="G1494" s="4" t="n"/>
      <c r="H1494">
        <f>IF(A1494="","",F1494-G1494)</f>
        <v/>
      </c>
    </row>
    <row r="1495">
      <c r="A1495" s="4" t="n"/>
      <c r="B1495" s="4" t="n"/>
      <c r="C1495">
        <f>IF(A1495="","",SUMPRODUCT((المبيعات!$C$2:$C$2000=A1495)*(المبيعات!$B$2:$B$2000&lt;&gt;"")/COUNTIFS(المبيعات!$B$2:$B$2000,المبيعات!$B$2:$B$2000&amp;"",المبيعات!$C$2:$C$2000,المبيعات!$C$2:$C$2000&amp;"")))</f>
        <v/>
      </c>
      <c r="D1495">
        <f>IF(A1495="","",SUMIFS(المبيعات!$H$2:$H$2000,المبيعات!$C$2:$C$2000,A1495))</f>
        <v/>
      </c>
      <c r="E1495" s="13">
        <f>IF(A1495="","",IF(COUNTIF(المبيعات!$C$2:$C$2000,A1495)=0,"",_xlfn.MAXIFS(المبيعات!$A$2:$A$2000,المبيعات!$C$2:$C$2000,A1495)))</f>
        <v/>
      </c>
      <c r="F1495">
        <f>IF(A1495="","",SUMIFS(المبيعات!$H$2:$H$2000,المبيعات!$C$2:$C$2000,A1495,المبيعات!$J$2:$J$2000,"آجل"))</f>
        <v/>
      </c>
      <c r="G1495" s="4" t="n"/>
      <c r="H1495">
        <f>IF(A1495="","",F1495-G1495)</f>
        <v/>
      </c>
    </row>
    <row r="1496">
      <c r="A1496" s="4" t="n"/>
      <c r="B1496" s="4" t="n"/>
      <c r="C1496">
        <f>IF(A1496="","",SUMPRODUCT((المبيعات!$C$2:$C$2000=A1496)*(المبيعات!$B$2:$B$2000&lt;&gt;"")/COUNTIFS(المبيعات!$B$2:$B$2000,المبيعات!$B$2:$B$2000&amp;"",المبيعات!$C$2:$C$2000,المبيعات!$C$2:$C$2000&amp;"")))</f>
        <v/>
      </c>
      <c r="D1496">
        <f>IF(A1496="","",SUMIFS(المبيعات!$H$2:$H$2000,المبيعات!$C$2:$C$2000,A1496))</f>
        <v/>
      </c>
      <c r="E1496" s="13">
        <f>IF(A1496="","",IF(COUNTIF(المبيعات!$C$2:$C$2000,A1496)=0,"",_xlfn.MAXIFS(المبيعات!$A$2:$A$2000,المبيعات!$C$2:$C$2000,A1496)))</f>
        <v/>
      </c>
      <c r="F1496">
        <f>IF(A1496="","",SUMIFS(المبيعات!$H$2:$H$2000,المبيعات!$C$2:$C$2000,A1496,المبيعات!$J$2:$J$2000,"آجل"))</f>
        <v/>
      </c>
      <c r="G1496" s="4" t="n"/>
      <c r="H1496">
        <f>IF(A1496="","",F1496-G1496)</f>
        <v/>
      </c>
    </row>
    <row r="1497">
      <c r="A1497" s="4" t="n"/>
      <c r="B1497" s="4" t="n"/>
      <c r="C1497">
        <f>IF(A1497="","",SUMPRODUCT((المبيعات!$C$2:$C$2000=A1497)*(المبيعات!$B$2:$B$2000&lt;&gt;"")/COUNTIFS(المبيعات!$B$2:$B$2000,المبيعات!$B$2:$B$2000&amp;"",المبيعات!$C$2:$C$2000,المبيعات!$C$2:$C$2000&amp;"")))</f>
        <v/>
      </c>
      <c r="D1497">
        <f>IF(A1497="","",SUMIFS(المبيعات!$H$2:$H$2000,المبيعات!$C$2:$C$2000,A1497))</f>
        <v/>
      </c>
      <c r="E1497" s="13">
        <f>IF(A1497="","",IF(COUNTIF(المبيعات!$C$2:$C$2000,A1497)=0,"",_xlfn.MAXIFS(المبيعات!$A$2:$A$2000,المبيعات!$C$2:$C$2000,A1497)))</f>
        <v/>
      </c>
      <c r="F1497">
        <f>IF(A1497="","",SUMIFS(المبيعات!$H$2:$H$2000,المبيعات!$C$2:$C$2000,A1497,المبيعات!$J$2:$J$2000,"آجل"))</f>
        <v/>
      </c>
      <c r="G1497" s="4" t="n"/>
      <c r="H1497">
        <f>IF(A1497="","",F1497-G1497)</f>
        <v/>
      </c>
    </row>
    <row r="1498">
      <c r="A1498" s="4" t="n"/>
      <c r="B1498" s="4" t="n"/>
      <c r="C1498">
        <f>IF(A1498="","",SUMPRODUCT((المبيعات!$C$2:$C$2000=A1498)*(المبيعات!$B$2:$B$2000&lt;&gt;"")/COUNTIFS(المبيعات!$B$2:$B$2000,المبيعات!$B$2:$B$2000&amp;"",المبيعات!$C$2:$C$2000,المبيعات!$C$2:$C$2000&amp;"")))</f>
        <v/>
      </c>
      <c r="D1498">
        <f>IF(A1498="","",SUMIFS(المبيعات!$H$2:$H$2000,المبيعات!$C$2:$C$2000,A1498))</f>
        <v/>
      </c>
      <c r="E1498" s="13">
        <f>IF(A1498="","",IF(COUNTIF(المبيعات!$C$2:$C$2000,A1498)=0,"",_xlfn.MAXIFS(المبيعات!$A$2:$A$2000,المبيعات!$C$2:$C$2000,A1498)))</f>
        <v/>
      </c>
      <c r="F1498">
        <f>IF(A1498="","",SUMIFS(المبيعات!$H$2:$H$2000,المبيعات!$C$2:$C$2000,A1498,المبيعات!$J$2:$J$2000,"آجل"))</f>
        <v/>
      </c>
      <c r="G1498" s="4" t="n"/>
      <c r="H1498">
        <f>IF(A1498="","",F1498-G1498)</f>
        <v/>
      </c>
    </row>
    <row r="1499">
      <c r="A1499" s="4" t="n"/>
      <c r="B1499" s="4" t="n"/>
      <c r="C1499">
        <f>IF(A1499="","",SUMPRODUCT((المبيعات!$C$2:$C$2000=A1499)*(المبيعات!$B$2:$B$2000&lt;&gt;"")/COUNTIFS(المبيعات!$B$2:$B$2000,المبيعات!$B$2:$B$2000&amp;"",المبيعات!$C$2:$C$2000,المبيعات!$C$2:$C$2000&amp;"")))</f>
        <v/>
      </c>
      <c r="D1499">
        <f>IF(A1499="","",SUMIFS(المبيعات!$H$2:$H$2000,المبيعات!$C$2:$C$2000,A1499))</f>
        <v/>
      </c>
      <c r="E1499" s="13">
        <f>IF(A1499="","",IF(COUNTIF(المبيعات!$C$2:$C$2000,A1499)=0,"",_xlfn.MAXIFS(المبيعات!$A$2:$A$2000,المبيعات!$C$2:$C$2000,A1499)))</f>
        <v/>
      </c>
      <c r="F1499">
        <f>IF(A1499="","",SUMIFS(المبيعات!$H$2:$H$2000,المبيعات!$C$2:$C$2000,A1499,المبيعات!$J$2:$J$2000,"آجل"))</f>
        <v/>
      </c>
      <c r="G1499" s="4" t="n"/>
      <c r="H1499">
        <f>IF(A1499="","",F1499-G1499)</f>
        <v/>
      </c>
    </row>
    <row r="1500">
      <c r="A1500" s="4" t="n"/>
      <c r="B1500" s="4" t="n"/>
      <c r="C1500">
        <f>IF(A1500="","",SUMPRODUCT((المبيعات!$C$2:$C$2000=A1500)*(المبيعات!$B$2:$B$2000&lt;&gt;"")/COUNTIFS(المبيعات!$B$2:$B$2000,المبيعات!$B$2:$B$2000&amp;"",المبيعات!$C$2:$C$2000,المبيعات!$C$2:$C$2000&amp;"")))</f>
        <v/>
      </c>
      <c r="D1500">
        <f>IF(A1500="","",SUMIFS(المبيعات!$H$2:$H$2000,المبيعات!$C$2:$C$2000,A1500))</f>
        <v/>
      </c>
      <c r="E1500" s="13">
        <f>IF(A1500="","",IF(COUNTIF(المبيعات!$C$2:$C$2000,A1500)=0,"",_xlfn.MAXIFS(المبيعات!$A$2:$A$2000,المبيعات!$C$2:$C$2000,A1500)))</f>
        <v/>
      </c>
      <c r="F1500">
        <f>IF(A1500="","",SUMIFS(المبيعات!$H$2:$H$2000,المبيعات!$C$2:$C$2000,A1500,المبيعات!$J$2:$J$2000,"آجل"))</f>
        <v/>
      </c>
      <c r="G1500" s="4" t="n"/>
      <c r="H1500">
        <f>IF(A1500="","",F1500-G1500)</f>
        <v/>
      </c>
    </row>
    <row r="1501">
      <c r="A1501" s="4" t="n"/>
      <c r="B1501" s="4" t="n"/>
      <c r="C1501">
        <f>IF(A1501="","",SUMPRODUCT((المبيعات!$C$2:$C$2000=A1501)*(المبيعات!$B$2:$B$2000&lt;&gt;"")/COUNTIFS(المبيعات!$B$2:$B$2000,المبيعات!$B$2:$B$2000&amp;"",المبيعات!$C$2:$C$2000,المبيعات!$C$2:$C$2000&amp;"")))</f>
        <v/>
      </c>
      <c r="D1501">
        <f>IF(A1501="","",SUMIFS(المبيعات!$H$2:$H$2000,المبيعات!$C$2:$C$2000,A1501))</f>
        <v/>
      </c>
      <c r="E1501" s="13">
        <f>IF(A1501="","",IF(COUNTIF(المبيعات!$C$2:$C$2000,A1501)=0,"",_xlfn.MAXIFS(المبيعات!$A$2:$A$2000,المبيعات!$C$2:$C$2000,A1501)))</f>
        <v/>
      </c>
      <c r="F1501">
        <f>IF(A1501="","",SUMIFS(المبيعات!$H$2:$H$2000,المبيعات!$C$2:$C$2000,A1501,المبيعات!$J$2:$J$2000,"آجل"))</f>
        <v/>
      </c>
      <c r="G1501" s="4" t="n"/>
      <c r="H1501">
        <f>IF(A1501="","",F1501-G1501)</f>
        <v/>
      </c>
    </row>
    <row r="1502">
      <c r="A1502" s="4" t="n"/>
      <c r="B1502" s="4" t="n"/>
      <c r="C1502">
        <f>IF(A1502="","",SUMPRODUCT((المبيعات!$C$2:$C$2000=A1502)*(المبيعات!$B$2:$B$2000&lt;&gt;"")/COUNTIFS(المبيعات!$B$2:$B$2000,المبيعات!$B$2:$B$2000&amp;"",المبيعات!$C$2:$C$2000,المبيعات!$C$2:$C$2000&amp;"")))</f>
        <v/>
      </c>
      <c r="D1502">
        <f>IF(A1502="","",SUMIFS(المبيعات!$H$2:$H$2000,المبيعات!$C$2:$C$2000,A1502))</f>
        <v/>
      </c>
      <c r="E1502" s="13">
        <f>IF(A1502="","",IF(COUNTIF(المبيعات!$C$2:$C$2000,A1502)=0,"",_xlfn.MAXIFS(المبيعات!$A$2:$A$2000,المبيعات!$C$2:$C$2000,A1502)))</f>
        <v/>
      </c>
      <c r="F1502">
        <f>IF(A1502="","",SUMIFS(المبيعات!$H$2:$H$2000,المبيعات!$C$2:$C$2000,A1502,المبيعات!$J$2:$J$2000,"آجل"))</f>
        <v/>
      </c>
      <c r="G1502" s="4" t="n"/>
      <c r="H1502">
        <f>IF(A1502="","",F1502-G1502)</f>
        <v/>
      </c>
    </row>
    <row r="1503">
      <c r="A1503" s="4" t="n"/>
      <c r="B1503" s="4" t="n"/>
      <c r="C1503">
        <f>IF(A1503="","",SUMPRODUCT((المبيعات!$C$2:$C$2000=A1503)*(المبيعات!$B$2:$B$2000&lt;&gt;"")/COUNTIFS(المبيعات!$B$2:$B$2000,المبيعات!$B$2:$B$2000&amp;"",المبيعات!$C$2:$C$2000,المبيعات!$C$2:$C$2000&amp;"")))</f>
        <v/>
      </c>
      <c r="D1503">
        <f>IF(A1503="","",SUMIFS(المبيعات!$H$2:$H$2000,المبيعات!$C$2:$C$2000,A1503))</f>
        <v/>
      </c>
      <c r="E1503" s="13">
        <f>IF(A1503="","",IF(COUNTIF(المبيعات!$C$2:$C$2000,A1503)=0,"",_xlfn.MAXIFS(المبيعات!$A$2:$A$2000,المبيعات!$C$2:$C$2000,A1503)))</f>
        <v/>
      </c>
      <c r="F1503">
        <f>IF(A1503="","",SUMIFS(المبيعات!$H$2:$H$2000,المبيعات!$C$2:$C$2000,A1503,المبيعات!$J$2:$J$2000,"آجل"))</f>
        <v/>
      </c>
      <c r="G1503" s="4" t="n"/>
      <c r="H1503">
        <f>IF(A1503="","",F1503-G1503)</f>
        <v/>
      </c>
    </row>
    <row r="1504">
      <c r="A1504" s="4" t="n"/>
      <c r="B1504" s="4" t="n"/>
      <c r="C1504">
        <f>IF(A1504="","",SUMPRODUCT((المبيعات!$C$2:$C$2000=A1504)*(المبيعات!$B$2:$B$2000&lt;&gt;"")/COUNTIFS(المبيعات!$B$2:$B$2000,المبيعات!$B$2:$B$2000&amp;"",المبيعات!$C$2:$C$2000,المبيعات!$C$2:$C$2000&amp;"")))</f>
        <v/>
      </c>
      <c r="D1504">
        <f>IF(A1504="","",SUMIFS(المبيعات!$H$2:$H$2000,المبيعات!$C$2:$C$2000,A1504))</f>
        <v/>
      </c>
      <c r="E1504" s="13">
        <f>IF(A1504="","",IF(COUNTIF(المبيعات!$C$2:$C$2000,A1504)=0,"",_xlfn.MAXIFS(المبيعات!$A$2:$A$2000,المبيعات!$C$2:$C$2000,A1504)))</f>
        <v/>
      </c>
      <c r="F1504">
        <f>IF(A1504="","",SUMIFS(المبيعات!$H$2:$H$2000,المبيعات!$C$2:$C$2000,A1504,المبيعات!$J$2:$J$2000,"آجل"))</f>
        <v/>
      </c>
      <c r="G1504" s="4" t="n"/>
      <c r="H1504">
        <f>IF(A1504="","",F1504-G1504)</f>
        <v/>
      </c>
    </row>
    <row r="1505">
      <c r="A1505" s="4" t="n"/>
      <c r="B1505" s="4" t="n"/>
      <c r="C1505">
        <f>IF(A1505="","",SUMPRODUCT((المبيعات!$C$2:$C$2000=A1505)*(المبيعات!$B$2:$B$2000&lt;&gt;"")/COUNTIFS(المبيعات!$B$2:$B$2000,المبيعات!$B$2:$B$2000&amp;"",المبيعات!$C$2:$C$2000,المبيعات!$C$2:$C$2000&amp;"")))</f>
        <v/>
      </c>
      <c r="D1505">
        <f>IF(A1505="","",SUMIFS(المبيعات!$H$2:$H$2000,المبيعات!$C$2:$C$2000,A1505))</f>
        <v/>
      </c>
      <c r="E1505" s="13">
        <f>IF(A1505="","",IF(COUNTIF(المبيعات!$C$2:$C$2000,A1505)=0,"",_xlfn.MAXIFS(المبيعات!$A$2:$A$2000,المبيعات!$C$2:$C$2000,A1505)))</f>
        <v/>
      </c>
      <c r="F1505">
        <f>IF(A1505="","",SUMIFS(المبيعات!$H$2:$H$2000,المبيعات!$C$2:$C$2000,A1505,المبيعات!$J$2:$J$2000,"آجل"))</f>
        <v/>
      </c>
      <c r="G1505" s="4" t="n"/>
      <c r="H1505">
        <f>IF(A1505="","",F1505-G1505)</f>
        <v/>
      </c>
    </row>
    <row r="1506">
      <c r="A1506" s="4" t="n"/>
      <c r="B1506" s="4" t="n"/>
      <c r="C1506">
        <f>IF(A1506="","",SUMPRODUCT((المبيعات!$C$2:$C$2000=A1506)*(المبيعات!$B$2:$B$2000&lt;&gt;"")/COUNTIFS(المبيعات!$B$2:$B$2000,المبيعات!$B$2:$B$2000&amp;"",المبيعات!$C$2:$C$2000,المبيعات!$C$2:$C$2000&amp;"")))</f>
        <v/>
      </c>
      <c r="D1506">
        <f>IF(A1506="","",SUMIFS(المبيعات!$H$2:$H$2000,المبيعات!$C$2:$C$2000,A1506))</f>
        <v/>
      </c>
      <c r="E1506" s="13">
        <f>IF(A1506="","",IF(COUNTIF(المبيعات!$C$2:$C$2000,A1506)=0,"",_xlfn.MAXIFS(المبيعات!$A$2:$A$2000,المبيعات!$C$2:$C$2000,A1506)))</f>
        <v/>
      </c>
      <c r="F1506">
        <f>IF(A1506="","",SUMIFS(المبيعات!$H$2:$H$2000,المبيعات!$C$2:$C$2000,A1506,المبيعات!$J$2:$J$2000,"آجل"))</f>
        <v/>
      </c>
      <c r="G1506" s="4" t="n"/>
      <c r="H1506">
        <f>IF(A1506="","",F1506-G1506)</f>
        <v/>
      </c>
    </row>
    <row r="1507">
      <c r="A1507" s="4" t="n"/>
      <c r="B1507" s="4" t="n"/>
      <c r="C1507">
        <f>IF(A1507="","",SUMPRODUCT((المبيعات!$C$2:$C$2000=A1507)*(المبيعات!$B$2:$B$2000&lt;&gt;"")/COUNTIFS(المبيعات!$B$2:$B$2000,المبيعات!$B$2:$B$2000&amp;"",المبيعات!$C$2:$C$2000,المبيعات!$C$2:$C$2000&amp;"")))</f>
        <v/>
      </c>
      <c r="D1507">
        <f>IF(A1507="","",SUMIFS(المبيعات!$H$2:$H$2000,المبيعات!$C$2:$C$2000,A1507))</f>
        <v/>
      </c>
      <c r="E1507" s="13">
        <f>IF(A1507="","",IF(COUNTIF(المبيعات!$C$2:$C$2000,A1507)=0,"",_xlfn.MAXIFS(المبيعات!$A$2:$A$2000,المبيعات!$C$2:$C$2000,A1507)))</f>
        <v/>
      </c>
      <c r="F1507">
        <f>IF(A1507="","",SUMIFS(المبيعات!$H$2:$H$2000,المبيعات!$C$2:$C$2000,A1507,المبيعات!$J$2:$J$2000,"آجل"))</f>
        <v/>
      </c>
      <c r="G1507" s="4" t="n"/>
      <c r="H1507">
        <f>IF(A1507="","",F1507-G1507)</f>
        <v/>
      </c>
    </row>
    <row r="1508">
      <c r="A1508" s="4" t="n"/>
      <c r="B1508" s="4" t="n"/>
      <c r="C1508">
        <f>IF(A1508="","",SUMPRODUCT((المبيعات!$C$2:$C$2000=A1508)*(المبيعات!$B$2:$B$2000&lt;&gt;"")/COUNTIFS(المبيعات!$B$2:$B$2000,المبيعات!$B$2:$B$2000&amp;"",المبيعات!$C$2:$C$2000,المبيعات!$C$2:$C$2000&amp;"")))</f>
        <v/>
      </c>
      <c r="D1508">
        <f>IF(A1508="","",SUMIFS(المبيعات!$H$2:$H$2000,المبيعات!$C$2:$C$2000,A1508))</f>
        <v/>
      </c>
      <c r="E1508" s="13">
        <f>IF(A1508="","",IF(COUNTIF(المبيعات!$C$2:$C$2000,A1508)=0,"",_xlfn.MAXIFS(المبيعات!$A$2:$A$2000,المبيعات!$C$2:$C$2000,A1508)))</f>
        <v/>
      </c>
      <c r="F1508">
        <f>IF(A1508="","",SUMIFS(المبيعات!$H$2:$H$2000,المبيعات!$C$2:$C$2000,A1508,المبيعات!$J$2:$J$2000,"آجل"))</f>
        <v/>
      </c>
      <c r="G1508" s="4" t="n"/>
      <c r="H1508">
        <f>IF(A1508="","",F1508-G1508)</f>
        <v/>
      </c>
    </row>
    <row r="1509">
      <c r="A1509" s="4" t="n"/>
      <c r="B1509" s="4" t="n"/>
      <c r="C1509">
        <f>IF(A1509="","",SUMPRODUCT((المبيعات!$C$2:$C$2000=A1509)*(المبيعات!$B$2:$B$2000&lt;&gt;"")/COUNTIFS(المبيعات!$B$2:$B$2000,المبيعات!$B$2:$B$2000&amp;"",المبيعات!$C$2:$C$2000,المبيعات!$C$2:$C$2000&amp;"")))</f>
        <v/>
      </c>
      <c r="D1509">
        <f>IF(A1509="","",SUMIFS(المبيعات!$H$2:$H$2000,المبيعات!$C$2:$C$2000,A1509))</f>
        <v/>
      </c>
      <c r="E1509" s="13">
        <f>IF(A1509="","",IF(COUNTIF(المبيعات!$C$2:$C$2000,A1509)=0,"",_xlfn.MAXIFS(المبيعات!$A$2:$A$2000,المبيعات!$C$2:$C$2000,A1509)))</f>
        <v/>
      </c>
      <c r="F1509">
        <f>IF(A1509="","",SUMIFS(المبيعات!$H$2:$H$2000,المبيعات!$C$2:$C$2000,A1509,المبيعات!$J$2:$J$2000,"آجل"))</f>
        <v/>
      </c>
      <c r="G1509" s="4" t="n"/>
      <c r="H1509">
        <f>IF(A1509="","",F1509-G1509)</f>
        <v/>
      </c>
    </row>
    <row r="1510">
      <c r="A1510" s="4" t="n"/>
      <c r="B1510" s="4" t="n"/>
      <c r="C1510">
        <f>IF(A1510="","",SUMPRODUCT((المبيعات!$C$2:$C$2000=A1510)*(المبيعات!$B$2:$B$2000&lt;&gt;"")/COUNTIFS(المبيعات!$B$2:$B$2000,المبيعات!$B$2:$B$2000&amp;"",المبيعات!$C$2:$C$2000,المبيعات!$C$2:$C$2000&amp;"")))</f>
        <v/>
      </c>
      <c r="D1510">
        <f>IF(A1510="","",SUMIFS(المبيعات!$H$2:$H$2000,المبيعات!$C$2:$C$2000,A1510))</f>
        <v/>
      </c>
      <c r="E1510" s="13">
        <f>IF(A1510="","",IF(COUNTIF(المبيعات!$C$2:$C$2000,A1510)=0,"",_xlfn.MAXIFS(المبيعات!$A$2:$A$2000,المبيعات!$C$2:$C$2000,A1510)))</f>
        <v/>
      </c>
      <c r="F1510">
        <f>IF(A1510="","",SUMIFS(المبيعات!$H$2:$H$2000,المبيعات!$C$2:$C$2000,A1510,المبيعات!$J$2:$J$2000,"آجل"))</f>
        <v/>
      </c>
      <c r="G1510" s="4" t="n"/>
      <c r="H1510">
        <f>IF(A1510="","",F1510-G1510)</f>
        <v/>
      </c>
    </row>
    <row r="1511">
      <c r="A1511" s="4" t="n"/>
      <c r="B1511" s="4" t="n"/>
      <c r="C1511">
        <f>IF(A1511="","",SUMPRODUCT((المبيعات!$C$2:$C$2000=A1511)*(المبيعات!$B$2:$B$2000&lt;&gt;"")/COUNTIFS(المبيعات!$B$2:$B$2000,المبيعات!$B$2:$B$2000&amp;"",المبيعات!$C$2:$C$2000,المبيعات!$C$2:$C$2000&amp;"")))</f>
        <v/>
      </c>
      <c r="D1511">
        <f>IF(A1511="","",SUMIFS(المبيعات!$H$2:$H$2000,المبيعات!$C$2:$C$2000,A1511))</f>
        <v/>
      </c>
      <c r="E1511" s="13">
        <f>IF(A1511="","",IF(COUNTIF(المبيعات!$C$2:$C$2000,A1511)=0,"",_xlfn.MAXIFS(المبيعات!$A$2:$A$2000,المبيعات!$C$2:$C$2000,A1511)))</f>
        <v/>
      </c>
      <c r="F1511">
        <f>IF(A1511="","",SUMIFS(المبيعات!$H$2:$H$2000,المبيعات!$C$2:$C$2000,A1511,المبيعات!$J$2:$J$2000,"آجل"))</f>
        <v/>
      </c>
      <c r="G1511" s="4" t="n"/>
      <c r="H1511">
        <f>IF(A1511="","",F1511-G1511)</f>
        <v/>
      </c>
    </row>
    <row r="1512">
      <c r="A1512" s="4" t="n"/>
      <c r="B1512" s="4" t="n"/>
      <c r="C1512">
        <f>IF(A1512="","",SUMPRODUCT((المبيعات!$C$2:$C$2000=A1512)*(المبيعات!$B$2:$B$2000&lt;&gt;"")/COUNTIFS(المبيعات!$B$2:$B$2000,المبيعات!$B$2:$B$2000&amp;"",المبيعات!$C$2:$C$2000,المبيعات!$C$2:$C$2000&amp;"")))</f>
        <v/>
      </c>
      <c r="D1512">
        <f>IF(A1512="","",SUMIFS(المبيعات!$H$2:$H$2000,المبيعات!$C$2:$C$2000,A1512))</f>
        <v/>
      </c>
      <c r="E1512" s="13">
        <f>IF(A1512="","",IF(COUNTIF(المبيعات!$C$2:$C$2000,A1512)=0,"",_xlfn.MAXIFS(المبيعات!$A$2:$A$2000,المبيعات!$C$2:$C$2000,A1512)))</f>
        <v/>
      </c>
      <c r="F1512">
        <f>IF(A1512="","",SUMIFS(المبيعات!$H$2:$H$2000,المبيعات!$C$2:$C$2000,A1512,المبيعات!$J$2:$J$2000,"آجل"))</f>
        <v/>
      </c>
      <c r="G1512" s="4" t="n"/>
      <c r="H1512">
        <f>IF(A1512="","",F1512-G1512)</f>
        <v/>
      </c>
    </row>
    <row r="1513">
      <c r="A1513" s="4" t="n"/>
      <c r="B1513" s="4" t="n"/>
      <c r="C1513">
        <f>IF(A1513="","",SUMPRODUCT((المبيعات!$C$2:$C$2000=A1513)*(المبيعات!$B$2:$B$2000&lt;&gt;"")/COUNTIFS(المبيعات!$B$2:$B$2000,المبيعات!$B$2:$B$2000&amp;"",المبيعات!$C$2:$C$2000,المبيعات!$C$2:$C$2000&amp;"")))</f>
        <v/>
      </c>
      <c r="D1513">
        <f>IF(A1513="","",SUMIFS(المبيعات!$H$2:$H$2000,المبيعات!$C$2:$C$2000,A1513))</f>
        <v/>
      </c>
      <c r="E1513" s="13">
        <f>IF(A1513="","",IF(COUNTIF(المبيعات!$C$2:$C$2000,A1513)=0,"",_xlfn.MAXIFS(المبيعات!$A$2:$A$2000,المبيعات!$C$2:$C$2000,A1513)))</f>
        <v/>
      </c>
      <c r="F1513">
        <f>IF(A1513="","",SUMIFS(المبيعات!$H$2:$H$2000,المبيعات!$C$2:$C$2000,A1513,المبيعات!$J$2:$J$2000,"آجل"))</f>
        <v/>
      </c>
      <c r="G1513" s="4" t="n"/>
      <c r="H1513">
        <f>IF(A1513="","",F1513-G1513)</f>
        <v/>
      </c>
    </row>
    <row r="1514">
      <c r="A1514" s="4" t="n"/>
      <c r="B1514" s="4" t="n"/>
      <c r="C1514">
        <f>IF(A1514="","",SUMPRODUCT((المبيعات!$C$2:$C$2000=A1514)*(المبيعات!$B$2:$B$2000&lt;&gt;"")/COUNTIFS(المبيعات!$B$2:$B$2000,المبيعات!$B$2:$B$2000&amp;"",المبيعات!$C$2:$C$2000,المبيعات!$C$2:$C$2000&amp;"")))</f>
        <v/>
      </c>
      <c r="D1514">
        <f>IF(A1514="","",SUMIFS(المبيعات!$H$2:$H$2000,المبيعات!$C$2:$C$2000,A1514))</f>
        <v/>
      </c>
      <c r="E1514" s="13">
        <f>IF(A1514="","",IF(COUNTIF(المبيعات!$C$2:$C$2000,A1514)=0,"",_xlfn.MAXIFS(المبيعات!$A$2:$A$2000,المبيعات!$C$2:$C$2000,A1514)))</f>
        <v/>
      </c>
      <c r="F1514">
        <f>IF(A1514="","",SUMIFS(المبيعات!$H$2:$H$2000,المبيعات!$C$2:$C$2000,A1514,المبيعات!$J$2:$J$2000,"آجل"))</f>
        <v/>
      </c>
      <c r="G1514" s="4" t="n"/>
      <c r="H1514">
        <f>IF(A1514="","",F1514-G1514)</f>
        <v/>
      </c>
    </row>
    <row r="1515">
      <c r="A1515" s="4" t="n"/>
      <c r="B1515" s="4" t="n"/>
      <c r="C1515">
        <f>IF(A1515="","",SUMPRODUCT((المبيعات!$C$2:$C$2000=A1515)*(المبيعات!$B$2:$B$2000&lt;&gt;"")/COUNTIFS(المبيعات!$B$2:$B$2000,المبيعات!$B$2:$B$2000&amp;"",المبيعات!$C$2:$C$2000,المبيعات!$C$2:$C$2000&amp;"")))</f>
        <v/>
      </c>
      <c r="D1515">
        <f>IF(A1515="","",SUMIFS(المبيعات!$H$2:$H$2000,المبيعات!$C$2:$C$2000,A1515))</f>
        <v/>
      </c>
      <c r="E1515" s="13">
        <f>IF(A1515="","",IF(COUNTIF(المبيعات!$C$2:$C$2000,A1515)=0,"",_xlfn.MAXIFS(المبيعات!$A$2:$A$2000,المبيعات!$C$2:$C$2000,A1515)))</f>
        <v/>
      </c>
      <c r="F1515">
        <f>IF(A1515="","",SUMIFS(المبيعات!$H$2:$H$2000,المبيعات!$C$2:$C$2000,A1515,المبيعات!$J$2:$J$2000,"آجل"))</f>
        <v/>
      </c>
      <c r="G1515" s="4" t="n"/>
      <c r="H1515">
        <f>IF(A1515="","",F1515-G1515)</f>
        <v/>
      </c>
    </row>
    <row r="1516">
      <c r="A1516" s="4" t="n"/>
      <c r="B1516" s="4" t="n"/>
      <c r="C1516">
        <f>IF(A1516="","",SUMPRODUCT((المبيعات!$C$2:$C$2000=A1516)*(المبيعات!$B$2:$B$2000&lt;&gt;"")/COUNTIFS(المبيعات!$B$2:$B$2000,المبيعات!$B$2:$B$2000&amp;"",المبيعات!$C$2:$C$2000,المبيعات!$C$2:$C$2000&amp;"")))</f>
        <v/>
      </c>
      <c r="D1516">
        <f>IF(A1516="","",SUMIFS(المبيعات!$H$2:$H$2000,المبيعات!$C$2:$C$2000,A1516))</f>
        <v/>
      </c>
      <c r="E1516" s="13">
        <f>IF(A1516="","",IF(COUNTIF(المبيعات!$C$2:$C$2000,A1516)=0,"",_xlfn.MAXIFS(المبيعات!$A$2:$A$2000,المبيعات!$C$2:$C$2000,A1516)))</f>
        <v/>
      </c>
      <c r="F1516">
        <f>IF(A1516="","",SUMIFS(المبيعات!$H$2:$H$2000,المبيعات!$C$2:$C$2000,A1516,المبيعات!$J$2:$J$2000,"آجل"))</f>
        <v/>
      </c>
      <c r="G1516" s="4" t="n"/>
      <c r="H1516">
        <f>IF(A1516="","",F1516-G1516)</f>
        <v/>
      </c>
    </row>
    <row r="1517">
      <c r="A1517" s="4" t="n"/>
      <c r="B1517" s="4" t="n"/>
      <c r="C1517">
        <f>IF(A1517="","",SUMPRODUCT((المبيعات!$C$2:$C$2000=A1517)*(المبيعات!$B$2:$B$2000&lt;&gt;"")/COUNTIFS(المبيعات!$B$2:$B$2000,المبيعات!$B$2:$B$2000&amp;"",المبيعات!$C$2:$C$2000,المبيعات!$C$2:$C$2000&amp;"")))</f>
        <v/>
      </c>
      <c r="D1517">
        <f>IF(A1517="","",SUMIFS(المبيعات!$H$2:$H$2000,المبيعات!$C$2:$C$2000,A1517))</f>
        <v/>
      </c>
      <c r="E1517" s="13">
        <f>IF(A1517="","",IF(COUNTIF(المبيعات!$C$2:$C$2000,A1517)=0,"",_xlfn.MAXIFS(المبيعات!$A$2:$A$2000,المبيعات!$C$2:$C$2000,A1517)))</f>
        <v/>
      </c>
      <c r="F1517">
        <f>IF(A1517="","",SUMIFS(المبيعات!$H$2:$H$2000,المبيعات!$C$2:$C$2000,A1517,المبيعات!$J$2:$J$2000,"آجل"))</f>
        <v/>
      </c>
      <c r="G1517" s="4" t="n"/>
      <c r="H1517">
        <f>IF(A1517="","",F1517-G1517)</f>
        <v/>
      </c>
    </row>
    <row r="1518">
      <c r="A1518" s="4" t="n"/>
      <c r="B1518" s="4" t="n"/>
      <c r="C1518">
        <f>IF(A1518="","",SUMPRODUCT((المبيعات!$C$2:$C$2000=A1518)*(المبيعات!$B$2:$B$2000&lt;&gt;"")/COUNTIFS(المبيعات!$B$2:$B$2000,المبيعات!$B$2:$B$2000&amp;"",المبيعات!$C$2:$C$2000,المبيعات!$C$2:$C$2000&amp;"")))</f>
        <v/>
      </c>
      <c r="D1518">
        <f>IF(A1518="","",SUMIFS(المبيعات!$H$2:$H$2000,المبيعات!$C$2:$C$2000,A1518))</f>
        <v/>
      </c>
      <c r="E1518" s="13">
        <f>IF(A1518="","",IF(COUNTIF(المبيعات!$C$2:$C$2000,A1518)=0,"",_xlfn.MAXIFS(المبيعات!$A$2:$A$2000,المبيعات!$C$2:$C$2000,A1518)))</f>
        <v/>
      </c>
      <c r="F1518">
        <f>IF(A1518="","",SUMIFS(المبيعات!$H$2:$H$2000,المبيعات!$C$2:$C$2000,A1518,المبيعات!$J$2:$J$2000,"آجل"))</f>
        <v/>
      </c>
      <c r="G1518" s="4" t="n"/>
      <c r="H1518">
        <f>IF(A1518="","",F1518-G1518)</f>
        <v/>
      </c>
    </row>
    <row r="1519">
      <c r="A1519" s="4" t="n"/>
      <c r="B1519" s="4" t="n"/>
      <c r="C1519">
        <f>IF(A1519="","",SUMPRODUCT((المبيعات!$C$2:$C$2000=A1519)*(المبيعات!$B$2:$B$2000&lt;&gt;"")/COUNTIFS(المبيعات!$B$2:$B$2000,المبيعات!$B$2:$B$2000&amp;"",المبيعات!$C$2:$C$2000,المبيعات!$C$2:$C$2000&amp;"")))</f>
        <v/>
      </c>
      <c r="D1519">
        <f>IF(A1519="","",SUMIFS(المبيعات!$H$2:$H$2000,المبيعات!$C$2:$C$2000,A1519))</f>
        <v/>
      </c>
      <c r="E1519" s="13">
        <f>IF(A1519="","",IF(COUNTIF(المبيعات!$C$2:$C$2000,A1519)=0,"",_xlfn.MAXIFS(المبيعات!$A$2:$A$2000,المبيعات!$C$2:$C$2000,A1519)))</f>
        <v/>
      </c>
      <c r="F1519">
        <f>IF(A1519="","",SUMIFS(المبيعات!$H$2:$H$2000,المبيعات!$C$2:$C$2000,A1519,المبيعات!$J$2:$J$2000,"آجل"))</f>
        <v/>
      </c>
      <c r="G1519" s="4" t="n"/>
      <c r="H1519">
        <f>IF(A1519="","",F1519-G1519)</f>
        <v/>
      </c>
    </row>
    <row r="1520">
      <c r="A1520" s="4" t="n"/>
      <c r="B1520" s="4" t="n"/>
      <c r="C1520">
        <f>IF(A1520="","",SUMPRODUCT((المبيعات!$C$2:$C$2000=A1520)*(المبيعات!$B$2:$B$2000&lt;&gt;"")/COUNTIFS(المبيعات!$B$2:$B$2000,المبيعات!$B$2:$B$2000&amp;"",المبيعات!$C$2:$C$2000,المبيعات!$C$2:$C$2000&amp;"")))</f>
        <v/>
      </c>
      <c r="D1520">
        <f>IF(A1520="","",SUMIFS(المبيعات!$H$2:$H$2000,المبيعات!$C$2:$C$2000,A1520))</f>
        <v/>
      </c>
      <c r="E1520" s="13">
        <f>IF(A1520="","",IF(COUNTIF(المبيعات!$C$2:$C$2000,A1520)=0,"",_xlfn.MAXIFS(المبيعات!$A$2:$A$2000,المبيعات!$C$2:$C$2000,A1520)))</f>
        <v/>
      </c>
      <c r="F1520">
        <f>IF(A1520="","",SUMIFS(المبيعات!$H$2:$H$2000,المبيعات!$C$2:$C$2000,A1520,المبيعات!$J$2:$J$2000,"آجل"))</f>
        <v/>
      </c>
      <c r="G1520" s="4" t="n"/>
      <c r="H1520">
        <f>IF(A1520="","",F1520-G1520)</f>
        <v/>
      </c>
    </row>
    <row r="1521">
      <c r="A1521" s="4" t="n"/>
      <c r="B1521" s="4" t="n"/>
      <c r="C1521">
        <f>IF(A1521="","",SUMPRODUCT((المبيعات!$C$2:$C$2000=A1521)*(المبيعات!$B$2:$B$2000&lt;&gt;"")/COUNTIFS(المبيعات!$B$2:$B$2000,المبيعات!$B$2:$B$2000&amp;"",المبيعات!$C$2:$C$2000,المبيعات!$C$2:$C$2000&amp;"")))</f>
        <v/>
      </c>
      <c r="D1521">
        <f>IF(A1521="","",SUMIFS(المبيعات!$H$2:$H$2000,المبيعات!$C$2:$C$2000,A1521))</f>
        <v/>
      </c>
      <c r="E1521" s="13">
        <f>IF(A1521="","",IF(COUNTIF(المبيعات!$C$2:$C$2000,A1521)=0,"",_xlfn.MAXIFS(المبيعات!$A$2:$A$2000,المبيعات!$C$2:$C$2000,A1521)))</f>
        <v/>
      </c>
      <c r="F1521">
        <f>IF(A1521="","",SUMIFS(المبيعات!$H$2:$H$2000,المبيعات!$C$2:$C$2000,A1521,المبيعات!$J$2:$J$2000,"آجل"))</f>
        <v/>
      </c>
      <c r="G1521" s="4" t="n"/>
      <c r="H1521">
        <f>IF(A1521="","",F1521-G1521)</f>
        <v/>
      </c>
    </row>
    <row r="1522">
      <c r="A1522" s="4" t="n"/>
      <c r="B1522" s="4" t="n"/>
      <c r="C1522">
        <f>IF(A1522="","",SUMPRODUCT((المبيعات!$C$2:$C$2000=A1522)*(المبيعات!$B$2:$B$2000&lt;&gt;"")/COUNTIFS(المبيعات!$B$2:$B$2000,المبيعات!$B$2:$B$2000&amp;"",المبيعات!$C$2:$C$2000,المبيعات!$C$2:$C$2000&amp;"")))</f>
        <v/>
      </c>
      <c r="D1522">
        <f>IF(A1522="","",SUMIFS(المبيعات!$H$2:$H$2000,المبيعات!$C$2:$C$2000,A1522))</f>
        <v/>
      </c>
      <c r="E1522" s="13">
        <f>IF(A1522="","",IF(COUNTIF(المبيعات!$C$2:$C$2000,A1522)=0,"",_xlfn.MAXIFS(المبيعات!$A$2:$A$2000,المبيعات!$C$2:$C$2000,A1522)))</f>
        <v/>
      </c>
      <c r="F1522">
        <f>IF(A1522="","",SUMIFS(المبيعات!$H$2:$H$2000,المبيعات!$C$2:$C$2000,A1522,المبيعات!$J$2:$J$2000,"آجل"))</f>
        <v/>
      </c>
      <c r="G1522" s="4" t="n"/>
      <c r="H1522">
        <f>IF(A1522="","",F1522-G1522)</f>
        <v/>
      </c>
    </row>
    <row r="1523">
      <c r="A1523" s="4" t="n"/>
      <c r="B1523" s="4" t="n"/>
      <c r="C1523">
        <f>IF(A1523="","",SUMPRODUCT((المبيعات!$C$2:$C$2000=A1523)*(المبيعات!$B$2:$B$2000&lt;&gt;"")/COUNTIFS(المبيعات!$B$2:$B$2000,المبيعات!$B$2:$B$2000&amp;"",المبيعات!$C$2:$C$2000,المبيعات!$C$2:$C$2000&amp;"")))</f>
        <v/>
      </c>
      <c r="D1523">
        <f>IF(A1523="","",SUMIFS(المبيعات!$H$2:$H$2000,المبيعات!$C$2:$C$2000,A1523))</f>
        <v/>
      </c>
      <c r="E1523" s="13">
        <f>IF(A1523="","",IF(COUNTIF(المبيعات!$C$2:$C$2000,A1523)=0,"",_xlfn.MAXIFS(المبيعات!$A$2:$A$2000,المبيعات!$C$2:$C$2000,A1523)))</f>
        <v/>
      </c>
      <c r="F1523">
        <f>IF(A1523="","",SUMIFS(المبيعات!$H$2:$H$2000,المبيعات!$C$2:$C$2000,A1523,المبيعات!$J$2:$J$2000,"آجل"))</f>
        <v/>
      </c>
      <c r="G1523" s="4" t="n"/>
      <c r="H1523">
        <f>IF(A1523="","",F1523-G1523)</f>
        <v/>
      </c>
    </row>
    <row r="1524">
      <c r="A1524" s="4" t="n"/>
      <c r="B1524" s="4" t="n"/>
      <c r="C1524">
        <f>IF(A1524="","",SUMPRODUCT((المبيعات!$C$2:$C$2000=A1524)*(المبيعات!$B$2:$B$2000&lt;&gt;"")/COUNTIFS(المبيعات!$B$2:$B$2000,المبيعات!$B$2:$B$2000&amp;"",المبيعات!$C$2:$C$2000,المبيعات!$C$2:$C$2000&amp;"")))</f>
        <v/>
      </c>
      <c r="D1524">
        <f>IF(A1524="","",SUMIFS(المبيعات!$H$2:$H$2000,المبيعات!$C$2:$C$2000,A1524))</f>
        <v/>
      </c>
      <c r="E1524" s="13">
        <f>IF(A1524="","",IF(COUNTIF(المبيعات!$C$2:$C$2000,A1524)=0,"",_xlfn.MAXIFS(المبيعات!$A$2:$A$2000,المبيعات!$C$2:$C$2000,A1524)))</f>
        <v/>
      </c>
      <c r="F1524">
        <f>IF(A1524="","",SUMIFS(المبيعات!$H$2:$H$2000,المبيعات!$C$2:$C$2000,A1524,المبيعات!$J$2:$J$2000,"آجل"))</f>
        <v/>
      </c>
      <c r="G1524" s="4" t="n"/>
      <c r="H1524">
        <f>IF(A1524="","",F1524-G1524)</f>
        <v/>
      </c>
    </row>
    <row r="1525">
      <c r="A1525" s="4" t="n"/>
      <c r="B1525" s="4" t="n"/>
      <c r="C1525">
        <f>IF(A1525="","",SUMPRODUCT((المبيعات!$C$2:$C$2000=A1525)*(المبيعات!$B$2:$B$2000&lt;&gt;"")/COUNTIFS(المبيعات!$B$2:$B$2000,المبيعات!$B$2:$B$2000&amp;"",المبيعات!$C$2:$C$2000,المبيعات!$C$2:$C$2000&amp;"")))</f>
        <v/>
      </c>
      <c r="D1525">
        <f>IF(A1525="","",SUMIFS(المبيعات!$H$2:$H$2000,المبيعات!$C$2:$C$2000,A1525))</f>
        <v/>
      </c>
      <c r="E1525" s="13">
        <f>IF(A1525="","",IF(COUNTIF(المبيعات!$C$2:$C$2000,A1525)=0,"",_xlfn.MAXIFS(المبيعات!$A$2:$A$2000,المبيعات!$C$2:$C$2000,A1525)))</f>
        <v/>
      </c>
      <c r="F1525">
        <f>IF(A1525="","",SUMIFS(المبيعات!$H$2:$H$2000,المبيعات!$C$2:$C$2000,A1525,المبيعات!$J$2:$J$2000,"آجل"))</f>
        <v/>
      </c>
      <c r="G1525" s="4" t="n"/>
      <c r="H1525">
        <f>IF(A1525="","",F1525-G1525)</f>
        <v/>
      </c>
    </row>
    <row r="1526">
      <c r="A1526" s="4" t="n"/>
      <c r="B1526" s="4" t="n"/>
      <c r="C1526">
        <f>IF(A1526="","",SUMPRODUCT((المبيعات!$C$2:$C$2000=A1526)*(المبيعات!$B$2:$B$2000&lt;&gt;"")/COUNTIFS(المبيعات!$B$2:$B$2000,المبيعات!$B$2:$B$2000&amp;"",المبيعات!$C$2:$C$2000,المبيعات!$C$2:$C$2000&amp;"")))</f>
        <v/>
      </c>
      <c r="D1526">
        <f>IF(A1526="","",SUMIFS(المبيعات!$H$2:$H$2000,المبيعات!$C$2:$C$2000,A1526))</f>
        <v/>
      </c>
      <c r="E1526" s="13">
        <f>IF(A1526="","",IF(COUNTIF(المبيعات!$C$2:$C$2000,A1526)=0,"",_xlfn.MAXIFS(المبيعات!$A$2:$A$2000,المبيعات!$C$2:$C$2000,A1526)))</f>
        <v/>
      </c>
      <c r="F1526">
        <f>IF(A1526="","",SUMIFS(المبيعات!$H$2:$H$2000,المبيعات!$C$2:$C$2000,A1526,المبيعات!$J$2:$J$2000,"آجل"))</f>
        <v/>
      </c>
      <c r="G1526" s="4" t="n"/>
      <c r="H1526">
        <f>IF(A1526="","",F1526-G1526)</f>
        <v/>
      </c>
    </row>
    <row r="1527">
      <c r="A1527" s="4" t="n"/>
      <c r="B1527" s="4" t="n"/>
      <c r="C1527">
        <f>IF(A1527="","",SUMPRODUCT((المبيعات!$C$2:$C$2000=A1527)*(المبيعات!$B$2:$B$2000&lt;&gt;"")/COUNTIFS(المبيعات!$B$2:$B$2000,المبيعات!$B$2:$B$2000&amp;"",المبيعات!$C$2:$C$2000,المبيعات!$C$2:$C$2000&amp;"")))</f>
        <v/>
      </c>
      <c r="D1527">
        <f>IF(A1527="","",SUMIFS(المبيعات!$H$2:$H$2000,المبيعات!$C$2:$C$2000,A1527))</f>
        <v/>
      </c>
      <c r="E1527" s="13">
        <f>IF(A1527="","",IF(COUNTIF(المبيعات!$C$2:$C$2000,A1527)=0,"",_xlfn.MAXIFS(المبيعات!$A$2:$A$2000,المبيعات!$C$2:$C$2000,A1527)))</f>
        <v/>
      </c>
      <c r="F1527">
        <f>IF(A1527="","",SUMIFS(المبيعات!$H$2:$H$2000,المبيعات!$C$2:$C$2000,A1527,المبيعات!$J$2:$J$2000,"آجل"))</f>
        <v/>
      </c>
      <c r="G1527" s="4" t="n"/>
      <c r="H1527">
        <f>IF(A1527="","",F1527-G1527)</f>
        <v/>
      </c>
    </row>
    <row r="1528">
      <c r="A1528" s="4" t="n"/>
      <c r="B1528" s="4" t="n"/>
      <c r="C1528">
        <f>IF(A1528="","",SUMPRODUCT((المبيعات!$C$2:$C$2000=A1528)*(المبيعات!$B$2:$B$2000&lt;&gt;"")/COUNTIFS(المبيعات!$B$2:$B$2000,المبيعات!$B$2:$B$2000&amp;"",المبيعات!$C$2:$C$2000,المبيعات!$C$2:$C$2000&amp;"")))</f>
        <v/>
      </c>
      <c r="D1528">
        <f>IF(A1528="","",SUMIFS(المبيعات!$H$2:$H$2000,المبيعات!$C$2:$C$2000,A1528))</f>
        <v/>
      </c>
      <c r="E1528" s="13">
        <f>IF(A1528="","",IF(COUNTIF(المبيعات!$C$2:$C$2000,A1528)=0,"",_xlfn.MAXIFS(المبيعات!$A$2:$A$2000,المبيعات!$C$2:$C$2000,A1528)))</f>
        <v/>
      </c>
      <c r="F1528">
        <f>IF(A1528="","",SUMIFS(المبيعات!$H$2:$H$2000,المبيعات!$C$2:$C$2000,A1528,المبيعات!$J$2:$J$2000,"آجل"))</f>
        <v/>
      </c>
      <c r="G1528" s="4" t="n"/>
      <c r="H1528">
        <f>IF(A1528="","",F1528-G1528)</f>
        <v/>
      </c>
    </row>
    <row r="1529">
      <c r="A1529" s="4" t="n"/>
      <c r="B1529" s="4" t="n"/>
      <c r="C1529">
        <f>IF(A1529="","",SUMPRODUCT((المبيعات!$C$2:$C$2000=A1529)*(المبيعات!$B$2:$B$2000&lt;&gt;"")/COUNTIFS(المبيعات!$B$2:$B$2000,المبيعات!$B$2:$B$2000&amp;"",المبيعات!$C$2:$C$2000,المبيعات!$C$2:$C$2000&amp;"")))</f>
        <v/>
      </c>
      <c r="D1529">
        <f>IF(A1529="","",SUMIFS(المبيعات!$H$2:$H$2000,المبيعات!$C$2:$C$2000,A1529))</f>
        <v/>
      </c>
      <c r="E1529" s="13">
        <f>IF(A1529="","",IF(COUNTIF(المبيعات!$C$2:$C$2000,A1529)=0,"",_xlfn.MAXIFS(المبيعات!$A$2:$A$2000,المبيعات!$C$2:$C$2000,A1529)))</f>
        <v/>
      </c>
      <c r="F1529">
        <f>IF(A1529="","",SUMIFS(المبيعات!$H$2:$H$2000,المبيعات!$C$2:$C$2000,A1529,المبيعات!$J$2:$J$2000,"آجل"))</f>
        <v/>
      </c>
      <c r="G1529" s="4" t="n"/>
      <c r="H1529">
        <f>IF(A1529="","",F1529-G1529)</f>
        <v/>
      </c>
    </row>
    <row r="1530">
      <c r="A1530" s="4" t="n"/>
      <c r="B1530" s="4" t="n"/>
      <c r="C1530">
        <f>IF(A1530="","",SUMPRODUCT((المبيعات!$C$2:$C$2000=A1530)*(المبيعات!$B$2:$B$2000&lt;&gt;"")/COUNTIFS(المبيعات!$B$2:$B$2000,المبيعات!$B$2:$B$2000&amp;"",المبيعات!$C$2:$C$2000,المبيعات!$C$2:$C$2000&amp;"")))</f>
        <v/>
      </c>
      <c r="D1530">
        <f>IF(A1530="","",SUMIFS(المبيعات!$H$2:$H$2000,المبيعات!$C$2:$C$2000,A1530))</f>
        <v/>
      </c>
      <c r="E1530" s="13">
        <f>IF(A1530="","",IF(COUNTIF(المبيعات!$C$2:$C$2000,A1530)=0,"",_xlfn.MAXIFS(المبيعات!$A$2:$A$2000,المبيعات!$C$2:$C$2000,A1530)))</f>
        <v/>
      </c>
      <c r="F1530">
        <f>IF(A1530="","",SUMIFS(المبيعات!$H$2:$H$2000,المبيعات!$C$2:$C$2000,A1530,المبيعات!$J$2:$J$2000,"آجل"))</f>
        <v/>
      </c>
      <c r="G1530" s="4" t="n"/>
      <c r="H1530">
        <f>IF(A1530="","",F1530-G1530)</f>
        <v/>
      </c>
    </row>
    <row r="1531">
      <c r="A1531" s="4" t="n"/>
      <c r="B1531" s="4" t="n"/>
      <c r="C1531">
        <f>IF(A1531="","",SUMPRODUCT((المبيعات!$C$2:$C$2000=A1531)*(المبيعات!$B$2:$B$2000&lt;&gt;"")/COUNTIFS(المبيعات!$B$2:$B$2000,المبيعات!$B$2:$B$2000&amp;"",المبيعات!$C$2:$C$2000,المبيعات!$C$2:$C$2000&amp;"")))</f>
        <v/>
      </c>
      <c r="D1531">
        <f>IF(A1531="","",SUMIFS(المبيعات!$H$2:$H$2000,المبيعات!$C$2:$C$2000,A1531))</f>
        <v/>
      </c>
      <c r="E1531" s="13">
        <f>IF(A1531="","",IF(COUNTIF(المبيعات!$C$2:$C$2000,A1531)=0,"",_xlfn.MAXIFS(المبيعات!$A$2:$A$2000,المبيعات!$C$2:$C$2000,A1531)))</f>
        <v/>
      </c>
      <c r="F1531">
        <f>IF(A1531="","",SUMIFS(المبيعات!$H$2:$H$2000,المبيعات!$C$2:$C$2000,A1531,المبيعات!$J$2:$J$2000,"آجل"))</f>
        <v/>
      </c>
      <c r="G1531" s="4" t="n"/>
      <c r="H1531">
        <f>IF(A1531="","",F1531-G1531)</f>
        <v/>
      </c>
    </row>
    <row r="1532">
      <c r="A1532" s="4" t="n"/>
      <c r="B1532" s="4" t="n"/>
      <c r="C1532">
        <f>IF(A1532="","",SUMPRODUCT((المبيعات!$C$2:$C$2000=A1532)*(المبيعات!$B$2:$B$2000&lt;&gt;"")/COUNTIFS(المبيعات!$B$2:$B$2000,المبيعات!$B$2:$B$2000&amp;"",المبيعات!$C$2:$C$2000,المبيعات!$C$2:$C$2000&amp;"")))</f>
        <v/>
      </c>
      <c r="D1532">
        <f>IF(A1532="","",SUMIFS(المبيعات!$H$2:$H$2000,المبيعات!$C$2:$C$2000,A1532))</f>
        <v/>
      </c>
      <c r="E1532" s="13">
        <f>IF(A1532="","",IF(COUNTIF(المبيعات!$C$2:$C$2000,A1532)=0,"",_xlfn.MAXIFS(المبيعات!$A$2:$A$2000,المبيعات!$C$2:$C$2000,A1532)))</f>
        <v/>
      </c>
      <c r="F1532">
        <f>IF(A1532="","",SUMIFS(المبيعات!$H$2:$H$2000,المبيعات!$C$2:$C$2000,A1532,المبيعات!$J$2:$J$2000,"آجل"))</f>
        <v/>
      </c>
      <c r="G1532" s="4" t="n"/>
      <c r="H1532">
        <f>IF(A1532="","",F1532-G1532)</f>
        <v/>
      </c>
    </row>
    <row r="1533">
      <c r="A1533" s="4" t="n"/>
      <c r="B1533" s="4" t="n"/>
      <c r="C1533">
        <f>IF(A1533="","",SUMPRODUCT((المبيعات!$C$2:$C$2000=A1533)*(المبيعات!$B$2:$B$2000&lt;&gt;"")/COUNTIFS(المبيعات!$B$2:$B$2000,المبيعات!$B$2:$B$2000&amp;"",المبيعات!$C$2:$C$2000,المبيعات!$C$2:$C$2000&amp;"")))</f>
        <v/>
      </c>
      <c r="D1533">
        <f>IF(A1533="","",SUMIFS(المبيعات!$H$2:$H$2000,المبيعات!$C$2:$C$2000,A1533))</f>
        <v/>
      </c>
      <c r="E1533" s="13">
        <f>IF(A1533="","",IF(COUNTIF(المبيعات!$C$2:$C$2000,A1533)=0,"",_xlfn.MAXIFS(المبيعات!$A$2:$A$2000,المبيعات!$C$2:$C$2000,A1533)))</f>
        <v/>
      </c>
      <c r="F1533">
        <f>IF(A1533="","",SUMIFS(المبيعات!$H$2:$H$2000,المبيعات!$C$2:$C$2000,A1533,المبيعات!$J$2:$J$2000,"آجل"))</f>
        <v/>
      </c>
      <c r="G1533" s="4" t="n"/>
      <c r="H1533">
        <f>IF(A1533="","",F1533-G1533)</f>
        <v/>
      </c>
    </row>
    <row r="1534">
      <c r="A1534" s="4" t="n"/>
      <c r="B1534" s="4" t="n"/>
      <c r="C1534">
        <f>IF(A1534="","",SUMPRODUCT((المبيعات!$C$2:$C$2000=A1534)*(المبيعات!$B$2:$B$2000&lt;&gt;"")/COUNTIFS(المبيعات!$B$2:$B$2000,المبيعات!$B$2:$B$2000&amp;"",المبيعات!$C$2:$C$2000,المبيعات!$C$2:$C$2000&amp;"")))</f>
        <v/>
      </c>
      <c r="D1534">
        <f>IF(A1534="","",SUMIFS(المبيعات!$H$2:$H$2000,المبيعات!$C$2:$C$2000,A1534))</f>
        <v/>
      </c>
      <c r="E1534" s="13">
        <f>IF(A1534="","",IF(COUNTIF(المبيعات!$C$2:$C$2000,A1534)=0,"",_xlfn.MAXIFS(المبيعات!$A$2:$A$2000,المبيعات!$C$2:$C$2000,A1534)))</f>
        <v/>
      </c>
      <c r="F1534">
        <f>IF(A1534="","",SUMIFS(المبيعات!$H$2:$H$2000,المبيعات!$C$2:$C$2000,A1534,المبيعات!$J$2:$J$2000,"آجل"))</f>
        <v/>
      </c>
      <c r="G1534" s="4" t="n"/>
      <c r="H1534">
        <f>IF(A1534="","",F1534-G1534)</f>
        <v/>
      </c>
    </row>
    <row r="1535">
      <c r="A1535" s="4" t="n"/>
      <c r="B1535" s="4" t="n"/>
      <c r="C1535">
        <f>IF(A1535="","",SUMPRODUCT((المبيعات!$C$2:$C$2000=A1535)*(المبيعات!$B$2:$B$2000&lt;&gt;"")/COUNTIFS(المبيعات!$B$2:$B$2000,المبيعات!$B$2:$B$2000&amp;"",المبيعات!$C$2:$C$2000,المبيعات!$C$2:$C$2000&amp;"")))</f>
        <v/>
      </c>
      <c r="D1535">
        <f>IF(A1535="","",SUMIFS(المبيعات!$H$2:$H$2000,المبيعات!$C$2:$C$2000,A1535))</f>
        <v/>
      </c>
      <c r="E1535" s="13">
        <f>IF(A1535="","",IF(COUNTIF(المبيعات!$C$2:$C$2000,A1535)=0,"",_xlfn.MAXIFS(المبيعات!$A$2:$A$2000,المبيعات!$C$2:$C$2000,A1535)))</f>
        <v/>
      </c>
      <c r="F1535">
        <f>IF(A1535="","",SUMIFS(المبيعات!$H$2:$H$2000,المبيعات!$C$2:$C$2000,A1535,المبيعات!$J$2:$J$2000,"آجل"))</f>
        <v/>
      </c>
      <c r="G1535" s="4" t="n"/>
      <c r="H1535">
        <f>IF(A1535="","",F1535-G1535)</f>
        <v/>
      </c>
    </row>
    <row r="1536">
      <c r="A1536" s="4" t="n"/>
      <c r="B1536" s="4" t="n"/>
      <c r="C1536">
        <f>IF(A1536="","",SUMPRODUCT((المبيعات!$C$2:$C$2000=A1536)*(المبيعات!$B$2:$B$2000&lt;&gt;"")/COUNTIFS(المبيعات!$B$2:$B$2000,المبيعات!$B$2:$B$2000&amp;"",المبيعات!$C$2:$C$2000,المبيعات!$C$2:$C$2000&amp;"")))</f>
        <v/>
      </c>
      <c r="D1536">
        <f>IF(A1536="","",SUMIFS(المبيعات!$H$2:$H$2000,المبيعات!$C$2:$C$2000,A1536))</f>
        <v/>
      </c>
      <c r="E1536" s="13">
        <f>IF(A1536="","",IF(COUNTIF(المبيعات!$C$2:$C$2000,A1536)=0,"",_xlfn.MAXIFS(المبيعات!$A$2:$A$2000,المبيعات!$C$2:$C$2000,A1536)))</f>
        <v/>
      </c>
      <c r="F1536">
        <f>IF(A1536="","",SUMIFS(المبيعات!$H$2:$H$2000,المبيعات!$C$2:$C$2000,A1536,المبيعات!$J$2:$J$2000,"آجل"))</f>
        <v/>
      </c>
      <c r="G1536" s="4" t="n"/>
      <c r="H1536">
        <f>IF(A1536="","",F1536-G1536)</f>
        <v/>
      </c>
    </row>
    <row r="1537">
      <c r="A1537" s="4" t="n"/>
      <c r="B1537" s="4" t="n"/>
      <c r="C1537">
        <f>IF(A1537="","",SUMPRODUCT((المبيعات!$C$2:$C$2000=A1537)*(المبيعات!$B$2:$B$2000&lt;&gt;"")/COUNTIFS(المبيعات!$B$2:$B$2000,المبيعات!$B$2:$B$2000&amp;"",المبيعات!$C$2:$C$2000,المبيعات!$C$2:$C$2000&amp;"")))</f>
        <v/>
      </c>
      <c r="D1537">
        <f>IF(A1537="","",SUMIFS(المبيعات!$H$2:$H$2000,المبيعات!$C$2:$C$2000,A1537))</f>
        <v/>
      </c>
      <c r="E1537" s="13">
        <f>IF(A1537="","",IF(COUNTIF(المبيعات!$C$2:$C$2000,A1537)=0,"",_xlfn.MAXIFS(المبيعات!$A$2:$A$2000,المبيعات!$C$2:$C$2000,A1537)))</f>
        <v/>
      </c>
      <c r="F1537">
        <f>IF(A1537="","",SUMIFS(المبيعات!$H$2:$H$2000,المبيعات!$C$2:$C$2000,A1537,المبيعات!$J$2:$J$2000,"آجل"))</f>
        <v/>
      </c>
      <c r="G1537" s="4" t="n"/>
      <c r="H1537">
        <f>IF(A1537="","",F1537-G1537)</f>
        <v/>
      </c>
    </row>
    <row r="1538">
      <c r="A1538" s="4" t="n"/>
      <c r="B1538" s="4" t="n"/>
      <c r="C1538">
        <f>IF(A1538="","",SUMPRODUCT((المبيعات!$C$2:$C$2000=A1538)*(المبيعات!$B$2:$B$2000&lt;&gt;"")/COUNTIFS(المبيعات!$B$2:$B$2000,المبيعات!$B$2:$B$2000&amp;"",المبيعات!$C$2:$C$2000,المبيعات!$C$2:$C$2000&amp;"")))</f>
        <v/>
      </c>
      <c r="D1538">
        <f>IF(A1538="","",SUMIFS(المبيعات!$H$2:$H$2000,المبيعات!$C$2:$C$2000,A1538))</f>
        <v/>
      </c>
      <c r="E1538" s="13">
        <f>IF(A1538="","",IF(COUNTIF(المبيعات!$C$2:$C$2000,A1538)=0,"",_xlfn.MAXIFS(المبيعات!$A$2:$A$2000,المبيعات!$C$2:$C$2000,A1538)))</f>
        <v/>
      </c>
      <c r="F1538">
        <f>IF(A1538="","",SUMIFS(المبيعات!$H$2:$H$2000,المبيعات!$C$2:$C$2000,A1538,المبيعات!$J$2:$J$2000,"آجل"))</f>
        <v/>
      </c>
      <c r="G1538" s="4" t="n"/>
      <c r="H1538">
        <f>IF(A1538="","",F1538-G1538)</f>
        <v/>
      </c>
    </row>
    <row r="1539">
      <c r="A1539" s="4" t="n"/>
      <c r="B1539" s="4" t="n"/>
      <c r="C1539">
        <f>IF(A1539="","",SUMPRODUCT((المبيعات!$C$2:$C$2000=A1539)*(المبيعات!$B$2:$B$2000&lt;&gt;"")/COUNTIFS(المبيعات!$B$2:$B$2000,المبيعات!$B$2:$B$2000&amp;"",المبيعات!$C$2:$C$2000,المبيعات!$C$2:$C$2000&amp;"")))</f>
        <v/>
      </c>
      <c r="D1539">
        <f>IF(A1539="","",SUMIFS(المبيعات!$H$2:$H$2000,المبيعات!$C$2:$C$2000,A1539))</f>
        <v/>
      </c>
      <c r="E1539" s="13">
        <f>IF(A1539="","",IF(COUNTIF(المبيعات!$C$2:$C$2000,A1539)=0,"",_xlfn.MAXIFS(المبيعات!$A$2:$A$2000,المبيعات!$C$2:$C$2000,A1539)))</f>
        <v/>
      </c>
      <c r="F1539">
        <f>IF(A1539="","",SUMIFS(المبيعات!$H$2:$H$2000,المبيعات!$C$2:$C$2000,A1539,المبيعات!$J$2:$J$2000,"آجل"))</f>
        <v/>
      </c>
      <c r="G1539" s="4" t="n"/>
      <c r="H1539">
        <f>IF(A1539="","",F1539-G1539)</f>
        <v/>
      </c>
    </row>
    <row r="1540">
      <c r="A1540" s="4" t="n"/>
      <c r="B1540" s="4" t="n"/>
      <c r="C1540">
        <f>IF(A1540="","",SUMPRODUCT((المبيعات!$C$2:$C$2000=A1540)*(المبيعات!$B$2:$B$2000&lt;&gt;"")/COUNTIFS(المبيعات!$B$2:$B$2000,المبيعات!$B$2:$B$2000&amp;"",المبيعات!$C$2:$C$2000,المبيعات!$C$2:$C$2000&amp;"")))</f>
        <v/>
      </c>
      <c r="D1540">
        <f>IF(A1540="","",SUMIFS(المبيعات!$H$2:$H$2000,المبيعات!$C$2:$C$2000,A1540))</f>
        <v/>
      </c>
      <c r="E1540" s="13">
        <f>IF(A1540="","",IF(COUNTIF(المبيعات!$C$2:$C$2000,A1540)=0,"",_xlfn.MAXIFS(المبيعات!$A$2:$A$2000,المبيعات!$C$2:$C$2000,A1540)))</f>
        <v/>
      </c>
      <c r="F1540">
        <f>IF(A1540="","",SUMIFS(المبيعات!$H$2:$H$2000,المبيعات!$C$2:$C$2000,A1540,المبيعات!$J$2:$J$2000,"آجل"))</f>
        <v/>
      </c>
      <c r="G1540" s="4" t="n"/>
      <c r="H1540">
        <f>IF(A1540="","",F1540-G1540)</f>
        <v/>
      </c>
    </row>
    <row r="1541">
      <c r="A1541" s="4" t="n"/>
      <c r="B1541" s="4" t="n"/>
      <c r="C1541">
        <f>IF(A1541="","",SUMPRODUCT((المبيعات!$C$2:$C$2000=A1541)*(المبيعات!$B$2:$B$2000&lt;&gt;"")/COUNTIFS(المبيعات!$B$2:$B$2000,المبيعات!$B$2:$B$2000&amp;"",المبيعات!$C$2:$C$2000,المبيعات!$C$2:$C$2000&amp;"")))</f>
        <v/>
      </c>
      <c r="D1541">
        <f>IF(A1541="","",SUMIFS(المبيعات!$H$2:$H$2000,المبيعات!$C$2:$C$2000,A1541))</f>
        <v/>
      </c>
      <c r="E1541" s="13">
        <f>IF(A1541="","",IF(COUNTIF(المبيعات!$C$2:$C$2000,A1541)=0,"",_xlfn.MAXIFS(المبيعات!$A$2:$A$2000,المبيعات!$C$2:$C$2000,A1541)))</f>
        <v/>
      </c>
      <c r="F1541">
        <f>IF(A1541="","",SUMIFS(المبيعات!$H$2:$H$2000,المبيعات!$C$2:$C$2000,A1541,المبيعات!$J$2:$J$2000,"آجل"))</f>
        <v/>
      </c>
      <c r="G1541" s="4" t="n"/>
      <c r="H1541">
        <f>IF(A1541="","",F1541-G1541)</f>
        <v/>
      </c>
    </row>
    <row r="1542">
      <c r="A1542" s="4" t="n"/>
      <c r="B1542" s="4" t="n"/>
      <c r="C1542">
        <f>IF(A1542="","",SUMPRODUCT((المبيعات!$C$2:$C$2000=A1542)*(المبيعات!$B$2:$B$2000&lt;&gt;"")/COUNTIFS(المبيعات!$B$2:$B$2000,المبيعات!$B$2:$B$2000&amp;"",المبيعات!$C$2:$C$2000,المبيعات!$C$2:$C$2000&amp;"")))</f>
        <v/>
      </c>
      <c r="D1542">
        <f>IF(A1542="","",SUMIFS(المبيعات!$H$2:$H$2000,المبيعات!$C$2:$C$2000,A1542))</f>
        <v/>
      </c>
      <c r="E1542" s="13">
        <f>IF(A1542="","",IF(COUNTIF(المبيعات!$C$2:$C$2000,A1542)=0,"",_xlfn.MAXIFS(المبيعات!$A$2:$A$2000,المبيعات!$C$2:$C$2000,A1542)))</f>
        <v/>
      </c>
      <c r="F1542">
        <f>IF(A1542="","",SUMIFS(المبيعات!$H$2:$H$2000,المبيعات!$C$2:$C$2000,A1542,المبيعات!$J$2:$J$2000,"آجل"))</f>
        <v/>
      </c>
      <c r="G1542" s="4" t="n"/>
      <c r="H1542">
        <f>IF(A1542="","",F1542-G1542)</f>
        <v/>
      </c>
    </row>
    <row r="1543">
      <c r="A1543" s="4" t="n"/>
      <c r="B1543" s="4" t="n"/>
      <c r="C1543">
        <f>IF(A1543="","",SUMPRODUCT((المبيعات!$C$2:$C$2000=A1543)*(المبيعات!$B$2:$B$2000&lt;&gt;"")/COUNTIFS(المبيعات!$B$2:$B$2000,المبيعات!$B$2:$B$2000&amp;"",المبيعات!$C$2:$C$2000,المبيعات!$C$2:$C$2000&amp;"")))</f>
        <v/>
      </c>
      <c r="D1543">
        <f>IF(A1543="","",SUMIFS(المبيعات!$H$2:$H$2000,المبيعات!$C$2:$C$2000,A1543))</f>
        <v/>
      </c>
      <c r="E1543" s="13">
        <f>IF(A1543="","",IF(COUNTIF(المبيعات!$C$2:$C$2000,A1543)=0,"",_xlfn.MAXIFS(المبيعات!$A$2:$A$2000,المبيعات!$C$2:$C$2000,A1543)))</f>
        <v/>
      </c>
      <c r="F1543">
        <f>IF(A1543="","",SUMIFS(المبيعات!$H$2:$H$2000,المبيعات!$C$2:$C$2000,A1543,المبيعات!$J$2:$J$2000,"آجل"))</f>
        <v/>
      </c>
      <c r="G1543" s="4" t="n"/>
      <c r="H1543">
        <f>IF(A1543="","",F1543-G1543)</f>
        <v/>
      </c>
    </row>
    <row r="1544">
      <c r="A1544" s="4" t="n"/>
      <c r="B1544" s="4" t="n"/>
      <c r="C1544">
        <f>IF(A1544="","",SUMPRODUCT((المبيعات!$C$2:$C$2000=A1544)*(المبيعات!$B$2:$B$2000&lt;&gt;"")/COUNTIFS(المبيعات!$B$2:$B$2000,المبيعات!$B$2:$B$2000&amp;"",المبيعات!$C$2:$C$2000,المبيعات!$C$2:$C$2000&amp;"")))</f>
        <v/>
      </c>
      <c r="D1544">
        <f>IF(A1544="","",SUMIFS(المبيعات!$H$2:$H$2000,المبيعات!$C$2:$C$2000,A1544))</f>
        <v/>
      </c>
      <c r="E1544" s="13">
        <f>IF(A1544="","",IF(COUNTIF(المبيعات!$C$2:$C$2000,A1544)=0,"",_xlfn.MAXIFS(المبيعات!$A$2:$A$2000,المبيعات!$C$2:$C$2000,A1544)))</f>
        <v/>
      </c>
      <c r="F1544">
        <f>IF(A1544="","",SUMIFS(المبيعات!$H$2:$H$2000,المبيعات!$C$2:$C$2000,A1544,المبيعات!$J$2:$J$2000,"آجل"))</f>
        <v/>
      </c>
      <c r="G1544" s="4" t="n"/>
      <c r="H1544">
        <f>IF(A1544="","",F1544-G1544)</f>
        <v/>
      </c>
    </row>
    <row r="1545">
      <c r="A1545" s="4" t="n"/>
      <c r="B1545" s="4" t="n"/>
      <c r="C1545">
        <f>IF(A1545="","",SUMPRODUCT((المبيعات!$C$2:$C$2000=A1545)*(المبيعات!$B$2:$B$2000&lt;&gt;"")/COUNTIFS(المبيعات!$B$2:$B$2000,المبيعات!$B$2:$B$2000&amp;"",المبيعات!$C$2:$C$2000,المبيعات!$C$2:$C$2000&amp;"")))</f>
        <v/>
      </c>
      <c r="D1545">
        <f>IF(A1545="","",SUMIFS(المبيعات!$H$2:$H$2000,المبيعات!$C$2:$C$2000,A1545))</f>
        <v/>
      </c>
      <c r="E1545" s="13">
        <f>IF(A1545="","",IF(COUNTIF(المبيعات!$C$2:$C$2000,A1545)=0,"",_xlfn.MAXIFS(المبيعات!$A$2:$A$2000,المبيعات!$C$2:$C$2000,A1545)))</f>
        <v/>
      </c>
      <c r="F1545">
        <f>IF(A1545="","",SUMIFS(المبيعات!$H$2:$H$2000,المبيعات!$C$2:$C$2000,A1545,المبيعات!$J$2:$J$2000,"آجل"))</f>
        <v/>
      </c>
      <c r="G1545" s="4" t="n"/>
      <c r="H1545">
        <f>IF(A1545="","",F1545-G1545)</f>
        <v/>
      </c>
    </row>
    <row r="1546">
      <c r="A1546" s="4" t="n"/>
      <c r="B1546" s="4" t="n"/>
      <c r="C1546">
        <f>IF(A1546="","",SUMPRODUCT((المبيعات!$C$2:$C$2000=A1546)*(المبيعات!$B$2:$B$2000&lt;&gt;"")/COUNTIFS(المبيعات!$B$2:$B$2000,المبيعات!$B$2:$B$2000&amp;"",المبيعات!$C$2:$C$2000,المبيعات!$C$2:$C$2000&amp;"")))</f>
        <v/>
      </c>
      <c r="D1546">
        <f>IF(A1546="","",SUMIFS(المبيعات!$H$2:$H$2000,المبيعات!$C$2:$C$2000,A1546))</f>
        <v/>
      </c>
      <c r="E1546" s="13">
        <f>IF(A1546="","",IF(COUNTIF(المبيعات!$C$2:$C$2000,A1546)=0,"",_xlfn.MAXIFS(المبيعات!$A$2:$A$2000,المبيعات!$C$2:$C$2000,A1546)))</f>
        <v/>
      </c>
      <c r="F1546">
        <f>IF(A1546="","",SUMIFS(المبيعات!$H$2:$H$2000,المبيعات!$C$2:$C$2000,A1546,المبيعات!$J$2:$J$2000,"آجل"))</f>
        <v/>
      </c>
      <c r="G1546" s="4" t="n"/>
      <c r="H1546">
        <f>IF(A1546="","",F1546-G1546)</f>
        <v/>
      </c>
    </row>
    <row r="1547">
      <c r="A1547" s="4" t="n"/>
      <c r="B1547" s="4" t="n"/>
      <c r="C1547">
        <f>IF(A1547="","",SUMPRODUCT((المبيعات!$C$2:$C$2000=A1547)*(المبيعات!$B$2:$B$2000&lt;&gt;"")/COUNTIFS(المبيعات!$B$2:$B$2000,المبيعات!$B$2:$B$2000&amp;"",المبيعات!$C$2:$C$2000,المبيعات!$C$2:$C$2000&amp;"")))</f>
        <v/>
      </c>
      <c r="D1547">
        <f>IF(A1547="","",SUMIFS(المبيعات!$H$2:$H$2000,المبيعات!$C$2:$C$2000,A1547))</f>
        <v/>
      </c>
      <c r="E1547" s="13">
        <f>IF(A1547="","",IF(COUNTIF(المبيعات!$C$2:$C$2000,A1547)=0,"",_xlfn.MAXIFS(المبيعات!$A$2:$A$2000,المبيعات!$C$2:$C$2000,A1547)))</f>
        <v/>
      </c>
      <c r="F1547">
        <f>IF(A1547="","",SUMIFS(المبيعات!$H$2:$H$2000,المبيعات!$C$2:$C$2000,A1547,المبيعات!$J$2:$J$2000,"آجل"))</f>
        <v/>
      </c>
      <c r="G1547" s="4" t="n"/>
      <c r="H1547">
        <f>IF(A1547="","",F1547-G1547)</f>
        <v/>
      </c>
    </row>
    <row r="1548">
      <c r="A1548" s="4" t="n"/>
      <c r="B1548" s="4" t="n"/>
      <c r="C1548">
        <f>IF(A1548="","",SUMPRODUCT((المبيعات!$C$2:$C$2000=A1548)*(المبيعات!$B$2:$B$2000&lt;&gt;"")/COUNTIFS(المبيعات!$B$2:$B$2000,المبيعات!$B$2:$B$2000&amp;"",المبيعات!$C$2:$C$2000,المبيعات!$C$2:$C$2000&amp;"")))</f>
        <v/>
      </c>
      <c r="D1548">
        <f>IF(A1548="","",SUMIFS(المبيعات!$H$2:$H$2000,المبيعات!$C$2:$C$2000,A1548))</f>
        <v/>
      </c>
      <c r="E1548" s="13">
        <f>IF(A1548="","",IF(COUNTIF(المبيعات!$C$2:$C$2000,A1548)=0,"",_xlfn.MAXIFS(المبيعات!$A$2:$A$2000,المبيعات!$C$2:$C$2000,A1548)))</f>
        <v/>
      </c>
      <c r="F1548">
        <f>IF(A1548="","",SUMIFS(المبيعات!$H$2:$H$2000,المبيعات!$C$2:$C$2000,A1548,المبيعات!$J$2:$J$2000,"آجل"))</f>
        <v/>
      </c>
      <c r="G1548" s="4" t="n"/>
      <c r="H1548">
        <f>IF(A1548="","",F1548-G1548)</f>
        <v/>
      </c>
    </row>
    <row r="1549">
      <c r="A1549" s="4" t="n"/>
      <c r="B1549" s="4" t="n"/>
      <c r="C1549">
        <f>IF(A1549="","",SUMPRODUCT((المبيعات!$C$2:$C$2000=A1549)*(المبيعات!$B$2:$B$2000&lt;&gt;"")/COUNTIFS(المبيعات!$B$2:$B$2000,المبيعات!$B$2:$B$2000&amp;"",المبيعات!$C$2:$C$2000,المبيعات!$C$2:$C$2000&amp;"")))</f>
        <v/>
      </c>
      <c r="D1549">
        <f>IF(A1549="","",SUMIFS(المبيعات!$H$2:$H$2000,المبيعات!$C$2:$C$2000,A1549))</f>
        <v/>
      </c>
      <c r="E1549" s="13">
        <f>IF(A1549="","",IF(COUNTIF(المبيعات!$C$2:$C$2000,A1549)=0,"",_xlfn.MAXIFS(المبيعات!$A$2:$A$2000,المبيعات!$C$2:$C$2000,A1549)))</f>
        <v/>
      </c>
      <c r="F1549">
        <f>IF(A1549="","",SUMIFS(المبيعات!$H$2:$H$2000,المبيعات!$C$2:$C$2000,A1549,المبيعات!$J$2:$J$2000,"آجل"))</f>
        <v/>
      </c>
      <c r="G1549" s="4" t="n"/>
      <c r="H1549">
        <f>IF(A1549="","",F1549-G1549)</f>
        <v/>
      </c>
    </row>
    <row r="1550">
      <c r="A1550" s="4" t="n"/>
      <c r="B1550" s="4" t="n"/>
      <c r="C1550">
        <f>IF(A1550="","",SUMPRODUCT((المبيعات!$C$2:$C$2000=A1550)*(المبيعات!$B$2:$B$2000&lt;&gt;"")/COUNTIFS(المبيعات!$B$2:$B$2000,المبيعات!$B$2:$B$2000&amp;"",المبيعات!$C$2:$C$2000,المبيعات!$C$2:$C$2000&amp;"")))</f>
        <v/>
      </c>
      <c r="D1550">
        <f>IF(A1550="","",SUMIFS(المبيعات!$H$2:$H$2000,المبيعات!$C$2:$C$2000,A1550))</f>
        <v/>
      </c>
      <c r="E1550" s="13">
        <f>IF(A1550="","",IF(COUNTIF(المبيعات!$C$2:$C$2000,A1550)=0,"",_xlfn.MAXIFS(المبيعات!$A$2:$A$2000,المبيعات!$C$2:$C$2000,A1550)))</f>
        <v/>
      </c>
      <c r="F1550">
        <f>IF(A1550="","",SUMIFS(المبيعات!$H$2:$H$2000,المبيعات!$C$2:$C$2000,A1550,المبيعات!$J$2:$J$2000,"آجل"))</f>
        <v/>
      </c>
      <c r="G1550" s="4" t="n"/>
      <c r="H1550">
        <f>IF(A1550="","",F1550-G1550)</f>
        <v/>
      </c>
    </row>
    <row r="1551">
      <c r="A1551" s="4" t="n"/>
      <c r="B1551" s="4" t="n"/>
      <c r="C1551">
        <f>IF(A1551="","",SUMPRODUCT((المبيعات!$C$2:$C$2000=A1551)*(المبيعات!$B$2:$B$2000&lt;&gt;"")/COUNTIFS(المبيعات!$B$2:$B$2000,المبيعات!$B$2:$B$2000&amp;"",المبيعات!$C$2:$C$2000,المبيعات!$C$2:$C$2000&amp;"")))</f>
        <v/>
      </c>
      <c r="D1551">
        <f>IF(A1551="","",SUMIFS(المبيعات!$H$2:$H$2000,المبيعات!$C$2:$C$2000,A1551))</f>
        <v/>
      </c>
      <c r="E1551" s="13">
        <f>IF(A1551="","",IF(COUNTIF(المبيعات!$C$2:$C$2000,A1551)=0,"",_xlfn.MAXIFS(المبيعات!$A$2:$A$2000,المبيعات!$C$2:$C$2000,A1551)))</f>
        <v/>
      </c>
      <c r="F1551">
        <f>IF(A1551="","",SUMIFS(المبيعات!$H$2:$H$2000,المبيعات!$C$2:$C$2000,A1551,المبيعات!$J$2:$J$2000,"آجل"))</f>
        <v/>
      </c>
      <c r="G1551" s="4" t="n"/>
      <c r="H1551">
        <f>IF(A1551="","",F1551-G1551)</f>
        <v/>
      </c>
    </row>
    <row r="1552">
      <c r="A1552" s="4" t="n"/>
      <c r="B1552" s="4" t="n"/>
      <c r="C1552">
        <f>IF(A1552="","",SUMPRODUCT((المبيعات!$C$2:$C$2000=A1552)*(المبيعات!$B$2:$B$2000&lt;&gt;"")/COUNTIFS(المبيعات!$B$2:$B$2000,المبيعات!$B$2:$B$2000&amp;"",المبيعات!$C$2:$C$2000,المبيعات!$C$2:$C$2000&amp;"")))</f>
        <v/>
      </c>
      <c r="D1552">
        <f>IF(A1552="","",SUMIFS(المبيعات!$H$2:$H$2000,المبيعات!$C$2:$C$2000,A1552))</f>
        <v/>
      </c>
      <c r="E1552" s="13">
        <f>IF(A1552="","",IF(COUNTIF(المبيعات!$C$2:$C$2000,A1552)=0,"",_xlfn.MAXIFS(المبيعات!$A$2:$A$2000,المبيعات!$C$2:$C$2000,A1552)))</f>
        <v/>
      </c>
      <c r="F1552">
        <f>IF(A1552="","",SUMIFS(المبيعات!$H$2:$H$2000,المبيعات!$C$2:$C$2000,A1552,المبيعات!$J$2:$J$2000,"آجل"))</f>
        <v/>
      </c>
      <c r="G1552" s="4" t="n"/>
      <c r="H1552">
        <f>IF(A1552="","",F1552-G1552)</f>
        <v/>
      </c>
    </row>
    <row r="1553">
      <c r="A1553" s="4" t="n"/>
      <c r="B1553" s="4" t="n"/>
      <c r="C1553">
        <f>IF(A1553="","",SUMPRODUCT((المبيعات!$C$2:$C$2000=A1553)*(المبيعات!$B$2:$B$2000&lt;&gt;"")/COUNTIFS(المبيعات!$B$2:$B$2000,المبيعات!$B$2:$B$2000&amp;"",المبيعات!$C$2:$C$2000,المبيعات!$C$2:$C$2000&amp;"")))</f>
        <v/>
      </c>
      <c r="D1553">
        <f>IF(A1553="","",SUMIFS(المبيعات!$H$2:$H$2000,المبيعات!$C$2:$C$2000,A1553))</f>
        <v/>
      </c>
      <c r="E1553" s="13">
        <f>IF(A1553="","",IF(COUNTIF(المبيعات!$C$2:$C$2000,A1553)=0,"",_xlfn.MAXIFS(المبيعات!$A$2:$A$2000,المبيعات!$C$2:$C$2000,A1553)))</f>
        <v/>
      </c>
      <c r="F1553">
        <f>IF(A1553="","",SUMIFS(المبيعات!$H$2:$H$2000,المبيعات!$C$2:$C$2000,A1553,المبيعات!$J$2:$J$2000,"آجل"))</f>
        <v/>
      </c>
      <c r="G1553" s="4" t="n"/>
      <c r="H1553">
        <f>IF(A1553="","",F1553-G1553)</f>
        <v/>
      </c>
    </row>
    <row r="1554">
      <c r="A1554" s="4" t="n"/>
      <c r="B1554" s="4" t="n"/>
      <c r="C1554">
        <f>IF(A1554="","",SUMPRODUCT((المبيعات!$C$2:$C$2000=A1554)*(المبيعات!$B$2:$B$2000&lt;&gt;"")/COUNTIFS(المبيعات!$B$2:$B$2000,المبيعات!$B$2:$B$2000&amp;"",المبيعات!$C$2:$C$2000,المبيعات!$C$2:$C$2000&amp;"")))</f>
        <v/>
      </c>
      <c r="D1554">
        <f>IF(A1554="","",SUMIFS(المبيعات!$H$2:$H$2000,المبيعات!$C$2:$C$2000,A1554))</f>
        <v/>
      </c>
      <c r="E1554" s="13">
        <f>IF(A1554="","",IF(COUNTIF(المبيعات!$C$2:$C$2000,A1554)=0,"",_xlfn.MAXIFS(المبيعات!$A$2:$A$2000,المبيعات!$C$2:$C$2000,A1554)))</f>
        <v/>
      </c>
      <c r="F1554">
        <f>IF(A1554="","",SUMIFS(المبيعات!$H$2:$H$2000,المبيعات!$C$2:$C$2000,A1554,المبيعات!$J$2:$J$2000,"آجل"))</f>
        <v/>
      </c>
      <c r="G1554" s="4" t="n"/>
      <c r="H1554">
        <f>IF(A1554="","",F1554-G1554)</f>
        <v/>
      </c>
    </row>
    <row r="1555">
      <c r="A1555" s="4" t="n"/>
      <c r="B1555" s="4" t="n"/>
      <c r="C1555">
        <f>IF(A1555="","",SUMPRODUCT((المبيعات!$C$2:$C$2000=A1555)*(المبيعات!$B$2:$B$2000&lt;&gt;"")/COUNTIFS(المبيعات!$B$2:$B$2000,المبيعات!$B$2:$B$2000&amp;"",المبيعات!$C$2:$C$2000,المبيعات!$C$2:$C$2000&amp;"")))</f>
        <v/>
      </c>
      <c r="D1555">
        <f>IF(A1555="","",SUMIFS(المبيعات!$H$2:$H$2000,المبيعات!$C$2:$C$2000,A1555))</f>
        <v/>
      </c>
      <c r="E1555" s="13">
        <f>IF(A1555="","",IF(COUNTIF(المبيعات!$C$2:$C$2000,A1555)=0,"",_xlfn.MAXIFS(المبيعات!$A$2:$A$2000,المبيعات!$C$2:$C$2000,A1555)))</f>
        <v/>
      </c>
      <c r="F1555">
        <f>IF(A1555="","",SUMIFS(المبيعات!$H$2:$H$2000,المبيعات!$C$2:$C$2000,A1555,المبيعات!$J$2:$J$2000,"آجل"))</f>
        <v/>
      </c>
      <c r="G1555" s="4" t="n"/>
      <c r="H1555">
        <f>IF(A1555="","",F1555-G1555)</f>
        <v/>
      </c>
    </row>
    <row r="1556">
      <c r="A1556" s="4" t="n"/>
      <c r="B1556" s="4" t="n"/>
      <c r="C1556">
        <f>IF(A1556="","",SUMPRODUCT((المبيعات!$C$2:$C$2000=A1556)*(المبيعات!$B$2:$B$2000&lt;&gt;"")/COUNTIFS(المبيعات!$B$2:$B$2000,المبيعات!$B$2:$B$2000&amp;"",المبيعات!$C$2:$C$2000,المبيعات!$C$2:$C$2000&amp;"")))</f>
        <v/>
      </c>
      <c r="D1556">
        <f>IF(A1556="","",SUMIFS(المبيعات!$H$2:$H$2000,المبيعات!$C$2:$C$2000,A1556))</f>
        <v/>
      </c>
      <c r="E1556" s="13">
        <f>IF(A1556="","",IF(COUNTIF(المبيعات!$C$2:$C$2000,A1556)=0,"",_xlfn.MAXIFS(المبيعات!$A$2:$A$2000,المبيعات!$C$2:$C$2000,A1556)))</f>
        <v/>
      </c>
      <c r="F1556">
        <f>IF(A1556="","",SUMIFS(المبيعات!$H$2:$H$2000,المبيعات!$C$2:$C$2000,A1556,المبيعات!$J$2:$J$2000,"آجل"))</f>
        <v/>
      </c>
      <c r="G1556" s="4" t="n"/>
      <c r="H1556">
        <f>IF(A1556="","",F1556-G1556)</f>
        <v/>
      </c>
    </row>
    <row r="1557">
      <c r="A1557" s="4" t="n"/>
      <c r="B1557" s="4" t="n"/>
      <c r="C1557">
        <f>IF(A1557="","",SUMPRODUCT((المبيعات!$C$2:$C$2000=A1557)*(المبيعات!$B$2:$B$2000&lt;&gt;"")/COUNTIFS(المبيعات!$B$2:$B$2000,المبيعات!$B$2:$B$2000&amp;"",المبيعات!$C$2:$C$2000,المبيعات!$C$2:$C$2000&amp;"")))</f>
        <v/>
      </c>
      <c r="D1557">
        <f>IF(A1557="","",SUMIFS(المبيعات!$H$2:$H$2000,المبيعات!$C$2:$C$2000,A1557))</f>
        <v/>
      </c>
      <c r="E1557" s="13">
        <f>IF(A1557="","",IF(COUNTIF(المبيعات!$C$2:$C$2000,A1557)=0,"",_xlfn.MAXIFS(المبيعات!$A$2:$A$2000,المبيعات!$C$2:$C$2000,A1557)))</f>
        <v/>
      </c>
      <c r="F1557">
        <f>IF(A1557="","",SUMIFS(المبيعات!$H$2:$H$2000,المبيعات!$C$2:$C$2000,A1557,المبيعات!$J$2:$J$2000,"آجل"))</f>
        <v/>
      </c>
      <c r="G1557" s="4" t="n"/>
      <c r="H1557">
        <f>IF(A1557="","",F1557-G1557)</f>
        <v/>
      </c>
    </row>
    <row r="1558">
      <c r="A1558" s="4" t="n"/>
      <c r="B1558" s="4" t="n"/>
      <c r="C1558">
        <f>IF(A1558="","",SUMPRODUCT((المبيعات!$C$2:$C$2000=A1558)*(المبيعات!$B$2:$B$2000&lt;&gt;"")/COUNTIFS(المبيعات!$B$2:$B$2000,المبيعات!$B$2:$B$2000&amp;"",المبيعات!$C$2:$C$2000,المبيعات!$C$2:$C$2000&amp;"")))</f>
        <v/>
      </c>
      <c r="D1558">
        <f>IF(A1558="","",SUMIFS(المبيعات!$H$2:$H$2000,المبيعات!$C$2:$C$2000,A1558))</f>
        <v/>
      </c>
      <c r="E1558" s="13">
        <f>IF(A1558="","",IF(COUNTIF(المبيعات!$C$2:$C$2000,A1558)=0,"",_xlfn.MAXIFS(المبيعات!$A$2:$A$2000,المبيعات!$C$2:$C$2000,A1558)))</f>
        <v/>
      </c>
      <c r="F1558">
        <f>IF(A1558="","",SUMIFS(المبيعات!$H$2:$H$2000,المبيعات!$C$2:$C$2000,A1558,المبيعات!$J$2:$J$2000,"آجل"))</f>
        <v/>
      </c>
      <c r="G1558" s="4" t="n"/>
      <c r="H1558">
        <f>IF(A1558="","",F1558-G1558)</f>
        <v/>
      </c>
    </row>
    <row r="1559">
      <c r="A1559" s="4" t="n"/>
      <c r="B1559" s="4" t="n"/>
      <c r="C1559">
        <f>IF(A1559="","",SUMPRODUCT((المبيعات!$C$2:$C$2000=A1559)*(المبيعات!$B$2:$B$2000&lt;&gt;"")/COUNTIFS(المبيعات!$B$2:$B$2000,المبيعات!$B$2:$B$2000&amp;"",المبيعات!$C$2:$C$2000,المبيعات!$C$2:$C$2000&amp;"")))</f>
        <v/>
      </c>
      <c r="D1559">
        <f>IF(A1559="","",SUMIFS(المبيعات!$H$2:$H$2000,المبيعات!$C$2:$C$2000,A1559))</f>
        <v/>
      </c>
      <c r="E1559" s="13">
        <f>IF(A1559="","",IF(COUNTIF(المبيعات!$C$2:$C$2000,A1559)=0,"",_xlfn.MAXIFS(المبيعات!$A$2:$A$2000,المبيعات!$C$2:$C$2000,A1559)))</f>
        <v/>
      </c>
      <c r="F1559">
        <f>IF(A1559="","",SUMIFS(المبيعات!$H$2:$H$2000,المبيعات!$C$2:$C$2000,A1559,المبيعات!$J$2:$J$2000,"آجل"))</f>
        <v/>
      </c>
      <c r="G1559" s="4" t="n"/>
      <c r="H1559">
        <f>IF(A1559="","",F1559-G1559)</f>
        <v/>
      </c>
    </row>
    <row r="1560">
      <c r="A1560" s="4" t="n"/>
      <c r="B1560" s="4" t="n"/>
      <c r="C1560">
        <f>IF(A1560="","",SUMPRODUCT((المبيعات!$C$2:$C$2000=A1560)*(المبيعات!$B$2:$B$2000&lt;&gt;"")/COUNTIFS(المبيعات!$B$2:$B$2000,المبيعات!$B$2:$B$2000&amp;"",المبيعات!$C$2:$C$2000,المبيعات!$C$2:$C$2000&amp;"")))</f>
        <v/>
      </c>
      <c r="D1560">
        <f>IF(A1560="","",SUMIFS(المبيعات!$H$2:$H$2000,المبيعات!$C$2:$C$2000,A1560))</f>
        <v/>
      </c>
      <c r="E1560" s="13">
        <f>IF(A1560="","",IF(COUNTIF(المبيعات!$C$2:$C$2000,A1560)=0,"",_xlfn.MAXIFS(المبيعات!$A$2:$A$2000,المبيعات!$C$2:$C$2000,A1560)))</f>
        <v/>
      </c>
      <c r="F1560">
        <f>IF(A1560="","",SUMIFS(المبيعات!$H$2:$H$2000,المبيعات!$C$2:$C$2000,A1560,المبيعات!$J$2:$J$2000,"آجل"))</f>
        <v/>
      </c>
      <c r="G1560" s="4" t="n"/>
      <c r="H1560">
        <f>IF(A1560="","",F1560-G1560)</f>
        <v/>
      </c>
    </row>
    <row r="1561">
      <c r="A1561" s="4" t="n"/>
      <c r="B1561" s="4" t="n"/>
      <c r="C1561">
        <f>IF(A1561="","",SUMPRODUCT((المبيعات!$C$2:$C$2000=A1561)*(المبيعات!$B$2:$B$2000&lt;&gt;"")/COUNTIFS(المبيعات!$B$2:$B$2000,المبيعات!$B$2:$B$2000&amp;"",المبيعات!$C$2:$C$2000,المبيعات!$C$2:$C$2000&amp;"")))</f>
        <v/>
      </c>
      <c r="D1561">
        <f>IF(A1561="","",SUMIFS(المبيعات!$H$2:$H$2000,المبيعات!$C$2:$C$2000,A1561))</f>
        <v/>
      </c>
      <c r="E1561" s="13">
        <f>IF(A1561="","",IF(COUNTIF(المبيعات!$C$2:$C$2000,A1561)=0,"",_xlfn.MAXIFS(المبيعات!$A$2:$A$2000,المبيعات!$C$2:$C$2000,A1561)))</f>
        <v/>
      </c>
      <c r="F1561">
        <f>IF(A1561="","",SUMIFS(المبيعات!$H$2:$H$2000,المبيعات!$C$2:$C$2000,A1561,المبيعات!$J$2:$J$2000,"آجل"))</f>
        <v/>
      </c>
      <c r="G1561" s="4" t="n"/>
      <c r="H1561">
        <f>IF(A1561="","",F1561-G1561)</f>
        <v/>
      </c>
    </row>
    <row r="1562">
      <c r="A1562" s="4" t="n"/>
      <c r="B1562" s="4" t="n"/>
      <c r="C1562">
        <f>IF(A1562="","",SUMPRODUCT((المبيعات!$C$2:$C$2000=A1562)*(المبيعات!$B$2:$B$2000&lt;&gt;"")/COUNTIFS(المبيعات!$B$2:$B$2000,المبيعات!$B$2:$B$2000&amp;"",المبيعات!$C$2:$C$2000,المبيعات!$C$2:$C$2000&amp;"")))</f>
        <v/>
      </c>
      <c r="D1562">
        <f>IF(A1562="","",SUMIFS(المبيعات!$H$2:$H$2000,المبيعات!$C$2:$C$2000,A1562))</f>
        <v/>
      </c>
      <c r="E1562" s="13">
        <f>IF(A1562="","",IF(COUNTIF(المبيعات!$C$2:$C$2000,A1562)=0,"",_xlfn.MAXIFS(المبيعات!$A$2:$A$2000,المبيعات!$C$2:$C$2000,A1562)))</f>
        <v/>
      </c>
      <c r="F1562">
        <f>IF(A1562="","",SUMIFS(المبيعات!$H$2:$H$2000,المبيعات!$C$2:$C$2000,A1562,المبيعات!$J$2:$J$2000,"آجل"))</f>
        <v/>
      </c>
      <c r="G1562" s="4" t="n"/>
      <c r="H1562">
        <f>IF(A1562="","",F1562-G1562)</f>
        <v/>
      </c>
    </row>
    <row r="1563">
      <c r="A1563" s="4" t="n"/>
      <c r="B1563" s="4" t="n"/>
      <c r="C1563">
        <f>IF(A1563="","",SUMPRODUCT((المبيعات!$C$2:$C$2000=A1563)*(المبيعات!$B$2:$B$2000&lt;&gt;"")/COUNTIFS(المبيعات!$B$2:$B$2000,المبيعات!$B$2:$B$2000&amp;"",المبيعات!$C$2:$C$2000,المبيعات!$C$2:$C$2000&amp;"")))</f>
        <v/>
      </c>
      <c r="D1563">
        <f>IF(A1563="","",SUMIFS(المبيعات!$H$2:$H$2000,المبيعات!$C$2:$C$2000,A1563))</f>
        <v/>
      </c>
      <c r="E1563" s="13">
        <f>IF(A1563="","",IF(COUNTIF(المبيعات!$C$2:$C$2000,A1563)=0,"",_xlfn.MAXIFS(المبيعات!$A$2:$A$2000,المبيعات!$C$2:$C$2000,A1563)))</f>
        <v/>
      </c>
      <c r="F1563">
        <f>IF(A1563="","",SUMIFS(المبيعات!$H$2:$H$2000,المبيعات!$C$2:$C$2000,A1563,المبيعات!$J$2:$J$2000,"آجل"))</f>
        <v/>
      </c>
      <c r="G1563" s="4" t="n"/>
      <c r="H1563">
        <f>IF(A1563="","",F1563-G1563)</f>
        <v/>
      </c>
    </row>
    <row r="1564">
      <c r="A1564" s="4" t="n"/>
      <c r="B1564" s="4" t="n"/>
      <c r="C1564">
        <f>IF(A1564="","",SUMPRODUCT((المبيعات!$C$2:$C$2000=A1564)*(المبيعات!$B$2:$B$2000&lt;&gt;"")/COUNTIFS(المبيعات!$B$2:$B$2000,المبيعات!$B$2:$B$2000&amp;"",المبيعات!$C$2:$C$2000,المبيعات!$C$2:$C$2000&amp;"")))</f>
        <v/>
      </c>
      <c r="D1564">
        <f>IF(A1564="","",SUMIFS(المبيعات!$H$2:$H$2000,المبيعات!$C$2:$C$2000,A1564))</f>
        <v/>
      </c>
      <c r="E1564" s="13">
        <f>IF(A1564="","",IF(COUNTIF(المبيعات!$C$2:$C$2000,A1564)=0,"",_xlfn.MAXIFS(المبيعات!$A$2:$A$2000,المبيعات!$C$2:$C$2000,A1564)))</f>
        <v/>
      </c>
      <c r="F1564">
        <f>IF(A1564="","",SUMIFS(المبيعات!$H$2:$H$2000,المبيعات!$C$2:$C$2000,A1564,المبيعات!$J$2:$J$2000,"آجل"))</f>
        <v/>
      </c>
      <c r="G1564" s="4" t="n"/>
      <c r="H1564">
        <f>IF(A1564="","",F1564-G1564)</f>
        <v/>
      </c>
    </row>
    <row r="1565">
      <c r="A1565" s="4" t="n"/>
      <c r="B1565" s="4" t="n"/>
      <c r="C1565">
        <f>IF(A1565="","",SUMPRODUCT((المبيعات!$C$2:$C$2000=A1565)*(المبيعات!$B$2:$B$2000&lt;&gt;"")/COUNTIFS(المبيعات!$B$2:$B$2000,المبيعات!$B$2:$B$2000&amp;"",المبيعات!$C$2:$C$2000,المبيعات!$C$2:$C$2000&amp;"")))</f>
        <v/>
      </c>
      <c r="D1565">
        <f>IF(A1565="","",SUMIFS(المبيعات!$H$2:$H$2000,المبيعات!$C$2:$C$2000,A1565))</f>
        <v/>
      </c>
      <c r="E1565" s="13">
        <f>IF(A1565="","",IF(COUNTIF(المبيعات!$C$2:$C$2000,A1565)=0,"",_xlfn.MAXIFS(المبيعات!$A$2:$A$2000,المبيعات!$C$2:$C$2000,A1565)))</f>
        <v/>
      </c>
      <c r="F1565">
        <f>IF(A1565="","",SUMIFS(المبيعات!$H$2:$H$2000,المبيعات!$C$2:$C$2000,A1565,المبيعات!$J$2:$J$2000,"آجل"))</f>
        <v/>
      </c>
      <c r="G1565" s="4" t="n"/>
      <c r="H1565">
        <f>IF(A1565="","",F1565-G1565)</f>
        <v/>
      </c>
    </row>
    <row r="1566">
      <c r="A1566" s="4" t="n"/>
      <c r="B1566" s="4" t="n"/>
      <c r="C1566">
        <f>IF(A1566="","",SUMPRODUCT((المبيعات!$C$2:$C$2000=A1566)*(المبيعات!$B$2:$B$2000&lt;&gt;"")/COUNTIFS(المبيعات!$B$2:$B$2000,المبيعات!$B$2:$B$2000&amp;"",المبيعات!$C$2:$C$2000,المبيعات!$C$2:$C$2000&amp;"")))</f>
        <v/>
      </c>
      <c r="D1566">
        <f>IF(A1566="","",SUMIFS(المبيعات!$H$2:$H$2000,المبيعات!$C$2:$C$2000,A1566))</f>
        <v/>
      </c>
      <c r="E1566" s="13">
        <f>IF(A1566="","",IF(COUNTIF(المبيعات!$C$2:$C$2000,A1566)=0,"",_xlfn.MAXIFS(المبيعات!$A$2:$A$2000,المبيعات!$C$2:$C$2000,A1566)))</f>
        <v/>
      </c>
      <c r="F1566">
        <f>IF(A1566="","",SUMIFS(المبيعات!$H$2:$H$2000,المبيعات!$C$2:$C$2000,A1566,المبيعات!$J$2:$J$2000,"آجل"))</f>
        <v/>
      </c>
      <c r="G1566" s="4" t="n"/>
      <c r="H1566">
        <f>IF(A1566="","",F1566-G1566)</f>
        <v/>
      </c>
    </row>
    <row r="1567">
      <c r="A1567" s="4" t="n"/>
      <c r="B1567" s="4" t="n"/>
      <c r="C1567">
        <f>IF(A1567="","",SUMPRODUCT((المبيعات!$C$2:$C$2000=A1567)*(المبيعات!$B$2:$B$2000&lt;&gt;"")/COUNTIFS(المبيعات!$B$2:$B$2000,المبيعات!$B$2:$B$2000&amp;"",المبيعات!$C$2:$C$2000,المبيعات!$C$2:$C$2000&amp;"")))</f>
        <v/>
      </c>
      <c r="D1567">
        <f>IF(A1567="","",SUMIFS(المبيعات!$H$2:$H$2000,المبيعات!$C$2:$C$2000,A1567))</f>
        <v/>
      </c>
      <c r="E1567" s="13">
        <f>IF(A1567="","",IF(COUNTIF(المبيعات!$C$2:$C$2000,A1567)=0,"",_xlfn.MAXIFS(المبيعات!$A$2:$A$2000,المبيعات!$C$2:$C$2000,A1567)))</f>
        <v/>
      </c>
      <c r="F1567">
        <f>IF(A1567="","",SUMIFS(المبيعات!$H$2:$H$2000,المبيعات!$C$2:$C$2000,A1567,المبيعات!$J$2:$J$2000,"آجل"))</f>
        <v/>
      </c>
      <c r="G1567" s="4" t="n"/>
      <c r="H1567">
        <f>IF(A1567="","",F1567-G1567)</f>
        <v/>
      </c>
    </row>
    <row r="1568">
      <c r="A1568" s="4" t="n"/>
      <c r="B1568" s="4" t="n"/>
      <c r="C1568">
        <f>IF(A1568="","",SUMPRODUCT((المبيعات!$C$2:$C$2000=A1568)*(المبيعات!$B$2:$B$2000&lt;&gt;"")/COUNTIFS(المبيعات!$B$2:$B$2000,المبيعات!$B$2:$B$2000&amp;"",المبيعات!$C$2:$C$2000,المبيعات!$C$2:$C$2000&amp;"")))</f>
        <v/>
      </c>
      <c r="D1568">
        <f>IF(A1568="","",SUMIFS(المبيعات!$H$2:$H$2000,المبيعات!$C$2:$C$2000,A1568))</f>
        <v/>
      </c>
      <c r="E1568" s="13">
        <f>IF(A1568="","",IF(COUNTIF(المبيعات!$C$2:$C$2000,A1568)=0,"",_xlfn.MAXIFS(المبيعات!$A$2:$A$2000,المبيعات!$C$2:$C$2000,A1568)))</f>
        <v/>
      </c>
      <c r="F1568">
        <f>IF(A1568="","",SUMIFS(المبيعات!$H$2:$H$2000,المبيعات!$C$2:$C$2000,A1568,المبيعات!$J$2:$J$2000,"آجل"))</f>
        <v/>
      </c>
      <c r="G1568" s="4" t="n"/>
      <c r="H1568">
        <f>IF(A1568="","",F1568-G1568)</f>
        <v/>
      </c>
    </row>
    <row r="1569">
      <c r="A1569" s="4" t="n"/>
      <c r="B1569" s="4" t="n"/>
      <c r="C1569">
        <f>IF(A1569="","",SUMPRODUCT((المبيعات!$C$2:$C$2000=A1569)*(المبيعات!$B$2:$B$2000&lt;&gt;"")/COUNTIFS(المبيعات!$B$2:$B$2000,المبيعات!$B$2:$B$2000&amp;"",المبيعات!$C$2:$C$2000,المبيعات!$C$2:$C$2000&amp;"")))</f>
        <v/>
      </c>
      <c r="D1569">
        <f>IF(A1569="","",SUMIFS(المبيعات!$H$2:$H$2000,المبيعات!$C$2:$C$2000,A1569))</f>
        <v/>
      </c>
      <c r="E1569" s="13">
        <f>IF(A1569="","",IF(COUNTIF(المبيعات!$C$2:$C$2000,A1569)=0,"",_xlfn.MAXIFS(المبيعات!$A$2:$A$2000,المبيعات!$C$2:$C$2000,A1569)))</f>
        <v/>
      </c>
      <c r="F1569">
        <f>IF(A1569="","",SUMIFS(المبيعات!$H$2:$H$2000,المبيعات!$C$2:$C$2000,A1569,المبيعات!$J$2:$J$2000,"آجل"))</f>
        <v/>
      </c>
      <c r="G1569" s="4" t="n"/>
      <c r="H1569">
        <f>IF(A1569="","",F1569-G1569)</f>
        <v/>
      </c>
    </row>
    <row r="1570">
      <c r="A1570" s="4" t="n"/>
      <c r="B1570" s="4" t="n"/>
      <c r="C1570">
        <f>IF(A1570="","",SUMPRODUCT((المبيعات!$C$2:$C$2000=A1570)*(المبيعات!$B$2:$B$2000&lt;&gt;"")/COUNTIFS(المبيعات!$B$2:$B$2000,المبيعات!$B$2:$B$2000&amp;"",المبيعات!$C$2:$C$2000,المبيعات!$C$2:$C$2000&amp;"")))</f>
        <v/>
      </c>
      <c r="D1570">
        <f>IF(A1570="","",SUMIFS(المبيعات!$H$2:$H$2000,المبيعات!$C$2:$C$2000,A1570))</f>
        <v/>
      </c>
      <c r="E1570" s="13">
        <f>IF(A1570="","",IF(COUNTIF(المبيعات!$C$2:$C$2000,A1570)=0,"",_xlfn.MAXIFS(المبيعات!$A$2:$A$2000,المبيعات!$C$2:$C$2000,A1570)))</f>
        <v/>
      </c>
      <c r="F1570">
        <f>IF(A1570="","",SUMIFS(المبيعات!$H$2:$H$2000,المبيعات!$C$2:$C$2000,A1570,المبيعات!$J$2:$J$2000,"آجل"))</f>
        <v/>
      </c>
      <c r="G1570" s="4" t="n"/>
      <c r="H1570">
        <f>IF(A1570="","",F1570-G1570)</f>
        <v/>
      </c>
    </row>
    <row r="1571">
      <c r="A1571" s="4" t="n"/>
      <c r="B1571" s="4" t="n"/>
      <c r="C1571">
        <f>IF(A1571="","",SUMPRODUCT((المبيعات!$C$2:$C$2000=A1571)*(المبيعات!$B$2:$B$2000&lt;&gt;"")/COUNTIFS(المبيعات!$B$2:$B$2000,المبيعات!$B$2:$B$2000&amp;"",المبيعات!$C$2:$C$2000,المبيعات!$C$2:$C$2000&amp;"")))</f>
        <v/>
      </c>
      <c r="D1571">
        <f>IF(A1571="","",SUMIFS(المبيعات!$H$2:$H$2000,المبيعات!$C$2:$C$2000,A1571))</f>
        <v/>
      </c>
      <c r="E1571" s="13">
        <f>IF(A1571="","",IF(COUNTIF(المبيعات!$C$2:$C$2000,A1571)=0,"",_xlfn.MAXIFS(المبيعات!$A$2:$A$2000,المبيعات!$C$2:$C$2000,A1571)))</f>
        <v/>
      </c>
      <c r="F1571">
        <f>IF(A1571="","",SUMIFS(المبيعات!$H$2:$H$2000,المبيعات!$C$2:$C$2000,A1571,المبيعات!$J$2:$J$2000,"آجل"))</f>
        <v/>
      </c>
      <c r="G1571" s="4" t="n"/>
      <c r="H1571">
        <f>IF(A1571="","",F1571-G1571)</f>
        <v/>
      </c>
    </row>
    <row r="1572">
      <c r="A1572" s="4" t="n"/>
      <c r="B1572" s="4" t="n"/>
      <c r="C1572">
        <f>IF(A1572="","",SUMPRODUCT((المبيعات!$C$2:$C$2000=A1572)*(المبيعات!$B$2:$B$2000&lt;&gt;"")/COUNTIFS(المبيعات!$B$2:$B$2000,المبيعات!$B$2:$B$2000&amp;"",المبيعات!$C$2:$C$2000,المبيعات!$C$2:$C$2000&amp;"")))</f>
        <v/>
      </c>
      <c r="D1572">
        <f>IF(A1572="","",SUMIFS(المبيعات!$H$2:$H$2000,المبيعات!$C$2:$C$2000,A1572))</f>
        <v/>
      </c>
      <c r="E1572" s="13">
        <f>IF(A1572="","",IF(COUNTIF(المبيعات!$C$2:$C$2000,A1572)=0,"",_xlfn.MAXIFS(المبيعات!$A$2:$A$2000,المبيعات!$C$2:$C$2000,A1572)))</f>
        <v/>
      </c>
      <c r="F1572">
        <f>IF(A1572="","",SUMIFS(المبيعات!$H$2:$H$2000,المبيعات!$C$2:$C$2000,A1572,المبيعات!$J$2:$J$2000,"آجل"))</f>
        <v/>
      </c>
      <c r="G1572" s="4" t="n"/>
      <c r="H1572">
        <f>IF(A1572="","",F1572-G1572)</f>
        <v/>
      </c>
    </row>
    <row r="1573">
      <c r="A1573" s="4" t="n"/>
      <c r="B1573" s="4" t="n"/>
      <c r="C1573">
        <f>IF(A1573="","",SUMPRODUCT((المبيعات!$C$2:$C$2000=A1573)*(المبيعات!$B$2:$B$2000&lt;&gt;"")/COUNTIFS(المبيعات!$B$2:$B$2000,المبيعات!$B$2:$B$2000&amp;"",المبيعات!$C$2:$C$2000,المبيعات!$C$2:$C$2000&amp;"")))</f>
        <v/>
      </c>
      <c r="D1573">
        <f>IF(A1573="","",SUMIFS(المبيعات!$H$2:$H$2000,المبيعات!$C$2:$C$2000,A1573))</f>
        <v/>
      </c>
      <c r="E1573" s="13">
        <f>IF(A1573="","",IF(COUNTIF(المبيعات!$C$2:$C$2000,A1573)=0,"",_xlfn.MAXIFS(المبيعات!$A$2:$A$2000,المبيعات!$C$2:$C$2000,A1573)))</f>
        <v/>
      </c>
      <c r="F1573">
        <f>IF(A1573="","",SUMIFS(المبيعات!$H$2:$H$2000,المبيعات!$C$2:$C$2000,A1573,المبيعات!$J$2:$J$2000,"آجل"))</f>
        <v/>
      </c>
      <c r="G1573" s="4" t="n"/>
      <c r="H1573">
        <f>IF(A1573="","",F1573-G1573)</f>
        <v/>
      </c>
    </row>
    <row r="1574">
      <c r="A1574" s="4" t="n"/>
      <c r="B1574" s="4" t="n"/>
      <c r="C1574">
        <f>IF(A1574="","",SUMPRODUCT((المبيعات!$C$2:$C$2000=A1574)*(المبيعات!$B$2:$B$2000&lt;&gt;"")/COUNTIFS(المبيعات!$B$2:$B$2000,المبيعات!$B$2:$B$2000&amp;"",المبيعات!$C$2:$C$2000,المبيعات!$C$2:$C$2000&amp;"")))</f>
        <v/>
      </c>
      <c r="D1574">
        <f>IF(A1574="","",SUMIFS(المبيعات!$H$2:$H$2000,المبيعات!$C$2:$C$2000,A1574))</f>
        <v/>
      </c>
      <c r="E1574" s="13">
        <f>IF(A1574="","",IF(COUNTIF(المبيعات!$C$2:$C$2000,A1574)=0,"",_xlfn.MAXIFS(المبيعات!$A$2:$A$2000,المبيعات!$C$2:$C$2000,A1574)))</f>
        <v/>
      </c>
      <c r="F1574">
        <f>IF(A1574="","",SUMIFS(المبيعات!$H$2:$H$2000,المبيعات!$C$2:$C$2000,A1574,المبيعات!$J$2:$J$2000,"آجل"))</f>
        <v/>
      </c>
      <c r="G1574" s="4" t="n"/>
      <c r="H1574">
        <f>IF(A1574="","",F1574-G1574)</f>
        <v/>
      </c>
    </row>
    <row r="1575">
      <c r="A1575" s="4" t="n"/>
      <c r="B1575" s="4" t="n"/>
      <c r="C1575">
        <f>IF(A1575="","",SUMPRODUCT((المبيعات!$C$2:$C$2000=A1575)*(المبيعات!$B$2:$B$2000&lt;&gt;"")/COUNTIFS(المبيعات!$B$2:$B$2000,المبيعات!$B$2:$B$2000&amp;"",المبيعات!$C$2:$C$2000,المبيعات!$C$2:$C$2000&amp;"")))</f>
        <v/>
      </c>
      <c r="D1575">
        <f>IF(A1575="","",SUMIFS(المبيعات!$H$2:$H$2000,المبيعات!$C$2:$C$2000,A1575))</f>
        <v/>
      </c>
      <c r="E1575" s="13">
        <f>IF(A1575="","",IF(COUNTIF(المبيعات!$C$2:$C$2000,A1575)=0,"",_xlfn.MAXIFS(المبيعات!$A$2:$A$2000,المبيعات!$C$2:$C$2000,A1575)))</f>
        <v/>
      </c>
      <c r="F1575">
        <f>IF(A1575="","",SUMIFS(المبيعات!$H$2:$H$2000,المبيعات!$C$2:$C$2000,A1575,المبيعات!$J$2:$J$2000,"آجل"))</f>
        <v/>
      </c>
      <c r="G1575" s="4" t="n"/>
      <c r="H1575">
        <f>IF(A1575="","",F1575-G1575)</f>
        <v/>
      </c>
    </row>
    <row r="1576">
      <c r="A1576" s="4" t="n"/>
      <c r="B1576" s="4" t="n"/>
      <c r="C1576">
        <f>IF(A1576="","",SUMPRODUCT((المبيعات!$C$2:$C$2000=A1576)*(المبيعات!$B$2:$B$2000&lt;&gt;"")/COUNTIFS(المبيعات!$B$2:$B$2000,المبيعات!$B$2:$B$2000&amp;"",المبيعات!$C$2:$C$2000,المبيعات!$C$2:$C$2000&amp;"")))</f>
        <v/>
      </c>
      <c r="D1576">
        <f>IF(A1576="","",SUMIFS(المبيعات!$H$2:$H$2000,المبيعات!$C$2:$C$2000,A1576))</f>
        <v/>
      </c>
      <c r="E1576" s="13">
        <f>IF(A1576="","",IF(COUNTIF(المبيعات!$C$2:$C$2000,A1576)=0,"",_xlfn.MAXIFS(المبيعات!$A$2:$A$2000,المبيعات!$C$2:$C$2000,A1576)))</f>
        <v/>
      </c>
      <c r="F1576">
        <f>IF(A1576="","",SUMIFS(المبيعات!$H$2:$H$2000,المبيعات!$C$2:$C$2000,A1576,المبيعات!$J$2:$J$2000,"آجل"))</f>
        <v/>
      </c>
      <c r="G1576" s="4" t="n"/>
      <c r="H1576">
        <f>IF(A1576="","",F1576-G1576)</f>
        <v/>
      </c>
    </row>
    <row r="1577">
      <c r="A1577" s="4" t="n"/>
      <c r="B1577" s="4" t="n"/>
      <c r="C1577">
        <f>IF(A1577="","",SUMPRODUCT((المبيعات!$C$2:$C$2000=A1577)*(المبيعات!$B$2:$B$2000&lt;&gt;"")/COUNTIFS(المبيعات!$B$2:$B$2000,المبيعات!$B$2:$B$2000&amp;"",المبيعات!$C$2:$C$2000,المبيعات!$C$2:$C$2000&amp;"")))</f>
        <v/>
      </c>
      <c r="D1577">
        <f>IF(A1577="","",SUMIFS(المبيعات!$H$2:$H$2000,المبيعات!$C$2:$C$2000,A1577))</f>
        <v/>
      </c>
      <c r="E1577" s="13">
        <f>IF(A1577="","",IF(COUNTIF(المبيعات!$C$2:$C$2000,A1577)=0,"",_xlfn.MAXIFS(المبيعات!$A$2:$A$2000,المبيعات!$C$2:$C$2000,A1577)))</f>
        <v/>
      </c>
      <c r="F1577">
        <f>IF(A1577="","",SUMIFS(المبيعات!$H$2:$H$2000,المبيعات!$C$2:$C$2000,A1577,المبيعات!$J$2:$J$2000,"آجل"))</f>
        <v/>
      </c>
      <c r="G1577" s="4" t="n"/>
      <c r="H1577">
        <f>IF(A1577="","",F1577-G1577)</f>
        <v/>
      </c>
    </row>
    <row r="1578">
      <c r="A1578" s="4" t="n"/>
      <c r="B1578" s="4" t="n"/>
      <c r="C1578">
        <f>IF(A1578="","",SUMPRODUCT((المبيعات!$C$2:$C$2000=A1578)*(المبيعات!$B$2:$B$2000&lt;&gt;"")/COUNTIFS(المبيعات!$B$2:$B$2000,المبيعات!$B$2:$B$2000&amp;"",المبيعات!$C$2:$C$2000,المبيعات!$C$2:$C$2000&amp;"")))</f>
        <v/>
      </c>
      <c r="D1578">
        <f>IF(A1578="","",SUMIFS(المبيعات!$H$2:$H$2000,المبيعات!$C$2:$C$2000,A1578))</f>
        <v/>
      </c>
      <c r="E1578" s="13">
        <f>IF(A1578="","",IF(COUNTIF(المبيعات!$C$2:$C$2000,A1578)=0,"",_xlfn.MAXIFS(المبيعات!$A$2:$A$2000,المبيعات!$C$2:$C$2000,A1578)))</f>
        <v/>
      </c>
      <c r="F1578">
        <f>IF(A1578="","",SUMIFS(المبيعات!$H$2:$H$2000,المبيعات!$C$2:$C$2000,A1578,المبيعات!$J$2:$J$2000,"آجل"))</f>
        <v/>
      </c>
      <c r="G1578" s="4" t="n"/>
      <c r="H1578">
        <f>IF(A1578="","",F1578-G1578)</f>
        <v/>
      </c>
    </row>
    <row r="1579">
      <c r="A1579" s="4" t="n"/>
      <c r="B1579" s="4" t="n"/>
      <c r="C1579">
        <f>IF(A1579="","",SUMPRODUCT((المبيعات!$C$2:$C$2000=A1579)*(المبيعات!$B$2:$B$2000&lt;&gt;"")/COUNTIFS(المبيعات!$B$2:$B$2000,المبيعات!$B$2:$B$2000&amp;"",المبيعات!$C$2:$C$2000,المبيعات!$C$2:$C$2000&amp;"")))</f>
        <v/>
      </c>
      <c r="D1579">
        <f>IF(A1579="","",SUMIFS(المبيعات!$H$2:$H$2000,المبيعات!$C$2:$C$2000,A1579))</f>
        <v/>
      </c>
      <c r="E1579" s="13">
        <f>IF(A1579="","",IF(COUNTIF(المبيعات!$C$2:$C$2000,A1579)=0,"",_xlfn.MAXIFS(المبيعات!$A$2:$A$2000,المبيعات!$C$2:$C$2000,A1579)))</f>
        <v/>
      </c>
      <c r="F1579">
        <f>IF(A1579="","",SUMIFS(المبيعات!$H$2:$H$2000,المبيعات!$C$2:$C$2000,A1579,المبيعات!$J$2:$J$2000,"آجل"))</f>
        <v/>
      </c>
      <c r="G1579" s="4" t="n"/>
      <c r="H1579">
        <f>IF(A1579="","",F1579-G1579)</f>
        <v/>
      </c>
    </row>
    <row r="1580">
      <c r="A1580" s="4" t="n"/>
      <c r="B1580" s="4" t="n"/>
      <c r="C1580">
        <f>IF(A1580="","",SUMPRODUCT((المبيعات!$C$2:$C$2000=A1580)*(المبيعات!$B$2:$B$2000&lt;&gt;"")/COUNTIFS(المبيعات!$B$2:$B$2000,المبيعات!$B$2:$B$2000&amp;"",المبيعات!$C$2:$C$2000,المبيعات!$C$2:$C$2000&amp;"")))</f>
        <v/>
      </c>
      <c r="D1580">
        <f>IF(A1580="","",SUMIFS(المبيعات!$H$2:$H$2000,المبيعات!$C$2:$C$2000,A1580))</f>
        <v/>
      </c>
      <c r="E1580" s="13">
        <f>IF(A1580="","",IF(COUNTIF(المبيعات!$C$2:$C$2000,A1580)=0,"",_xlfn.MAXIFS(المبيعات!$A$2:$A$2000,المبيعات!$C$2:$C$2000,A1580)))</f>
        <v/>
      </c>
      <c r="F1580">
        <f>IF(A1580="","",SUMIFS(المبيعات!$H$2:$H$2000,المبيعات!$C$2:$C$2000,A1580,المبيعات!$J$2:$J$2000,"آجل"))</f>
        <v/>
      </c>
      <c r="G1580" s="4" t="n"/>
      <c r="H1580">
        <f>IF(A1580="","",F1580-G1580)</f>
        <v/>
      </c>
    </row>
    <row r="1581">
      <c r="A1581" s="4" t="n"/>
      <c r="B1581" s="4" t="n"/>
      <c r="C1581">
        <f>IF(A1581="","",SUMPRODUCT((المبيعات!$C$2:$C$2000=A1581)*(المبيعات!$B$2:$B$2000&lt;&gt;"")/COUNTIFS(المبيعات!$B$2:$B$2000,المبيعات!$B$2:$B$2000&amp;"",المبيعات!$C$2:$C$2000,المبيعات!$C$2:$C$2000&amp;"")))</f>
        <v/>
      </c>
      <c r="D1581">
        <f>IF(A1581="","",SUMIFS(المبيعات!$H$2:$H$2000,المبيعات!$C$2:$C$2000,A1581))</f>
        <v/>
      </c>
      <c r="E1581" s="13">
        <f>IF(A1581="","",IF(COUNTIF(المبيعات!$C$2:$C$2000,A1581)=0,"",_xlfn.MAXIFS(المبيعات!$A$2:$A$2000,المبيعات!$C$2:$C$2000,A1581)))</f>
        <v/>
      </c>
      <c r="F1581">
        <f>IF(A1581="","",SUMIFS(المبيعات!$H$2:$H$2000,المبيعات!$C$2:$C$2000,A1581,المبيعات!$J$2:$J$2000,"آجل"))</f>
        <v/>
      </c>
      <c r="G1581" s="4" t="n"/>
      <c r="H1581">
        <f>IF(A1581="","",F1581-G1581)</f>
        <v/>
      </c>
    </row>
    <row r="1582">
      <c r="A1582" s="4" t="n"/>
      <c r="B1582" s="4" t="n"/>
      <c r="C1582">
        <f>IF(A1582="","",SUMPRODUCT((المبيعات!$C$2:$C$2000=A1582)*(المبيعات!$B$2:$B$2000&lt;&gt;"")/COUNTIFS(المبيعات!$B$2:$B$2000,المبيعات!$B$2:$B$2000&amp;"",المبيعات!$C$2:$C$2000,المبيعات!$C$2:$C$2000&amp;"")))</f>
        <v/>
      </c>
      <c r="D1582">
        <f>IF(A1582="","",SUMIFS(المبيعات!$H$2:$H$2000,المبيعات!$C$2:$C$2000,A1582))</f>
        <v/>
      </c>
      <c r="E1582" s="13">
        <f>IF(A1582="","",IF(COUNTIF(المبيعات!$C$2:$C$2000,A1582)=0,"",_xlfn.MAXIFS(المبيعات!$A$2:$A$2000,المبيعات!$C$2:$C$2000,A1582)))</f>
        <v/>
      </c>
      <c r="F1582">
        <f>IF(A1582="","",SUMIFS(المبيعات!$H$2:$H$2000,المبيعات!$C$2:$C$2000,A1582,المبيعات!$J$2:$J$2000,"آجل"))</f>
        <v/>
      </c>
      <c r="G1582" s="4" t="n"/>
      <c r="H1582">
        <f>IF(A1582="","",F1582-G1582)</f>
        <v/>
      </c>
    </row>
    <row r="1583">
      <c r="A1583" s="4" t="n"/>
      <c r="B1583" s="4" t="n"/>
      <c r="C1583">
        <f>IF(A1583="","",SUMPRODUCT((المبيعات!$C$2:$C$2000=A1583)*(المبيعات!$B$2:$B$2000&lt;&gt;"")/COUNTIFS(المبيعات!$B$2:$B$2000,المبيعات!$B$2:$B$2000&amp;"",المبيعات!$C$2:$C$2000,المبيعات!$C$2:$C$2000&amp;"")))</f>
        <v/>
      </c>
      <c r="D1583">
        <f>IF(A1583="","",SUMIFS(المبيعات!$H$2:$H$2000,المبيعات!$C$2:$C$2000,A1583))</f>
        <v/>
      </c>
      <c r="E1583" s="13">
        <f>IF(A1583="","",IF(COUNTIF(المبيعات!$C$2:$C$2000,A1583)=0,"",_xlfn.MAXIFS(المبيعات!$A$2:$A$2000,المبيعات!$C$2:$C$2000,A1583)))</f>
        <v/>
      </c>
      <c r="F1583">
        <f>IF(A1583="","",SUMIFS(المبيعات!$H$2:$H$2000,المبيعات!$C$2:$C$2000,A1583,المبيعات!$J$2:$J$2000,"آجل"))</f>
        <v/>
      </c>
      <c r="G1583" s="4" t="n"/>
      <c r="H1583">
        <f>IF(A1583="","",F1583-G1583)</f>
        <v/>
      </c>
    </row>
    <row r="1584">
      <c r="A1584" s="4" t="n"/>
      <c r="B1584" s="4" t="n"/>
      <c r="C1584">
        <f>IF(A1584="","",SUMPRODUCT((المبيعات!$C$2:$C$2000=A1584)*(المبيعات!$B$2:$B$2000&lt;&gt;"")/COUNTIFS(المبيعات!$B$2:$B$2000,المبيعات!$B$2:$B$2000&amp;"",المبيعات!$C$2:$C$2000,المبيعات!$C$2:$C$2000&amp;"")))</f>
        <v/>
      </c>
      <c r="D1584">
        <f>IF(A1584="","",SUMIFS(المبيعات!$H$2:$H$2000,المبيعات!$C$2:$C$2000,A1584))</f>
        <v/>
      </c>
      <c r="E1584" s="13">
        <f>IF(A1584="","",IF(COUNTIF(المبيعات!$C$2:$C$2000,A1584)=0,"",_xlfn.MAXIFS(المبيعات!$A$2:$A$2000,المبيعات!$C$2:$C$2000,A1584)))</f>
        <v/>
      </c>
      <c r="F1584">
        <f>IF(A1584="","",SUMIFS(المبيعات!$H$2:$H$2000,المبيعات!$C$2:$C$2000,A1584,المبيعات!$J$2:$J$2000,"آجل"))</f>
        <v/>
      </c>
      <c r="G1584" s="4" t="n"/>
      <c r="H1584">
        <f>IF(A1584="","",F1584-G1584)</f>
        <v/>
      </c>
    </row>
    <row r="1585">
      <c r="A1585" s="4" t="n"/>
      <c r="B1585" s="4" t="n"/>
      <c r="C1585">
        <f>IF(A1585="","",SUMPRODUCT((المبيعات!$C$2:$C$2000=A1585)*(المبيعات!$B$2:$B$2000&lt;&gt;"")/COUNTIFS(المبيعات!$B$2:$B$2000,المبيعات!$B$2:$B$2000&amp;"",المبيعات!$C$2:$C$2000,المبيعات!$C$2:$C$2000&amp;"")))</f>
        <v/>
      </c>
      <c r="D1585">
        <f>IF(A1585="","",SUMIFS(المبيعات!$H$2:$H$2000,المبيعات!$C$2:$C$2000,A1585))</f>
        <v/>
      </c>
      <c r="E1585" s="13">
        <f>IF(A1585="","",IF(COUNTIF(المبيعات!$C$2:$C$2000,A1585)=0,"",_xlfn.MAXIFS(المبيعات!$A$2:$A$2000,المبيعات!$C$2:$C$2000,A1585)))</f>
        <v/>
      </c>
      <c r="F1585">
        <f>IF(A1585="","",SUMIFS(المبيعات!$H$2:$H$2000,المبيعات!$C$2:$C$2000,A1585,المبيعات!$J$2:$J$2000,"آجل"))</f>
        <v/>
      </c>
      <c r="G1585" s="4" t="n"/>
      <c r="H1585">
        <f>IF(A1585="","",F1585-G1585)</f>
        <v/>
      </c>
    </row>
    <row r="1586">
      <c r="A1586" s="4" t="n"/>
      <c r="B1586" s="4" t="n"/>
      <c r="C1586">
        <f>IF(A1586="","",SUMPRODUCT((المبيعات!$C$2:$C$2000=A1586)*(المبيعات!$B$2:$B$2000&lt;&gt;"")/COUNTIFS(المبيعات!$B$2:$B$2000,المبيعات!$B$2:$B$2000&amp;"",المبيعات!$C$2:$C$2000,المبيعات!$C$2:$C$2000&amp;"")))</f>
        <v/>
      </c>
      <c r="D1586">
        <f>IF(A1586="","",SUMIFS(المبيعات!$H$2:$H$2000,المبيعات!$C$2:$C$2000,A1586))</f>
        <v/>
      </c>
      <c r="E1586" s="13">
        <f>IF(A1586="","",IF(COUNTIF(المبيعات!$C$2:$C$2000,A1586)=0,"",_xlfn.MAXIFS(المبيعات!$A$2:$A$2000,المبيعات!$C$2:$C$2000,A1586)))</f>
        <v/>
      </c>
      <c r="F1586">
        <f>IF(A1586="","",SUMIFS(المبيعات!$H$2:$H$2000,المبيعات!$C$2:$C$2000,A1586,المبيعات!$J$2:$J$2000,"آجل"))</f>
        <v/>
      </c>
      <c r="G1586" s="4" t="n"/>
      <c r="H1586">
        <f>IF(A1586="","",F1586-G1586)</f>
        <v/>
      </c>
    </row>
    <row r="1587">
      <c r="A1587" s="4" t="n"/>
      <c r="B1587" s="4" t="n"/>
      <c r="C1587">
        <f>IF(A1587="","",SUMPRODUCT((المبيعات!$C$2:$C$2000=A1587)*(المبيعات!$B$2:$B$2000&lt;&gt;"")/COUNTIFS(المبيعات!$B$2:$B$2000,المبيعات!$B$2:$B$2000&amp;"",المبيعات!$C$2:$C$2000,المبيعات!$C$2:$C$2000&amp;"")))</f>
        <v/>
      </c>
      <c r="D1587">
        <f>IF(A1587="","",SUMIFS(المبيعات!$H$2:$H$2000,المبيعات!$C$2:$C$2000,A1587))</f>
        <v/>
      </c>
      <c r="E1587" s="13">
        <f>IF(A1587="","",IF(COUNTIF(المبيعات!$C$2:$C$2000,A1587)=0,"",_xlfn.MAXIFS(المبيعات!$A$2:$A$2000,المبيعات!$C$2:$C$2000,A1587)))</f>
        <v/>
      </c>
      <c r="F1587">
        <f>IF(A1587="","",SUMIFS(المبيعات!$H$2:$H$2000,المبيعات!$C$2:$C$2000,A1587,المبيعات!$J$2:$J$2000,"آجل"))</f>
        <v/>
      </c>
      <c r="G1587" s="4" t="n"/>
      <c r="H1587">
        <f>IF(A1587="","",F1587-G1587)</f>
        <v/>
      </c>
    </row>
    <row r="1588">
      <c r="A1588" s="4" t="n"/>
      <c r="B1588" s="4" t="n"/>
      <c r="C1588">
        <f>IF(A1588="","",SUMPRODUCT((المبيعات!$C$2:$C$2000=A1588)*(المبيعات!$B$2:$B$2000&lt;&gt;"")/COUNTIFS(المبيعات!$B$2:$B$2000,المبيعات!$B$2:$B$2000&amp;"",المبيعات!$C$2:$C$2000,المبيعات!$C$2:$C$2000&amp;"")))</f>
        <v/>
      </c>
      <c r="D1588">
        <f>IF(A1588="","",SUMIFS(المبيعات!$H$2:$H$2000,المبيعات!$C$2:$C$2000,A1588))</f>
        <v/>
      </c>
      <c r="E1588" s="13">
        <f>IF(A1588="","",IF(COUNTIF(المبيعات!$C$2:$C$2000,A1588)=0,"",_xlfn.MAXIFS(المبيعات!$A$2:$A$2000,المبيعات!$C$2:$C$2000,A1588)))</f>
        <v/>
      </c>
      <c r="F1588">
        <f>IF(A1588="","",SUMIFS(المبيعات!$H$2:$H$2000,المبيعات!$C$2:$C$2000,A1588,المبيعات!$J$2:$J$2000,"آجل"))</f>
        <v/>
      </c>
      <c r="G1588" s="4" t="n"/>
      <c r="H1588">
        <f>IF(A1588="","",F1588-G1588)</f>
        <v/>
      </c>
    </row>
    <row r="1589">
      <c r="A1589" s="4" t="n"/>
      <c r="B1589" s="4" t="n"/>
      <c r="C1589">
        <f>IF(A1589="","",SUMPRODUCT((المبيعات!$C$2:$C$2000=A1589)*(المبيعات!$B$2:$B$2000&lt;&gt;"")/COUNTIFS(المبيعات!$B$2:$B$2000,المبيعات!$B$2:$B$2000&amp;"",المبيعات!$C$2:$C$2000,المبيعات!$C$2:$C$2000&amp;"")))</f>
        <v/>
      </c>
      <c r="D1589">
        <f>IF(A1589="","",SUMIFS(المبيعات!$H$2:$H$2000,المبيعات!$C$2:$C$2000,A1589))</f>
        <v/>
      </c>
      <c r="E1589" s="13">
        <f>IF(A1589="","",IF(COUNTIF(المبيعات!$C$2:$C$2000,A1589)=0,"",_xlfn.MAXIFS(المبيعات!$A$2:$A$2000,المبيعات!$C$2:$C$2000,A1589)))</f>
        <v/>
      </c>
      <c r="F1589">
        <f>IF(A1589="","",SUMIFS(المبيعات!$H$2:$H$2000,المبيعات!$C$2:$C$2000,A1589,المبيعات!$J$2:$J$2000,"آجل"))</f>
        <v/>
      </c>
      <c r="G1589" s="4" t="n"/>
      <c r="H1589">
        <f>IF(A1589="","",F1589-G1589)</f>
        <v/>
      </c>
    </row>
    <row r="1590">
      <c r="A1590" s="4" t="n"/>
      <c r="B1590" s="4" t="n"/>
      <c r="C1590">
        <f>IF(A1590="","",SUMPRODUCT((المبيعات!$C$2:$C$2000=A1590)*(المبيعات!$B$2:$B$2000&lt;&gt;"")/COUNTIFS(المبيعات!$B$2:$B$2000,المبيعات!$B$2:$B$2000&amp;"",المبيعات!$C$2:$C$2000,المبيعات!$C$2:$C$2000&amp;"")))</f>
        <v/>
      </c>
      <c r="D1590">
        <f>IF(A1590="","",SUMIFS(المبيعات!$H$2:$H$2000,المبيعات!$C$2:$C$2000,A1590))</f>
        <v/>
      </c>
      <c r="E1590" s="13">
        <f>IF(A1590="","",IF(COUNTIF(المبيعات!$C$2:$C$2000,A1590)=0,"",_xlfn.MAXIFS(المبيعات!$A$2:$A$2000,المبيعات!$C$2:$C$2000,A1590)))</f>
        <v/>
      </c>
      <c r="F1590">
        <f>IF(A1590="","",SUMIFS(المبيعات!$H$2:$H$2000,المبيعات!$C$2:$C$2000,A1590,المبيعات!$J$2:$J$2000,"آجل"))</f>
        <v/>
      </c>
      <c r="G1590" s="4" t="n"/>
      <c r="H1590">
        <f>IF(A1590="","",F1590-G1590)</f>
        <v/>
      </c>
    </row>
    <row r="1591">
      <c r="A1591" s="4" t="n"/>
      <c r="B1591" s="4" t="n"/>
      <c r="C1591">
        <f>IF(A1591="","",SUMPRODUCT((المبيعات!$C$2:$C$2000=A1591)*(المبيعات!$B$2:$B$2000&lt;&gt;"")/COUNTIFS(المبيعات!$B$2:$B$2000,المبيعات!$B$2:$B$2000&amp;"",المبيعات!$C$2:$C$2000,المبيعات!$C$2:$C$2000&amp;"")))</f>
        <v/>
      </c>
      <c r="D1591">
        <f>IF(A1591="","",SUMIFS(المبيعات!$H$2:$H$2000,المبيعات!$C$2:$C$2000,A1591))</f>
        <v/>
      </c>
      <c r="E1591" s="13">
        <f>IF(A1591="","",IF(COUNTIF(المبيعات!$C$2:$C$2000,A1591)=0,"",_xlfn.MAXIFS(المبيعات!$A$2:$A$2000,المبيعات!$C$2:$C$2000,A1591)))</f>
        <v/>
      </c>
      <c r="F1591">
        <f>IF(A1591="","",SUMIFS(المبيعات!$H$2:$H$2000,المبيعات!$C$2:$C$2000,A1591,المبيعات!$J$2:$J$2000,"آجل"))</f>
        <v/>
      </c>
      <c r="G1591" s="4" t="n"/>
      <c r="H1591">
        <f>IF(A1591="","",F1591-G1591)</f>
        <v/>
      </c>
    </row>
    <row r="1592">
      <c r="A1592" s="4" t="n"/>
      <c r="B1592" s="4" t="n"/>
      <c r="C1592">
        <f>IF(A1592="","",SUMPRODUCT((المبيعات!$C$2:$C$2000=A1592)*(المبيعات!$B$2:$B$2000&lt;&gt;"")/COUNTIFS(المبيعات!$B$2:$B$2000,المبيعات!$B$2:$B$2000&amp;"",المبيعات!$C$2:$C$2000,المبيعات!$C$2:$C$2000&amp;"")))</f>
        <v/>
      </c>
      <c r="D1592">
        <f>IF(A1592="","",SUMIFS(المبيعات!$H$2:$H$2000,المبيعات!$C$2:$C$2000,A1592))</f>
        <v/>
      </c>
      <c r="E1592" s="13">
        <f>IF(A1592="","",IF(COUNTIF(المبيعات!$C$2:$C$2000,A1592)=0,"",_xlfn.MAXIFS(المبيعات!$A$2:$A$2000,المبيعات!$C$2:$C$2000,A1592)))</f>
        <v/>
      </c>
      <c r="F1592">
        <f>IF(A1592="","",SUMIFS(المبيعات!$H$2:$H$2000,المبيعات!$C$2:$C$2000,A1592,المبيعات!$J$2:$J$2000,"آجل"))</f>
        <v/>
      </c>
      <c r="G1592" s="4" t="n"/>
      <c r="H1592">
        <f>IF(A1592="","",F1592-G1592)</f>
        <v/>
      </c>
    </row>
    <row r="1593">
      <c r="A1593" s="4" t="n"/>
      <c r="B1593" s="4" t="n"/>
      <c r="C1593">
        <f>IF(A1593="","",SUMPRODUCT((المبيعات!$C$2:$C$2000=A1593)*(المبيعات!$B$2:$B$2000&lt;&gt;"")/COUNTIFS(المبيعات!$B$2:$B$2000,المبيعات!$B$2:$B$2000&amp;"",المبيعات!$C$2:$C$2000,المبيعات!$C$2:$C$2000&amp;"")))</f>
        <v/>
      </c>
      <c r="D1593">
        <f>IF(A1593="","",SUMIFS(المبيعات!$H$2:$H$2000,المبيعات!$C$2:$C$2000,A1593))</f>
        <v/>
      </c>
      <c r="E1593" s="13">
        <f>IF(A1593="","",IF(COUNTIF(المبيعات!$C$2:$C$2000,A1593)=0,"",_xlfn.MAXIFS(المبيعات!$A$2:$A$2000,المبيعات!$C$2:$C$2000,A1593)))</f>
        <v/>
      </c>
      <c r="F1593">
        <f>IF(A1593="","",SUMIFS(المبيعات!$H$2:$H$2000,المبيعات!$C$2:$C$2000,A1593,المبيعات!$J$2:$J$2000,"آجل"))</f>
        <v/>
      </c>
      <c r="G1593" s="4" t="n"/>
      <c r="H1593">
        <f>IF(A1593="","",F1593-G1593)</f>
        <v/>
      </c>
    </row>
    <row r="1594">
      <c r="A1594" s="4" t="n"/>
      <c r="B1594" s="4" t="n"/>
      <c r="C1594">
        <f>IF(A1594="","",SUMPRODUCT((المبيعات!$C$2:$C$2000=A1594)*(المبيعات!$B$2:$B$2000&lt;&gt;"")/COUNTIFS(المبيعات!$B$2:$B$2000,المبيعات!$B$2:$B$2000&amp;"",المبيعات!$C$2:$C$2000,المبيعات!$C$2:$C$2000&amp;"")))</f>
        <v/>
      </c>
      <c r="D1594">
        <f>IF(A1594="","",SUMIFS(المبيعات!$H$2:$H$2000,المبيعات!$C$2:$C$2000,A1594))</f>
        <v/>
      </c>
      <c r="E1594" s="13">
        <f>IF(A1594="","",IF(COUNTIF(المبيعات!$C$2:$C$2000,A1594)=0,"",_xlfn.MAXIFS(المبيعات!$A$2:$A$2000,المبيعات!$C$2:$C$2000,A1594)))</f>
        <v/>
      </c>
      <c r="F1594">
        <f>IF(A1594="","",SUMIFS(المبيعات!$H$2:$H$2000,المبيعات!$C$2:$C$2000,A1594,المبيعات!$J$2:$J$2000,"آجل"))</f>
        <v/>
      </c>
      <c r="G1594" s="4" t="n"/>
      <c r="H1594">
        <f>IF(A1594="","",F1594-G1594)</f>
        <v/>
      </c>
    </row>
    <row r="1595">
      <c r="A1595" s="4" t="n"/>
      <c r="B1595" s="4" t="n"/>
      <c r="C1595">
        <f>IF(A1595="","",SUMPRODUCT((المبيعات!$C$2:$C$2000=A1595)*(المبيعات!$B$2:$B$2000&lt;&gt;"")/COUNTIFS(المبيعات!$B$2:$B$2000,المبيعات!$B$2:$B$2000&amp;"",المبيعات!$C$2:$C$2000,المبيعات!$C$2:$C$2000&amp;"")))</f>
        <v/>
      </c>
      <c r="D1595">
        <f>IF(A1595="","",SUMIFS(المبيعات!$H$2:$H$2000,المبيعات!$C$2:$C$2000,A1595))</f>
        <v/>
      </c>
      <c r="E1595" s="13">
        <f>IF(A1595="","",IF(COUNTIF(المبيعات!$C$2:$C$2000,A1595)=0,"",_xlfn.MAXIFS(المبيعات!$A$2:$A$2000,المبيعات!$C$2:$C$2000,A1595)))</f>
        <v/>
      </c>
      <c r="F1595">
        <f>IF(A1595="","",SUMIFS(المبيعات!$H$2:$H$2000,المبيعات!$C$2:$C$2000,A1595,المبيعات!$J$2:$J$2000,"آجل"))</f>
        <v/>
      </c>
      <c r="G1595" s="4" t="n"/>
      <c r="H1595">
        <f>IF(A1595="","",F1595-G1595)</f>
        <v/>
      </c>
    </row>
    <row r="1596">
      <c r="A1596" s="4" t="n"/>
      <c r="B1596" s="4" t="n"/>
      <c r="C1596">
        <f>IF(A1596="","",SUMPRODUCT((المبيعات!$C$2:$C$2000=A1596)*(المبيعات!$B$2:$B$2000&lt;&gt;"")/COUNTIFS(المبيعات!$B$2:$B$2000,المبيعات!$B$2:$B$2000&amp;"",المبيعات!$C$2:$C$2000,المبيعات!$C$2:$C$2000&amp;"")))</f>
        <v/>
      </c>
      <c r="D1596">
        <f>IF(A1596="","",SUMIFS(المبيعات!$H$2:$H$2000,المبيعات!$C$2:$C$2000,A1596))</f>
        <v/>
      </c>
      <c r="E1596" s="13">
        <f>IF(A1596="","",IF(COUNTIF(المبيعات!$C$2:$C$2000,A1596)=0,"",_xlfn.MAXIFS(المبيعات!$A$2:$A$2000,المبيعات!$C$2:$C$2000,A1596)))</f>
        <v/>
      </c>
      <c r="F1596">
        <f>IF(A1596="","",SUMIFS(المبيعات!$H$2:$H$2000,المبيعات!$C$2:$C$2000,A1596,المبيعات!$J$2:$J$2000,"آجل"))</f>
        <v/>
      </c>
      <c r="G1596" s="4" t="n"/>
      <c r="H1596">
        <f>IF(A1596="","",F1596-G1596)</f>
        <v/>
      </c>
    </row>
    <row r="1597">
      <c r="A1597" s="4" t="n"/>
      <c r="B1597" s="4" t="n"/>
      <c r="C1597">
        <f>IF(A1597="","",SUMPRODUCT((المبيعات!$C$2:$C$2000=A1597)*(المبيعات!$B$2:$B$2000&lt;&gt;"")/COUNTIFS(المبيعات!$B$2:$B$2000,المبيعات!$B$2:$B$2000&amp;"",المبيعات!$C$2:$C$2000,المبيعات!$C$2:$C$2000&amp;"")))</f>
        <v/>
      </c>
      <c r="D1597">
        <f>IF(A1597="","",SUMIFS(المبيعات!$H$2:$H$2000,المبيعات!$C$2:$C$2000,A1597))</f>
        <v/>
      </c>
      <c r="E1597" s="13">
        <f>IF(A1597="","",IF(COUNTIF(المبيعات!$C$2:$C$2000,A1597)=0,"",_xlfn.MAXIFS(المبيعات!$A$2:$A$2000,المبيعات!$C$2:$C$2000,A1597)))</f>
        <v/>
      </c>
      <c r="F1597">
        <f>IF(A1597="","",SUMIFS(المبيعات!$H$2:$H$2000,المبيعات!$C$2:$C$2000,A1597,المبيعات!$J$2:$J$2000,"آجل"))</f>
        <v/>
      </c>
      <c r="G1597" s="4" t="n"/>
      <c r="H1597">
        <f>IF(A1597="","",F1597-G1597)</f>
        <v/>
      </c>
    </row>
    <row r="1598">
      <c r="A1598" s="4" t="n"/>
      <c r="B1598" s="4" t="n"/>
      <c r="C1598">
        <f>IF(A1598="","",SUMPRODUCT((المبيعات!$C$2:$C$2000=A1598)*(المبيعات!$B$2:$B$2000&lt;&gt;"")/COUNTIFS(المبيعات!$B$2:$B$2000,المبيعات!$B$2:$B$2000&amp;"",المبيعات!$C$2:$C$2000,المبيعات!$C$2:$C$2000&amp;"")))</f>
        <v/>
      </c>
      <c r="D1598">
        <f>IF(A1598="","",SUMIFS(المبيعات!$H$2:$H$2000,المبيعات!$C$2:$C$2000,A1598))</f>
        <v/>
      </c>
      <c r="E1598" s="13">
        <f>IF(A1598="","",IF(COUNTIF(المبيعات!$C$2:$C$2000,A1598)=0,"",_xlfn.MAXIFS(المبيعات!$A$2:$A$2000,المبيعات!$C$2:$C$2000,A1598)))</f>
        <v/>
      </c>
      <c r="F1598">
        <f>IF(A1598="","",SUMIFS(المبيعات!$H$2:$H$2000,المبيعات!$C$2:$C$2000,A1598,المبيعات!$J$2:$J$2000,"آجل"))</f>
        <v/>
      </c>
      <c r="G1598" s="4" t="n"/>
      <c r="H1598">
        <f>IF(A1598="","",F1598-G1598)</f>
        <v/>
      </c>
    </row>
    <row r="1599">
      <c r="A1599" s="4" t="n"/>
      <c r="B1599" s="4" t="n"/>
      <c r="C1599">
        <f>IF(A1599="","",SUMPRODUCT((المبيعات!$C$2:$C$2000=A1599)*(المبيعات!$B$2:$B$2000&lt;&gt;"")/COUNTIFS(المبيعات!$B$2:$B$2000,المبيعات!$B$2:$B$2000&amp;"",المبيعات!$C$2:$C$2000,المبيعات!$C$2:$C$2000&amp;"")))</f>
        <v/>
      </c>
      <c r="D1599">
        <f>IF(A1599="","",SUMIFS(المبيعات!$H$2:$H$2000,المبيعات!$C$2:$C$2000,A1599))</f>
        <v/>
      </c>
      <c r="E1599" s="13">
        <f>IF(A1599="","",IF(COUNTIF(المبيعات!$C$2:$C$2000,A1599)=0,"",_xlfn.MAXIFS(المبيعات!$A$2:$A$2000,المبيعات!$C$2:$C$2000,A1599)))</f>
        <v/>
      </c>
      <c r="F1599">
        <f>IF(A1599="","",SUMIFS(المبيعات!$H$2:$H$2000,المبيعات!$C$2:$C$2000,A1599,المبيعات!$J$2:$J$2000,"آجل"))</f>
        <v/>
      </c>
      <c r="G1599" s="4" t="n"/>
      <c r="H1599">
        <f>IF(A1599="","",F1599-G1599)</f>
        <v/>
      </c>
    </row>
    <row r="1600">
      <c r="A1600" s="4" t="n"/>
      <c r="B1600" s="4" t="n"/>
      <c r="C1600">
        <f>IF(A1600="","",SUMPRODUCT((المبيعات!$C$2:$C$2000=A1600)*(المبيعات!$B$2:$B$2000&lt;&gt;"")/COUNTIFS(المبيعات!$B$2:$B$2000,المبيعات!$B$2:$B$2000&amp;"",المبيعات!$C$2:$C$2000,المبيعات!$C$2:$C$2000&amp;"")))</f>
        <v/>
      </c>
      <c r="D1600">
        <f>IF(A1600="","",SUMIFS(المبيعات!$H$2:$H$2000,المبيعات!$C$2:$C$2000,A1600))</f>
        <v/>
      </c>
      <c r="E1600" s="13">
        <f>IF(A1600="","",IF(COUNTIF(المبيعات!$C$2:$C$2000,A1600)=0,"",_xlfn.MAXIFS(المبيعات!$A$2:$A$2000,المبيعات!$C$2:$C$2000,A1600)))</f>
        <v/>
      </c>
      <c r="F1600">
        <f>IF(A1600="","",SUMIFS(المبيعات!$H$2:$H$2000,المبيعات!$C$2:$C$2000,A1600,المبيعات!$J$2:$J$2000,"آجل"))</f>
        <v/>
      </c>
      <c r="G1600" s="4" t="n"/>
      <c r="H1600">
        <f>IF(A1600="","",F1600-G1600)</f>
        <v/>
      </c>
    </row>
    <row r="1601">
      <c r="A1601" s="4" t="n"/>
      <c r="B1601" s="4" t="n"/>
      <c r="C1601">
        <f>IF(A1601="","",SUMPRODUCT((المبيعات!$C$2:$C$2000=A1601)*(المبيعات!$B$2:$B$2000&lt;&gt;"")/COUNTIFS(المبيعات!$B$2:$B$2000,المبيعات!$B$2:$B$2000&amp;"",المبيعات!$C$2:$C$2000,المبيعات!$C$2:$C$2000&amp;"")))</f>
        <v/>
      </c>
      <c r="D1601">
        <f>IF(A1601="","",SUMIFS(المبيعات!$H$2:$H$2000,المبيعات!$C$2:$C$2000,A1601))</f>
        <v/>
      </c>
      <c r="E1601" s="13">
        <f>IF(A1601="","",IF(COUNTIF(المبيعات!$C$2:$C$2000,A1601)=0,"",_xlfn.MAXIFS(المبيعات!$A$2:$A$2000,المبيعات!$C$2:$C$2000,A1601)))</f>
        <v/>
      </c>
      <c r="F1601">
        <f>IF(A1601="","",SUMIFS(المبيعات!$H$2:$H$2000,المبيعات!$C$2:$C$2000,A1601,المبيعات!$J$2:$J$2000,"آجل"))</f>
        <v/>
      </c>
      <c r="G1601" s="4" t="n"/>
      <c r="H1601">
        <f>IF(A1601="","",F1601-G1601)</f>
        <v/>
      </c>
    </row>
    <row r="1602">
      <c r="A1602" s="4" t="n"/>
      <c r="B1602" s="4" t="n"/>
      <c r="C1602">
        <f>IF(A1602="","",SUMPRODUCT((المبيعات!$C$2:$C$2000=A1602)*(المبيعات!$B$2:$B$2000&lt;&gt;"")/COUNTIFS(المبيعات!$B$2:$B$2000,المبيعات!$B$2:$B$2000&amp;"",المبيعات!$C$2:$C$2000,المبيعات!$C$2:$C$2000&amp;"")))</f>
        <v/>
      </c>
      <c r="D1602">
        <f>IF(A1602="","",SUMIFS(المبيعات!$H$2:$H$2000,المبيعات!$C$2:$C$2000,A1602))</f>
        <v/>
      </c>
      <c r="E1602" s="13">
        <f>IF(A1602="","",IF(COUNTIF(المبيعات!$C$2:$C$2000,A1602)=0,"",_xlfn.MAXIFS(المبيعات!$A$2:$A$2000,المبيعات!$C$2:$C$2000,A1602)))</f>
        <v/>
      </c>
      <c r="F1602">
        <f>IF(A1602="","",SUMIFS(المبيعات!$H$2:$H$2000,المبيعات!$C$2:$C$2000,A1602,المبيعات!$J$2:$J$2000,"آجل"))</f>
        <v/>
      </c>
      <c r="G1602" s="4" t="n"/>
      <c r="H1602">
        <f>IF(A1602="","",F1602-G1602)</f>
        <v/>
      </c>
    </row>
    <row r="1603">
      <c r="A1603" s="4" t="n"/>
      <c r="B1603" s="4" t="n"/>
      <c r="C1603">
        <f>IF(A1603="","",SUMPRODUCT((المبيعات!$C$2:$C$2000=A1603)*(المبيعات!$B$2:$B$2000&lt;&gt;"")/COUNTIFS(المبيعات!$B$2:$B$2000,المبيعات!$B$2:$B$2000&amp;"",المبيعات!$C$2:$C$2000,المبيعات!$C$2:$C$2000&amp;"")))</f>
        <v/>
      </c>
      <c r="D1603">
        <f>IF(A1603="","",SUMIFS(المبيعات!$H$2:$H$2000,المبيعات!$C$2:$C$2000,A1603))</f>
        <v/>
      </c>
      <c r="E1603" s="13">
        <f>IF(A1603="","",IF(COUNTIF(المبيعات!$C$2:$C$2000,A1603)=0,"",_xlfn.MAXIFS(المبيعات!$A$2:$A$2000,المبيعات!$C$2:$C$2000,A1603)))</f>
        <v/>
      </c>
      <c r="F1603">
        <f>IF(A1603="","",SUMIFS(المبيعات!$H$2:$H$2000,المبيعات!$C$2:$C$2000,A1603,المبيعات!$J$2:$J$2000,"آجل"))</f>
        <v/>
      </c>
      <c r="G1603" s="4" t="n"/>
      <c r="H1603">
        <f>IF(A1603="","",F1603-G1603)</f>
        <v/>
      </c>
    </row>
    <row r="1604">
      <c r="A1604" s="4" t="n"/>
      <c r="B1604" s="4" t="n"/>
      <c r="C1604">
        <f>IF(A1604="","",SUMPRODUCT((المبيعات!$C$2:$C$2000=A1604)*(المبيعات!$B$2:$B$2000&lt;&gt;"")/COUNTIFS(المبيعات!$B$2:$B$2000,المبيعات!$B$2:$B$2000&amp;"",المبيعات!$C$2:$C$2000,المبيعات!$C$2:$C$2000&amp;"")))</f>
        <v/>
      </c>
      <c r="D1604">
        <f>IF(A1604="","",SUMIFS(المبيعات!$H$2:$H$2000,المبيعات!$C$2:$C$2000,A1604))</f>
        <v/>
      </c>
      <c r="E1604" s="13">
        <f>IF(A1604="","",IF(COUNTIF(المبيعات!$C$2:$C$2000,A1604)=0,"",_xlfn.MAXIFS(المبيعات!$A$2:$A$2000,المبيعات!$C$2:$C$2000,A1604)))</f>
        <v/>
      </c>
      <c r="F1604">
        <f>IF(A1604="","",SUMIFS(المبيعات!$H$2:$H$2000,المبيعات!$C$2:$C$2000,A1604,المبيعات!$J$2:$J$2000,"آجل"))</f>
        <v/>
      </c>
      <c r="G1604" s="4" t="n"/>
      <c r="H1604">
        <f>IF(A1604="","",F1604-G1604)</f>
        <v/>
      </c>
    </row>
    <row r="1605">
      <c r="A1605" s="4" t="n"/>
      <c r="B1605" s="4" t="n"/>
      <c r="C1605">
        <f>IF(A1605="","",SUMPRODUCT((المبيعات!$C$2:$C$2000=A1605)*(المبيعات!$B$2:$B$2000&lt;&gt;"")/COUNTIFS(المبيعات!$B$2:$B$2000,المبيعات!$B$2:$B$2000&amp;"",المبيعات!$C$2:$C$2000,المبيعات!$C$2:$C$2000&amp;"")))</f>
        <v/>
      </c>
      <c r="D1605">
        <f>IF(A1605="","",SUMIFS(المبيعات!$H$2:$H$2000,المبيعات!$C$2:$C$2000,A1605))</f>
        <v/>
      </c>
      <c r="E1605" s="13">
        <f>IF(A1605="","",IF(COUNTIF(المبيعات!$C$2:$C$2000,A1605)=0,"",_xlfn.MAXIFS(المبيعات!$A$2:$A$2000,المبيعات!$C$2:$C$2000,A1605)))</f>
        <v/>
      </c>
      <c r="F1605">
        <f>IF(A1605="","",SUMIFS(المبيعات!$H$2:$H$2000,المبيعات!$C$2:$C$2000,A1605,المبيعات!$J$2:$J$2000,"آجل"))</f>
        <v/>
      </c>
      <c r="G1605" s="4" t="n"/>
      <c r="H1605">
        <f>IF(A1605="","",F1605-G1605)</f>
        <v/>
      </c>
    </row>
    <row r="1606">
      <c r="A1606" s="4" t="n"/>
      <c r="B1606" s="4" t="n"/>
      <c r="C1606">
        <f>IF(A1606="","",SUMPRODUCT((المبيعات!$C$2:$C$2000=A1606)*(المبيعات!$B$2:$B$2000&lt;&gt;"")/COUNTIFS(المبيعات!$B$2:$B$2000,المبيعات!$B$2:$B$2000&amp;"",المبيعات!$C$2:$C$2000,المبيعات!$C$2:$C$2000&amp;"")))</f>
        <v/>
      </c>
      <c r="D1606">
        <f>IF(A1606="","",SUMIFS(المبيعات!$H$2:$H$2000,المبيعات!$C$2:$C$2000,A1606))</f>
        <v/>
      </c>
      <c r="E1606" s="13">
        <f>IF(A1606="","",IF(COUNTIF(المبيعات!$C$2:$C$2000,A1606)=0,"",_xlfn.MAXIFS(المبيعات!$A$2:$A$2000,المبيعات!$C$2:$C$2000,A1606)))</f>
        <v/>
      </c>
      <c r="F1606">
        <f>IF(A1606="","",SUMIFS(المبيعات!$H$2:$H$2000,المبيعات!$C$2:$C$2000,A1606,المبيعات!$J$2:$J$2000,"آجل"))</f>
        <v/>
      </c>
      <c r="G1606" s="4" t="n"/>
      <c r="H1606">
        <f>IF(A1606="","",F1606-G1606)</f>
        <v/>
      </c>
    </row>
    <row r="1607">
      <c r="A1607" s="4" t="n"/>
      <c r="B1607" s="4" t="n"/>
      <c r="C1607">
        <f>IF(A1607="","",SUMPRODUCT((المبيعات!$C$2:$C$2000=A1607)*(المبيعات!$B$2:$B$2000&lt;&gt;"")/COUNTIFS(المبيعات!$B$2:$B$2000,المبيعات!$B$2:$B$2000&amp;"",المبيعات!$C$2:$C$2000,المبيعات!$C$2:$C$2000&amp;"")))</f>
        <v/>
      </c>
      <c r="D1607">
        <f>IF(A1607="","",SUMIFS(المبيعات!$H$2:$H$2000,المبيعات!$C$2:$C$2000,A1607))</f>
        <v/>
      </c>
      <c r="E1607" s="13">
        <f>IF(A1607="","",IF(COUNTIF(المبيعات!$C$2:$C$2000,A1607)=0,"",_xlfn.MAXIFS(المبيعات!$A$2:$A$2000,المبيعات!$C$2:$C$2000,A1607)))</f>
        <v/>
      </c>
      <c r="F1607">
        <f>IF(A1607="","",SUMIFS(المبيعات!$H$2:$H$2000,المبيعات!$C$2:$C$2000,A1607,المبيعات!$J$2:$J$2000,"آجل"))</f>
        <v/>
      </c>
      <c r="G1607" s="4" t="n"/>
      <c r="H1607">
        <f>IF(A1607="","",F1607-G1607)</f>
        <v/>
      </c>
    </row>
    <row r="1608">
      <c r="A1608" s="4" t="n"/>
      <c r="B1608" s="4" t="n"/>
      <c r="C1608">
        <f>IF(A1608="","",SUMPRODUCT((المبيعات!$C$2:$C$2000=A1608)*(المبيعات!$B$2:$B$2000&lt;&gt;"")/COUNTIFS(المبيعات!$B$2:$B$2000,المبيعات!$B$2:$B$2000&amp;"",المبيعات!$C$2:$C$2000,المبيعات!$C$2:$C$2000&amp;"")))</f>
        <v/>
      </c>
      <c r="D1608">
        <f>IF(A1608="","",SUMIFS(المبيعات!$H$2:$H$2000,المبيعات!$C$2:$C$2000,A1608))</f>
        <v/>
      </c>
      <c r="E1608" s="13">
        <f>IF(A1608="","",IF(COUNTIF(المبيعات!$C$2:$C$2000,A1608)=0,"",_xlfn.MAXIFS(المبيعات!$A$2:$A$2000,المبيعات!$C$2:$C$2000,A1608)))</f>
        <v/>
      </c>
      <c r="F1608">
        <f>IF(A1608="","",SUMIFS(المبيعات!$H$2:$H$2000,المبيعات!$C$2:$C$2000,A1608,المبيعات!$J$2:$J$2000,"آجل"))</f>
        <v/>
      </c>
      <c r="G1608" s="4" t="n"/>
      <c r="H1608">
        <f>IF(A1608="","",F1608-G1608)</f>
        <v/>
      </c>
    </row>
    <row r="1609">
      <c r="A1609" s="4" t="n"/>
      <c r="B1609" s="4" t="n"/>
      <c r="C1609">
        <f>IF(A1609="","",SUMPRODUCT((المبيعات!$C$2:$C$2000=A1609)*(المبيعات!$B$2:$B$2000&lt;&gt;"")/COUNTIFS(المبيعات!$B$2:$B$2000,المبيعات!$B$2:$B$2000&amp;"",المبيعات!$C$2:$C$2000,المبيعات!$C$2:$C$2000&amp;"")))</f>
        <v/>
      </c>
      <c r="D1609">
        <f>IF(A1609="","",SUMIFS(المبيعات!$H$2:$H$2000,المبيعات!$C$2:$C$2000,A1609))</f>
        <v/>
      </c>
      <c r="E1609" s="13">
        <f>IF(A1609="","",IF(COUNTIF(المبيعات!$C$2:$C$2000,A1609)=0,"",_xlfn.MAXIFS(المبيعات!$A$2:$A$2000,المبيعات!$C$2:$C$2000,A1609)))</f>
        <v/>
      </c>
      <c r="F1609">
        <f>IF(A1609="","",SUMIFS(المبيعات!$H$2:$H$2000,المبيعات!$C$2:$C$2000,A1609,المبيعات!$J$2:$J$2000,"آجل"))</f>
        <v/>
      </c>
      <c r="G1609" s="4" t="n"/>
      <c r="H1609">
        <f>IF(A1609="","",F1609-G1609)</f>
        <v/>
      </c>
    </row>
    <row r="1610">
      <c r="A1610" s="4" t="n"/>
      <c r="B1610" s="4" t="n"/>
      <c r="C1610">
        <f>IF(A1610="","",SUMPRODUCT((المبيعات!$C$2:$C$2000=A1610)*(المبيعات!$B$2:$B$2000&lt;&gt;"")/COUNTIFS(المبيعات!$B$2:$B$2000,المبيعات!$B$2:$B$2000&amp;"",المبيعات!$C$2:$C$2000,المبيعات!$C$2:$C$2000&amp;"")))</f>
        <v/>
      </c>
      <c r="D1610">
        <f>IF(A1610="","",SUMIFS(المبيعات!$H$2:$H$2000,المبيعات!$C$2:$C$2000,A1610))</f>
        <v/>
      </c>
      <c r="E1610" s="13">
        <f>IF(A1610="","",IF(COUNTIF(المبيعات!$C$2:$C$2000,A1610)=0,"",_xlfn.MAXIFS(المبيعات!$A$2:$A$2000,المبيعات!$C$2:$C$2000,A1610)))</f>
        <v/>
      </c>
      <c r="F1610">
        <f>IF(A1610="","",SUMIFS(المبيعات!$H$2:$H$2000,المبيعات!$C$2:$C$2000,A1610,المبيعات!$J$2:$J$2000,"آجل"))</f>
        <v/>
      </c>
      <c r="G1610" s="4" t="n"/>
      <c r="H1610">
        <f>IF(A1610="","",F1610-G1610)</f>
        <v/>
      </c>
    </row>
    <row r="1611">
      <c r="A1611" s="4" t="n"/>
      <c r="B1611" s="4" t="n"/>
      <c r="C1611">
        <f>IF(A1611="","",SUMPRODUCT((المبيعات!$C$2:$C$2000=A1611)*(المبيعات!$B$2:$B$2000&lt;&gt;"")/COUNTIFS(المبيعات!$B$2:$B$2000,المبيعات!$B$2:$B$2000&amp;"",المبيعات!$C$2:$C$2000,المبيعات!$C$2:$C$2000&amp;"")))</f>
        <v/>
      </c>
      <c r="D1611">
        <f>IF(A1611="","",SUMIFS(المبيعات!$H$2:$H$2000,المبيعات!$C$2:$C$2000,A1611))</f>
        <v/>
      </c>
      <c r="E1611" s="13">
        <f>IF(A1611="","",IF(COUNTIF(المبيعات!$C$2:$C$2000,A1611)=0,"",_xlfn.MAXIFS(المبيعات!$A$2:$A$2000,المبيعات!$C$2:$C$2000,A1611)))</f>
        <v/>
      </c>
      <c r="F1611">
        <f>IF(A1611="","",SUMIFS(المبيعات!$H$2:$H$2000,المبيعات!$C$2:$C$2000,A1611,المبيعات!$J$2:$J$2000,"آجل"))</f>
        <v/>
      </c>
      <c r="G1611" s="4" t="n"/>
      <c r="H1611">
        <f>IF(A1611="","",F1611-G1611)</f>
        <v/>
      </c>
    </row>
    <row r="1612">
      <c r="A1612" s="4" t="n"/>
      <c r="B1612" s="4" t="n"/>
      <c r="C1612">
        <f>IF(A1612="","",SUMPRODUCT((المبيعات!$C$2:$C$2000=A1612)*(المبيعات!$B$2:$B$2000&lt;&gt;"")/COUNTIFS(المبيعات!$B$2:$B$2000,المبيعات!$B$2:$B$2000&amp;"",المبيعات!$C$2:$C$2000,المبيعات!$C$2:$C$2000&amp;"")))</f>
        <v/>
      </c>
      <c r="D1612">
        <f>IF(A1612="","",SUMIFS(المبيعات!$H$2:$H$2000,المبيعات!$C$2:$C$2000,A1612))</f>
        <v/>
      </c>
      <c r="E1612" s="13">
        <f>IF(A1612="","",IF(COUNTIF(المبيعات!$C$2:$C$2000,A1612)=0,"",_xlfn.MAXIFS(المبيعات!$A$2:$A$2000,المبيعات!$C$2:$C$2000,A1612)))</f>
        <v/>
      </c>
      <c r="F1612">
        <f>IF(A1612="","",SUMIFS(المبيعات!$H$2:$H$2000,المبيعات!$C$2:$C$2000,A1612,المبيعات!$J$2:$J$2000,"آجل"))</f>
        <v/>
      </c>
      <c r="G1612" s="4" t="n"/>
      <c r="H1612">
        <f>IF(A1612="","",F1612-G1612)</f>
        <v/>
      </c>
    </row>
    <row r="1613">
      <c r="A1613" s="4" t="n"/>
      <c r="B1613" s="4" t="n"/>
      <c r="C1613">
        <f>IF(A1613="","",SUMPRODUCT((المبيعات!$C$2:$C$2000=A1613)*(المبيعات!$B$2:$B$2000&lt;&gt;"")/COUNTIFS(المبيعات!$B$2:$B$2000,المبيعات!$B$2:$B$2000&amp;"",المبيعات!$C$2:$C$2000,المبيعات!$C$2:$C$2000&amp;"")))</f>
        <v/>
      </c>
      <c r="D1613">
        <f>IF(A1613="","",SUMIFS(المبيعات!$H$2:$H$2000,المبيعات!$C$2:$C$2000,A1613))</f>
        <v/>
      </c>
      <c r="E1613" s="13">
        <f>IF(A1613="","",IF(COUNTIF(المبيعات!$C$2:$C$2000,A1613)=0,"",_xlfn.MAXIFS(المبيعات!$A$2:$A$2000,المبيعات!$C$2:$C$2000,A1613)))</f>
        <v/>
      </c>
      <c r="F1613">
        <f>IF(A1613="","",SUMIFS(المبيعات!$H$2:$H$2000,المبيعات!$C$2:$C$2000,A1613,المبيعات!$J$2:$J$2000,"آجل"))</f>
        <v/>
      </c>
      <c r="G1613" s="4" t="n"/>
      <c r="H1613">
        <f>IF(A1613="","",F1613-G1613)</f>
        <v/>
      </c>
    </row>
    <row r="1614">
      <c r="A1614" s="4" t="n"/>
      <c r="B1614" s="4" t="n"/>
      <c r="C1614">
        <f>IF(A1614="","",SUMPRODUCT((المبيعات!$C$2:$C$2000=A1614)*(المبيعات!$B$2:$B$2000&lt;&gt;"")/COUNTIFS(المبيعات!$B$2:$B$2000,المبيعات!$B$2:$B$2000&amp;"",المبيعات!$C$2:$C$2000,المبيعات!$C$2:$C$2000&amp;"")))</f>
        <v/>
      </c>
      <c r="D1614">
        <f>IF(A1614="","",SUMIFS(المبيعات!$H$2:$H$2000,المبيعات!$C$2:$C$2000,A1614))</f>
        <v/>
      </c>
      <c r="E1614" s="13">
        <f>IF(A1614="","",IF(COUNTIF(المبيعات!$C$2:$C$2000,A1614)=0,"",_xlfn.MAXIFS(المبيعات!$A$2:$A$2000,المبيعات!$C$2:$C$2000,A1614)))</f>
        <v/>
      </c>
      <c r="F1614">
        <f>IF(A1614="","",SUMIFS(المبيعات!$H$2:$H$2000,المبيعات!$C$2:$C$2000,A1614,المبيعات!$J$2:$J$2000,"آجل"))</f>
        <v/>
      </c>
      <c r="G1614" s="4" t="n"/>
      <c r="H1614">
        <f>IF(A1614="","",F1614-G1614)</f>
        <v/>
      </c>
    </row>
    <row r="1615">
      <c r="A1615" s="4" t="n"/>
      <c r="B1615" s="4" t="n"/>
      <c r="C1615">
        <f>IF(A1615="","",SUMPRODUCT((المبيعات!$C$2:$C$2000=A1615)*(المبيعات!$B$2:$B$2000&lt;&gt;"")/COUNTIFS(المبيعات!$B$2:$B$2000,المبيعات!$B$2:$B$2000&amp;"",المبيعات!$C$2:$C$2000,المبيعات!$C$2:$C$2000&amp;"")))</f>
        <v/>
      </c>
      <c r="D1615">
        <f>IF(A1615="","",SUMIFS(المبيعات!$H$2:$H$2000,المبيعات!$C$2:$C$2000,A1615))</f>
        <v/>
      </c>
      <c r="E1615" s="13">
        <f>IF(A1615="","",IF(COUNTIF(المبيعات!$C$2:$C$2000,A1615)=0,"",_xlfn.MAXIFS(المبيعات!$A$2:$A$2000,المبيعات!$C$2:$C$2000,A1615)))</f>
        <v/>
      </c>
      <c r="F1615">
        <f>IF(A1615="","",SUMIFS(المبيعات!$H$2:$H$2000,المبيعات!$C$2:$C$2000,A1615,المبيعات!$J$2:$J$2000,"آجل"))</f>
        <v/>
      </c>
      <c r="G1615" s="4" t="n"/>
      <c r="H1615">
        <f>IF(A1615="","",F1615-G1615)</f>
        <v/>
      </c>
    </row>
    <row r="1616">
      <c r="A1616" s="4" t="n"/>
      <c r="B1616" s="4" t="n"/>
      <c r="C1616">
        <f>IF(A1616="","",SUMPRODUCT((المبيعات!$C$2:$C$2000=A1616)*(المبيعات!$B$2:$B$2000&lt;&gt;"")/COUNTIFS(المبيعات!$B$2:$B$2000,المبيعات!$B$2:$B$2000&amp;"",المبيعات!$C$2:$C$2000,المبيعات!$C$2:$C$2000&amp;"")))</f>
        <v/>
      </c>
      <c r="D1616">
        <f>IF(A1616="","",SUMIFS(المبيعات!$H$2:$H$2000,المبيعات!$C$2:$C$2000,A1616))</f>
        <v/>
      </c>
      <c r="E1616" s="13">
        <f>IF(A1616="","",IF(COUNTIF(المبيعات!$C$2:$C$2000,A1616)=0,"",_xlfn.MAXIFS(المبيعات!$A$2:$A$2000,المبيعات!$C$2:$C$2000,A1616)))</f>
        <v/>
      </c>
      <c r="F1616">
        <f>IF(A1616="","",SUMIFS(المبيعات!$H$2:$H$2000,المبيعات!$C$2:$C$2000,A1616,المبيعات!$J$2:$J$2000,"آجل"))</f>
        <v/>
      </c>
      <c r="G1616" s="4" t="n"/>
      <c r="H1616">
        <f>IF(A1616="","",F1616-G1616)</f>
        <v/>
      </c>
    </row>
    <row r="1617">
      <c r="A1617" s="4" t="n"/>
      <c r="B1617" s="4" t="n"/>
      <c r="C1617">
        <f>IF(A1617="","",SUMPRODUCT((المبيعات!$C$2:$C$2000=A1617)*(المبيعات!$B$2:$B$2000&lt;&gt;"")/COUNTIFS(المبيعات!$B$2:$B$2000,المبيعات!$B$2:$B$2000&amp;"",المبيعات!$C$2:$C$2000,المبيعات!$C$2:$C$2000&amp;"")))</f>
        <v/>
      </c>
      <c r="D1617">
        <f>IF(A1617="","",SUMIFS(المبيعات!$H$2:$H$2000,المبيعات!$C$2:$C$2000,A1617))</f>
        <v/>
      </c>
      <c r="E1617" s="13">
        <f>IF(A1617="","",IF(COUNTIF(المبيعات!$C$2:$C$2000,A1617)=0,"",_xlfn.MAXIFS(المبيعات!$A$2:$A$2000,المبيعات!$C$2:$C$2000,A1617)))</f>
        <v/>
      </c>
      <c r="F1617">
        <f>IF(A1617="","",SUMIFS(المبيعات!$H$2:$H$2000,المبيعات!$C$2:$C$2000,A1617,المبيعات!$J$2:$J$2000,"آجل"))</f>
        <v/>
      </c>
      <c r="G1617" s="4" t="n"/>
      <c r="H1617">
        <f>IF(A1617="","",F1617-G1617)</f>
        <v/>
      </c>
    </row>
    <row r="1618">
      <c r="A1618" s="4" t="n"/>
      <c r="B1618" s="4" t="n"/>
      <c r="C1618">
        <f>IF(A1618="","",SUMPRODUCT((المبيعات!$C$2:$C$2000=A1618)*(المبيعات!$B$2:$B$2000&lt;&gt;"")/COUNTIFS(المبيعات!$B$2:$B$2000,المبيعات!$B$2:$B$2000&amp;"",المبيعات!$C$2:$C$2000,المبيعات!$C$2:$C$2000&amp;"")))</f>
        <v/>
      </c>
      <c r="D1618">
        <f>IF(A1618="","",SUMIFS(المبيعات!$H$2:$H$2000,المبيعات!$C$2:$C$2000,A1618))</f>
        <v/>
      </c>
      <c r="E1618" s="13">
        <f>IF(A1618="","",IF(COUNTIF(المبيعات!$C$2:$C$2000,A1618)=0,"",_xlfn.MAXIFS(المبيعات!$A$2:$A$2000,المبيعات!$C$2:$C$2000,A1618)))</f>
        <v/>
      </c>
      <c r="F1618">
        <f>IF(A1618="","",SUMIFS(المبيعات!$H$2:$H$2000,المبيعات!$C$2:$C$2000,A1618,المبيعات!$J$2:$J$2000,"آجل"))</f>
        <v/>
      </c>
      <c r="G1618" s="4" t="n"/>
      <c r="H1618">
        <f>IF(A1618="","",F1618-G1618)</f>
        <v/>
      </c>
    </row>
    <row r="1619">
      <c r="A1619" s="4" t="n"/>
      <c r="B1619" s="4" t="n"/>
      <c r="C1619">
        <f>IF(A1619="","",SUMPRODUCT((المبيعات!$C$2:$C$2000=A1619)*(المبيعات!$B$2:$B$2000&lt;&gt;"")/COUNTIFS(المبيعات!$B$2:$B$2000,المبيعات!$B$2:$B$2000&amp;"",المبيعات!$C$2:$C$2000,المبيعات!$C$2:$C$2000&amp;"")))</f>
        <v/>
      </c>
      <c r="D1619">
        <f>IF(A1619="","",SUMIFS(المبيعات!$H$2:$H$2000,المبيعات!$C$2:$C$2000,A1619))</f>
        <v/>
      </c>
      <c r="E1619" s="13">
        <f>IF(A1619="","",IF(COUNTIF(المبيعات!$C$2:$C$2000,A1619)=0,"",_xlfn.MAXIFS(المبيعات!$A$2:$A$2000,المبيعات!$C$2:$C$2000,A1619)))</f>
        <v/>
      </c>
      <c r="F1619">
        <f>IF(A1619="","",SUMIFS(المبيعات!$H$2:$H$2000,المبيعات!$C$2:$C$2000,A1619,المبيعات!$J$2:$J$2000,"آجل"))</f>
        <v/>
      </c>
      <c r="G1619" s="4" t="n"/>
      <c r="H1619">
        <f>IF(A1619="","",F1619-G1619)</f>
        <v/>
      </c>
    </row>
    <row r="1620">
      <c r="A1620" s="4" t="n"/>
      <c r="B1620" s="4" t="n"/>
      <c r="C1620">
        <f>IF(A1620="","",SUMPRODUCT((المبيعات!$C$2:$C$2000=A1620)*(المبيعات!$B$2:$B$2000&lt;&gt;"")/COUNTIFS(المبيعات!$B$2:$B$2000,المبيعات!$B$2:$B$2000&amp;"",المبيعات!$C$2:$C$2000,المبيعات!$C$2:$C$2000&amp;"")))</f>
        <v/>
      </c>
      <c r="D1620">
        <f>IF(A1620="","",SUMIFS(المبيعات!$H$2:$H$2000,المبيعات!$C$2:$C$2000,A1620))</f>
        <v/>
      </c>
      <c r="E1620" s="13">
        <f>IF(A1620="","",IF(COUNTIF(المبيعات!$C$2:$C$2000,A1620)=0,"",_xlfn.MAXIFS(المبيعات!$A$2:$A$2000,المبيعات!$C$2:$C$2000,A1620)))</f>
        <v/>
      </c>
      <c r="F1620">
        <f>IF(A1620="","",SUMIFS(المبيعات!$H$2:$H$2000,المبيعات!$C$2:$C$2000,A1620,المبيعات!$J$2:$J$2000,"آجل"))</f>
        <v/>
      </c>
      <c r="G1620" s="4" t="n"/>
      <c r="H1620">
        <f>IF(A1620="","",F1620-G1620)</f>
        <v/>
      </c>
    </row>
    <row r="1621">
      <c r="A1621" s="4" t="n"/>
      <c r="B1621" s="4" t="n"/>
      <c r="C1621">
        <f>IF(A1621="","",SUMPRODUCT((المبيعات!$C$2:$C$2000=A1621)*(المبيعات!$B$2:$B$2000&lt;&gt;"")/COUNTIFS(المبيعات!$B$2:$B$2000,المبيعات!$B$2:$B$2000&amp;"",المبيعات!$C$2:$C$2000,المبيعات!$C$2:$C$2000&amp;"")))</f>
        <v/>
      </c>
      <c r="D1621">
        <f>IF(A1621="","",SUMIFS(المبيعات!$H$2:$H$2000,المبيعات!$C$2:$C$2000,A1621))</f>
        <v/>
      </c>
      <c r="E1621" s="13">
        <f>IF(A1621="","",IF(COUNTIF(المبيعات!$C$2:$C$2000,A1621)=0,"",_xlfn.MAXIFS(المبيعات!$A$2:$A$2000,المبيعات!$C$2:$C$2000,A1621)))</f>
        <v/>
      </c>
      <c r="F1621">
        <f>IF(A1621="","",SUMIFS(المبيعات!$H$2:$H$2000,المبيعات!$C$2:$C$2000,A1621,المبيعات!$J$2:$J$2000,"آجل"))</f>
        <v/>
      </c>
      <c r="G1621" s="4" t="n"/>
      <c r="H1621">
        <f>IF(A1621="","",F1621-G1621)</f>
        <v/>
      </c>
    </row>
    <row r="1622">
      <c r="A1622" s="4" t="n"/>
      <c r="B1622" s="4" t="n"/>
      <c r="C1622">
        <f>IF(A1622="","",SUMPRODUCT((المبيعات!$C$2:$C$2000=A1622)*(المبيعات!$B$2:$B$2000&lt;&gt;"")/COUNTIFS(المبيعات!$B$2:$B$2000,المبيعات!$B$2:$B$2000&amp;"",المبيعات!$C$2:$C$2000,المبيعات!$C$2:$C$2000&amp;"")))</f>
        <v/>
      </c>
      <c r="D1622">
        <f>IF(A1622="","",SUMIFS(المبيعات!$H$2:$H$2000,المبيعات!$C$2:$C$2000,A1622))</f>
        <v/>
      </c>
      <c r="E1622" s="13">
        <f>IF(A1622="","",IF(COUNTIF(المبيعات!$C$2:$C$2000,A1622)=0,"",_xlfn.MAXIFS(المبيعات!$A$2:$A$2000,المبيعات!$C$2:$C$2000,A1622)))</f>
        <v/>
      </c>
      <c r="F1622">
        <f>IF(A1622="","",SUMIFS(المبيعات!$H$2:$H$2000,المبيعات!$C$2:$C$2000,A1622,المبيعات!$J$2:$J$2000,"آجل"))</f>
        <v/>
      </c>
      <c r="G1622" s="4" t="n"/>
      <c r="H1622">
        <f>IF(A1622="","",F1622-G1622)</f>
        <v/>
      </c>
    </row>
    <row r="1623">
      <c r="A1623" s="4" t="n"/>
      <c r="B1623" s="4" t="n"/>
      <c r="C1623">
        <f>IF(A1623="","",SUMPRODUCT((المبيعات!$C$2:$C$2000=A1623)*(المبيعات!$B$2:$B$2000&lt;&gt;"")/COUNTIFS(المبيعات!$B$2:$B$2000,المبيعات!$B$2:$B$2000&amp;"",المبيعات!$C$2:$C$2000,المبيعات!$C$2:$C$2000&amp;"")))</f>
        <v/>
      </c>
      <c r="D1623">
        <f>IF(A1623="","",SUMIFS(المبيعات!$H$2:$H$2000,المبيعات!$C$2:$C$2000,A1623))</f>
        <v/>
      </c>
      <c r="E1623" s="13">
        <f>IF(A1623="","",IF(COUNTIF(المبيعات!$C$2:$C$2000,A1623)=0,"",_xlfn.MAXIFS(المبيعات!$A$2:$A$2000,المبيعات!$C$2:$C$2000,A1623)))</f>
        <v/>
      </c>
      <c r="F1623">
        <f>IF(A1623="","",SUMIFS(المبيعات!$H$2:$H$2000,المبيعات!$C$2:$C$2000,A1623,المبيعات!$J$2:$J$2000,"آجل"))</f>
        <v/>
      </c>
      <c r="G1623" s="4" t="n"/>
      <c r="H1623">
        <f>IF(A1623="","",F1623-G1623)</f>
        <v/>
      </c>
    </row>
    <row r="1624">
      <c r="A1624" s="4" t="n"/>
      <c r="B1624" s="4" t="n"/>
      <c r="C1624">
        <f>IF(A1624="","",SUMPRODUCT((المبيعات!$C$2:$C$2000=A1624)*(المبيعات!$B$2:$B$2000&lt;&gt;"")/COUNTIFS(المبيعات!$B$2:$B$2000,المبيعات!$B$2:$B$2000&amp;"",المبيعات!$C$2:$C$2000,المبيعات!$C$2:$C$2000&amp;"")))</f>
        <v/>
      </c>
      <c r="D1624">
        <f>IF(A1624="","",SUMIFS(المبيعات!$H$2:$H$2000,المبيعات!$C$2:$C$2000,A1624))</f>
        <v/>
      </c>
      <c r="E1624" s="13">
        <f>IF(A1624="","",IF(COUNTIF(المبيعات!$C$2:$C$2000,A1624)=0,"",_xlfn.MAXIFS(المبيعات!$A$2:$A$2000,المبيعات!$C$2:$C$2000,A1624)))</f>
        <v/>
      </c>
      <c r="F1624">
        <f>IF(A1624="","",SUMIFS(المبيعات!$H$2:$H$2000,المبيعات!$C$2:$C$2000,A1624,المبيعات!$J$2:$J$2000,"آجل"))</f>
        <v/>
      </c>
      <c r="G1624" s="4" t="n"/>
      <c r="H1624">
        <f>IF(A1624="","",F1624-G1624)</f>
        <v/>
      </c>
    </row>
    <row r="1625">
      <c r="A1625" s="4" t="n"/>
      <c r="B1625" s="4" t="n"/>
      <c r="C1625">
        <f>IF(A1625="","",SUMPRODUCT((المبيعات!$C$2:$C$2000=A1625)*(المبيعات!$B$2:$B$2000&lt;&gt;"")/COUNTIFS(المبيعات!$B$2:$B$2000,المبيعات!$B$2:$B$2000&amp;"",المبيعات!$C$2:$C$2000,المبيعات!$C$2:$C$2000&amp;"")))</f>
        <v/>
      </c>
      <c r="D1625">
        <f>IF(A1625="","",SUMIFS(المبيعات!$H$2:$H$2000,المبيعات!$C$2:$C$2000,A1625))</f>
        <v/>
      </c>
      <c r="E1625" s="13">
        <f>IF(A1625="","",IF(COUNTIF(المبيعات!$C$2:$C$2000,A1625)=0,"",_xlfn.MAXIFS(المبيعات!$A$2:$A$2000,المبيعات!$C$2:$C$2000,A1625)))</f>
        <v/>
      </c>
      <c r="F1625">
        <f>IF(A1625="","",SUMIFS(المبيعات!$H$2:$H$2000,المبيعات!$C$2:$C$2000,A1625,المبيعات!$J$2:$J$2000,"آجل"))</f>
        <v/>
      </c>
      <c r="G1625" s="4" t="n"/>
      <c r="H1625">
        <f>IF(A1625="","",F1625-G1625)</f>
        <v/>
      </c>
    </row>
    <row r="1626">
      <c r="A1626" s="4" t="n"/>
      <c r="B1626" s="4" t="n"/>
      <c r="C1626">
        <f>IF(A1626="","",SUMPRODUCT((المبيعات!$C$2:$C$2000=A1626)*(المبيعات!$B$2:$B$2000&lt;&gt;"")/COUNTIFS(المبيعات!$B$2:$B$2000,المبيعات!$B$2:$B$2000&amp;"",المبيعات!$C$2:$C$2000,المبيعات!$C$2:$C$2000&amp;"")))</f>
        <v/>
      </c>
      <c r="D1626">
        <f>IF(A1626="","",SUMIFS(المبيعات!$H$2:$H$2000,المبيعات!$C$2:$C$2000,A1626))</f>
        <v/>
      </c>
      <c r="E1626" s="13">
        <f>IF(A1626="","",IF(COUNTIF(المبيعات!$C$2:$C$2000,A1626)=0,"",_xlfn.MAXIFS(المبيعات!$A$2:$A$2000,المبيعات!$C$2:$C$2000,A1626)))</f>
        <v/>
      </c>
      <c r="F1626">
        <f>IF(A1626="","",SUMIFS(المبيعات!$H$2:$H$2000,المبيعات!$C$2:$C$2000,A1626,المبيعات!$J$2:$J$2000,"آجل"))</f>
        <v/>
      </c>
      <c r="G1626" s="4" t="n"/>
      <c r="H1626">
        <f>IF(A1626="","",F1626-G1626)</f>
        <v/>
      </c>
    </row>
    <row r="1627">
      <c r="A1627" s="4" t="n"/>
      <c r="B1627" s="4" t="n"/>
      <c r="C1627">
        <f>IF(A1627="","",SUMPRODUCT((المبيعات!$C$2:$C$2000=A1627)*(المبيعات!$B$2:$B$2000&lt;&gt;"")/COUNTIFS(المبيعات!$B$2:$B$2000,المبيعات!$B$2:$B$2000&amp;"",المبيعات!$C$2:$C$2000,المبيعات!$C$2:$C$2000&amp;"")))</f>
        <v/>
      </c>
      <c r="D1627">
        <f>IF(A1627="","",SUMIFS(المبيعات!$H$2:$H$2000,المبيعات!$C$2:$C$2000,A1627))</f>
        <v/>
      </c>
      <c r="E1627" s="13">
        <f>IF(A1627="","",IF(COUNTIF(المبيعات!$C$2:$C$2000,A1627)=0,"",_xlfn.MAXIFS(المبيعات!$A$2:$A$2000,المبيعات!$C$2:$C$2000,A1627)))</f>
        <v/>
      </c>
      <c r="F1627">
        <f>IF(A1627="","",SUMIFS(المبيعات!$H$2:$H$2000,المبيعات!$C$2:$C$2000,A1627,المبيعات!$J$2:$J$2000,"آجل"))</f>
        <v/>
      </c>
      <c r="G1627" s="4" t="n"/>
      <c r="H1627">
        <f>IF(A1627="","",F1627-G1627)</f>
        <v/>
      </c>
    </row>
    <row r="1628">
      <c r="A1628" s="4" t="n"/>
      <c r="B1628" s="4" t="n"/>
      <c r="C1628">
        <f>IF(A1628="","",SUMPRODUCT((المبيعات!$C$2:$C$2000=A1628)*(المبيعات!$B$2:$B$2000&lt;&gt;"")/COUNTIFS(المبيعات!$B$2:$B$2000,المبيعات!$B$2:$B$2000&amp;"",المبيعات!$C$2:$C$2000,المبيعات!$C$2:$C$2000&amp;"")))</f>
        <v/>
      </c>
      <c r="D1628">
        <f>IF(A1628="","",SUMIFS(المبيعات!$H$2:$H$2000,المبيعات!$C$2:$C$2000,A1628))</f>
        <v/>
      </c>
      <c r="E1628" s="13">
        <f>IF(A1628="","",IF(COUNTIF(المبيعات!$C$2:$C$2000,A1628)=0,"",_xlfn.MAXIFS(المبيعات!$A$2:$A$2000,المبيعات!$C$2:$C$2000,A1628)))</f>
        <v/>
      </c>
      <c r="F1628">
        <f>IF(A1628="","",SUMIFS(المبيعات!$H$2:$H$2000,المبيعات!$C$2:$C$2000,A1628,المبيعات!$J$2:$J$2000,"آجل"))</f>
        <v/>
      </c>
      <c r="G1628" s="4" t="n"/>
      <c r="H1628">
        <f>IF(A1628="","",F1628-G1628)</f>
        <v/>
      </c>
    </row>
    <row r="1629">
      <c r="A1629" s="4" t="n"/>
      <c r="B1629" s="4" t="n"/>
      <c r="C1629">
        <f>IF(A1629="","",SUMPRODUCT((المبيعات!$C$2:$C$2000=A1629)*(المبيعات!$B$2:$B$2000&lt;&gt;"")/COUNTIFS(المبيعات!$B$2:$B$2000,المبيعات!$B$2:$B$2000&amp;"",المبيعات!$C$2:$C$2000,المبيعات!$C$2:$C$2000&amp;"")))</f>
        <v/>
      </c>
      <c r="D1629">
        <f>IF(A1629="","",SUMIFS(المبيعات!$H$2:$H$2000,المبيعات!$C$2:$C$2000,A1629))</f>
        <v/>
      </c>
      <c r="E1629" s="13">
        <f>IF(A1629="","",IF(COUNTIF(المبيعات!$C$2:$C$2000,A1629)=0,"",_xlfn.MAXIFS(المبيعات!$A$2:$A$2000,المبيعات!$C$2:$C$2000,A1629)))</f>
        <v/>
      </c>
      <c r="F1629">
        <f>IF(A1629="","",SUMIFS(المبيعات!$H$2:$H$2000,المبيعات!$C$2:$C$2000,A1629,المبيعات!$J$2:$J$2000,"آجل"))</f>
        <v/>
      </c>
      <c r="G1629" s="4" t="n"/>
      <c r="H1629">
        <f>IF(A1629="","",F1629-G1629)</f>
        <v/>
      </c>
    </row>
    <row r="1630">
      <c r="A1630" s="4" t="n"/>
      <c r="B1630" s="4" t="n"/>
      <c r="C1630">
        <f>IF(A1630="","",SUMPRODUCT((المبيعات!$C$2:$C$2000=A1630)*(المبيعات!$B$2:$B$2000&lt;&gt;"")/COUNTIFS(المبيعات!$B$2:$B$2000,المبيعات!$B$2:$B$2000&amp;"",المبيعات!$C$2:$C$2000,المبيعات!$C$2:$C$2000&amp;"")))</f>
        <v/>
      </c>
      <c r="D1630">
        <f>IF(A1630="","",SUMIFS(المبيعات!$H$2:$H$2000,المبيعات!$C$2:$C$2000,A1630))</f>
        <v/>
      </c>
      <c r="E1630" s="13">
        <f>IF(A1630="","",IF(COUNTIF(المبيعات!$C$2:$C$2000,A1630)=0,"",_xlfn.MAXIFS(المبيعات!$A$2:$A$2000,المبيعات!$C$2:$C$2000,A1630)))</f>
        <v/>
      </c>
      <c r="F1630">
        <f>IF(A1630="","",SUMIFS(المبيعات!$H$2:$H$2000,المبيعات!$C$2:$C$2000,A1630,المبيعات!$J$2:$J$2000,"آجل"))</f>
        <v/>
      </c>
      <c r="G1630" s="4" t="n"/>
      <c r="H1630">
        <f>IF(A1630="","",F1630-G1630)</f>
        <v/>
      </c>
    </row>
    <row r="1631">
      <c r="A1631" s="4" t="n"/>
      <c r="B1631" s="4" t="n"/>
      <c r="C1631">
        <f>IF(A1631="","",SUMPRODUCT((المبيعات!$C$2:$C$2000=A1631)*(المبيعات!$B$2:$B$2000&lt;&gt;"")/COUNTIFS(المبيعات!$B$2:$B$2000,المبيعات!$B$2:$B$2000&amp;"",المبيعات!$C$2:$C$2000,المبيعات!$C$2:$C$2000&amp;"")))</f>
        <v/>
      </c>
      <c r="D1631">
        <f>IF(A1631="","",SUMIFS(المبيعات!$H$2:$H$2000,المبيعات!$C$2:$C$2000,A1631))</f>
        <v/>
      </c>
      <c r="E1631" s="13">
        <f>IF(A1631="","",IF(COUNTIF(المبيعات!$C$2:$C$2000,A1631)=0,"",_xlfn.MAXIFS(المبيعات!$A$2:$A$2000,المبيعات!$C$2:$C$2000,A1631)))</f>
        <v/>
      </c>
      <c r="F1631">
        <f>IF(A1631="","",SUMIFS(المبيعات!$H$2:$H$2000,المبيعات!$C$2:$C$2000,A1631,المبيعات!$J$2:$J$2000,"آجل"))</f>
        <v/>
      </c>
      <c r="G1631" s="4" t="n"/>
      <c r="H1631">
        <f>IF(A1631="","",F1631-G1631)</f>
        <v/>
      </c>
    </row>
    <row r="1632">
      <c r="A1632" s="4" t="n"/>
      <c r="B1632" s="4" t="n"/>
      <c r="C1632">
        <f>IF(A1632="","",SUMPRODUCT((المبيعات!$C$2:$C$2000=A1632)*(المبيعات!$B$2:$B$2000&lt;&gt;"")/COUNTIFS(المبيعات!$B$2:$B$2000,المبيعات!$B$2:$B$2000&amp;"",المبيعات!$C$2:$C$2000,المبيعات!$C$2:$C$2000&amp;"")))</f>
        <v/>
      </c>
      <c r="D1632">
        <f>IF(A1632="","",SUMIFS(المبيعات!$H$2:$H$2000,المبيعات!$C$2:$C$2000,A1632))</f>
        <v/>
      </c>
      <c r="E1632" s="13">
        <f>IF(A1632="","",IF(COUNTIF(المبيعات!$C$2:$C$2000,A1632)=0,"",_xlfn.MAXIFS(المبيعات!$A$2:$A$2000,المبيعات!$C$2:$C$2000,A1632)))</f>
        <v/>
      </c>
      <c r="F1632">
        <f>IF(A1632="","",SUMIFS(المبيعات!$H$2:$H$2000,المبيعات!$C$2:$C$2000,A1632,المبيعات!$J$2:$J$2000,"آجل"))</f>
        <v/>
      </c>
      <c r="G1632" s="4" t="n"/>
      <c r="H1632">
        <f>IF(A1632="","",F1632-G1632)</f>
        <v/>
      </c>
    </row>
    <row r="1633">
      <c r="A1633" s="4" t="n"/>
      <c r="B1633" s="4" t="n"/>
      <c r="C1633">
        <f>IF(A1633="","",SUMPRODUCT((المبيعات!$C$2:$C$2000=A1633)*(المبيعات!$B$2:$B$2000&lt;&gt;"")/COUNTIFS(المبيعات!$B$2:$B$2000,المبيعات!$B$2:$B$2000&amp;"",المبيعات!$C$2:$C$2000,المبيعات!$C$2:$C$2000&amp;"")))</f>
        <v/>
      </c>
      <c r="D1633">
        <f>IF(A1633="","",SUMIFS(المبيعات!$H$2:$H$2000,المبيعات!$C$2:$C$2000,A1633))</f>
        <v/>
      </c>
      <c r="E1633" s="13">
        <f>IF(A1633="","",IF(COUNTIF(المبيعات!$C$2:$C$2000,A1633)=0,"",_xlfn.MAXIFS(المبيعات!$A$2:$A$2000,المبيعات!$C$2:$C$2000,A1633)))</f>
        <v/>
      </c>
      <c r="F1633">
        <f>IF(A1633="","",SUMIFS(المبيعات!$H$2:$H$2000,المبيعات!$C$2:$C$2000,A1633,المبيعات!$J$2:$J$2000,"آجل"))</f>
        <v/>
      </c>
      <c r="G1633" s="4" t="n"/>
      <c r="H1633">
        <f>IF(A1633="","",F1633-G1633)</f>
        <v/>
      </c>
    </row>
    <row r="1634">
      <c r="A1634" s="4" t="n"/>
      <c r="B1634" s="4" t="n"/>
      <c r="C1634">
        <f>IF(A1634="","",SUMPRODUCT((المبيعات!$C$2:$C$2000=A1634)*(المبيعات!$B$2:$B$2000&lt;&gt;"")/COUNTIFS(المبيعات!$B$2:$B$2000,المبيعات!$B$2:$B$2000&amp;"",المبيعات!$C$2:$C$2000,المبيعات!$C$2:$C$2000&amp;"")))</f>
        <v/>
      </c>
      <c r="D1634">
        <f>IF(A1634="","",SUMIFS(المبيعات!$H$2:$H$2000,المبيعات!$C$2:$C$2000,A1634))</f>
        <v/>
      </c>
      <c r="E1634" s="13">
        <f>IF(A1634="","",IF(COUNTIF(المبيعات!$C$2:$C$2000,A1634)=0,"",_xlfn.MAXIFS(المبيعات!$A$2:$A$2000,المبيعات!$C$2:$C$2000,A1634)))</f>
        <v/>
      </c>
      <c r="F1634">
        <f>IF(A1634="","",SUMIFS(المبيعات!$H$2:$H$2000,المبيعات!$C$2:$C$2000,A1634,المبيعات!$J$2:$J$2000,"آجل"))</f>
        <v/>
      </c>
      <c r="G1634" s="4" t="n"/>
      <c r="H1634">
        <f>IF(A1634="","",F1634-G1634)</f>
        <v/>
      </c>
    </row>
    <row r="1635">
      <c r="A1635" s="4" t="n"/>
      <c r="B1635" s="4" t="n"/>
      <c r="C1635">
        <f>IF(A1635="","",SUMPRODUCT((المبيعات!$C$2:$C$2000=A1635)*(المبيعات!$B$2:$B$2000&lt;&gt;"")/COUNTIFS(المبيعات!$B$2:$B$2000,المبيعات!$B$2:$B$2000&amp;"",المبيعات!$C$2:$C$2000,المبيعات!$C$2:$C$2000&amp;"")))</f>
        <v/>
      </c>
      <c r="D1635">
        <f>IF(A1635="","",SUMIFS(المبيعات!$H$2:$H$2000,المبيعات!$C$2:$C$2000,A1635))</f>
        <v/>
      </c>
      <c r="E1635" s="13">
        <f>IF(A1635="","",IF(COUNTIF(المبيعات!$C$2:$C$2000,A1635)=0,"",_xlfn.MAXIFS(المبيعات!$A$2:$A$2000,المبيعات!$C$2:$C$2000,A1635)))</f>
        <v/>
      </c>
      <c r="F1635">
        <f>IF(A1635="","",SUMIFS(المبيعات!$H$2:$H$2000,المبيعات!$C$2:$C$2000,A1635,المبيعات!$J$2:$J$2000,"آجل"))</f>
        <v/>
      </c>
      <c r="G1635" s="4" t="n"/>
      <c r="H1635">
        <f>IF(A1635="","",F1635-G1635)</f>
        <v/>
      </c>
    </row>
    <row r="1636">
      <c r="A1636" s="4" t="n"/>
      <c r="B1636" s="4" t="n"/>
      <c r="C1636">
        <f>IF(A1636="","",SUMPRODUCT((المبيعات!$C$2:$C$2000=A1636)*(المبيعات!$B$2:$B$2000&lt;&gt;"")/COUNTIFS(المبيعات!$B$2:$B$2000,المبيعات!$B$2:$B$2000&amp;"",المبيعات!$C$2:$C$2000,المبيعات!$C$2:$C$2000&amp;"")))</f>
        <v/>
      </c>
      <c r="D1636">
        <f>IF(A1636="","",SUMIFS(المبيعات!$H$2:$H$2000,المبيعات!$C$2:$C$2000,A1636))</f>
        <v/>
      </c>
      <c r="E1636" s="13">
        <f>IF(A1636="","",IF(COUNTIF(المبيعات!$C$2:$C$2000,A1636)=0,"",_xlfn.MAXIFS(المبيعات!$A$2:$A$2000,المبيعات!$C$2:$C$2000,A1636)))</f>
        <v/>
      </c>
      <c r="F1636">
        <f>IF(A1636="","",SUMIFS(المبيعات!$H$2:$H$2000,المبيعات!$C$2:$C$2000,A1636,المبيعات!$J$2:$J$2000,"آجل"))</f>
        <v/>
      </c>
      <c r="G1636" s="4" t="n"/>
      <c r="H1636">
        <f>IF(A1636="","",F1636-G1636)</f>
        <v/>
      </c>
    </row>
    <row r="1637">
      <c r="A1637" s="4" t="n"/>
      <c r="B1637" s="4" t="n"/>
      <c r="C1637">
        <f>IF(A1637="","",SUMPRODUCT((المبيعات!$C$2:$C$2000=A1637)*(المبيعات!$B$2:$B$2000&lt;&gt;"")/COUNTIFS(المبيعات!$B$2:$B$2000,المبيعات!$B$2:$B$2000&amp;"",المبيعات!$C$2:$C$2000,المبيعات!$C$2:$C$2000&amp;"")))</f>
        <v/>
      </c>
      <c r="D1637">
        <f>IF(A1637="","",SUMIFS(المبيعات!$H$2:$H$2000,المبيعات!$C$2:$C$2000,A1637))</f>
        <v/>
      </c>
      <c r="E1637" s="13">
        <f>IF(A1637="","",IF(COUNTIF(المبيعات!$C$2:$C$2000,A1637)=0,"",_xlfn.MAXIFS(المبيعات!$A$2:$A$2000,المبيعات!$C$2:$C$2000,A1637)))</f>
        <v/>
      </c>
      <c r="F1637">
        <f>IF(A1637="","",SUMIFS(المبيعات!$H$2:$H$2000,المبيعات!$C$2:$C$2000,A1637,المبيعات!$J$2:$J$2000,"آجل"))</f>
        <v/>
      </c>
      <c r="G1637" s="4" t="n"/>
      <c r="H1637">
        <f>IF(A1637="","",F1637-G1637)</f>
        <v/>
      </c>
    </row>
    <row r="1638">
      <c r="A1638" s="4" t="n"/>
      <c r="B1638" s="4" t="n"/>
      <c r="C1638">
        <f>IF(A1638="","",SUMPRODUCT((المبيعات!$C$2:$C$2000=A1638)*(المبيعات!$B$2:$B$2000&lt;&gt;"")/COUNTIFS(المبيعات!$B$2:$B$2000,المبيعات!$B$2:$B$2000&amp;"",المبيعات!$C$2:$C$2000,المبيعات!$C$2:$C$2000&amp;"")))</f>
        <v/>
      </c>
      <c r="D1638">
        <f>IF(A1638="","",SUMIFS(المبيعات!$H$2:$H$2000,المبيعات!$C$2:$C$2000,A1638))</f>
        <v/>
      </c>
      <c r="E1638" s="13">
        <f>IF(A1638="","",IF(COUNTIF(المبيعات!$C$2:$C$2000,A1638)=0,"",_xlfn.MAXIFS(المبيعات!$A$2:$A$2000,المبيعات!$C$2:$C$2000,A1638)))</f>
        <v/>
      </c>
      <c r="F1638">
        <f>IF(A1638="","",SUMIFS(المبيعات!$H$2:$H$2000,المبيعات!$C$2:$C$2000,A1638,المبيعات!$J$2:$J$2000,"آجل"))</f>
        <v/>
      </c>
      <c r="G1638" s="4" t="n"/>
      <c r="H1638">
        <f>IF(A1638="","",F1638-G1638)</f>
        <v/>
      </c>
    </row>
    <row r="1639">
      <c r="A1639" s="4" t="n"/>
      <c r="B1639" s="4" t="n"/>
      <c r="C1639">
        <f>IF(A1639="","",SUMPRODUCT((المبيعات!$C$2:$C$2000=A1639)*(المبيعات!$B$2:$B$2000&lt;&gt;"")/COUNTIFS(المبيعات!$B$2:$B$2000,المبيعات!$B$2:$B$2000&amp;"",المبيعات!$C$2:$C$2000,المبيعات!$C$2:$C$2000&amp;"")))</f>
        <v/>
      </c>
      <c r="D1639">
        <f>IF(A1639="","",SUMIFS(المبيعات!$H$2:$H$2000,المبيعات!$C$2:$C$2000,A1639))</f>
        <v/>
      </c>
      <c r="E1639" s="13">
        <f>IF(A1639="","",IF(COUNTIF(المبيعات!$C$2:$C$2000,A1639)=0,"",_xlfn.MAXIFS(المبيعات!$A$2:$A$2000,المبيعات!$C$2:$C$2000,A1639)))</f>
        <v/>
      </c>
      <c r="F1639">
        <f>IF(A1639="","",SUMIFS(المبيعات!$H$2:$H$2000,المبيعات!$C$2:$C$2000,A1639,المبيعات!$J$2:$J$2000,"آجل"))</f>
        <v/>
      </c>
      <c r="G1639" s="4" t="n"/>
      <c r="H1639">
        <f>IF(A1639="","",F1639-G1639)</f>
        <v/>
      </c>
    </row>
    <row r="1640">
      <c r="A1640" s="4" t="n"/>
      <c r="B1640" s="4" t="n"/>
      <c r="C1640">
        <f>IF(A1640="","",SUMPRODUCT((المبيعات!$C$2:$C$2000=A1640)*(المبيعات!$B$2:$B$2000&lt;&gt;"")/COUNTIFS(المبيعات!$B$2:$B$2000,المبيعات!$B$2:$B$2000&amp;"",المبيعات!$C$2:$C$2000,المبيعات!$C$2:$C$2000&amp;"")))</f>
        <v/>
      </c>
      <c r="D1640">
        <f>IF(A1640="","",SUMIFS(المبيعات!$H$2:$H$2000,المبيعات!$C$2:$C$2000,A1640))</f>
        <v/>
      </c>
      <c r="E1640" s="13">
        <f>IF(A1640="","",IF(COUNTIF(المبيعات!$C$2:$C$2000,A1640)=0,"",_xlfn.MAXIFS(المبيعات!$A$2:$A$2000,المبيعات!$C$2:$C$2000,A1640)))</f>
        <v/>
      </c>
      <c r="F1640">
        <f>IF(A1640="","",SUMIFS(المبيعات!$H$2:$H$2000,المبيعات!$C$2:$C$2000,A1640,المبيعات!$J$2:$J$2000,"آجل"))</f>
        <v/>
      </c>
      <c r="G1640" s="4" t="n"/>
      <c r="H1640">
        <f>IF(A1640="","",F1640-G1640)</f>
        <v/>
      </c>
    </row>
    <row r="1641">
      <c r="A1641" s="4" t="n"/>
      <c r="B1641" s="4" t="n"/>
      <c r="C1641">
        <f>IF(A1641="","",SUMPRODUCT((المبيعات!$C$2:$C$2000=A1641)*(المبيعات!$B$2:$B$2000&lt;&gt;"")/COUNTIFS(المبيعات!$B$2:$B$2000,المبيعات!$B$2:$B$2000&amp;"",المبيعات!$C$2:$C$2000,المبيعات!$C$2:$C$2000&amp;"")))</f>
        <v/>
      </c>
      <c r="D1641">
        <f>IF(A1641="","",SUMIFS(المبيعات!$H$2:$H$2000,المبيعات!$C$2:$C$2000,A1641))</f>
        <v/>
      </c>
      <c r="E1641" s="13">
        <f>IF(A1641="","",IF(COUNTIF(المبيعات!$C$2:$C$2000,A1641)=0,"",_xlfn.MAXIFS(المبيعات!$A$2:$A$2000,المبيعات!$C$2:$C$2000,A1641)))</f>
        <v/>
      </c>
      <c r="F1641">
        <f>IF(A1641="","",SUMIFS(المبيعات!$H$2:$H$2000,المبيعات!$C$2:$C$2000,A1641,المبيعات!$J$2:$J$2000,"آجل"))</f>
        <v/>
      </c>
      <c r="G1641" s="4" t="n"/>
      <c r="H1641">
        <f>IF(A1641="","",F1641-G1641)</f>
        <v/>
      </c>
    </row>
    <row r="1642">
      <c r="A1642" s="4" t="n"/>
      <c r="B1642" s="4" t="n"/>
      <c r="C1642">
        <f>IF(A1642="","",SUMPRODUCT((المبيعات!$C$2:$C$2000=A1642)*(المبيعات!$B$2:$B$2000&lt;&gt;"")/COUNTIFS(المبيعات!$B$2:$B$2000,المبيعات!$B$2:$B$2000&amp;"",المبيعات!$C$2:$C$2000,المبيعات!$C$2:$C$2000&amp;"")))</f>
        <v/>
      </c>
      <c r="D1642">
        <f>IF(A1642="","",SUMIFS(المبيعات!$H$2:$H$2000,المبيعات!$C$2:$C$2000,A1642))</f>
        <v/>
      </c>
      <c r="E1642" s="13">
        <f>IF(A1642="","",IF(COUNTIF(المبيعات!$C$2:$C$2000,A1642)=0,"",_xlfn.MAXIFS(المبيعات!$A$2:$A$2000,المبيعات!$C$2:$C$2000,A1642)))</f>
        <v/>
      </c>
      <c r="F1642">
        <f>IF(A1642="","",SUMIFS(المبيعات!$H$2:$H$2000,المبيعات!$C$2:$C$2000,A1642,المبيعات!$J$2:$J$2000,"آجل"))</f>
        <v/>
      </c>
      <c r="G1642" s="4" t="n"/>
      <c r="H1642">
        <f>IF(A1642="","",F1642-G1642)</f>
        <v/>
      </c>
    </row>
    <row r="1643">
      <c r="A1643" s="4" t="n"/>
      <c r="B1643" s="4" t="n"/>
      <c r="C1643">
        <f>IF(A1643="","",SUMPRODUCT((المبيعات!$C$2:$C$2000=A1643)*(المبيعات!$B$2:$B$2000&lt;&gt;"")/COUNTIFS(المبيعات!$B$2:$B$2000,المبيعات!$B$2:$B$2000&amp;"",المبيعات!$C$2:$C$2000,المبيعات!$C$2:$C$2000&amp;"")))</f>
        <v/>
      </c>
      <c r="D1643">
        <f>IF(A1643="","",SUMIFS(المبيعات!$H$2:$H$2000,المبيعات!$C$2:$C$2000,A1643))</f>
        <v/>
      </c>
      <c r="E1643" s="13">
        <f>IF(A1643="","",IF(COUNTIF(المبيعات!$C$2:$C$2000,A1643)=0,"",_xlfn.MAXIFS(المبيعات!$A$2:$A$2000,المبيعات!$C$2:$C$2000,A1643)))</f>
        <v/>
      </c>
      <c r="F1643">
        <f>IF(A1643="","",SUMIFS(المبيعات!$H$2:$H$2000,المبيعات!$C$2:$C$2000,A1643,المبيعات!$J$2:$J$2000,"آجل"))</f>
        <v/>
      </c>
      <c r="G1643" s="4" t="n"/>
      <c r="H1643">
        <f>IF(A1643="","",F1643-G1643)</f>
        <v/>
      </c>
    </row>
    <row r="1644">
      <c r="A1644" s="4" t="n"/>
      <c r="B1644" s="4" t="n"/>
      <c r="C1644">
        <f>IF(A1644="","",SUMPRODUCT((المبيعات!$C$2:$C$2000=A1644)*(المبيعات!$B$2:$B$2000&lt;&gt;"")/COUNTIFS(المبيعات!$B$2:$B$2000,المبيعات!$B$2:$B$2000&amp;"",المبيعات!$C$2:$C$2000,المبيعات!$C$2:$C$2000&amp;"")))</f>
        <v/>
      </c>
      <c r="D1644">
        <f>IF(A1644="","",SUMIFS(المبيعات!$H$2:$H$2000,المبيعات!$C$2:$C$2000,A1644))</f>
        <v/>
      </c>
      <c r="E1644" s="13">
        <f>IF(A1644="","",IF(COUNTIF(المبيعات!$C$2:$C$2000,A1644)=0,"",_xlfn.MAXIFS(المبيعات!$A$2:$A$2000,المبيعات!$C$2:$C$2000,A1644)))</f>
        <v/>
      </c>
      <c r="F1644">
        <f>IF(A1644="","",SUMIFS(المبيعات!$H$2:$H$2000,المبيعات!$C$2:$C$2000,A1644,المبيعات!$J$2:$J$2000,"آجل"))</f>
        <v/>
      </c>
      <c r="G1644" s="4" t="n"/>
      <c r="H1644">
        <f>IF(A1644="","",F1644-G1644)</f>
        <v/>
      </c>
    </row>
    <row r="1645">
      <c r="A1645" s="4" t="n"/>
      <c r="B1645" s="4" t="n"/>
      <c r="C1645">
        <f>IF(A1645="","",SUMPRODUCT((المبيعات!$C$2:$C$2000=A1645)*(المبيعات!$B$2:$B$2000&lt;&gt;"")/COUNTIFS(المبيعات!$B$2:$B$2000,المبيعات!$B$2:$B$2000&amp;"",المبيعات!$C$2:$C$2000,المبيعات!$C$2:$C$2000&amp;"")))</f>
        <v/>
      </c>
      <c r="D1645">
        <f>IF(A1645="","",SUMIFS(المبيعات!$H$2:$H$2000,المبيعات!$C$2:$C$2000,A1645))</f>
        <v/>
      </c>
      <c r="E1645" s="13">
        <f>IF(A1645="","",IF(COUNTIF(المبيعات!$C$2:$C$2000,A1645)=0,"",_xlfn.MAXIFS(المبيعات!$A$2:$A$2000,المبيعات!$C$2:$C$2000,A1645)))</f>
        <v/>
      </c>
      <c r="F1645">
        <f>IF(A1645="","",SUMIFS(المبيعات!$H$2:$H$2000,المبيعات!$C$2:$C$2000,A1645,المبيعات!$J$2:$J$2000,"آجل"))</f>
        <v/>
      </c>
      <c r="G1645" s="4" t="n"/>
      <c r="H1645">
        <f>IF(A1645="","",F1645-G1645)</f>
        <v/>
      </c>
    </row>
    <row r="1646">
      <c r="A1646" s="4" t="n"/>
      <c r="B1646" s="4" t="n"/>
      <c r="C1646">
        <f>IF(A1646="","",SUMPRODUCT((المبيعات!$C$2:$C$2000=A1646)*(المبيعات!$B$2:$B$2000&lt;&gt;"")/COUNTIFS(المبيعات!$B$2:$B$2000,المبيعات!$B$2:$B$2000&amp;"",المبيعات!$C$2:$C$2000,المبيعات!$C$2:$C$2000&amp;"")))</f>
        <v/>
      </c>
      <c r="D1646">
        <f>IF(A1646="","",SUMIFS(المبيعات!$H$2:$H$2000,المبيعات!$C$2:$C$2000,A1646))</f>
        <v/>
      </c>
      <c r="E1646" s="13">
        <f>IF(A1646="","",IF(COUNTIF(المبيعات!$C$2:$C$2000,A1646)=0,"",_xlfn.MAXIFS(المبيعات!$A$2:$A$2000,المبيعات!$C$2:$C$2000,A1646)))</f>
        <v/>
      </c>
      <c r="F1646">
        <f>IF(A1646="","",SUMIFS(المبيعات!$H$2:$H$2000,المبيعات!$C$2:$C$2000,A1646,المبيعات!$J$2:$J$2000,"آجل"))</f>
        <v/>
      </c>
      <c r="G1646" s="4" t="n"/>
      <c r="H1646">
        <f>IF(A1646="","",F1646-G1646)</f>
        <v/>
      </c>
    </row>
    <row r="1647">
      <c r="A1647" s="4" t="n"/>
      <c r="B1647" s="4" t="n"/>
      <c r="C1647">
        <f>IF(A1647="","",SUMPRODUCT((المبيعات!$C$2:$C$2000=A1647)*(المبيعات!$B$2:$B$2000&lt;&gt;"")/COUNTIFS(المبيعات!$B$2:$B$2000,المبيعات!$B$2:$B$2000&amp;"",المبيعات!$C$2:$C$2000,المبيعات!$C$2:$C$2000&amp;"")))</f>
        <v/>
      </c>
      <c r="D1647">
        <f>IF(A1647="","",SUMIFS(المبيعات!$H$2:$H$2000,المبيعات!$C$2:$C$2000,A1647))</f>
        <v/>
      </c>
      <c r="E1647" s="13">
        <f>IF(A1647="","",IF(COUNTIF(المبيعات!$C$2:$C$2000,A1647)=0,"",_xlfn.MAXIFS(المبيعات!$A$2:$A$2000,المبيعات!$C$2:$C$2000,A1647)))</f>
        <v/>
      </c>
      <c r="F1647">
        <f>IF(A1647="","",SUMIFS(المبيعات!$H$2:$H$2000,المبيعات!$C$2:$C$2000,A1647,المبيعات!$J$2:$J$2000,"آجل"))</f>
        <v/>
      </c>
      <c r="G1647" s="4" t="n"/>
      <c r="H1647">
        <f>IF(A1647="","",F1647-G1647)</f>
        <v/>
      </c>
    </row>
    <row r="1648">
      <c r="A1648" s="4" t="n"/>
      <c r="B1648" s="4" t="n"/>
      <c r="C1648">
        <f>IF(A1648="","",SUMPRODUCT((المبيعات!$C$2:$C$2000=A1648)*(المبيعات!$B$2:$B$2000&lt;&gt;"")/COUNTIFS(المبيعات!$B$2:$B$2000,المبيعات!$B$2:$B$2000&amp;"",المبيعات!$C$2:$C$2000,المبيعات!$C$2:$C$2000&amp;"")))</f>
        <v/>
      </c>
      <c r="D1648">
        <f>IF(A1648="","",SUMIFS(المبيعات!$H$2:$H$2000,المبيعات!$C$2:$C$2000,A1648))</f>
        <v/>
      </c>
      <c r="E1648" s="13">
        <f>IF(A1648="","",IF(COUNTIF(المبيعات!$C$2:$C$2000,A1648)=0,"",_xlfn.MAXIFS(المبيعات!$A$2:$A$2000,المبيعات!$C$2:$C$2000,A1648)))</f>
        <v/>
      </c>
      <c r="F1648">
        <f>IF(A1648="","",SUMIFS(المبيعات!$H$2:$H$2000,المبيعات!$C$2:$C$2000,A1648,المبيعات!$J$2:$J$2000,"آجل"))</f>
        <v/>
      </c>
      <c r="G1648" s="4" t="n"/>
      <c r="H1648">
        <f>IF(A1648="","",F1648-G1648)</f>
        <v/>
      </c>
    </row>
    <row r="1649">
      <c r="A1649" s="4" t="n"/>
      <c r="B1649" s="4" t="n"/>
      <c r="C1649">
        <f>IF(A1649="","",SUMPRODUCT((المبيعات!$C$2:$C$2000=A1649)*(المبيعات!$B$2:$B$2000&lt;&gt;"")/COUNTIFS(المبيعات!$B$2:$B$2000,المبيعات!$B$2:$B$2000&amp;"",المبيعات!$C$2:$C$2000,المبيعات!$C$2:$C$2000&amp;"")))</f>
        <v/>
      </c>
      <c r="D1649">
        <f>IF(A1649="","",SUMIFS(المبيعات!$H$2:$H$2000,المبيعات!$C$2:$C$2000,A1649))</f>
        <v/>
      </c>
      <c r="E1649" s="13">
        <f>IF(A1649="","",IF(COUNTIF(المبيعات!$C$2:$C$2000,A1649)=0,"",_xlfn.MAXIFS(المبيعات!$A$2:$A$2000,المبيعات!$C$2:$C$2000,A1649)))</f>
        <v/>
      </c>
      <c r="F1649">
        <f>IF(A1649="","",SUMIFS(المبيعات!$H$2:$H$2000,المبيعات!$C$2:$C$2000,A1649,المبيعات!$J$2:$J$2000,"آجل"))</f>
        <v/>
      </c>
      <c r="G1649" s="4" t="n"/>
      <c r="H1649">
        <f>IF(A1649="","",F1649-G1649)</f>
        <v/>
      </c>
    </row>
    <row r="1650">
      <c r="A1650" s="4" t="n"/>
      <c r="B1650" s="4" t="n"/>
      <c r="C1650">
        <f>IF(A1650="","",SUMPRODUCT((المبيعات!$C$2:$C$2000=A1650)*(المبيعات!$B$2:$B$2000&lt;&gt;"")/COUNTIFS(المبيعات!$B$2:$B$2000,المبيعات!$B$2:$B$2000&amp;"",المبيعات!$C$2:$C$2000,المبيعات!$C$2:$C$2000&amp;"")))</f>
        <v/>
      </c>
      <c r="D1650">
        <f>IF(A1650="","",SUMIFS(المبيعات!$H$2:$H$2000,المبيعات!$C$2:$C$2000,A1650))</f>
        <v/>
      </c>
      <c r="E1650" s="13">
        <f>IF(A1650="","",IF(COUNTIF(المبيعات!$C$2:$C$2000,A1650)=0,"",_xlfn.MAXIFS(المبيعات!$A$2:$A$2000,المبيعات!$C$2:$C$2000,A1650)))</f>
        <v/>
      </c>
      <c r="F1650">
        <f>IF(A1650="","",SUMIFS(المبيعات!$H$2:$H$2000,المبيعات!$C$2:$C$2000,A1650,المبيعات!$J$2:$J$2000,"آجل"))</f>
        <v/>
      </c>
      <c r="G1650" s="4" t="n"/>
      <c r="H1650">
        <f>IF(A1650="","",F1650-G1650)</f>
        <v/>
      </c>
    </row>
    <row r="1651">
      <c r="A1651" s="4" t="n"/>
      <c r="B1651" s="4" t="n"/>
      <c r="C1651">
        <f>IF(A1651="","",SUMPRODUCT((المبيعات!$C$2:$C$2000=A1651)*(المبيعات!$B$2:$B$2000&lt;&gt;"")/COUNTIFS(المبيعات!$B$2:$B$2000,المبيعات!$B$2:$B$2000&amp;"",المبيعات!$C$2:$C$2000,المبيعات!$C$2:$C$2000&amp;"")))</f>
        <v/>
      </c>
      <c r="D1651">
        <f>IF(A1651="","",SUMIFS(المبيعات!$H$2:$H$2000,المبيعات!$C$2:$C$2000,A1651))</f>
        <v/>
      </c>
      <c r="E1651" s="13">
        <f>IF(A1651="","",IF(COUNTIF(المبيعات!$C$2:$C$2000,A1651)=0,"",_xlfn.MAXIFS(المبيعات!$A$2:$A$2000,المبيعات!$C$2:$C$2000,A1651)))</f>
        <v/>
      </c>
      <c r="F1651">
        <f>IF(A1651="","",SUMIFS(المبيعات!$H$2:$H$2000,المبيعات!$C$2:$C$2000,A1651,المبيعات!$J$2:$J$2000,"آجل"))</f>
        <v/>
      </c>
      <c r="G1651" s="4" t="n"/>
      <c r="H1651">
        <f>IF(A1651="","",F1651-G1651)</f>
        <v/>
      </c>
    </row>
    <row r="1652">
      <c r="A1652" s="4" t="n"/>
      <c r="B1652" s="4" t="n"/>
      <c r="C1652">
        <f>IF(A1652="","",SUMPRODUCT((المبيعات!$C$2:$C$2000=A1652)*(المبيعات!$B$2:$B$2000&lt;&gt;"")/COUNTIFS(المبيعات!$B$2:$B$2000,المبيعات!$B$2:$B$2000&amp;"",المبيعات!$C$2:$C$2000,المبيعات!$C$2:$C$2000&amp;"")))</f>
        <v/>
      </c>
      <c r="D1652">
        <f>IF(A1652="","",SUMIFS(المبيعات!$H$2:$H$2000,المبيعات!$C$2:$C$2000,A1652))</f>
        <v/>
      </c>
      <c r="E1652" s="13">
        <f>IF(A1652="","",IF(COUNTIF(المبيعات!$C$2:$C$2000,A1652)=0,"",_xlfn.MAXIFS(المبيعات!$A$2:$A$2000,المبيعات!$C$2:$C$2000,A1652)))</f>
        <v/>
      </c>
      <c r="F1652">
        <f>IF(A1652="","",SUMIFS(المبيعات!$H$2:$H$2000,المبيعات!$C$2:$C$2000,A1652,المبيعات!$J$2:$J$2000,"آجل"))</f>
        <v/>
      </c>
      <c r="G1652" s="4" t="n"/>
      <c r="H1652">
        <f>IF(A1652="","",F1652-G1652)</f>
        <v/>
      </c>
    </row>
    <row r="1653">
      <c r="A1653" s="4" t="n"/>
      <c r="B1653" s="4" t="n"/>
      <c r="C1653">
        <f>IF(A1653="","",SUMPRODUCT((المبيعات!$C$2:$C$2000=A1653)*(المبيعات!$B$2:$B$2000&lt;&gt;"")/COUNTIFS(المبيعات!$B$2:$B$2000,المبيعات!$B$2:$B$2000&amp;"",المبيعات!$C$2:$C$2000,المبيعات!$C$2:$C$2000&amp;"")))</f>
        <v/>
      </c>
      <c r="D1653">
        <f>IF(A1653="","",SUMIFS(المبيعات!$H$2:$H$2000,المبيعات!$C$2:$C$2000,A1653))</f>
        <v/>
      </c>
      <c r="E1653" s="13">
        <f>IF(A1653="","",IF(COUNTIF(المبيعات!$C$2:$C$2000,A1653)=0,"",_xlfn.MAXIFS(المبيعات!$A$2:$A$2000,المبيعات!$C$2:$C$2000,A1653)))</f>
        <v/>
      </c>
      <c r="F1653">
        <f>IF(A1653="","",SUMIFS(المبيعات!$H$2:$H$2000,المبيعات!$C$2:$C$2000,A1653,المبيعات!$J$2:$J$2000,"آجل"))</f>
        <v/>
      </c>
      <c r="G1653" s="4" t="n"/>
      <c r="H1653">
        <f>IF(A1653="","",F1653-G1653)</f>
        <v/>
      </c>
    </row>
    <row r="1654">
      <c r="A1654" s="4" t="n"/>
      <c r="B1654" s="4" t="n"/>
      <c r="C1654">
        <f>IF(A1654="","",SUMPRODUCT((المبيعات!$C$2:$C$2000=A1654)*(المبيعات!$B$2:$B$2000&lt;&gt;"")/COUNTIFS(المبيعات!$B$2:$B$2000,المبيعات!$B$2:$B$2000&amp;"",المبيعات!$C$2:$C$2000,المبيعات!$C$2:$C$2000&amp;"")))</f>
        <v/>
      </c>
      <c r="D1654">
        <f>IF(A1654="","",SUMIFS(المبيعات!$H$2:$H$2000,المبيعات!$C$2:$C$2000,A1654))</f>
        <v/>
      </c>
      <c r="E1654" s="13">
        <f>IF(A1654="","",IF(COUNTIF(المبيعات!$C$2:$C$2000,A1654)=0,"",_xlfn.MAXIFS(المبيعات!$A$2:$A$2000,المبيعات!$C$2:$C$2000,A1654)))</f>
        <v/>
      </c>
      <c r="F1654">
        <f>IF(A1654="","",SUMIFS(المبيعات!$H$2:$H$2000,المبيعات!$C$2:$C$2000,A1654,المبيعات!$J$2:$J$2000,"آجل"))</f>
        <v/>
      </c>
      <c r="G1654" s="4" t="n"/>
      <c r="H1654">
        <f>IF(A1654="","",F1654-G1654)</f>
        <v/>
      </c>
    </row>
    <row r="1655">
      <c r="A1655" s="4" t="n"/>
      <c r="B1655" s="4" t="n"/>
      <c r="C1655">
        <f>IF(A1655="","",SUMPRODUCT((المبيعات!$C$2:$C$2000=A1655)*(المبيعات!$B$2:$B$2000&lt;&gt;"")/COUNTIFS(المبيعات!$B$2:$B$2000,المبيعات!$B$2:$B$2000&amp;"",المبيعات!$C$2:$C$2000,المبيعات!$C$2:$C$2000&amp;"")))</f>
        <v/>
      </c>
      <c r="D1655">
        <f>IF(A1655="","",SUMIFS(المبيعات!$H$2:$H$2000,المبيعات!$C$2:$C$2000,A1655))</f>
        <v/>
      </c>
      <c r="E1655" s="13">
        <f>IF(A1655="","",IF(COUNTIF(المبيعات!$C$2:$C$2000,A1655)=0,"",_xlfn.MAXIFS(المبيعات!$A$2:$A$2000,المبيعات!$C$2:$C$2000,A1655)))</f>
        <v/>
      </c>
      <c r="F1655">
        <f>IF(A1655="","",SUMIFS(المبيعات!$H$2:$H$2000,المبيعات!$C$2:$C$2000,A1655,المبيعات!$J$2:$J$2000,"آجل"))</f>
        <v/>
      </c>
      <c r="G1655" s="4" t="n"/>
      <c r="H1655">
        <f>IF(A1655="","",F1655-G1655)</f>
        <v/>
      </c>
    </row>
    <row r="1656">
      <c r="A1656" s="4" t="n"/>
      <c r="B1656" s="4" t="n"/>
      <c r="C1656">
        <f>IF(A1656="","",SUMPRODUCT((المبيعات!$C$2:$C$2000=A1656)*(المبيعات!$B$2:$B$2000&lt;&gt;"")/COUNTIFS(المبيعات!$B$2:$B$2000,المبيعات!$B$2:$B$2000&amp;"",المبيعات!$C$2:$C$2000,المبيعات!$C$2:$C$2000&amp;"")))</f>
        <v/>
      </c>
      <c r="D1656">
        <f>IF(A1656="","",SUMIFS(المبيعات!$H$2:$H$2000,المبيعات!$C$2:$C$2000,A1656))</f>
        <v/>
      </c>
      <c r="E1656" s="13">
        <f>IF(A1656="","",IF(COUNTIF(المبيعات!$C$2:$C$2000,A1656)=0,"",_xlfn.MAXIFS(المبيعات!$A$2:$A$2000,المبيعات!$C$2:$C$2000,A1656)))</f>
        <v/>
      </c>
      <c r="F1656">
        <f>IF(A1656="","",SUMIFS(المبيعات!$H$2:$H$2000,المبيعات!$C$2:$C$2000,A1656,المبيعات!$J$2:$J$2000,"آجل"))</f>
        <v/>
      </c>
      <c r="G1656" s="4" t="n"/>
      <c r="H1656">
        <f>IF(A1656="","",F1656-G1656)</f>
        <v/>
      </c>
    </row>
    <row r="1657">
      <c r="A1657" s="4" t="n"/>
      <c r="B1657" s="4" t="n"/>
      <c r="C1657">
        <f>IF(A1657="","",SUMPRODUCT((المبيعات!$C$2:$C$2000=A1657)*(المبيعات!$B$2:$B$2000&lt;&gt;"")/COUNTIFS(المبيعات!$B$2:$B$2000,المبيعات!$B$2:$B$2000&amp;"",المبيعات!$C$2:$C$2000,المبيعات!$C$2:$C$2000&amp;"")))</f>
        <v/>
      </c>
      <c r="D1657">
        <f>IF(A1657="","",SUMIFS(المبيعات!$H$2:$H$2000,المبيعات!$C$2:$C$2000,A1657))</f>
        <v/>
      </c>
      <c r="E1657" s="13">
        <f>IF(A1657="","",IF(COUNTIF(المبيعات!$C$2:$C$2000,A1657)=0,"",_xlfn.MAXIFS(المبيعات!$A$2:$A$2000,المبيعات!$C$2:$C$2000,A1657)))</f>
        <v/>
      </c>
      <c r="F1657">
        <f>IF(A1657="","",SUMIFS(المبيعات!$H$2:$H$2000,المبيعات!$C$2:$C$2000,A1657,المبيعات!$J$2:$J$2000,"آجل"))</f>
        <v/>
      </c>
      <c r="G1657" s="4" t="n"/>
      <c r="H1657">
        <f>IF(A1657="","",F1657-G1657)</f>
        <v/>
      </c>
    </row>
    <row r="1658">
      <c r="A1658" s="4" t="n"/>
      <c r="B1658" s="4" t="n"/>
      <c r="C1658">
        <f>IF(A1658="","",SUMPRODUCT((المبيعات!$C$2:$C$2000=A1658)*(المبيعات!$B$2:$B$2000&lt;&gt;"")/COUNTIFS(المبيعات!$B$2:$B$2000,المبيعات!$B$2:$B$2000&amp;"",المبيعات!$C$2:$C$2000,المبيعات!$C$2:$C$2000&amp;"")))</f>
        <v/>
      </c>
      <c r="D1658">
        <f>IF(A1658="","",SUMIFS(المبيعات!$H$2:$H$2000,المبيعات!$C$2:$C$2000,A1658))</f>
        <v/>
      </c>
      <c r="E1658" s="13">
        <f>IF(A1658="","",IF(COUNTIF(المبيعات!$C$2:$C$2000,A1658)=0,"",_xlfn.MAXIFS(المبيعات!$A$2:$A$2000,المبيعات!$C$2:$C$2000,A1658)))</f>
        <v/>
      </c>
      <c r="F1658">
        <f>IF(A1658="","",SUMIFS(المبيعات!$H$2:$H$2000,المبيعات!$C$2:$C$2000,A1658,المبيعات!$J$2:$J$2000,"آجل"))</f>
        <v/>
      </c>
      <c r="G1658" s="4" t="n"/>
      <c r="H1658">
        <f>IF(A1658="","",F1658-G1658)</f>
        <v/>
      </c>
    </row>
    <row r="1659">
      <c r="A1659" s="4" t="n"/>
      <c r="B1659" s="4" t="n"/>
      <c r="C1659">
        <f>IF(A1659="","",SUMPRODUCT((المبيعات!$C$2:$C$2000=A1659)*(المبيعات!$B$2:$B$2000&lt;&gt;"")/COUNTIFS(المبيعات!$B$2:$B$2000,المبيعات!$B$2:$B$2000&amp;"",المبيعات!$C$2:$C$2000,المبيعات!$C$2:$C$2000&amp;"")))</f>
        <v/>
      </c>
      <c r="D1659">
        <f>IF(A1659="","",SUMIFS(المبيعات!$H$2:$H$2000,المبيعات!$C$2:$C$2000,A1659))</f>
        <v/>
      </c>
      <c r="E1659" s="13">
        <f>IF(A1659="","",IF(COUNTIF(المبيعات!$C$2:$C$2000,A1659)=0,"",_xlfn.MAXIFS(المبيعات!$A$2:$A$2000,المبيعات!$C$2:$C$2000,A1659)))</f>
        <v/>
      </c>
      <c r="F1659">
        <f>IF(A1659="","",SUMIFS(المبيعات!$H$2:$H$2000,المبيعات!$C$2:$C$2000,A1659,المبيعات!$J$2:$J$2000,"آجل"))</f>
        <v/>
      </c>
      <c r="G1659" s="4" t="n"/>
      <c r="H1659">
        <f>IF(A1659="","",F1659-G1659)</f>
        <v/>
      </c>
    </row>
    <row r="1660">
      <c r="A1660" s="4" t="n"/>
      <c r="B1660" s="4" t="n"/>
      <c r="C1660">
        <f>IF(A1660="","",SUMPRODUCT((المبيعات!$C$2:$C$2000=A1660)*(المبيعات!$B$2:$B$2000&lt;&gt;"")/COUNTIFS(المبيعات!$B$2:$B$2000,المبيعات!$B$2:$B$2000&amp;"",المبيعات!$C$2:$C$2000,المبيعات!$C$2:$C$2000&amp;"")))</f>
        <v/>
      </c>
      <c r="D1660">
        <f>IF(A1660="","",SUMIFS(المبيعات!$H$2:$H$2000,المبيعات!$C$2:$C$2000,A1660))</f>
        <v/>
      </c>
      <c r="E1660" s="13">
        <f>IF(A1660="","",IF(COUNTIF(المبيعات!$C$2:$C$2000,A1660)=0,"",_xlfn.MAXIFS(المبيعات!$A$2:$A$2000,المبيعات!$C$2:$C$2000,A1660)))</f>
        <v/>
      </c>
      <c r="F1660">
        <f>IF(A1660="","",SUMIFS(المبيعات!$H$2:$H$2000,المبيعات!$C$2:$C$2000,A1660,المبيعات!$J$2:$J$2000,"آجل"))</f>
        <v/>
      </c>
      <c r="G1660" s="4" t="n"/>
      <c r="H1660">
        <f>IF(A1660="","",F1660-G1660)</f>
        <v/>
      </c>
    </row>
    <row r="1661">
      <c r="A1661" s="4" t="n"/>
      <c r="B1661" s="4" t="n"/>
      <c r="C1661">
        <f>IF(A1661="","",SUMPRODUCT((المبيعات!$C$2:$C$2000=A1661)*(المبيعات!$B$2:$B$2000&lt;&gt;"")/COUNTIFS(المبيعات!$B$2:$B$2000,المبيعات!$B$2:$B$2000&amp;"",المبيعات!$C$2:$C$2000,المبيعات!$C$2:$C$2000&amp;"")))</f>
        <v/>
      </c>
      <c r="D1661">
        <f>IF(A1661="","",SUMIFS(المبيعات!$H$2:$H$2000,المبيعات!$C$2:$C$2000,A1661))</f>
        <v/>
      </c>
      <c r="E1661" s="13">
        <f>IF(A1661="","",IF(COUNTIF(المبيعات!$C$2:$C$2000,A1661)=0,"",_xlfn.MAXIFS(المبيعات!$A$2:$A$2000,المبيعات!$C$2:$C$2000,A1661)))</f>
        <v/>
      </c>
      <c r="F1661">
        <f>IF(A1661="","",SUMIFS(المبيعات!$H$2:$H$2000,المبيعات!$C$2:$C$2000,A1661,المبيعات!$J$2:$J$2000,"آجل"))</f>
        <v/>
      </c>
      <c r="G1661" s="4" t="n"/>
      <c r="H1661">
        <f>IF(A1661="","",F1661-G1661)</f>
        <v/>
      </c>
    </row>
    <row r="1662">
      <c r="A1662" s="4" t="n"/>
      <c r="B1662" s="4" t="n"/>
      <c r="C1662">
        <f>IF(A1662="","",SUMPRODUCT((المبيعات!$C$2:$C$2000=A1662)*(المبيعات!$B$2:$B$2000&lt;&gt;"")/COUNTIFS(المبيعات!$B$2:$B$2000,المبيعات!$B$2:$B$2000&amp;"",المبيعات!$C$2:$C$2000,المبيعات!$C$2:$C$2000&amp;"")))</f>
        <v/>
      </c>
      <c r="D1662">
        <f>IF(A1662="","",SUMIFS(المبيعات!$H$2:$H$2000,المبيعات!$C$2:$C$2000,A1662))</f>
        <v/>
      </c>
      <c r="E1662" s="13">
        <f>IF(A1662="","",IF(COUNTIF(المبيعات!$C$2:$C$2000,A1662)=0,"",_xlfn.MAXIFS(المبيعات!$A$2:$A$2000,المبيعات!$C$2:$C$2000,A1662)))</f>
        <v/>
      </c>
      <c r="F1662">
        <f>IF(A1662="","",SUMIFS(المبيعات!$H$2:$H$2000,المبيعات!$C$2:$C$2000,A1662,المبيعات!$J$2:$J$2000,"آجل"))</f>
        <v/>
      </c>
      <c r="G1662" s="4" t="n"/>
      <c r="H1662">
        <f>IF(A1662="","",F1662-G1662)</f>
        <v/>
      </c>
    </row>
    <row r="1663">
      <c r="A1663" s="4" t="n"/>
      <c r="B1663" s="4" t="n"/>
      <c r="C1663">
        <f>IF(A1663="","",SUMPRODUCT((المبيعات!$C$2:$C$2000=A1663)*(المبيعات!$B$2:$B$2000&lt;&gt;"")/COUNTIFS(المبيعات!$B$2:$B$2000,المبيعات!$B$2:$B$2000&amp;"",المبيعات!$C$2:$C$2000,المبيعات!$C$2:$C$2000&amp;"")))</f>
        <v/>
      </c>
      <c r="D1663">
        <f>IF(A1663="","",SUMIFS(المبيعات!$H$2:$H$2000,المبيعات!$C$2:$C$2000,A1663))</f>
        <v/>
      </c>
      <c r="E1663" s="13">
        <f>IF(A1663="","",IF(COUNTIF(المبيعات!$C$2:$C$2000,A1663)=0,"",_xlfn.MAXIFS(المبيعات!$A$2:$A$2000,المبيعات!$C$2:$C$2000,A1663)))</f>
        <v/>
      </c>
      <c r="F1663">
        <f>IF(A1663="","",SUMIFS(المبيعات!$H$2:$H$2000,المبيعات!$C$2:$C$2000,A1663,المبيعات!$J$2:$J$2000,"آجل"))</f>
        <v/>
      </c>
      <c r="G1663" s="4" t="n"/>
      <c r="H1663">
        <f>IF(A1663="","",F1663-G1663)</f>
        <v/>
      </c>
    </row>
    <row r="1664">
      <c r="A1664" s="4" t="n"/>
      <c r="B1664" s="4" t="n"/>
      <c r="C1664">
        <f>IF(A1664="","",SUMPRODUCT((المبيعات!$C$2:$C$2000=A1664)*(المبيعات!$B$2:$B$2000&lt;&gt;"")/COUNTIFS(المبيعات!$B$2:$B$2000,المبيعات!$B$2:$B$2000&amp;"",المبيعات!$C$2:$C$2000,المبيعات!$C$2:$C$2000&amp;"")))</f>
        <v/>
      </c>
      <c r="D1664">
        <f>IF(A1664="","",SUMIFS(المبيعات!$H$2:$H$2000,المبيعات!$C$2:$C$2000,A1664))</f>
        <v/>
      </c>
      <c r="E1664" s="13">
        <f>IF(A1664="","",IF(COUNTIF(المبيعات!$C$2:$C$2000,A1664)=0,"",_xlfn.MAXIFS(المبيعات!$A$2:$A$2000,المبيعات!$C$2:$C$2000,A1664)))</f>
        <v/>
      </c>
      <c r="F1664">
        <f>IF(A1664="","",SUMIFS(المبيعات!$H$2:$H$2000,المبيعات!$C$2:$C$2000,A1664,المبيعات!$J$2:$J$2000,"آجل"))</f>
        <v/>
      </c>
      <c r="G1664" s="4" t="n"/>
      <c r="H1664">
        <f>IF(A1664="","",F1664-G1664)</f>
        <v/>
      </c>
    </row>
    <row r="1665">
      <c r="A1665" s="4" t="n"/>
      <c r="B1665" s="4" t="n"/>
      <c r="C1665">
        <f>IF(A1665="","",SUMPRODUCT((المبيعات!$C$2:$C$2000=A1665)*(المبيعات!$B$2:$B$2000&lt;&gt;"")/COUNTIFS(المبيعات!$B$2:$B$2000,المبيعات!$B$2:$B$2000&amp;"",المبيعات!$C$2:$C$2000,المبيعات!$C$2:$C$2000&amp;"")))</f>
        <v/>
      </c>
      <c r="D1665">
        <f>IF(A1665="","",SUMIFS(المبيعات!$H$2:$H$2000,المبيعات!$C$2:$C$2000,A1665))</f>
        <v/>
      </c>
      <c r="E1665" s="13">
        <f>IF(A1665="","",IF(COUNTIF(المبيعات!$C$2:$C$2000,A1665)=0,"",_xlfn.MAXIFS(المبيعات!$A$2:$A$2000,المبيعات!$C$2:$C$2000,A1665)))</f>
        <v/>
      </c>
      <c r="F1665">
        <f>IF(A1665="","",SUMIFS(المبيعات!$H$2:$H$2000,المبيعات!$C$2:$C$2000,A1665,المبيعات!$J$2:$J$2000,"آجل"))</f>
        <v/>
      </c>
      <c r="G1665" s="4" t="n"/>
      <c r="H1665">
        <f>IF(A1665="","",F1665-G1665)</f>
        <v/>
      </c>
    </row>
    <row r="1666">
      <c r="A1666" s="4" t="n"/>
      <c r="B1666" s="4" t="n"/>
      <c r="C1666">
        <f>IF(A1666="","",SUMPRODUCT((المبيعات!$C$2:$C$2000=A1666)*(المبيعات!$B$2:$B$2000&lt;&gt;"")/COUNTIFS(المبيعات!$B$2:$B$2000,المبيعات!$B$2:$B$2000&amp;"",المبيعات!$C$2:$C$2000,المبيعات!$C$2:$C$2000&amp;"")))</f>
        <v/>
      </c>
      <c r="D1666">
        <f>IF(A1666="","",SUMIFS(المبيعات!$H$2:$H$2000,المبيعات!$C$2:$C$2000,A1666))</f>
        <v/>
      </c>
      <c r="E1666" s="13">
        <f>IF(A1666="","",IF(COUNTIF(المبيعات!$C$2:$C$2000,A1666)=0,"",_xlfn.MAXIFS(المبيعات!$A$2:$A$2000,المبيعات!$C$2:$C$2000,A1666)))</f>
        <v/>
      </c>
      <c r="F1666">
        <f>IF(A1666="","",SUMIFS(المبيعات!$H$2:$H$2000,المبيعات!$C$2:$C$2000,A1666,المبيعات!$J$2:$J$2000,"آجل"))</f>
        <v/>
      </c>
      <c r="G1666" s="4" t="n"/>
      <c r="H1666">
        <f>IF(A1666="","",F1666-G1666)</f>
        <v/>
      </c>
    </row>
    <row r="1667">
      <c r="A1667" s="4" t="n"/>
      <c r="B1667" s="4" t="n"/>
      <c r="C1667">
        <f>IF(A1667="","",SUMPRODUCT((المبيعات!$C$2:$C$2000=A1667)*(المبيعات!$B$2:$B$2000&lt;&gt;"")/COUNTIFS(المبيعات!$B$2:$B$2000,المبيعات!$B$2:$B$2000&amp;"",المبيعات!$C$2:$C$2000,المبيعات!$C$2:$C$2000&amp;"")))</f>
        <v/>
      </c>
      <c r="D1667">
        <f>IF(A1667="","",SUMIFS(المبيعات!$H$2:$H$2000,المبيعات!$C$2:$C$2000,A1667))</f>
        <v/>
      </c>
      <c r="E1667" s="13">
        <f>IF(A1667="","",IF(COUNTIF(المبيعات!$C$2:$C$2000,A1667)=0,"",_xlfn.MAXIFS(المبيعات!$A$2:$A$2000,المبيعات!$C$2:$C$2000,A1667)))</f>
        <v/>
      </c>
      <c r="F1667">
        <f>IF(A1667="","",SUMIFS(المبيعات!$H$2:$H$2000,المبيعات!$C$2:$C$2000,A1667,المبيعات!$J$2:$J$2000,"آجل"))</f>
        <v/>
      </c>
      <c r="G1667" s="4" t="n"/>
      <c r="H1667">
        <f>IF(A1667="","",F1667-G1667)</f>
        <v/>
      </c>
    </row>
    <row r="1668">
      <c r="A1668" s="4" t="n"/>
      <c r="B1668" s="4" t="n"/>
      <c r="C1668">
        <f>IF(A1668="","",SUMPRODUCT((المبيعات!$C$2:$C$2000=A1668)*(المبيعات!$B$2:$B$2000&lt;&gt;"")/COUNTIFS(المبيعات!$B$2:$B$2000,المبيعات!$B$2:$B$2000&amp;"",المبيعات!$C$2:$C$2000,المبيعات!$C$2:$C$2000&amp;"")))</f>
        <v/>
      </c>
      <c r="D1668">
        <f>IF(A1668="","",SUMIFS(المبيعات!$H$2:$H$2000,المبيعات!$C$2:$C$2000,A1668))</f>
        <v/>
      </c>
      <c r="E1668" s="13">
        <f>IF(A1668="","",IF(COUNTIF(المبيعات!$C$2:$C$2000,A1668)=0,"",_xlfn.MAXIFS(المبيعات!$A$2:$A$2000,المبيعات!$C$2:$C$2000,A1668)))</f>
        <v/>
      </c>
      <c r="F1668">
        <f>IF(A1668="","",SUMIFS(المبيعات!$H$2:$H$2000,المبيعات!$C$2:$C$2000,A1668,المبيعات!$J$2:$J$2000,"آجل"))</f>
        <v/>
      </c>
      <c r="G1668" s="4" t="n"/>
      <c r="H1668">
        <f>IF(A1668="","",F1668-G1668)</f>
        <v/>
      </c>
    </row>
    <row r="1669">
      <c r="A1669" s="4" t="n"/>
      <c r="B1669" s="4" t="n"/>
      <c r="C1669">
        <f>IF(A1669="","",SUMPRODUCT((المبيعات!$C$2:$C$2000=A1669)*(المبيعات!$B$2:$B$2000&lt;&gt;"")/COUNTIFS(المبيعات!$B$2:$B$2000,المبيعات!$B$2:$B$2000&amp;"",المبيعات!$C$2:$C$2000,المبيعات!$C$2:$C$2000&amp;"")))</f>
        <v/>
      </c>
      <c r="D1669">
        <f>IF(A1669="","",SUMIFS(المبيعات!$H$2:$H$2000,المبيعات!$C$2:$C$2000,A1669))</f>
        <v/>
      </c>
      <c r="E1669" s="13">
        <f>IF(A1669="","",IF(COUNTIF(المبيعات!$C$2:$C$2000,A1669)=0,"",_xlfn.MAXIFS(المبيعات!$A$2:$A$2000,المبيعات!$C$2:$C$2000,A1669)))</f>
        <v/>
      </c>
      <c r="F1669">
        <f>IF(A1669="","",SUMIFS(المبيعات!$H$2:$H$2000,المبيعات!$C$2:$C$2000,A1669,المبيعات!$J$2:$J$2000,"آجل"))</f>
        <v/>
      </c>
      <c r="G1669" s="4" t="n"/>
      <c r="H1669">
        <f>IF(A1669="","",F1669-G1669)</f>
        <v/>
      </c>
    </row>
    <row r="1670">
      <c r="A1670" s="4" t="n"/>
      <c r="B1670" s="4" t="n"/>
      <c r="C1670">
        <f>IF(A1670="","",SUMPRODUCT((المبيعات!$C$2:$C$2000=A1670)*(المبيعات!$B$2:$B$2000&lt;&gt;"")/COUNTIFS(المبيعات!$B$2:$B$2000,المبيعات!$B$2:$B$2000&amp;"",المبيعات!$C$2:$C$2000,المبيعات!$C$2:$C$2000&amp;"")))</f>
        <v/>
      </c>
      <c r="D1670">
        <f>IF(A1670="","",SUMIFS(المبيعات!$H$2:$H$2000,المبيعات!$C$2:$C$2000,A1670))</f>
        <v/>
      </c>
      <c r="E1670" s="13">
        <f>IF(A1670="","",IF(COUNTIF(المبيعات!$C$2:$C$2000,A1670)=0,"",_xlfn.MAXIFS(المبيعات!$A$2:$A$2000,المبيعات!$C$2:$C$2000,A1670)))</f>
        <v/>
      </c>
      <c r="F1670">
        <f>IF(A1670="","",SUMIFS(المبيعات!$H$2:$H$2000,المبيعات!$C$2:$C$2000,A1670,المبيعات!$J$2:$J$2000,"آجل"))</f>
        <v/>
      </c>
      <c r="G1670" s="4" t="n"/>
      <c r="H1670">
        <f>IF(A1670="","",F1670-G1670)</f>
        <v/>
      </c>
    </row>
    <row r="1671">
      <c r="A1671" s="4" t="n"/>
      <c r="B1671" s="4" t="n"/>
      <c r="C1671">
        <f>IF(A1671="","",SUMPRODUCT((المبيعات!$C$2:$C$2000=A1671)*(المبيعات!$B$2:$B$2000&lt;&gt;"")/COUNTIFS(المبيعات!$B$2:$B$2000,المبيعات!$B$2:$B$2000&amp;"",المبيعات!$C$2:$C$2000,المبيعات!$C$2:$C$2000&amp;"")))</f>
        <v/>
      </c>
      <c r="D1671">
        <f>IF(A1671="","",SUMIFS(المبيعات!$H$2:$H$2000,المبيعات!$C$2:$C$2000,A1671))</f>
        <v/>
      </c>
      <c r="E1671" s="13">
        <f>IF(A1671="","",IF(COUNTIF(المبيعات!$C$2:$C$2000,A1671)=0,"",_xlfn.MAXIFS(المبيعات!$A$2:$A$2000,المبيعات!$C$2:$C$2000,A1671)))</f>
        <v/>
      </c>
      <c r="F1671">
        <f>IF(A1671="","",SUMIFS(المبيعات!$H$2:$H$2000,المبيعات!$C$2:$C$2000,A1671,المبيعات!$J$2:$J$2000,"آجل"))</f>
        <v/>
      </c>
      <c r="G1671" s="4" t="n"/>
      <c r="H1671">
        <f>IF(A1671="","",F1671-G1671)</f>
        <v/>
      </c>
    </row>
    <row r="1672">
      <c r="A1672" s="4" t="n"/>
      <c r="B1672" s="4" t="n"/>
      <c r="C1672">
        <f>IF(A1672="","",SUMPRODUCT((المبيعات!$C$2:$C$2000=A1672)*(المبيعات!$B$2:$B$2000&lt;&gt;"")/COUNTIFS(المبيعات!$B$2:$B$2000,المبيعات!$B$2:$B$2000&amp;"",المبيعات!$C$2:$C$2000,المبيعات!$C$2:$C$2000&amp;"")))</f>
        <v/>
      </c>
      <c r="D1672">
        <f>IF(A1672="","",SUMIFS(المبيعات!$H$2:$H$2000,المبيعات!$C$2:$C$2000,A1672))</f>
        <v/>
      </c>
      <c r="E1672" s="13">
        <f>IF(A1672="","",IF(COUNTIF(المبيعات!$C$2:$C$2000,A1672)=0,"",_xlfn.MAXIFS(المبيعات!$A$2:$A$2000,المبيعات!$C$2:$C$2000,A1672)))</f>
        <v/>
      </c>
      <c r="F1672">
        <f>IF(A1672="","",SUMIFS(المبيعات!$H$2:$H$2000,المبيعات!$C$2:$C$2000,A1672,المبيعات!$J$2:$J$2000,"آجل"))</f>
        <v/>
      </c>
      <c r="G1672" s="4" t="n"/>
      <c r="H1672">
        <f>IF(A1672="","",F1672-G1672)</f>
        <v/>
      </c>
    </row>
    <row r="1673">
      <c r="A1673" s="4" t="n"/>
      <c r="B1673" s="4" t="n"/>
      <c r="C1673">
        <f>IF(A1673="","",SUMPRODUCT((المبيعات!$C$2:$C$2000=A1673)*(المبيعات!$B$2:$B$2000&lt;&gt;"")/COUNTIFS(المبيعات!$B$2:$B$2000,المبيعات!$B$2:$B$2000&amp;"",المبيعات!$C$2:$C$2000,المبيعات!$C$2:$C$2000&amp;"")))</f>
        <v/>
      </c>
      <c r="D1673">
        <f>IF(A1673="","",SUMIFS(المبيعات!$H$2:$H$2000,المبيعات!$C$2:$C$2000,A1673))</f>
        <v/>
      </c>
      <c r="E1673" s="13">
        <f>IF(A1673="","",IF(COUNTIF(المبيعات!$C$2:$C$2000,A1673)=0,"",_xlfn.MAXIFS(المبيعات!$A$2:$A$2000,المبيعات!$C$2:$C$2000,A1673)))</f>
        <v/>
      </c>
      <c r="F1673">
        <f>IF(A1673="","",SUMIFS(المبيعات!$H$2:$H$2000,المبيعات!$C$2:$C$2000,A1673,المبيعات!$J$2:$J$2000,"آجل"))</f>
        <v/>
      </c>
      <c r="G1673" s="4" t="n"/>
      <c r="H1673">
        <f>IF(A1673="","",F1673-G1673)</f>
        <v/>
      </c>
    </row>
    <row r="1674">
      <c r="A1674" s="4" t="n"/>
      <c r="B1674" s="4" t="n"/>
      <c r="C1674">
        <f>IF(A1674="","",SUMPRODUCT((المبيعات!$C$2:$C$2000=A1674)*(المبيعات!$B$2:$B$2000&lt;&gt;"")/COUNTIFS(المبيعات!$B$2:$B$2000,المبيعات!$B$2:$B$2000&amp;"",المبيعات!$C$2:$C$2000,المبيعات!$C$2:$C$2000&amp;"")))</f>
        <v/>
      </c>
      <c r="D1674">
        <f>IF(A1674="","",SUMIFS(المبيعات!$H$2:$H$2000,المبيعات!$C$2:$C$2000,A1674))</f>
        <v/>
      </c>
      <c r="E1674" s="13">
        <f>IF(A1674="","",IF(COUNTIF(المبيعات!$C$2:$C$2000,A1674)=0,"",_xlfn.MAXIFS(المبيعات!$A$2:$A$2000,المبيعات!$C$2:$C$2000,A1674)))</f>
        <v/>
      </c>
      <c r="F1674">
        <f>IF(A1674="","",SUMIFS(المبيعات!$H$2:$H$2000,المبيعات!$C$2:$C$2000,A1674,المبيعات!$J$2:$J$2000,"آجل"))</f>
        <v/>
      </c>
      <c r="G1674" s="4" t="n"/>
      <c r="H1674">
        <f>IF(A1674="","",F1674-G1674)</f>
        <v/>
      </c>
    </row>
    <row r="1675">
      <c r="A1675" s="4" t="n"/>
      <c r="B1675" s="4" t="n"/>
      <c r="C1675">
        <f>IF(A1675="","",SUMPRODUCT((المبيعات!$C$2:$C$2000=A1675)*(المبيعات!$B$2:$B$2000&lt;&gt;"")/COUNTIFS(المبيعات!$B$2:$B$2000,المبيعات!$B$2:$B$2000&amp;"",المبيعات!$C$2:$C$2000,المبيعات!$C$2:$C$2000&amp;"")))</f>
        <v/>
      </c>
      <c r="D1675">
        <f>IF(A1675="","",SUMIFS(المبيعات!$H$2:$H$2000,المبيعات!$C$2:$C$2000,A1675))</f>
        <v/>
      </c>
      <c r="E1675" s="13">
        <f>IF(A1675="","",IF(COUNTIF(المبيعات!$C$2:$C$2000,A1675)=0,"",_xlfn.MAXIFS(المبيعات!$A$2:$A$2000,المبيعات!$C$2:$C$2000,A1675)))</f>
        <v/>
      </c>
      <c r="F1675">
        <f>IF(A1675="","",SUMIFS(المبيعات!$H$2:$H$2000,المبيعات!$C$2:$C$2000,A1675,المبيعات!$J$2:$J$2000,"آجل"))</f>
        <v/>
      </c>
      <c r="G1675" s="4" t="n"/>
      <c r="H1675">
        <f>IF(A1675="","",F1675-G1675)</f>
        <v/>
      </c>
    </row>
    <row r="1676">
      <c r="A1676" s="4" t="n"/>
      <c r="B1676" s="4" t="n"/>
      <c r="C1676">
        <f>IF(A1676="","",SUMPRODUCT((المبيعات!$C$2:$C$2000=A1676)*(المبيعات!$B$2:$B$2000&lt;&gt;"")/COUNTIFS(المبيعات!$B$2:$B$2000,المبيعات!$B$2:$B$2000&amp;"",المبيعات!$C$2:$C$2000,المبيعات!$C$2:$C$2000&amp;"")))</f>
        <v/>
      </c>
      <c r="D1676">
        <f>IF(A1676="","",SUMIFS(المبيعات!$H$2:$H$2000,المبيعات!$C$2:$C$2000,A1676))</f>
        <v/>
      </c>
      <c r="E1676" s="13">
        <f>IF(A1676="","",IF(COUNTIF(المبيعات!$C$2:$C$2000,A1676)=0,"",_xlfn.MAXIFS(المبيعات!$A$2:$A$2000,المبيعات!$C$2:$C$2000,A1676)))</f>
        <v/>
      </c>
      <c r="F1676">
        <f>IF(A1676="","",SUMIFS(المبيعات!$H$2:$H$2000,المبيعات!$C$2:$C$2000,A1676,المبيعات!$J$2:$J$2000,"آجل"))</f>
        <v/>
      </c>
      <c r="G1676" s="4" t="n"/>
      <c r="H1676">
        <f>IF(A1676="","",F1676-G1676)</f>
        <v/>
      </c>
    </row>
    <row r="1677">
      <c r="A1677" s="4" t="n"/>
      <c r="B1677" s="4" t="n"/>
      <c r="C1677">
        <f>IF(A1677="","",SUMPRODUCT((المبيعات!$C$2:$C$2000=A1677)*(المبيعات!$B$2:$B$2000&lt;&gt;"")/COUNTIFS(المبيعات!$B$2:$B$2000,المبيعات!$B$2:$B$2000&amp;"",المبيعات!$C$2:$C$2000,المبيعات!$C$2:$C$2000&amp;"")))</f>
        <v/>
      </c>
      <c r="D1677">
        <f>IF(A1677="","",SUMIFS(المبيعات!$H$2:$H$2000,المبيعات!$C$2:$C$2000,A1677))</f>
        <v/>
      </c>
      <c r="E1677" s="13">
        <f>IF(A1677="","",IF(COUNTIF(المبيعات!$C$2:$C$2000,A1677)=0,"",_xlfn.MAXIFS(المبيعات!$A$2:$A$2000,المبيعات!$C$2:$C$2000,A1677)))</f>
        <v/>
      </c>
      <c r="F1677">
        <f>IF(A1677="","",SUMIFS(المبيعات!$H$2:$H$2000,المبيعات!$C$2:$C$2000,A1677,المبيعات!$J$2:$J$2000,"آجل"))</f>
        <v/>
      </c>
      <c r="G1677" s="4" t="n"/>
      <c r="H1677">
        <f>IF(A1677="","",F1677-G1677)</f>
        <v/>
      </c>
    </row>
    <row r="1678">
      <c r="A1678" s="4" t="n"/>
      <c r="B1678" s="4" t="n"/>
      <c r="C1678">
        <f>IF(A1678="","",SUMPRODUCT((المبيعات!$C$2:$C$2000=A1678)*(المبيعات!$B$2:$B$2000&lt;&gt;"")/COUNTIFS(المبيعات!$B$2:$B$2000,المبيعات!$B$2:$B$2000&amp;"",المبيعات!$C$2:$C$2000,المبيعات!$C$2:$C$2000&amp;"")))</f>
        <v/>
      </c>
      <c r="D1678">
        <f>IF(A1678="","",SUMIFS(المبيعات!$H$2:$H$2000,المبيعات!$C$2:$C$2000,A1678))</f>
        <v/>
      </c>
      <c r="E1678" s="13">
        <f>IF(A1678="","",IF(COUNTIF(المبيعات!$C$2:$C$2000,A1678)=0,"",_xlfn.MAXIFS(المبيعات!$A$2:$A$2000,المبيعات!$C$2:$C$2000,A1678)))</f>
        <v/>
      </c>
      <c r="F1678">
        <f>IF(A1678="","",SUMIFS(المبيعات!$H$2:$H$2000,المبيعات!$C$2:$C$2000,A1678,المبيعات!$J$2:$J$2000,"آجل"))</f>
        <v/>
      </c>
      <c r="G1678" s="4" t="n"/>
      <c r="H1678">
        <f>IF(A1678="","",F1678-G1678)</f>
        <v/>
      </c>
    </row>
    <row r="1679">
      <c r="A1679" s="4" t="n"/>
      <c r="B1679" s="4" t="n"/>
      <c r="C1679">
        <f>IF(A1679="","",SUMPRODUCT((المبيعات!$C$2:$C$2000=A1679)*(المبيعات!$B$2:$B$2000&lt;&gt;"")/COUNTIFS(المبيعات!$B$2:$B$2000,المبيعات!$B$2:$B$2000&amp;"",المبيعات!$C$2:$C$2000,المبيعات!$C$2:$C$2000&amp;"")))</f>
        <v/>
      </c>
      <c r="D1679">
        <f>IF(A1679="","",SUMIFS(المبيعات!$H$2:$H$2000,المبيعات!$C$2:$C$2000,A1679))</f>
        <v/>
      </c>
      <c r="E1679" s="13">
        <f>IF(A1679="","",IF(COUNTIF(المبيعات!$C$2:$C$2000,A1679)=0,"",_xlfn.MAXIFS(المبيعات!$A$2:$A$2000,المبيعات!$C$2:$C$2000,A1679)))</f>
        <v/>
      </c>
      <c r="F1679">
        <f>IF(A1679="","",SUMIFS(المبيعات!$H$2:$H$2000,المبيعات!$C$2:$C$2000,A1679,المبيعات!$J$2:$J$2000,"آجل"))</f>
        <v/>
      </c>
      <c r="G1679" s="4" t="n"/>
      <c r="H1679">
        <f>IF(A1679="","",F1679-G1679)</f>
        <v/>
      </c>
    </row>
    <row r="1680">
      <c r="A1680" s="4" t="n"/>
      <c r="B1680" s="4" t="n"/>
      <c r="C1680">
        <f>IF(A1680="","",SUMPRODUCT((المبيعات!$C$2:$C$2000=A1680)*(المبيعات!$B$2:$B$2000&lt;&gt;"")/COUNTIFS(المبيعات!$B$2:$B$2000,المبيعات!$B$2:$B$2000&amp;"",المبيعات!$C$2:$C$2000,المبيعات!$C$2:$C$2000&amp;"")))</f>
        <v/>
      </c>
      <c r="D1680">
        <f>IF(A1680="","",SUMIFS(المبيعات!$H$2:$H$2000,المبيعات!$C$2:$C$2000,A1680))</f>
        <v/>
      </c>
      <c r="E1680" s="13">
        <f>IF(A1680="","",IF(COUNTIF(المبيعات!$C$2:$C$2000,A1680)=0,"",_xlfn.MAXIFS(المبيعات!$A$2:$A$2000,المبيعات!$C$2:$C$2000,A1680)))</f>
        <v/>
      </c>
      <c r="F1680">
        <f>IF(A1680="","",SUMIFS(المبيعات!$H$2:$H$2000,المبيعات!$C$2:$C$2000,A1680,المبيعات!$J$2:$J$2000,"آجل"))</f>
        <v/>
      </c>
      <c r="G1680" s="4" t="n"/>
      <c r="H1680">
        <f>IF(A1680="","",F1680-G1680)</f>
        <v/>
      </c>
    </row>
    <row r="1681">
      <c r="A1681" s="4" t="n"/>
      <c r="B1681" s="4" t="n"/>
      <c r="C1681">
        <f>IF(A1681="","",SUMPRODUCT((المبيعات!$C$2:$C$2000=A1681)*(المبيعات!$B$2:$B$2000&lt;&gt;"")/COUNTIFS(المبيعات!$B$2:$B$2000,المبيعات!$B$2:$B$2000&amp;"",المبيعات!$C$2:$C$2000,المبيعات!$C$2:$C$2000&amp;"")))</f>
        <v/>
      </c>
      <c r="D1681">
        <f>IF(A1681="","",SUMIFS(المبيعات!$H$2:$H$2000,المبيعات!$C$2:$C$2000,A1681))</f>
        <v/>
      </c>
      <c r="E1681" s="13">
        <f>IF(A1681="","",IF(COUNTIF(المبيعات!$C$2:$C$2000,A1681)=0,"",_xlfn.MAXIFS(المبيعات!$A$2:$A$2000,المبيعات!$C$2:$C$2000,A1681)))</f>
        <v/>
      </c>
      <c r="F1681">
        <f>IF(A1681="","",SUMIFS(المبيعات!$H$2:$H$2000,المبيعات!$C$2:$C$2000,A1681,المبيعات!$J$2:$J$2000,"آجل"))</f>
        <v/>
      </c>
      <c r="G1681" s="4" t="n"/>
      <c r="H1681">
        <f>IF(A1681="","",F1681-G1681)</f>
        <v/>
      </c>
    </row>
    <row r="1682">
      <c r="A1682" s="4" t="n"/>
      <c r="B1682" s="4" t="n"/>
      <c r="C1682">
        <f>IF(A1682="","",SUMPRODUCT((المبيعات!$C$2:$C$2000=A1682)*(المبيعات!$B$2:$B$2000&lt;&gt;"")/COUNTIFS(المبيعات!$B$2:$B$2000,المبيعات!$B$2:$B$2000&amp;"",المبيعات!$C$2:$C$2000,المبيعات!$C$2:$C$2000&amp;"")))</f>
        <v/>
      </c>
      <c r="D1682">
        <f>IF(A1682="","",SUMIFS(المبيعات!$H$2:$H$2000,المبيعات!$C$2:$C$2000,A1682))</f>
        <v/>
      </c>
      <c r="E1682" s="13">
        <f>IF(A1682="","",IF(COUNTIF(المبيعات!$C$2:$C$2000,A1682)=0,"",_xlfn.MAXIFS(المبيعات!$A$2:$A$2000,المبيعات!$C$2:$C$2000,A1682)))</f>
        <v/>
      </c>
      <c r="F1682">
        <f>IF(A1682="","",SUMIFS(المبيعات!$H$2:$H$2000,المبيعات!$C$2:$C$2000,A1682,المبيعات!$J$2:$J$2000,"آجل"))</f>
        <v/>
      </c>
      <c r="G1682" s="4" t="n"/>
      <c r="H1682">
        <f>IF(A1682="","",F1682-G1682)</f>
        <v/>
      </c>
    </row>
    <row r="1683">
      <c r="A1683" s="4" t="n"/>
      <c r="B1683" s="4" t="n"/>
      <c r="C1683">
        <f>IF(A1683="","",SUMPRODUCT((المبيعات!$C$2:$C$2000=A1683)*(المبيعات!$B$2:$B$2000&lt;&gt;"")/COUNTIFS(المبيعات!$B$2:$B$2000,المبيعات!$B$2:$B$2000&amp;"",المبيعات!$C$2:$C$2000,المبيعات!$C$2:$C$2000&amp;"")))</f>
        <v/>
      </c>
      <c r="D1683">
        <f>IF(A1683="","",SUMIFS(المبيعات!$H$2:$H$2000,المبيعات!$C$2:$C$2000,A1683))</f>
        <v/>
      </c>
      <c r="E1683" s="13">
        <f>IF(A1683="","",IF(COUNTIF(المبيعات!$C$2:$C$2000,A1683)=0,"",_xlfn.MAXIFS(المبيعات!$A$2:$A$2000,المبيعات!$C$2:$C$2000,A1683)))</f>
        <v/>
      </c>
      <c r="F1683">
        <f>IF(A1683="","",SUMIFS(المبيعات!$H$2:$H$2000,المبيعات!$C$2:$C$2000,A1683,المبيعات!$J$2:$J$2000,"آجل"))</f>
        <v/>
      </c>
      <c r="G1683" s="4" t="n"/>
      <c r="H1683">
        <f>IF(A1683="","",F1683-G1683)</f>
        <v/>
      </c>
    </row>
    <row r="1684">
      <c r="A1684" s="4" t="n"/>
      <c r="B1684" s="4" t="n"/>
      <c r="C1684">
        <f>IF(A1684="","",SUMPRODUCT((المبيعات!$C$2:$C$2000=A1684)*(المبيعات!$B$2:$B$2000&lt;&gt;"")/COUNTIFS(المبيعات!$B$2:$B$2000,المبيعات!$B$2:$B$2000&amp;"",المبيعات!$C$2:$C$2000,المبيعات!$C$2:$C$2000&amp;"")))</f>
        <v/>
      </c>
      <c r="D1684">
        <f>IF(A1684="","",SUMIFS(المبيعات!$H$2:$H$2000,المبيعات!$C$2:$C$2000,A1684))</f>
        <v/>
      </c>
      <c r="E1684" s="13">
        <f>IF(A1684="","",IF(COUNTIF(المبيعات!$C$2:$C$2000,A1684)=0,"",_xlfn.MAXIFS(المبيعات!$A$2:$A$2000,المبيعات!$C$2:$C$2000,A1684)))</f>
        <v/>
      </c>
      <c r="F1684">
        <f>IF(A1684="","",SUMIFS(المبيعات!$H$2:$H$2000,المبيعات!$C$2:$C$2000,A1684,المبيعات!$J$2:$J$2000,"آجل"))</f>
        <v/>
      </c>
      <c r="G1684" s="4" t="n"/>
      <c r="H1684">
        <f>IF(A1684="","",F1684-G1684)</f>
        <v/>
      </c>
    </row>
    <row r="1685">
      <c r="A1685" s="4" t="n"/>
      <c r="B1685" s="4" t="n"/>
      <c r="C1685">
        <f>IF(A1685="","",SUMPRODUCT((المبيعات!$C$2:$C$2000=A1685)*(المبيعات!$B$2:$B$2000&lt;&gt;"")/COUNTIFS(المبيعات!$B$2:$B$2000,المبيعات!$B$2:$B$2000&amp;"",المبيعات!$C$2:$C$2000,المبيعات!$C$2:$C$2000&amp;"")))</f>
        <v/>
      </c>
      <c r="D1685">
        <f>IF(A1685="","",SUMIFS(المبيعات!$H$2:$H$2000,المبيعات!$C$2:$C$2000,A1685))</f>
        <v/>
      </c>
      <c r="E1685" s="13">
        <f>IF(A1685="","",IF(COUNTIF(المبيعات!$C$2:$C$2000,A1685)=0,"",_xlfn.MAXIFS(المبيعات!$A$2:$A$2000,المبيعات!$C$2:$C$2000,A1685)))</f>
        <v/>
      </c>
      <c r="F1685">
        <f>IF(A1685="","",SUMIFS(المبيعات!$H$2:$H$2000,المبيعات!$C$2:$C$2000,A1685,المبيعات!$J$2:$J$2000,"آجل"))</f>
        <v/>
      </c>
      <c r="G1685" s="4" t="n"/>
      <c r="H1685">
        <f>IF(A1685="","",F1685-G1685)</f>
        <v/>
      </c>
    </row>
    <row r="1686">
      <c r="A1686" s="4" t="n"/>
      <c r="B1686" s="4" t="n"/>
      <c r="C1686">
        <f>IF(A1686="","",SUMPRODUCT((المبيعات!$C$2:$C$2000=A1686)*(المبيعات!$B$2:$B$2000&lt;&gt;"")/COUNTIFS(المبيعات!$B$2:$B$2000,المبيعات!$B$2:$B$2000&amp;"",المبيعات!$C$2:$C$2000,المبيعات!$C$2:$C$2000&amp;"")))</f>
        <v/>
      </c>
      <c r="D1686">
        <f>IF(A1686="","",SUMIFS(المبيعات!$H$2:$H$2000,المبيعات!$C$2:$C$2000,A1686))</f>
        <v/>
      </c>
      <c r="E1686" s="13">
        <f>IF(A1686="","",IF(COUNTIF(المبيعات!$C$2:$C$2000,A1686)=0,"",_xlfn.MAXIFS(المبيعات!$A$2:$A$2000,المبيعات!$C$2:$C$2000,A1686)))</f>
        <v/>
      </c>
      <c r="F1686">
        <f>IF(A1686="","",SUMIFS(المبيعات!$H$2:$H$2000,المبيعات!$C$2:$C$2000,A1686,المبيعات!$J$2:$J$2000,"آجل"))</f>
        <v/>
      </c>
      <c r="G1686" s="4" t="n"/>
      <c r="H1686">
        <f>IF(A1686="","",F1686-G1686)</f>
        <v/>
      </c>
    </row>
    <row r="1687">
      <c r="A1687" s="4" t="n"/>
      <c r="B1687" s="4" t="n"/>
      <c r="C1687">
        <f>IF(A1687="","",SUMPRODUCT((المبيعات!$C$2:$C$2000=A1687)*(المبيعات!$B$2:$B$2000&lt;&gt;"")/COUNTIFS(المبيعات!$B$2:$B$2000,المبيعات!$B$2:$B$2000&amp;"",المبيعات!$C$2:$C$2000,المبيعات!$C$2:$C$2000&amp;"")))</f>
        <v/>
      </c>
      <c r="D1687">
        <f>IF(A1687="","",SUMIFS(المبيعات!$H$2:$H$2000,المبيعات!$C$2:$C$2000,A1687))</f>
        <v/>
      </c>
      <c r="E1687" s="13">
        <f>IF(A1687="","",IF(COUNTIF(المبيعات!$C$2:$C$2000,A1687)=0,"",_xlfn.MAXIFS(المبيعات!$A$2:$A$2000,المبيعات!$C$2:$C$2000,A1687)))</f>
        <v/>
      </c>
      <c r="F1687">
        <f>IF(A1687="","",SUMIFS(المبيعات!$H$2:$H$2000,المبيعات!$C$2:$C$2000,A1687,المبيعات!$J$2:$J$2000,"آجل"))</f>
        <v/>
      </c>
      <c r="G1687" s="4" t="n"/>
      <c r="H1687">
        <f>IF(A1687="","",F1687-G1687)</f>
        <v/>
      </c>
    </row>
    <row r="1688">
      <c r="A1688" s="4" t="n"/>
      <c r="B1688" s="4" t="n"/>
      <c r="C1688">
        <f>IF(A1688="","",SUMPRODUCT((المبيعات!$C$2:$C$2000=A1688)*(المبيعات!$B$2:$B$2000&lt;&gt;"")/COUNTIFS(المبيعات!$B$2:$B$2000,المبيعات!$B$2:$B$2000&amp;"",المبيعات!$C$2:$C$2000,المبيعات!$C$2:$C$2000&amp;"")))</f>
        <v/>
      </c>
      <c r="D1688">
        <f>IF(A1688="","",SUMIFS(المبيعات!$H$2:$H$2000,المبيعات!$C$2:$C$2000,A1688))</f>
        <v/>
      </c>
      <c r="E1688" s="13">
        <f>IF(A1688="","",IF(COUNTIF(المبيعات!$C$2:$C$2000,A1688)=0,"",_xlfn.MAXIFS(المبيعات!$A$2:$A$2000,المبيعات!$C$2:$C$2000,A1688)))</f>
        <v/>
      </c>
      <c r="F1688">
        <f>IF(A1688="","",SUMIFS(المبيعات!$H$2:$H$2000,المبيعات!$C$2:$C$2000,A1688,المبيعات!$J$2:$J$2000,"آجل"))</f>
        <v/>
      </c>
      <c r="G1688" s="4" t="n"/>
      <c r="H1688">
        <f>IF(A1688="","",F1688-G1688)</f>
        <v/>
      </c>
    </row>
    <row r="1689">
      <c r="A1689" s="4" t="n"/>
      <c r="B1689" s="4" t="n"/>
      <c r="C1689">
        <f>IF(A1689="","",SUMPRODUCT((المبيعات!$C$2:$C$2000=A1689)*(المبيعات!$B$2:$B$2000&lt;&gt;"")/COUNTIFS(المبيعات!$B$2:$B$2000,المبيعات!$B$2:$B$2000&amp;"",المبيعات!$C$2:$C$2000,المبيعات!$C$2:$C$2000&amp;"")))</f>
        <v/>
      </c>
      <c r="D1689">
        <f>IF(A1689="","",SUMIFS(المبيعات!$H$2:$H$2000,المبيعات!$C$2:$C$2000,A1689))</f>
        <v/>
      </c>
      <c r="E1689" s="13">
        <f>IF(A1689="","",IF(COUNTIF(المبيعات!$C$2:$C$2000,A1689)=0,"",_xlfn.MAXIFS(المبيعات!$A$2:$A$2000,المبيعات!$C$2:$C$2000,A1689)))</f>
        <v/>
      </c>
      <c r="F1689">
        <f>IF(A1689="","",SUMIFS(المبيعات!$H$2:$H$2000,المبيعات!$C$2:$C$2000,A1689,المبيعات!$J$2:$J$2000,"آجل"))</f>
        <v/>
      </c>
      <c r="G1689" s="4" t="n"/>
      <c r="H1689">
        <f>IF(A1689="","",F1689-G1689)</f>
        <v/>
      </c>
    </row>
    <row r="1690">
      <c r="A1690" s="4" t="n"/>
      <c r="B1690" s="4" t="n"/>
      <c r="C1690">
        <f>IF(A1690="","",SUMPRODUCT((المبيعات!$C$2:$C$2000=A1690)*(المبيعات!$B$2:$B$2000&lt;&gt;"")/COUNTIFS(المبيعات!$B$2:$B$2000,المبيعات!$B$2:$B$2000&amp;"",المبيعات!$C$2:$C$2000,المبيعات!$C$2:$C$2000&amp;"")))</f>
        <v/>
      </c>
      <c r="D1690">
        <f>IF(A1690="","",SUMIFS(المبيعات!$H$2:$H$2000,المبيعات!$C$2:$C$2000,A1690))</f>
        <v/>
      </c>
      <c r="E1690" s="13">
        <f>IF(A1690="","",IF(COUNTIF(المبيعات!$C$2:$C$2000,A1690)=0,"",_xlfn.MAXIFS(المبيعات!$A$2:$A$2000,المبيعات!$C$2:$C$2000,A1690)))</f>
        <v/>
      </c>
      <c r="F1690">
        <f>IF(A1690="","",SUMIFS(المبيعات!$H$2:$H$2000,المبيعات!$C$2:$C$2000,A1690,المبيعات!$J$2:$J$2000,"آجل"))</f>
        <v/>
      </c>
      <c r="G1690" s="4" t="n"/>
      <c r="H1690">
        <f>IF(A1690="","",F1690-G1690)</f>
        <v/>
      </c>
    </row>
    <row r="1691">
      <c r="A1691" s="4" t="n"/>
      <c r="B1691" s="4" t="n"/>
      <c r="C1691">
        <f>IF(A1691="","",SUMPRODUCT((المبيعات!$C$2:$C$2000=A1691)*(المبيعات!$B$2:$B$2000&lt;&gt;"")/COUNTIFS(المبيعات!$B$2:$B$2000,المبيعات!$B$2:$B$2000&amp;"",المبيعات!$C$2:$C$2000,المبيعات!$C$2:$C$2000&amp;"")))</f>
        <v/>
      </c>
      <c r="D1691">
        <f>IF(A1691="","",SUMIFS(المبيعات!$H$2:$H$2000,المبيعات!$C$2:$C$2000,A1691))</f>
        <v/>
      </c>
      <c r="E1691" s="13">
        <f>IF(A1691="","",IF(COUNTIF(المبيعات!$C$2:$C$2000,A1691)=0,"",_xlfn.MAXIFS(المبيعات!$A$2:$A$2000,المبيعات!$C$2:$C$2000,A1691)))</f>
        <v/>
      </c>
      <c r="F1691">
        <f>IF(A1691="","",SUMIFS(المبيعات!$H$2:$H$2000,المبيعات!$C$2:$C$2000,A1691,المبيعات!$J$2:$J$2000,"آجل"))</f>
        <v/>
      </c>
      <c r="G1691" s="4" t="n"/>
      <c r="H1691">
        <f>IF(A1691="","",F1691-G1691)</f>
        <v/>
      </c>
    </row>
    <row r="1692">
      <c r="A1692" s="4" t="n"/>
      <c r="B1692" s="4" t="n"/>
      <c r="C1692">
        <f>IF(A1692="","",SUMPRODUCT((المبيعات!$C$2:$C$2000=A1692)*(المبيعات!$B$2:$B$2000&lt;&gt;"")/COUNTIFS(المبيعات!$B$2:$B$2000,المبيعات!$B$2:$B$2000&amp;"",المبيعات!$C$2:$C$2000,المبيعات!$C$2:$C$2000&amp;"")))</f>
        <v/>
      </c>
      <c r="D1692">
        <f>IF(A1692="","",SUMIFS(المبيعات!$H$2:$H$2000,المبيعات!$C$2:$C$2000,A1692))</f>
        <v/>
      </c>
      <c r="E1692" s="13">
        <f>IF(A1692="","",IF(COUNTIF(المبيعات!$C$2:$C$2000,A1692)=0,"",_xlfn.MAXIFS(المبيعات!$A$2:$A$2000,المبيعات!$C$2:$C$2000,A1692)))</f>
        <v/>
      </c>
      <c r="F1692">
        <f>IF(A1692="","",SUMIFS(المبيعات!$H$2:$H$2000,المبيعات!$C$2:$C$2000,A1692,المبيعات!$J$2:$J$2000,"آجل"))</f>
        <v/>
      </c>
      <c r="G1692" s="4" t="n"/>
      <c r="H1692">
        <f>IF(A1692="","",F1692-G1692)</f>
        <v/>
      </c>
    </row>
    <row r="1693">
      <c r="A1693" s="4" t="n"/>
      <c r="B1693" s="4" t="n"/>
      <c r="C1693">
        <f>IF(A1693="","",SUMPRODUCT((المبيعات!$C$2:$C$2000=A1693)*(المبيعات!$B$2:$B$2000&lt;&gt;"")/COUNTIFS(المبيعات!$B$2:$B$2000,المبيعات!$B$2:$B$2000&amp;"",المبيعات!$C$2:$C$2000,المبيعات!$C$2:$C$2000&amp;"")))</f>
        <v/>
      </c>
      <c r="D1693">
        <f>IF(A1693="","",SUMIFS(المبيعات!$H$2:$H$2000,المبيعات!$C$2:$C$2000,A1693))</f>
        <v/>
      </c>
      <c r="E1693" s="13">
        <f>IF(A1693="","",IF(COUNTIF(المبيعات!$C$2:$C$2000,A1693)=0,"",_xlfn.MAXIFS(المبيعات!$A$2:$A$2000,المبيعات!$C$2:$C$2000,A1693)))</f>
        <v/>
      </c>
      <c r="F1693">
        <f>IF(A1693="","",SUMIFS(المبيعات!$H$2:$H$2000,المبيعات!$C$2:$C$2000,A1693,المبيعات!$J$2:$J$2000,"آجل"))</f>
        <v/>
      </c>
      <c r="G1693" s="4" t="n"/>
      <c r="H1693">
        <f>IF(A1693="","",F1693-G1693)</f>
        <v/>
      </c>
    </row>
    <row r="1694">
      <c r="A1694" s="4" t="n"/>
      <c r="B1694" s="4" t="n"/>
      <c r="C1694">
        <f>IF(A1694="","",SUMPRODUCT((المبيعات!$C$2:$C$2000=A1694)*(المبيعات!$B$2:$B$2000&lt;&gt;"")/COUNTIFS(المبيعات!$B$2:$B$2000,المبيعات!$B$2:$B$2000&amp;"",المبيعات!$C$2:$C$2000,المبيعات!$C$2:$C$2000&amp;"")))</f>
        <v/>
      </c>
      <c r="D1694">
        <f>IF(A1694="","",SUMIFS(المبيعات!$H$2:$H$2000,المبيعات!$C$2:$C$2000,A1694))</f>
        <v/>
      </c>
      <c r="E1694" s="13">
        <f>IF(A1694="","",IF(COUNTIF(المبيعات!$C$2:$C$2000,A1694)=0,"",_xlfn.MAXIFS(المبيعات!$A$2:$A$2000,المبيعات!$C$2:$C$2000,A1694)))</f>
        <v/>
      </c>
      <c r="F1694">
        <f>IF(A1694="","",SUMIFS(المبيعات!$H$2:$H$2000,المبيعات!$C$2:$C$2000,A1694,المبيعات!$J$2:$J$2000,"آجل"))</f>
        <v/>
      </c>
      <c r="G1694" s="4" t="n"/>
      <c r="H1694">
        <f>IF(A1694="","",F1694-G1694)</f>
        <v/>
      </c>
    </row>
    <row r="1695">
      <c r="A1695" s="4" t="n"/>
      <c r="B1695" s="4" t="n"/>
      <c r="C1695">
        <f>IF(A1695="","",SUMPRODUCT((المبيعات!$C$2:$C$2000=A1695)*(المبيعات!$B$2:$B$2000&lt;&gt;"")/COUNTIFS(المبيعات!$B$2:$B$2000,المبيعات!$B$2:$B$2000&amp;"",المبيعات!$C$2:$C$2000,المبيعات!$C$2:$C$2000&amp;"")))</f>
        <v/>
      </c>
      <c r="D1695">
        <f>IF(A1695="","",SUMIFS(المبيعات!$H$2:$H$2000,المبيعات!$C$2:$C$2000,A1695))</f>
        <v/>
      </c>
      <c r="E1695" s="13">
        <f>IF(A1695="","",IF(COUNTIF(المبيعات!$C$2:$C$2000,A1695)=0,"",_xlfn.MAXIFS(المبيعات!$A$2:$A$2000,المبيعات!$C$2:$C$2000,A1695)))</f>
        <v/>
      </c>
      <c r="F1695">
        <f>IF(A1695="","",SUMIFS(المبيعات!$H$2:$H$2000,المبيعات!$C$2:$C$2000,A1695,المبيعات!$J$2:$J$2000,"آجل"))</f>
        <v/>
      </c>
      <c r="G1695" s="4" t="n"/>
      <c r="H1695">
        <f>IF(A1695="","",F1695-G1695)</f>
        <v/>
      </c>
    </row>
    <row r="1696">
      <c r="A1696" s="4" t="n"/>
      <c r="B1696" s="4" t="n"/>
      <c r="C1696">
        <f>IF(A1696="","",SUMPRODUCT((المبيعات!$C$2:$C$2000=A1696)*(المبيعات!$B$2:$B$2000&lt;&gt;"")/COUNTIFS(المبيعات!$B$2:$B$2000,المبيعات!$B$2:$B$2000&amp;"",المبيعات!$C$2:$C$2000,المبيعات!$C$2:$C$2000&amp;"")))</f>
        <v/>
      </c>
      <c r="D1696">
        <f>IF(A1696="","",SUMIFS(المبيعات!$H$2:$H$2000,المبيعات!$C$2:$C$2000,A1696))</f>
        <v/>
      </c>
      <c r="E1696" s="13">
        <f>IF(A1696="","",IF(COUNTIF(المبيعات!$C$2:$C$2000,A1696)=0,"",_xlfn.MAXIFS(المبيعات!$A$2:$A$2000,المبيعات!$C$2:$C$2000,A1696)))</f>
        <v/>
      </c>
      <c r="F1696">
        <f>IF(A1696="","",SUMIFS(المبيعات!$H$2:$H$2000,المبيعات!$C$2:$C$2000,A1696,المبيعات!$J$2:$J$2000,"آجل"))</f>
        <v/>
      </c>
      <c r="G1696" s="4" t="n"/>
      <c r="H1696">
        <f>IF(A1696="","",F1696-G1696)</f>
        <v/>
      </c>
    </row>
    <row r="1697">
      <c r="A1697" s="4" t="n"/>
      <c r="B1697" s="4" t="n"/>
      <c r="C1697">
        <f>IF(A1697="","",SUMPRODUCT((المبيعات!$C$2:$C$2000=A1697)*(المبيعات!$B$2:$B$2000&lt;&gt;"")/COUNTIFS(المبيعات!$B$2:$B$2000,المبيعات!$B$2:$B$2000&amp;"",المبيعات!$C$2:$C$2000,المبيعات!$C$2:$C$2000&amp;"")))</f>
        <v/>
      </c>
      <c r="D1697">
        <f>IF(A1697="","",SUMIFS(المبيعات!$H$2:$H$2000,المبيعات!$C$2:$C$2000,A1697))</f>
        <v/>
      </c>
      <c r="E1697" s="13">
        <f>IF(A1697="","",IF(COUNTIF(المبيعات!$C$2:$C$2000,A1697)=0,"",_xlfn.MAXIFS(المبيعات!$A$2:$A$2000,المبيعات!$C$2:$C$2000,A1697)))</f>
        <v/>
      </c>
      <c r="F1697">
        <f>IF(A1697="","",SUMIFS(المبيعات!$H$2:$H$2000,المبيعات!$C$2:$C$2000,A1697,المبيعات!$J$2:$J$2000,"آجل"))</f>
        <v/>
      </c>
      <c r="G1697" s="4" t="n"/>
      <c r="H1697">
        <f>IF(A1697="","",F1697-G1697)</f>
        <v/>
      </c>
    </row>
    <row r="1698">
      <c r="A1698" s="4" t="n"/>
      <c r="B1698" s="4" t="n"/>
      <c r="C1698">
        <f>IF(A1698="","",SUMPRODUCT((المبيعات!$C$2:$C$2000=A1698)*(المبيعات!$B$2:$B$2000&lt;&gt;"")/COUNTIFS(المبيعات!$B$2:$B$2000,المبيعات!$B$2:$B$2000&amp;"",المبيعات!$C$2:$C$2000,المبيعات!$C$2:$C$2000&amp;"")))</f>
        <v/>
      </c>
      <c r="D1698">
        <f>IF(A1698="","",SUMIFS(المبيعات!$H$2:$H$2000,المبيعات!$C$2:$C$2000,A1698))</f>
        <v/>
      </c>
      <c r="E1698" s="13">
        <f>IF(A1698="","",IF(COUNTIF(المبيعات!$C$2:$C$2000,A1698)=0,"",_xlfn.MAXIFS(المبيعات!$A$2:$A$2000,المبيعات!$C$2:$C$2000,A1698)))</f>
        <v/>
      </c>
      <c r="F1698">
        <f>IF(A1698="","",SUMIFS(المبيعات!$H$2:$H$2000,المبيعات!$C$2:$C$2000,A1698,المبيعات!$J$2:$J$2000,"آجل"))</f>
        <v/>
      </c>
      <c r="G1698" s="4" t="n"/>
      <c r="H1698">
        <f>IF(A1698="","",F1698-G1698)</f>
        <v/>
      </c>
    </row>
    <row r="1699">
      <c r="A1699" s="4" t="n"/>
      <c r="B1699" s="4" t="n"/>
      <c r="C1699">
        <f>IF(A1699="","",SUMPRODUCT((المبيعات!$C$2:$C$2000=A1699)*(المبيعات!$B$2:$B$2000&lt;&gt;"")/COUNTIFS(المبيعات!$B$2:$B$2000,المبيعات!$B$2:$B$2000&amp;"",المبيعات!$C$2:$C$2000,المبيعات!$C$2:$C$2000&amp;"")))</f>
        <v/>
      </c>
      <c r="D1699">
        <f>IF(A1699="","",SUMIFS(المبيعات!$H$2:$H$2000,المبيعات!$C$2:$C$2000,A1699))</f>
        <v/>
      </c>
      <c r="E1699" s="13">
        <f>IF(A1699="","",IF(COUNTIF(المبيعات!$C$2:$C$2000,A1699)=0,"",_xlfn.MAXIFS(المبيعات!$A$2:$A$2000,المبيعات!$C$2:$C$2000,A1699)))</f>
        <v/>
      </c>
      <c r="F1699">
        <f>IF(A1699="","",SUMIFS(المبيعات!$H$2:$H$2000,المبيعات!$C$2:$C$2000,A1699,المبيعات!$J$2:$J$2000,"آجل"))</f>
        <v/>
      </c>
      <c r="G1699" s="4" t="n"/>
      <c r="H1699">
        <f>IF(A1699="","",F1699-G1699)</f>
        <v/>
      </c>
    </row>
    <row r="1700">
      <c r="A1700" s="4" t="n"/>
      <c r="B1700" s="4" t="n"/>
      <c r="C1700">
        <f>IF(A1700="","",SUMPRODUCT((المبيعات!$C$2:$C$2000=A1700)*(المبيعات!$B$2:$B$2000&lt;&gt;"")/COUNTIFS(المبيعات!$B$2:$B$2000,المبيعات!$B$2:$B$2000&amp;"",المبيعات!$C$2:$C$2000,المبيعات!$C$2:$C$2000&amp;"")))</f>
        <v/>
      </c>
      <c r="D1700">
        <f>IF(A1700="","",SUMIFS(المبيعات!$H$2:$H$2000,المبيعات!$C$2:$C$2000,A1700))</f>
        <v/>
      </c>
      <c r="E1700" s="13">
        <f>IF(A1700="","",IF(COUNTIF(المبيعات!$C$2:$C$2000,A1700)=0,"",_xlfn.MAXIFS(المبيعات!$A$2:$A$2000,المبيعات!$C$2:$C$2000,A1700)))</f>
        <v/>
      </c>
      <c r="F1700">
        <f>IF(A1700="","",SUMIFS(المبيعات!$H$2:$H$2000,المبيعات!$C$2:$C$2000,A1700,المبيعات!$J$2:$J$2000,"آجل"))</f>
        <v/>
      </c>
      <c r="G1700" s="4" t="n"/>
      <c r="H1700">
        <f>IF(A1700="","",F1700-G1700)</f>
        <v/>
      </c>
    </row>
    <row r="1701">
      <c r="A1701" s="4" t="n"/>
      <c r="B1701" s="4" t="n"/>
      <c r="C1701">
        <f>IF(A1701="","",SUMPRODUCT((المبيعات!$C$2:$C$2000=A1701)*(المبيعات!$B$2:$B$2000&lt;&gt;"")/COUNTIFS(المبيعات!$B$2:$B$2000,المبيعات!$B$2:$B$2000&amp;"",المبيعات!$C$2:$C$2000,المبيعات!$C$2:$C$2000&amp;"")))</f>
        <v/>
      </c>
      <c r="D1701">
        <f>IF(A1701="","",SUMIFS(المبيعات!$H$2:$H$2000,المبيعات!$C$2:$C$2000,A1701))</f>
        <v/>
      </c>
      <c r="E1701" s="13">
        <f>IF(A1701="","",IF(COUNTIF(المبيعات!$C$2:$C$2000,A1701)=0,"",_xlfn.MAXIFS(المبيعات!$A$2:$A$2000,المبيعات!$C$2:$C$2000,A1701)))</f>
        <v/>
      </c>
      <c r="F1701">
        <f>IF(A1701="","",SUMIFS(المبيعات!$H$2:$H$2000,المبيعات!$C$2:$C$2000,A1701,المبيعات!$J$2:$J$2000,"آجل"))</f>
        <v/>
      </c>
      <c r="G1701" s="4" t="n"/>
      <c r="H1701">
        <f>IF(A1701="","",F1701-G1701)</f>
        <v/>
      </c>
    </row>
    <row r="1702">
      <c r="A1702" s="4" t="n"/>
      <c r="B1702" s="4" t="n"/>
      <c r="C1702">
        <f>IF(A1702="","",SUMPRODUCT((المبيعات!$C$2:$C$2000=A1702)*(المبيعات!$B$2:$B$2000&lt;&gt;"")/COUNTIFS(المبيعات!$B$2:$B$2000,المبيعات!$B$2:$B$2000&amp;"",المبيعات!$C$2:$C$2000,المبيعات!$C$2:$C$2000&amp;"")))</f>
        <v/>
      </c>
      <c r="D1702">
        <f>IF(A1702="","",SUMIFS(المبيعات!$H$2:$H$2000,المبيعات!$C$2:$C$2000,A1702))</f>
        <v/>
      </c>
      <c r="E1702" s="13">
        <f>IF(A1702="","",IF(COUNTIF(المبيعات!$C$2:$C$2000,A1702)=0,"",_xlfn.MAXIFS(المبيعات!$A$2:$A$2000,المبيعات!$C$2:$C$2000,A1702)))</f>
        <v/>
      </c>
      <c r="F1702">
        <f>IF(A1702="","",SUMIFS(المبيعات!$H$2:$H$2000,المبيعات!$C$2:$C$2000,A1702,المبيعات!$J$2:$J$2000,"آجل"))</f>
        <v/>
      </c>
      <c r="G1702" s="4" t="n"/>
      <c r="H1702">
        <f>IF(A1702="","",F1702-G1702)</f>
        <v/>
      </c>
    </row>
    <row r="1703">
      <c r="A1703" s="4" t="n"/>
      <c r="B1703" s="4" t="n"/>
      <c r="C1703">
        <f>IF(A1703="","",SUMPRODUCT((المبيعات!$C$2:$C$2000=A1703)*(المبيعات!$B$2:$B$2000&lt;&gt;"")/COUNTIFS(المبيعات!$B$2:$B$2000,المبيعات!$B$2:$B$2000&amp;"",المبيعات!$C$2:$C$2000,المبيعات!$C$2:$C$2000&amp;"")))</f>
        <v/>
      </c>
      <c r="D1703">
        <f>IF(A1703="","",SUMIFS(المبيعات!$H$2:$H$2000,المبيعات!$C$2:$C$2000,A1703))</f>
        <v/>
      </c>
      <c r="E1703" s="13">
        <f>IF(A1703="","",IF(COUNTIF(المبيعات!$C$2:$C$2000,A1703)=0,"",_xlfn.MAXIFS(المبيعات!$A$2:$A$2000,المبيعات!$C$2:$C$2000,A1703)))</f>
        <v/>
      </c>
      <c r="F1703">
        <f>IF(A1703="","",SUMIFS(المبيعات!$H$2:$H$2000,المبيعات!$C$2:$C$2000,A1703,المبيعات!$J$2:$J$2000,"آجل"))</f>
        <v/>
      </c>
      <c r="G1703" s="4" t="n"/>
      <c r="H1703">
        <f>IF(A1703="","",F1703-G1703)</f>
        <v/>
      </c>
    </row>
    <row r="1704">
      <c r="A1704" s="4" t="n"/>
      <c r="B1704" s="4" t="n"/>
      <c r="C1704">
        <f>IF(A1704="","",SUMPRODUCT((المبيعات!$C$2:$C$2000=A1704)*(المبيعات!$B$2:$B$2000&lt;&gt;"")/COUNTIFS(المبيعات!$B$2:$B$2000,المبيعات!$B$2:$B$2000&amp;"",المبيعات!$C$2:$C$2000,المبيعات!$C$2:$C$2000&amp;"")))</f>
        <v/>
      </c>
      <c r="D1704">
        <f>IF(A1704="","",SUMIFS(المبيعات!$H$2:$H$2000,المبيعات!$C$2:$C$2000,A1704))</f>
        <v/>
      </c>
      <c r="E1704" s="13">
        <f>IF(A1704="","",IF(COUNTIF(المبيعات!$C$2:$C$2000,A1704)=0,"",_xlfn.MAXIFS(المبيعات!$A$2:$A$2000,المبيعات!$C$2:$C$2000,A1704)))</f>
        <v/>
      </c>
      <c r="F1704">
        <f>IF(A1704="","",SUMIFS(المبيعات!$H$2:$H$2000,المبيعات!$C$2:$C$2000,A1704,المبيعات!$J$2:$J$2000,"آجل"))</f>
        <v/>
      </c>
      <c r="G1704" s="4" t="n"/>
      <c r="H1704">
        <f>IF(A1704="","",F1704-G1704)</f>
        <v/>
      </c>
    </row>
    <row r="1705">
      <c r="A1705" s="4" t="n"/>
      <c r="B1705" s="4" t="n"/>
      <c r="C1705">
        <f>IF(A1705="","",SUMPRODUCT((المبيعات!$C$2:$C$2000=A1705)*(المبيعات!$B$2:$B$2000&lt;&gt;"")/COUNTIFS(المبيعات!$B$2:$B$2000,المبيعات!$B$2:$B$2000&amp;"",المبيعات!$C$2:$C$2000,المبيعات!$C$2:$C$2000&amp;"")))</f>
        <v/>
      </c>
      <c r="D1705">
        <f>IF(A1705="","",SUMIFS(المبيعات!$H$2:$H$2000,المبيعات!$C$2:$C$2000,A1705))</f>
        <v/>
      </c>
      <c r="E1705" s="13">
        <f>IF(A1705="","",IF(COUNTIF(المبيعات!$C$2:$C$2000,A1705)=0,"",_xlfn.MAXIFS(المبيعات!$A$2:$A$2000,المبيعات!$C$2:$C$2000,A1705)))</f>
        <v/>
      </c>
      <c r="F1705">
        <f>IF(A1705="","",SUMIFS(المبيعات!$H$2:$H$2000,المبيعات!$C$2:$C$2000,A1705,المبيعات!$J$2:$J$2000,"آجل"))</f>
        <v/>
      </c>
      <c r="G1705" s="4" t="n"/>
      <c r="H1705">
        <f>IF(A1705="","",F1705-G1705)</f>
        <v/>
      </c>
    </row>
    <row r="1706">
      <c r="A1706" s="4" t="n"/>
      <c r="B1706" s="4" t="n"/>
      <c r="C1706">
        <f>IF(A1706="","",SUMPRODUCT((المبيعات!$C$2:$C$2000=A1706)*(المبيعات!$B$2:$B$2000&lt;&gt;"")/COUNTIFS(المبيعات!$B$2:$B$2000,المبيعات!$B$2:$B$2000&amp;"",المبيعات!$C$2:$C$2000,المبيعات!$C$2:$C$2000&amp;"")))</f>
        <v/>
      </c>
      <c r="D1706">
        <f>IF(A1706="","",SUMIFS(المبيعات!$H$2:$H$2000,المبيعات!$C$2:$C$2000,A1706))</f>
        <v/>
      </c>
      <c r="E1706" s="13">
        <f>IF(A1706="","",IF(COUNTIF(المبيعات!$C$2:$C$2000,A1706)=0,"",_xlfn.MAXIFS(المبيعات!$A$2:$A$2000,المبيعات!$C$2:$C$2000,A1706)))</f>
        <v/>
      </c>
      <c r="F1706">
        <f>IF(A1706="","",SUMIFS(المبيعات!$H$2:$H$2000,المبيعات!$C$2:$C$2000,A1706,المبيعات!$J$2:$J$2000,"آجل"))</f>
        <v/>
      </c>
      <c r="G1706" s="4" t="n"/>
      <c r="H1706">
        <f>IF(A1706="","",F1706-G1706)</f>
        <v/>
      </c>
    </row>
    <row r="1707">
      <c r="A1707" s="4" t="n"/>
      <c r="B1707" s="4" t="n"/>
      <c r="C1707">
        <f>IF(A1707="","",SUMPRODUCT((المبيعات!$C$2:$C$2000=A1707)*(المبيعات!$B$2:$B$2000&lt;&gt;"")/COUNTIFS(المبيعات!$B$2:$B$2000,المبيعات!$B$2:$B$2000&amp;"",المبيعات!$C$2:$C$2000,المبيعات!$C$2:$C$2000&amp;"")))</f>
        <v/>
      </c>
      <c r="D1707">
        <f>IF(A1707="","",SUMIFS(المبيعات!$H$2:$H$2000,المبيعات!$C$2:$C$2000,A1707))</f>
        <v/>
      </c>
      <c r="E1707" s="13">
        <f>IF(A1707="","",IF(COUNTIF(المبيعات!$C$2:$C$2000,A1707)=0,"",_xlfn.MAXIFS(المبيعات!$A$2:$A$2000,المبيعات!$C$2:$C$2000,A1707)))</f>
        <v/>
      </c>
      <c r="F1707">
        <f>IF(A1707="","",SUMIFS(المبيعات!$H$2:$H$2000,المبيعات!$C$2:$C$2000,A1707,المبيعات!$J$2:$J$2000,"آجل"))</f>
        <v/>
      </c>
      <c r="G1707" s="4" t="n"/>
      <c r="H1707">
        <f>IF(A1707="","",F1707-G1707)</f>
        <v/>
      </c>
    </row>
    <row r="1708">
      <c r="A1708" s="4" t="n"/>
      <c r="B1708" s="4" t="n"/>
      <c r="C1708">
        <f>IF(A1708="","",SUMPRODUCT((المبيعات!$C$2:$C$2000=A1708)*(المبيعات!$B$2:$B$2000&lt;&gt;"")/COUNTIFS(المبيعات!$B$2:$B$2000,المبيعات!$B$2:$B$2000&amp;"",المبيعات!$C$2:$C$2000,المبيعات!$C$2:$C$2000&amp;"")))</f>
        <v/>
      </c>
      <c r="D1708">
        <f>IF(A1708="","",SUMIFS(المبيعات!$H$2:$H$2000,المبيعات!$C$2:$C$2000,A1708))</f>
        <v/>
      </c>
      <c r="E1708" s="13">
        <f>IF(A1708="","",IF(COUNTIF(المبيعات!$C$2:$C$2000,A1708)=0,"",_xlfn.MAXIFS(المبيعات!$A$2:$A$2000,المبيعات!$C$2:$C$2000,A1708)))</f>
        <v/>
      </c>
      <c r="F1708">
        <f>IF(A1708="","",SUMIFS(المبيعات!$H$2:$H$2000,المبيعات!$C$2:$C$2000,A1708,المبيعات!$J$2:$J$2000,"آجل"))</f>
        <v/>
      </c>
      <c r="G1708" s="4" t="n"/>
      <c r="H1708">
        <f>IF(A1708="","",F1708-G1708)</f>
        <v/>
      </c>
    </row>
    <row r="1709">
      <c r="A1709" s="4" t="n"/>
      <c r="B1709" s="4" t="n"/>
      <c r="C1709">
        <f>IF(A1709="","",SUMPRODUCT((المبيعات!$C$2:$C$2000=A1709)*(المبيعات!$B$2:$B$2000&lt;&gt;"")/COUNTIFS(المبيعات!$B$2:$B$2000,المبيعات!$B$2:$B$2000&amp;"",المبيعات!$C$2:$C$2000,المبيعات!$C$2:$C$2000&amp;"")))</f>
        <v/>
      </c>
      <c r="D1709">
        <f>IF(A1709="","",SUMIFS(المبيعات!$H$2:$H$2000,المبيعات!$C$2:$C$2000,A1709))</f>
        <v/>
      </c>
      <c r="E1709" s="13">
        <f>IF(A1709="","",IF(COUNTIF(المبيعات!$C$2:$C$2000,A1709)=0,"",_xlfn.MAXIFS(المبيعات!$A$2:$A$2000,المبيعات!$C$2:$C$2000,A1709)))</f>
        <v/>
      </c>
      <c r="F1709">
        <f>IF(A1709="","",SUMIFS(المبيعات!$H$2:$H$2000,المبيعات!$C$2:$C$2000,A1709,المبيعات!$J$2:$J$2000,"آجل"))</f>
        <v/>
      </c>
      <c r="G1709" s="4" t="n"/>
      <c r="H1709">
        <f>IF(A1709="","",F1709-G1709)</f>
        <v/>
      </c>
    </row>
    <row r="1710">
      <c r="A1710" s="4" t="n"/>
      <c r="B1710" s="4" t="n"/>
      <c r="C1710">
        <f>IF(A1710="","",SUMPRODUCT((المبيعات!$C$2:$C$2000=A1710)*(المبيعات!$B$2:$B$2000&lt;&gt;"")/COUNTIFS(المبيعات!$B$2:$B$2000,المبيعات!$B$2:$B$2000&amp;"",المبيعات!$C$2:$C$2000,المبيعات!$C$2:$C$2000&amp;"")))</f>
        <v/>
      </c>
      <c r="D1710">
        <f>IF(A1710="","",SUMIFS(المبيعات!$H$2:$H$2000,المبيعات!$C$2:$C$2000,A1710))</f>
        <v/>
      </c>
      <c r="E1710" s="13">
        <f>IF(A1710="","",IF(COUNTIF(المبيعات!$C$2:$C$2000,A1710)=0,"",_xlfn.MAXIFS(المبيعات!$A$2:$A$2000,المبيعات!$C$2:$C$2000,A1710)))</f>
        <v/>
      </c>
      <c r="F1710">
        <f>IF(A1710="","",SUMIFS(المبيعات!$H$2:$H$2000,المبيعات!$C$2:$C$2000,A1710,المبيعات!$J$2:$J$2000,"آجل"))</f>
        <v/>
      </c>
      <c r="G1710" s="4" t="n"/>
      <c r="H1710">
        <f>IF(A1710="","",F1710-G1710)</f>
        <v/>
      </c>
    </row>
    <row r="1711">
      <c r="A1711" s="4" t="n"/>
      <c r="B1711" s="4" t="n"/>
      <c r="C1711">
        <f>IF(A1711="","",SUMPRODUCT((المبيعات!$C$2:$C$2000=A1711)*(المبيعات!$B$2:$B$2000&lt;&gt;"")/COUNTIFS(المبيعات!$B$2:$B$2000,المبيعات!$B$2:$B$2000&amp;"",المبيعات!$C$2:$C$2000,المبيعات!$C$2:$C$2000&amp;"")))</f>
        <v/>
      </c>
      <c r="D1711">
        <f>IF(A1711="","",SUMIFS(المبيعات!$H$2:$H$2000,المبيعات!$C$2:$C$2000,A1711))</f>
        <v/>
      </c>
      <c r="E1711" s="13">
        <f>IF(A1711="","",IF(COUNTIF(المبيعات!$C$2:$C$2000,A1711)=0,"",_xlfn.MAXIFS(المبيعات!$A$2:$A$2000,المبيعات!$C$2:$C$2000,A1711)))</f>
        <v/>
      </c>
      <c r="F1711">
        <f>IF(A1711="","",SUMIFS(المبيعات!$H$2:$H$2000,المبيعات!$C$2:$C$2000,A1711,المبيعات!$J$2:$J$2000,"آجل"))</f>
        <v/>
      </c>
      <c r="G1711" s="4" t="n"/>
      <c r="H1711">
        <f>IF(A1711="","",F1711-G1711)</f>
        <v/>
      </c>
    </row>
    <row r="1712">
      <c r="A1712" s="4" t="n"/>
      <c r="B1712" s="4" t="n"/>
      <c r="C1712">
        <f>IF(A1712="","",SUMPRODUCT((المبيعات!$C$2:$C$2000=A1712)*(المبيعات!$B$2:$B$2000&lt;&gt;"")/COUNTIFS(المبيعات!$B$2:$B$2000,المبيعات!$B$2:$B$2000&amp;"",المبيعات!$C$2:$C$2000,المبيعات!$C$2:$C$2000&amp;"")))</f>
        <v/>
      </c>
      <c r="D1712">
        <f>IF(A1712="","",SUMIFS(المبيعات!$H$2:$H$2000,المبيعات!$C$2:$C$2000,A1712))</f>
        <v/>
      </c>
      <c r="E1712" s="13">
        <f>IF(A1712="","",IF(COUNTIF(المبيعات!$C$2:$C$2000,A1712)=0,"",_xlfn.MAXIFS(المبيعات!$A$2:$A$2000,المبيعات!$C$2:$C$2000,A1712)))</f>
        <v/>
      </c>
      <c r="F1712">
        <f>IF(A1712="","",SUMIFS(المبيعات!$H$2:$H$2000,المبيعات!$C$2:$C$2000,A1712,المبيعات!$J$2:$J$2000,"آجل"))</f>
        <v/>
      </c>
      <c r="G1712" s="4" t="n"/>
      <c r="H1712">
        <f>IF(A1712="","",F1712-G1712)</f>
        <v/>
      </c>
    </row>
    <row r="1713">
      <c r="A1713" s="4" t="n"/>
      <c r="B1713" s="4" t="n"/>
      <c r="C1713">
        <f>IF(A1713="","",SUMPRODUCT((المبيعات!$C$2:$C$2000=A1713)*(المبيعات!$B$2:$B$2000&lt;&gt;"")/COUNTIFS(المبيعات!$B$2:$B$2000,المبيعات!$B$2:$B$2000&amp;"",المبيعات!$C$2:$C$2000,المبيعات!$C$2:$C$2000&amp;"")))</f>
        <v/>
      </c>
      <c r="D1713">
        <f>IF(A1713="","",SUMIFS(المبيعات!$H$2:$H$2000,المبيعات!$C$2:$C$2000,A1713))</f>
        <v/>
      </c>
      <c r="E1713" s="13">
        <f>IF(A1713="","",IF(COUNTIF(المبيعات!$C$2:$C$2000,A1713)=0,"",_xlfn.MAXIFS(المبيعات!$A$2:$A$2000,المبيعات!$C$2:$C$2000,A1713)))</f>
        <v/>
      </c>
      <c r="F1713">
        <f>IF(A1713="","",SUMIFS(المبيعات!$H$2:$H$2000,المبيعات!$C$2:$C$2000,A1713,المبيعات!$J$2:$J$2000,"آجل"))</f>
        <v/>
      </c>
      <c r="G1713" s="4" t="n"/>
      <c r="H1713">
        <f>IF(A1713="","",F1713-G1713)</f>
        <v/>
      </c>
    </row>
    <row r="1714">
      <c r="A1714" s="4" t="n"/>
      <c r="B1714" s="4" t="n"/>
      <c r="C1714">
        <f>IF(A1714="","",SUMPRODUCT((المبيعات!$C$2:$C$2000=A1714)*(المبيعات!$B$2:$B$2000&lt;&gt;"")/COUNTIFS(المبيعات!$B$2:$B$2000,المبيعات!$B$2:$B$2000&amp;"",المبيعات!$C$2:$C$2000,المبيعات!$C$2:$C$2000&amp;"")))</f>
        <v/>
      </c>
      <c r="D1714">
        <f>IF(A1714="","",SUMIFS(المبيعات!$H$2:$H$2000,المبيعات!$C$2:$C$2000,A1714))</f>
        <v/>
      </c>
      <c r="E1714" s="13">
        <f>IF(A1714="","",IF(COUNTIF(المبيعات!$C$2:$C$2000,A1714)=0,"",_xlfn.MAXIFS(المبيعات!$A$2:$A$2000,المبيعات!$C$2:$C$2000,A1714)))</f>
        <v/>
      </c>
      <c r="F1714">
        <f>IF(A1714="","",SUMIFS(المبيعات!$H$2:$H$2000,المبيعات!$C$2:$C$2000,A1714,المبيعات!$J$2:$J$2000,"آجل"))</f>
        <v/>
      </c>
      <c r="G1714" s="4" t="n"/>
      <c r="H1714">
        <f>IF(A1714="","",F1714-G1714)</f>
        <v/>
      </c>
    </row>
    <row r="1715">
      <c r="A1715" s="4" t="n"/>
      <c r="B1715" s="4" t="n"/>
      <c r="C1715">
        <f>IF(A1715="","",SUMPRODUCT((المبيعات!$C$2:$C$2000=A1715)*(المبيعات!$B$2:$B$2000&lt;&gt;"")/COUNTIFS(المبيعات!$B$2:$B$2000,المبيعات!$B$2:$B$2000&amp;"",المبيعات!$C$2:$C$2000,المبيعات!$C$2:$C$2000&amp;"")))</f>
        <v/>
      </c>
      <c r="D1715">
        <f>IF(A1715="","",SUMIFS(المبيعات!$H$2:$H$2000,المبيعات!$C$2:$C$2000,A1715))</f>
        <v/>
      </c>
      <c r="E1715" s="13">
        <f>IF(A1715="","",IF(COUNTIF(المبيعات!$C$2:$C$2000,A1715)=0,"",_xlfn.MAXIFS(المبيعات!$A$2:$A$2000,المبيعات!$C$2:$C$2000,A1715)))</f>
        <v/>
      </c>
      <c r="F1715">
        <f>IF(A1715="","",SUMIFS(المبيعات!$H$2:$H$2000,المبيعات!$C$2:$C$2000,A1715,المبيعات!$J$2:$J$2000,"آجل"))</f>
        <v/>
      </c>
      <c r="G1715" s="4" t="n"/>
      <c r="H1715">
        <f>IF(A1715="","",F1715-G1715)</f>
        <v/>
      </c>
    </row>
    <row r="1716">
      <c r="A1716" s="4" t="n"/>
      <c r="B1716" s="4" t="n"/>
      <c r="C1716">
        <f>IF(A1716="","",SUMPRODUCT((المبيعات!$C$2:$C$2000=A1716)*(المبيعات!$B$2:$B$2000&lt;&gt;"")/COUNTIFS(المبيعات!$B$2:$B$2000,المبيعات!$B$2:$B$2000&amp;"",المبيعات!$C$2:$C$2000,المبيعات!$C$2:$C$2000&amp;"")))</f>
        <v/>
      </c>
      <c r="D1716">
        <f>IF(A1716="","",SUMIFS(المبيعات!$H$2:$H$2000,المبيعات!$C$2:$C$2000,A1716))</f>
        <v/>
      </c>
      <c r="E1716" s="13">
        <f>IF(A1716="","",IF(COUNTIF(المبيعات!$C$2:$C$2000,A1716)=0,"",_xlfn.MAXIFS(المبيعات!$A$2:$A$2000,المبيعات!$C$2:$C$2000,A1716)))</f>
        <v/>
      </c>
      <c r="F1716">
        <f>IF(A1716="","",SUMIFS(المبيعات!$H$2:$H$2000,المبيعات!$C$2:$C$2000,A1716,المبيعات!$J$2:$J$2000,"آجل"))</f>
        <v/>
      </c>
      <c r="G1716" s="4" t="n"/>
      <c r="H1716">
        <f>IF(A1716="","",F1716-G1716)</f>
        <v/>
      </c>
    </row>
    <row r="1717">
      <c r="A1717" s="4" t="n"/>
      <c r="B1717" s="4" t="n"/>
      <c r="C1717">
        <f>IF(A1717="","",SUMPRODUCT((المبيعات!$C$2:$C$2000=A1717)*(المبيعات!$B$2:$B$2000&lt;&gt;"")/COUNTIFS(المبيعات!$B$2:$B$2000,المبيعات!$B$2:$B$2000&amp;"",المبيعات!$C$2:$C$2000,المبيعات!$C$2:$C$2000&amp;"")))</f>
        <v/>
      </c>
      <c r="D1717">
        <f>IF(A1717="","",SUMIFS(المبيعات!$H$2:$H$2000,المبيعات!$C$2:$C$2000,A1717))</f>
        <v/>
      </c>
      <c r="E1717" s="13">
        <f>IF(A1717="","",IF(COUNTIF(المبيعات!$C$2:$C$2000,A1717)=0,"",_xlfn.MAXIFS(المبيعات!$A$2:$A$2000,المبيعات!$C$2:$C$2000,A1717)))</f>
        <v/>
      </c>
      <c r="F1717">
        <f>IF(A1717="","",SUMIFS(المبيعات!$H$2:$H$2000,المبيعات!$C$2:$C$2000,A1717,المبيعات!$J$2:$J$2000,"آجل"))</f>
        <v/>
      </c>
      <c r="G1717" s="4" t="n"/>
      <c r="H1717">
        <f>IF(A1717="","",F1717-G1717)</f>
        <v/>
      </c>
    </row>
    <row r="1718">
      <c r="A1718" s="4" t="n"/>
      <c r="B1718" s="4" t="n"/>
      <c r="C1718">
        <f>IF(A1718="","",SUMPRODUCT((المبيعات!$C$2:$C$2000=A1718)*(المبيعات!$B$2:$B$2000&lt;&gt;"")/COUNTIFS(المبيعات!$B$2:$B$2000,المبيعات!$B$2:$B$2000&amp;"",المبيعات!$C$2:$C$2000,المبيعات!$C$2:$C$2000&amp;"")))</f>
        <v/>
      </c>
      <c r="D1718">
        <f>IF(A1718="","",SUMIFS(المبيعات!$H$2:$H$2000,المبيعات!$C$2:$C$2000,A1718))</f>
        <v/>
      </c>
      <c r="E1718" s="13">
        <f>IF(A1718="","",IF(COUNTIF(المبيعات!$C$2:$C$2000,A1718)=0,"",_xlfn.MAXIFS(المبيعات!$A$2:$A$2000,المبيعات!$C$2:$C$2000,A1718)))</f>
        <v/>
      </c>
      <c r="F1718">
        <f>IF(A1718="","",SUMIFS(المبيعات!$H$2:$H$2000,المبيعات!$C$2:$C$2000,A1718,المبيعات!$J$2:$J$2000,"آجل"))</f>
        <v/>
      </c>
      <c r="G1718" s="4" t="n"/>
      <c r="H1718">
        <f>IF(A1718="","",F1718-G1718)</f>
        <v/>
      </c>
    </row>
    <row r="1719">
      <c r="A1719" s="4" t="n"/>
      <c r="B1719" s="4" t="n"/>
      <c r="C1719">
        <f>IF(A1719="","",SUMPRODUCT((المبيعات!$C$2:$C$2000=A1719)*(المبيعات!$B$2:$B$2000&lt;&gt;"")/COUNTIFS(المبيعات!$B$2:$B$2000,المبيعات!$B$2:$B$2000&amp;"",المبيعات!$C$2:$C$2000,المبيعات!$C$2:$C$2000&amp;"")))</f>
        <v/>
      </c>
      <c r="D1719">
        <f>IF(A1719="","",SUMIFS(المبيعات!$H$2:$H$2000,المبيعات!$C$2:$C$2000,A1719))</f>
        <v/>
      </c>
      <c r="E1719" s="13">
        <f>IF(A1719="","",IF(COUNTIF(المبيعات!$C$2:$C$2000,A1719)=0,"",_xlfn.MAXIFS(المبيعات!$A$2:$A$2000,المبيعات!$C$2:$C$2000,A1719)))</f>
        <v/>
      </c>
      <c r="F1719">
        <f>IF(A1719="","",SUMIFS(المبيعات!$H$2:$H$2000,المبيعات!$C$2:$C$2000,A1719,المبيعات!$J$2:$J$2000,"آجل"))</f>
        <v/>
      </c>
      <c r="G1719" s="4" t="n"/>
      <c r="H1719">
        <f>IF(A1719="","",F1719-G1719)</f>
        <v/>
      </c>
    </row>
    <row r="1720">
      <c r="A1720" s="4" t="n"/>
      <c r="B1720" s="4" t="n"/>
      <c r="C1720">
        <f>IF(A1720="","",SUMPRODUCT((المبيعات!$C$2:$C$2000=A1720)*(المبيعات!$B$2:$B$2000&lt;&gt;"")/COUNTIFS(المبيعات!$B$2:$B$2000,المبيعات!$B$2:$B$2000&amp;"",المبيعات!$C$2:$C$2000,المبيعات!$C$2:$C$2000&amp;"")))</f>
        <v/>
      </c>
      <c r="D1720">
        <f>IF(A1720="","",SUMIFS(المبيعات!$H$2:$H$2000,المبيعات!$C$2:$C$2000,A1720))</f>
        <v/>
      </c>
      <c r="E1720" s="13">
        <f>IF(A1720="","",IF(COUNTIF(المبيعات!$C$2:$C$2000,A1720)=0,"",_xlfn.MAXIFS(المبيعات!$A$2:$A$2000,المبيعات!$C$2:$C$2000,A1720)))</f>
        <v/>
      </c>
      <c r="F1720">
        <f>IF(A1720="","",SUMIFS(المبيعات!$H$2:$H$2000,المبيعات!$C$2:$C$2000,A1720,المبيعات!$J$2:$J$2000,"آجل"))</f>
        <v/>
      </c>
      <c r="G1720" s="4" t="n"/>
      <c r="H1720">
        <f>IF(A1720="","",F1720-G1720)</f>
        <v/>
      </c>
    </row>
    <row r="1721">
      <c r="A1721" s="4" t="n"/>
      <c r="B1721" s="4" t="n"/>
      <c r="C1721">
        <f>IF(A1721="","",SUMPRODUCT((المبيعات!$C$2:$C$2000=A1721)*(المبيعات!$B$2:$B$2000&lt;&gt;"")/COUNTIFS(المبيعات!$B$2:$B$2000,المبيعات!$B$2:$B$2000&amp;"",المبيعات!$C$2:$C$2000,المبيعات!$C$2:$C$2000&amp;"")))</f>
        <v/>
      </c>
      <c r="D1721">
        <f>IF(A1721="","",SUMIFS(المبيعات!$H$2:$H$2000,المبيعات!$C$2:$C$2000,A1721))</f>
        <v/>
      </c>
      <c r="E1721" s="13">
        <f>IF(A1721="","",IF(COUNTIF(المبيعات!$C$2:$C$2000,A1721)=0,"",_xlfn.MAXIFS(المبيعات!$A$2:$A$2000,المبيعات!$C$2:$C$2000,A1721)))</f>
        <v/>
      </c>
      <c r="F1721">
        <f>IF(A1721="","",SUMIFS(المبيعات!$H$2:$H$2000,المبيعات!$C$2:$C$2000,A1721,المبيعات!$J$2:$J$2000,"آجل"))</f>
        <v/>
      </c>
      <c r="G1721" s="4" t="n"/>
      <c r="H1721">
        <f>IF(A1721="","",F1721-G1721)</f>
        <v/>
      </c>
    </row>
    <row r="1722">
      <c r="A1722" s="4" t="n"/>
      <c r="B1722" s="4" t="n"/>
      <c r="C1722">
        <f>IF(A1722="","",SUMPRODUCT((المبيعات!$C$2:$C$2000=A1722)*(المبيعات!$B$2:$B$2000&lt;&gt;"")/COUNTIFS(المبيعات!$B$2:$B$2000,المبيعات!$B$2:$B$2000&amp;"",المبيعات!$C$2:$C$2000,المبيعات!$C$2:$C$2000&amp;"")))</f>
        <v/>
      </c>
      <c r="D1722">
        <f>IF(A1722="","",SUMIFS(المبيعات!$H$2:$H$2000,المبيعات!$C$2:$C$2000,A1722))</f>
        <v/>
      </c>
      <c r="E1722" s="13">
        <f>IF(A1722="","",IF(COUNTIF(المبيعات!$C$2:$C$2000,A1722)=0,"",_xlfn.MAXIFS(المبيعات!$A$2:$A$2000,المبيعات!$C$2:$C$2000,A1722)))</f>
        <v/>
      </c>
      <c r="F1722">
        <f>IF(A1722="","",SUMIFS(المبيعات!$H$2:$H$2000,المبيعات!$C$2:$C$2000,A1722,المبيعات!$J$2:$J$2000,"آجل"))</f>
        <v/>
      </c>
      <c r="G1722" s="4" t="n"/>
      <c r="H1722">
        <f>IF(A1722="","",F1722-G1722)</f>
        <v/>
      </c>
    </row>
    <row r="1723">
      <c r="A1723" s="4" t="n"/>
      <c r="B1723" s="4" t="n"/>
      <c r="C1723">
        <f>IF(A1723="","",SUMPRODUCT((المبيعات!$C$2:$C$2000=A1723)*(المبيعات!$B$2:$B$2000&lt;&gt;"")/COUNTIFS(المبيعات!$B$2:$B$2000,المبيعات!$B$2:$B$2000&amp;"",المبيعات!$C$2:$C$2000,المبيعات!$C$2:$C$2000&amp;"")))</f>
        <v/>
      </c>
      <c r="D1723">
        <f>IF(A1723="","",SUMIFS(المبيعات!$H$2:$H$2000,المبيعات!$C$2:$C$2000,A1723))</f>
        <v/>
      </c>
      <c r="E1723" s="13">
        <f>IF(A1723="","",IF(COUNTIF(المبيعات!$C$2:$C$2000,A1723)=0,"",_xlfn.MAXIFS(المبيعات!$A$2:$A$2000,المبيعات!$C$2:$C$2000,A1723)))</f>
        <v/>
      </c>
      <c r="F1723">
        <f>IF(A1723="","",SUMIFS(المبيعات!$H$2:$H$2000,المبيعات!$C$2:$C$2000,A1723,المبيعات!$J$2:$J$2000,"آجل"))</f>
        <v/>
      </c>
      <c r="G1723" s="4" t="n"/>
      <c r="H1723">
        <f>IF(A1723="","",F1723-G1723)</f>
        <v/>
      </c>
    </row>
    <row r="1724">
      <c r="A1724" s="4" t="n"/>
      <c r="B1724" s="4" t="n"/>
      <c r="C1724">
        <f>IF(A1724="","",SUMPRODUCT((المبيعات!$C$2:$C$2000=A1724)*(المبيعات!$B$2:$B$2000&lt;&gt;"")/COUNTIFS(المبيعات!$B$2:$B$2000,المبيعات!$B$2:$B$2000&amp;"",المبيعات!$C$2:$C$2000,المبيعات!$C$2:$C$2000&amp;"")))</f>
        <v/>
      </c>
      <c r="D1724">
        <f>IF(A1724="","",SUMIFS(المبيعات!$H$2:$H$2000,المبيعات!$C$2:$C$2000,A1724))</f>
        <v/>
      </c>
      <c r="E1724" s="13">
        <f>IF(A1724="","",IF(COUNTIF(المبيعات!$C$2:$C$2000,A1724)=0,"",_xlfn.MAXIFS(المبيعات!$A$2:$A$2000,المبيعات!$C$2:$C$2000,A1724)))</f>
        <v/>
      </c>
      <c r="F1724">
        <f>IF(A1724="","",SUMIFS(المبيعات!$H$2:$H$2000,المبيعات!$C$2:$C$2000,A1724,المبيعات!$J$2:$J$2000,"آجل"))</f>
        <v/>
      </c>
      <c r="G1724" s="4" t="n"/>
      <c r="H1724">
        <f>IF(A1724="","",F1724-G1724)</f>
        <v/>
      </c>
    </row>
    <row r="1725">
      <c r="A1725" s="4" t="n"/>
      <c r="B1725" s="4" t="n"/>
      <c r="C1725">
        <f>IF(A1725="","",SUMPRODUCT((المبيعات!$C$2:$C$2000=A1725)*(المبيعات!$B$2:$B$2000&lt;&gt;"")/COUNTIFS(المبيعات!$B$2:$B$2000,المبيعات!$B$2:$B$2000&amp;"",المبيعات!$C$2:$C$2000,المبيعات!$C$2:$C$2000&amp;"")))</f>
        <v/>
      </c>
      <c r="D1725">
        <f>IF(A1725="","",SUMIFS(المبيعات!$H$2:$H$2000,المبيعات!$C$2:$C$2000,A1725))</f>
        <v/>
      </c>
      <c r="E1725" s="13">
        <f>IF(A1725="","",IF(COUNTIF(المبيعات!$C$2:$C$2000,A1725)=0,"",_xlfn.MAXIFS(المبيعات!$A$2:$A$2000,المبيعات!$C$2:$C$2000,A1725)))</f>
        <v/>
      </c>
      <c r="F1725">
        <f>IF(A1725="","",SUMIFS(المبيعات!$H$2:$H$2000,المبيعات!$C$2:$C$2000,A1725,المبيعات!$J$2:$J$2000,"آجل"))</f>
        <v/>
      </c>
      <c r="G1725" s="4" t="n"/>
      <c r="H1725">
        <f>IF(A1725="","",F1725-G1725)</f>
        <v/>
      </c>
    </row>
    <row r="1726">
      <c r="A1726" s="4" t="n"/>
      <c r="B1726" s="4" t="n"/>
      <c r="C1726">
        <f>IF(A1726="","",SUMPRODUCT((المبيعات!$C$2:$C$2000=A1726)*(المبيعات!$B$2:$B$2000&lt;&gt;"")/COUNTIFS(المبيعات!$B$2:$B$2000,المبيعات!$B$2:$B$2000&amp;"",المبيعات!$C$2:$C$2000,المبيعات!$C$2:$C$2000&amp;"")))</f>
        <v/>
      </c>
      <c r="D1726">
        <f>IF(A1726="","",SUMIFS(المبيعات!$H$2:$H$2000,المبيعات!$C$2:$C$2000,A1726))</f>
        <v/>
      </c>
      <c r="E1726" s="13">
        <f>IF(A1726="","",IF(COUNTIF(المبيعات!$C$2:$C$2000,A1726)=0,"",_xlfn.MAXIFS(المبيعات!$A$2:$A$2000,المبيعات!$C$2:$C$2000,A1726)))</f>
        <v/>
      </c>
      <c r="F1726">
        <f>IF(A1726="","",SUMIFS(المبيعات!$H$2:$H$2000,المبيعات!$C$2:$C$2000,A1726,المبيعات!$J$2:$J$2000,"آجل"))</f>
        <v/>
      </c>
      <c r="G1726" s="4" t="n"/>
      <c r="H1726">
        <f>IF(A1726="","",F1726-G1726)</f>
        <v/>
      </c>
    </row>
    <row r="1727">
      <c r="A1727" s="4" t="n"/>
      <c r="B1727" s="4" t="n"/>
      <c r="C1727">
        <f>IF(A1727="","",SUMPRODUCT((المبيعات!$C$2:$C$2000=A1727)*(المبيعات!$B$2:$B$2000&lt;&gt;"")/COUNTIFS(المبيعات!$B$2:$B$2000,المبيعات!$B$2:$B$2000&amp;"",المبيعات!$C$2:$C$2000,المبيعات!$C$2:$C$2000&amp;"")))</f>
        <v/>
      </c>
      <c r="D1727">
        <f>IF(A1727="","",SUMIFS(المبيعات!$H$2:$H$2000,المبيعات!$C$2:$C$2000,A1727))</f>
        <v/>
      </c>
      <c r="E1727" s="13">
        <f>IF(A1727="","",IF(COUNTIF(المبيعات!$C$2:$C$2000,A1727)=0,"",_xlfn.MAXIFS(المبيعات!$A$2:$A$2000,المبيعات!$C$2:$C$2000,A1727)))</f>
        <v/>
      </c>
      <c r="F1727">
        <f>IF(A1727="","",SUMIFS(المبيعات!$H$2:$H$2000,المبيعات!$C$2:$C$2000,A1727,المبيعات!$J$2:$J$2000,"آجل"))</f>
        <v/>
      </c>
      <c r="G1727" s="4" t="n"/>
      <c r="H1727">
        <f>IF(A1727="","",F1727-G1727)</f>
        <v/>
      </c>
    </row>
    <row r="1728">
      <c r="A1728" s="4" t="n"/>
      <c r="B1728" s="4" t="n"/>
      <c r="C1728">
        <f>IF(A1728="","",SUMPRODUCT((المبيعات!$C$2:$C$2000=A1728)*(المبيعات!$B$2:$B$2000&lt;&gt;"")/COUNTIFS(المبيعات!$B$2:$B$2000,المبيعات!$B$2:$B$2000&amp;"",المبيعات!$C$2:$C$2000,المبيعات!$C$2:$C$2000&amp;"")))</f>
        <v/>
      </c>
      <c r="D1728">
        <f>IF(A1728="","",SUMIFS(المبيعات!$H$2:$H$2000,المبيعات!$C$2:$C$2000,A1728))</f>
        <v/>
      </c>
      <c r="E1728" s="13">
        <f>IF(A1728="","",IF(COUNTIF(المبيعات!$C$2:$C$2000,A1728)=0,"",_xlfn.MAXIFS(المبيعات!$A$2:$A$2000,المبيعات!$C$2:$C$2000,A1728)))</f>
        <v/>
      </c>
      <c r="F1728">
        <f>IF(A1728="","",SUMIFS(المبيعات!$H$2:$H$2000,المبيعات!$C$2:$C$2000,A1728,المبيعات!$J$2:$J$2000,"آجل"))</f>
        <v/>
      </c>
      <c r="G1728" s="4" t="n"/>
      <c r="H1728">
        <f>IF(A1728="","",F1728-G1728)</f>
        <v/>
      </c>
    </row>
    <row r="1729">
      <c r="A1729" s="4" t="n"/>
      <c r="B1729" s="4" t="n"/>
      <c r="C1729">
        <f>IF(A1729="","",SUMPRODUCT((المبيعات!$C$2:$C$2000=A1729)*(المبيعات!$B$2:$B$2000&lt;&gt;"")/COUNTIFS(المبيعات!$B$2:$B$2000,المبيعات!$B$2:$B$2000&amp;"",المبيعات!$C$2:$C$2000,المبيعات!$C$2:$C$2000&amp;"")))</f>
        <v/>
      </c>
      <c r="D1729">
        <f>IF(A1729="","",SUMIFS(المبيعات!$H$2:$H$2000,المبيعات!$C$2:$C$2000,A1729))</f>
        <v/>
      </c>
      <c r="E1729" s="13">
        <f>IF(A1729="","",IF(COUNTIF(المبيعات!$C$2:$C$2000,A1729)=0,"",_xlfn.MAXIFS(المبيعات!$A$2:$A$2000,المبيعات!$C$2:$C$2000,A1729)))</f>
        <v/>
      </c>
      <c r="F1729">
        <f>IF(A1729="","",SUMIFS(المبيعات!$H$2:$H$2000,المبيعات!$C$2:$C$2000,A1729,المبيعات!$J$2:$J$2000,"آجل"))</f>
        <v/>
      </c>
      <c r="G1729" s="4" t="n"/>
      <c r="H1729">
        <f>IF(A1729="","",F1729-G1729)</f>
        <v/>
      </c>
    </row>
    <row r="1730">
      <c r="A1730" s="4" t="n"/>
      <c r="B1730" s="4" t="n"/>
      <c r="C1730">
        <f>IF(A1730="","",SUMPRODUCT((المبيعات!$C$2:$C$2000=A1730)*(المبيعات!$B$2:$B$2000&lt;&gt;"")/COUNTIFS(المبيعات!$B$2:$B$2000,المبيعات!$B$2:$B$2000&amp;"",المبيعات!$C$2:$C$2000,المبيعات!$C$2:$C$2000&amp;"")))</f>
        <v/>
      </c>
      <c r="D1730">
        <f>IF(A1730="","",SUMIFS(المبيعات!$H$2:$H$2000,المبيعات!$C$2:$C$2000,A1730))</f>
        <v/>
      </c>
      <c r="E1730" s="13">
        <f>IF(A1730="","",IF(COUNTIF(المبيعات!$C$2:$C$2000,A1730)=0,"",_xlfn.MAXIFS(المبيعات!$A$2:$A$2000,المبيعات!$C$2:$C$2000,A1730)))</f>
        <v/>
      </c>
      <c r="F1730">
        <f>IF(A1730="","",SUMIFS(المبيعات!$H$2:$H$2000,المبيعات!$C$2:$C$2000,A1730,المبيعات!$J$2:$J$2000,"آجل"))</f>
        <v/>
      </c>
      <c r="G1730" s="4" t="n"/>
      <c r="H1730">
        <f>IF(A1730="","",F1730-G1730)</f>
        <v/>
      </c>
    </row>
    <row r="1731">
      <c r="A1731" s="4" t="n"/>
      <c r="B1731" s="4" t="n"/>
      <c r="C1731">
        <f>IF(A1731="","",SUMPRODUCT((المبيعات!$C$2:$C$2000=A1731)*(المبيعات!$B$2:$B$2000&lt;&gt;"")/COUNTIFS(المبيعات!$B$2:$B$2000,المبيعات!$B$2:$B$2000&amp;"",المبيعات!$C$2:$C$2000,المبيعات!$C$2:$C$2000&amp;"")))</f>
        <v/>
      </c>
      <c r="D1731">
        <f>IF(A1731="","",SUMIFS(المبيعات!$H$2:$H$2000,المبيعات!$C$2:$C$2000,A1731))</f>
        <v/>
      </c>
      <c r="E1731" s="13">
        <f>IF(A1731="","",IF(COUNTIF(المبيعات!$C$2:$C$2000,A1731)=0,"",_xlfn.MAXIFS(المبيعات!$A$2:$A$2000,المبيعات!$C$2:$C$2000,A1731)))</f>
        <v/>
      </c>
      <c r="F1731">
        <f>IF(A1731="","",SUMIFS(المبيعات!$H$2:$H$2000,المبيعات!$C$2:$C$2000,A1731,المبيعات!$J$2:$J$2000,"آجل"))</f>
        <v/>
      </c>
      <c r="G1731" s="4" t="n"/>
      <c r="H1731">
        <f>IF(A1731="","",F1731-G1731)</f>
        <v/>
      </c>
    </row>
    <row r="1732">
      <c r="A1732" s="4" t="n"/>
      <c r="B1732" s="4" t="n"/>
      <c r="C1732">
        <f>IF(A1732="","",SUMPRODUCT((المبيعات!$C$2:$C$2000=A1732)*(المبيعات!$B$2:$B$2000&lt;&gt;"")/COUNTIFS(المبيعات!$B$2:$B$2000,المبيعات!$B$2:$B$2000&amp;"",المبيعات!$C$2:$C$2000,المبيعات!$C$2:$C$2000&amp;"")))</f>
        <v/>
      </c>
      <c r="D1732">
        <f>IF(A1732="","",SUMIFS(المبيعات!$H$2:$H$2000,المبيعات!$C$2:$C$2000,A1732))</f>
        <v/>
      </c>
      <c r="E1732" s="13">
        <f>IF(A1732="","",IF(COUNTIF(المبيعات!$C$2:$C$2000,A1732)=0,"",_xlfn.MAXIFS(المبيعات!$A$2:$A$2000,المبيعات!$C$2:$C$2000,A1732)))</f>
        <v/>
      </c>
      <c r="F1732">
        <f>IF(A1732="","",SUMIFS(المبيعات!$H$2:$H$2000,المبيعات!$C$2:$C$2000,A1732,المبيعات!$J$2:$J$2000,"آجل"))</f>
        <v/>
      </c>
      <c r="G1732" s="4" t="n"/>
      <c r="H1732">
        <f>IF(A1732="","",F1732-G1732)</f>
        <v/>
      </c>
    </row>
    <row r="1733">
      <c r="A1733" s="4" t="n"/>
      <c r="B1733" s="4" t="n"/>
      <c r="C1733">
        <f>IF(A1733="","",SUMPRODUCT((المبيعات!$C$2:$C$2000=A1733)*(المبيعات!$B$2:$B$2000&lt;&gt;"")/COUNTIFS(المبيعات!$B$2:$B$2000,المبيعات!$B$2:$B$2000&amp;"",المبيعات!$C$2:$C$2000,المبيعات!$C$2:$C$2000&amp;"")))</f>
        <v/>
      </c>
      <c r="D1733">
        <f>IF(A1733="","",SUMIFS(المبيعات!$H$2:$H$2000,المبيعات!$C$2:$C$2000,A1733))</f>
        <v/>
      </c>
      <c r="E1733" s="13">
        <f>IF(A1733="","",IF(COUNTIF(المبيعات!$C$2:$C$2000,A1733)=0,"",_xlfn.MAXIFS(المبيعات!$A$2:$A$2000,المبيعات!$C$2:$C$2000,A1733)))</f>
        <v/>
      </c>
      <c r="F1733">
        <f>IF(A1733="","",SUMIFS(المبيعات!$H$2:$H$2000,المبيعات!$C$2:$C$2000,A1733,المبيعات!$J$2:$J$2000,"آجل"))</f>
        <v/>
      </c>
      <c r="G1733" s="4" t="n"/>
      <c r="H1733">
        <f>IF(A1733="","",F1733-G1733)</f>
        <v/>
      </c>
    </row>
    <row r="1734">
      <c r="A1734" s="4" t="n"/>
      <c r="B1734" s="4" t="n"/>
      <c r="C1734">
        <f>IF(A1734="","",SUMPRODUCT((المبيعات!$C$2:$C$2000=A1734)*(المبيعات!$B$2:$B$2000&lt;&gt;"")/COUNTIFS(المبيعات!$B$2:$B$2000,المبيعات!$B$2:$B$2000&amp;"",المبيعات!$C$2:$C$2000,المبيعات!$C$2:$C$2000&amp;"")))</f>
        <v/>
      </c>
      <c r="D1734">
        <f>IF(A1734="","",SUMIFS(المبيعات!$H$2:$H$2000,المبيعات!$C$2:$C$2000,A1734))</f>
        <v/>
      </c>
      <c r="E1734" s="13">
        <f>IF(A1734="","",IF(COUNTIF(المبيعات!$C$2:$C$2000,A1734)=0,"",_xlfn.MAXIFS(المبيعات!$A$2:$A$2000,المبيعات!$C$2:$C$2000,A1734)))</f>
        <v/>
      </c>
      <c r="F1734">
        <f>IF(A1734="","",SUMIFS(المبيعات!$H$2:$H$2000,المبيعات!$C$2:$C$2000,A1734,المبيعات!$J$2:$J$2000,"آجل"))</f>
        <v/>
      </c>
      <c r="G1734" s="4" t="n"/>
      <c r="H1734">
        <f>IF(A1734="","",F1734-G1734)</f>
        <v/>
      </c>
    </row>
    <row r="1735">
      <c r="A1735" s="4" t="n"/>
      <c r="B1735" s="4" t="n"/>
      <c r="C1735">
        <f>IF(A1735="","",SUMPRODUCT((المبيعات!$C$2:$C$2000=A1735)*(المبيعات!$B$2:$B$2000&lt;&gt;"")/COUNTIFS(المبيعات!$B$2:$B$2000,المبيعات!$B$2:$B$2000&amp;"",المبيعات!$C$2:$C$2000,المبيعات!$C$2:$C$2000&amp;"")))</f>
        <v/>
      </c>
      <c r="D1735">
        <f>IF(A1735="","",SUMIFS(المبيعات!$H$2:$H$2000,المبيعات!$C$2:$C$2000,A1735))</f>
        <v/>
      </c>
      <c r="E1735" s="13">
        <f>IF(A1735="","",IF(COUNTIF(المبيعات!$C$2:$C$2000,A1735)=0,"",_xlfn.MAXIFS(المبيعات!$A$2:$A$2000,المبيعات!$C$2:$C$2000,A1735)))</f>
        <v/>
      </c>
      <c r="F1735">
        <f>IF(A1735="","",SUMIFS(المبيعات!$H$2:$H$2000,المبيعات!$C$2:$C$2000,A1735,المبيعات!$J$2:$J$2000,"آجل"))</f>
        <v/>
      </c>
      <c r="G1735" s="4" t="n"/>
      <c r="H1735">
        <f>IF(A1735="","",F1735-G1735)</f>
        <v/>
      </c>
    </row>
    <row r="1736">
      <c r="A1736" s="4" t="n"/>
      <c r="B1736" s="4" t="n"/>
      <c r="C1736">
        <f>IF(A1736="","",SUMPRODUCT((المبيعات!$C$2:$C$2000=A1736)*(المبيعات!$B$2:$B$2000&lt;&gt;"")/COUNTIFS(المبيعات!$B$2:$B$2000,المبيعات!$B$2:$B$2000&amp;"",المبيعات!$C$2:$C$2000,المبيعات!$C$2:$C$2000&amp;"")))</f>
        <v/>
      </c>
      <c r="D1736">
        <f>IF(A1736="","",SUMIFS(المبيعات!$H$2:$H$2000,المبيعات!$C$2:$C$2000,A1736))</f>
        <v/>
      </c>
      <c r="E1736" s="13">
        <f>IF(A1736="","",IF(COUNTIF(المبيعات!$C$2:$C$2000,A1736)=0,"",_xlfn.MAXIFS(المبيعات!$A$2:$A$2000,المبيعات!$C$2:$C$2000,A1736)))</f>
        <v/>
      </c>
      <c r="F1736">
        <f>IF(A1736="","",SUMIFS(المبيعات!$H$2:$H$2000,المبيعات!$C$2:$C$2000,A1736,المبيعات!$J$2:$J$2000,"آجل"))</f>
        <v/>
      </c>
      <c r="G1736" s="4" t="n"/>
      <c r="H1736">
        <f>IF(A1736="","",F1736-G1736)</f>
        <v/>
      </c>
    </row>
    <row r="1737">
      <c r="A1737" s="4" t="n"/>
      <c r="B1737" s="4" t="n"/>
      <c r="C1737">
        <f>IF(A1737="","",SUMPRODUCT((المبيعات!$C$2:$C$2000=A1737)*(المبيعات!$B$2:$B$2000&lt;&gt;"")/COUNTIFS(المبيعات!$B$2:$B$2000,المبيعات!$B$2:$B$2000&amp;"",المبيعات!$C$2:$C$2000,المبيعات!$C$2:$C$2000&amp;"")))</f>
        <v/>
      </c>
      <c r="D1737">
        <f>IF(A1737="","",SUMIFS(المبيعات!$H$2:$H$2000,المبيعات!$C$2:$C$2000,A1737))</f>
        <v/>
      </c>
      <c r="E1737" s="13">
        <f>IF(A1737="","",IF(COUNTIF(المبيعات!$C$2:$C$2000,A1737)=0,"",_xlfn.MAXIFS(المبيعات!$A$2:$A$2000,المبيعات!$C$2:$C$2000,A1737)))</f>
        <v/>
      </c>
      <c r="F1737">
        <f>IF(A1737="","",SUMIFS(المبيعات!$H$2:$H$2000,المبيعات!$C$2:$C$2000,A1737,المبيعات!$J$2:$J$2000,"آجل"))</f>
        <v/>
      </c>
      <c r="G1737" s="4" t="n"/>
      <c r="H1737">
        <f>IF(A1737="","",F1737-G1737)</f>
        <v/>
      </c>
    </row>
    <row r="1738">
      <c r="A1738" s="4" t="n"/>
      <c r="B1738" s="4" t="n"/>
      <c r="C1738">
        <f>IF(A1738="","",SUMPRODUCT((المبيعات!$C$2:$C$2000=A1738)*(المبيعات!$B$2:$B$2000&lt;&gt;"")/COUNTIFS(المبيعات!$B$2:$B$2000,المبيعات!$B$2:$B$2000&amp;"",المبيعات!$C$2:$C$2000,المبيعات!$C$2:$C$2000&amp;"")))</f>
        <v/>
      </c>
      <c r="D1738">
        <f>IF(A1738="","",SUMIFS(المبيعات!$H$2:$H$2000,المبيعات!$C$2:$C$2000,A1738))</f>
        <v/>
      </c>
      <c r="E1738" s="13">
        <f>IF(A1738="","",IF(COUNTIF(المبيعات!$C$2:$C$2000,A1738)=0,"",_xlfn.MAXIFS(المبيعات!$A$2:$A$2000,المبيعات!$C$2:$C$2000,A1738)))</f>
        <v/>
      </c>
      <c r="F1738">
        <f>IF(A1738="","",SUMIFS(المبيعات!$H$2:$H$2000,المبيعات!$C$2:$C$2000,A1738,المبيعات!$J$2:$J$2000,"آجل"))</f>
        <v/>
      </c>
      <c r="G1738" s="4" t="n"/>
      <c r="H1738">
        <f>IF(A1738="","",F1738-G1738)</f>
        <v/>
      </c>
    </row>
    <row r="1739">
      <c r="A1739" s="4" t="n"/>
      <c r="B1739" s="4" t="n"/>
      <c r="C1739">
        <f>IF(A1739="","",SUMPRODUCT((المبيعات!$C$2:$C$2000=A1739)*(المبيعات!$B$2:$B$2000&lt;&gt;"")/COUNTIFS(المبيعات!$B$2:$B$2000,المبيعات!$B$2:$B$2000&amp;"",المبيعات!$C$2:$C$2000,المبيعات!$C$2:$C$2000&amp;"")))</f>
        <v/>
      </c>
      <c r="D1739">
        <f>IF(A1739="","",SUMIFS(المبيعات!$H$2:$H$2000,المبيعات!$C$2:$C$2000,A1739))</f>
        <v/>
      </c>
      <c r="E1739" s="13">
        <f>IF(A1739="","",IF(COUNTIF(المبيعات!$C$2:$C$2000,A1739)=0,"",_xlfn.MAXIFS(المبيعات!$A$2:$A$2000,المبيعات!$C$2:$C$2000,A1739)))</f>
        <v/>
      </c>
      <c r="F1739">
        <f>IF(A1739="","",SUMIFS(المبيعات!$H$2:$H$2000,المبيعات!$C$2:$C$2000,A1739,المبيعات!$J$2:$J$2000,"آجل"))</f>
        <v/>
      </c>
      <c r="G1739" s="4" t="n"/>
      <c r="H1739">
        <f>IF(A1739="","",F1739-G1739)</f>
        <v/>
      </c>
    </row>
    <row r="1740">
      <c r="A1740" s="4" t="n"/>
      <c r="B1740" s="4" t="n"/>
      <c r="C1740">
        <f>IF(A1740="","",SUMPRODUCT((المبيعات!$C$2:$C$2000=A1740)*(المبيعات!$B$2:$B$2000&lt;&gt;"")/COUNTIFS(المبيعات!$B$2:$B$2000,المبيعات!$B$2:$B$2000&amp;"",المبيعات!$C$2:$C$2000,المبيعات!$C$2:$C$2000&amp;"")))</f>
        <v/>
      </c>
      <c r="D1740">
        <f>IF(A1740="","",SUMIFS(المبيعات!$H$2:$H$2000,المبيعات!$C$2:$C$2000,A1740))</f>
        <v/>
      </c>
      <c r="E1740" s="13">
        <f>IF(A1740="","",IF(COUNTIF(المبيعات!$C$2:$C$2000,A1740)=0,"",_xlfn.MAXIFS(المبيعات!$A$2:$A$2000,المبيعات!$C$2:$C$2000,A1740)))</f>
        <v/>
      </c>
      <c r="F1740">
        <f>IF(A1740="","",SUMIFS(المبيعات!$H$2:$H$2000,المبيعات!$C$2:$C$2000,A1740,المبيعات!$J$2:$J$2000,"آجل"))</f>
        <v/>
      </c>
      <c r="G1740" s="4" t="n"/>
      <c r="H1740">
        <f>IF(A1740="","",F1740-G1740)</f>
        <v/>
      </c>
    </row>
    <row r="1741">
      <c r="A1741" s="4" t="n"/>
      <c r="B1741" s="4" t="n"/>
      <c r="C1741">
        <f>IF(A1741="","",SUMPRODUCT((المبيعات!$C$2:$C$2000=A1741)*(المبيعات!$B$2:$B$2000&lt;&gt;"")/COUNTIFS(المبيعات!$B$2:$B$2000,المبيعات!$B$2:$B$2000&amp;"",المبيعات!$C$2:$C$2000,المبيعات!$C$2:$C$2000&amp;"")))</f>
        <v/>
      </c>
      <c r="D1741">
        <f>IF(A1741="","",SUMIFS(المبيعات!$H$2:$H$2000,المبيعات!$C$2:$C$2000,A1741))</f>
        <v/>
      </c>
      <c r="E1741" s="13">
        <f>IF(A1741="","",IF(COUNTIF(المبيعات!$C$2:$C$2000,A1741)=0,"",_xlfn.MAXIFS(المبيعات!$A$2:$A$2000,المبيعات!$C$2:$C$2000,A1741)))</f>
        <v/>
      </c>
      <c r="F1741">
        <f>IF(A1741="","",SUMIFS(المبيعات!$H$2:$H$2000,المبيعات!$C$2:$C$2000,A1741,المبيعات!$J$2:$J$2000,"آجل"))</f>
        <v/>
      </c>
      <c r="G1741" s="4" t="n"/>
      <c r="H1741">
        <f>IF(A1741="","",F1741-G1741)</f>
        <v/>
      </c>
    </row>
    <row r="1742">
      <c r="A1742" s="4" t="n"/>
      <c r="B1742" s="4" t="n"/>
      <c r="C1742">
        <f>IF(A1742="","",SUMPRODUCT((المبيعات!$C$2:$C$2000=A1742)*(المبيعات!$B$2:$B$2000&lt;&gt;"")/COUNTIFS(المبيعات!$B$2:$B$2000,المبيعات!$B$2:$B$2000&amp;"",المبيعات!$C$2:$C$2000,المبيعات!$C$2:$C$2000&amp;"")))</f>
        <v/>
      </c>
      <c r="D1742">
        <f>IF(A1742="","",SUMIFS(المبيعات!$H$2:$H$2000,المبيعات!$C$2:$C$2000,A1742))</f>
        <v/>
      </c>
      <c r="E1742" s="13">
        <f>IF(A1742="","",IF(COUNTIF(المبيعات!$C$2:$C$2000,A1742)=0,"",_xlfn.MAXIFS(المبيعات!$A$2:$A$2000,المبيعات!$C$2:$C$2000,A1742)))</f>
        <v/>
      </c>
      <c r="F1742">
        <f>IF(A1742="","",SUMIFS(المبيعات!$H$2:$H$2000,المبيعات!$C$2:$C$2000,A1742,المبيعات!$J$2:$J$2000,"آجل"))</f>
        <v/>
      </c>
      <c r="G1742" s="4" t="n"/>
      <c r="H1742">
        <f>IF(A1742="","",F1742-G1742)</f>
        <v/>
      </c>
    </row>
    <row r="1743">
      <c r="A1743" s="4" t="n"/>
      <c r="B1743" s="4" t="n"/>
      <c r="C1743">
        <f>IF(A1743="","",SUMPRODUCT((المبيعات!$C$2:$C$2000=A1743)*(المبيعات!$B$2:$B$2000&lt;&gt;"")/COUNTIFS(المبيعات!$B$2:$B$2000,المبيعات!$B$2:$B$2000&amp;"",المبيعات!$C$2:$C$2000,المبيعات!$C$2:$C$2000&amp;"")))</f>
        <v/>
      </c>
      <c r="D1743">
        <f>IF(A1743="","",SUMIFS(المبيعات!$H$2:$H$2000,المبيعات!$C$2:$C$2000,A1743))</f>
        <v/>
      </c>
      <c r="E1743" s="13">
        <f>IF(A1743="","",IF(COUNTIF(المبيعات!$C$2:$C$2000,A1743)=0,"",_xlfn.MAXIFS(المبيعات!$A$2:$A$2000,المبيعات!$C$2:$C$2000,A1743)))</f>
        <v/>
      </c>
      <c r="F1743">
        <f>IF(A1743="","",SUMIFS(المبيعات!$H$2:$H$2000,المبيعات!$C$2:$C$2000,A1743,المبيعات!$J$2:$J$2000,"آجل"))</f>
        <v/>
      </c>
      <c r="G1743" s="4" t="n"/>
      <c r="H1743">
        <f>IF(A1743="","",F1743-G1743)</f>
        <v/>
      </c>
    </row>
    <row r="1744">
      <c r="A1744" s="4" t="n"/>
      <c r="B1744" s="4" t="n"/>
      <c r="C1744">
        <f>IF(A1744="","",SUMPRODUCT((المبيعات!$C$2:$C$2000=A1744)*(المبيعات!$B$2:$B$2000&lt;&gt;"")/COUNTIFS(المبيعات!$B$2:$B$2000,المبيعات!$B$2:$B$2000&amp;"",المبيعات!$C$2:$C$2000,المبيعات!$C$2:$C$2000&amp;"")))</f>
        <v/>
      </c>
      <c r="D1744">
        <f>IF(A1744="","",SUMIFS(المبيعات!$H$2:$H$2000,المبيعات!$C$2:$C$2000,A1744))</f>
        <v/>
      </c>
      <c r="E1744" s="13">
        <f>IF(A1744="","",IF(COUNTIF(المبيعات!$C$2:$C$2000,A1744)=0,"",_xlfn.MAXIFS(المبيعات!$A$2:$A$2000,المبيعات!$C$2:$C$2000,A1744)))</f>
        <v/>
      </c>
      <c r="F1744">
        <f>IF(A1744="","",SUMIFS(المبيعات!$H$2:$H$2000,المبيعات!$C$2:$C$2000,A1744,المبيعات!$J$2:$J$2000,"آجل"))</f>
        <v/>
      </c>
      <c r="G1744" s="4" t="n"/>
      <c r="H1744">
        <f>IF(A1744="","",F1744-G1744)</f>
        <v/>
      </c>
    </row>
    <row r="1745">
      <c r="A1745" s="4" t="n"/>
      <c r="B1745" s="4" t="n"/>
      <c r="C1745">
        <f>IF(A1745="","",SUMPRODUCT((المبيعات!$C$2:$C$2000=A1745)*(المبيعات!$B$2:$B$2000&lt;&gt;"")/COUNTIFS(المبيعات!$B$2:$B$2000,المبيعات!$B$2:$B$2000&amp;"",المبيعات!$C$2:$C$2000,المبيعات!$C$2:$C$2000&amp;"")))</f>
        <v/>
      </c>
      <c r="D1745">
        <f>IF(A1745="","",SUMIFS(المبيعات!$H$2:$H$2000,المبيعات!$C$2:$C$2000,A1745))</f>
        <v/>
      </c>
      <c r="E1745" s="13">
        <f>IF(A1745="","",IF(COUNTIF(المبيعات!$C$2:$C$2000,A1745)=0,"",_xlfn.MAXIFS(المبيعات!$A$2:$A$2000,المبيعات!$C$2:$C$2000,A1745)))</f>
        <v/>
      </c>
      <c r="F1745">
        <f>IF(A1745="","",SUMIFS(المبيعات!$H$2:$H$2000,المبيعات!$C$2:$C$2000,A1745,المبيعات!$J$2:$J$2000,"آجل"))</f>
        <v/>
      </c>
      <c r="G1745" s="4" t="n"/>
      <c r="H1745">
        <f>IF(A1745="","",F1745-G1745)</f>
        <v/>
      </c>
    </row>
    <row r="1746">
      <c r="A1746" s="4" t="n"/>
      <c r="B1746" s="4" t="n"/>
      <c r="C1746">
        <f>IF(A1746="","",SUMPRODUCT((المبيعات!$C$2:$C$2000=A1746)*(المبيعات!$B$2:$B$2000&lt;&gt;"")/COUNTIFS(المبيعات!$B$2:$B$2000,المبيعات!$B$2:$B$2000&amp;"",المبيعات!$C$2:$C$2000,المبيعات!$C$2:$C$2000&amp;"")))</f>
        <v/>
      </c>
      <c r="D1746">
        <f>IF(A1746="","",SUMIFS(المبيعات!$H$2:$H$2000,المبيعات!$C$2:$C$2000,A1746))</f>
        <v/>
      </c>
      <c r="E1746" s="13">
        <f>IF(A1746="","",IF(COUNTIF(المبيعات!$C$2:$C$2000,A1746)=0,"",_xlfn.MAXIFS(المبيعات!$A$2:$A$2000,المبيعات!$C$2:$C$2000,A1746)))</f>
        <v/>
      </c>
      <c r="F1746">
        <f>IF(A1746="","",SUMIFS(المبيعات!$H$2:$H$2000,المبيعات!$C$2:$C$2000,A1746,المبيعات!$J$2:$J$2000,"آجل"))</f>
        <v/>
      </c>
      <c r="G1746" s="4" t="n"/>
      <c r="H1746">
        <f>IF(A1746="","",F1746-G1746)</f>
        <v/>
      </c>
    </row>
    <row r="1747">
      <c r="A1747" s="4" t="n"/>
      <c r="B1747" s="4" t="n"/>
      <c r="C1747">
        <f>IF(A1747="","",SUMPRODUCT((المبيعات!$C$2:$C$2000=A1747)*(المبيعات!$B$2:$B$2000&lt;&gt;"")/COUNTIFS(المبيعات!$B$2:$B$2000,المبيعات!$B$2:$B$2000&amp;"",المبيعات!$C$2:$C$2000,المبيعات!$C$2:$C$2000&amp;"")))</f>
        <v/>
      </c>
      <c r="D1747">
        <f>IF(A1747="","",SUMIFS(المبيعات!$H$2:$H$2000,المبيعات!$C$2:$C$2000,A1747))</f>
        <v/>
      </c>
      <c r="E1747" s="13">
        <f>IF(A1747="","",IF(COUNTIF(المبيعات!$C$2:$C$2000,A1747)=0,"",_xlfn.MAXIFS(المبيعات!$A$2:$A$2000,المبيعات!$C$2:$C$2000,A1747)))</f>
        <v/>
      </c>
      <c r="F1747">
        <f>IF(A1747="","",SUMIFS(المبيعات!$H$2:$H$2000,المبيعات!$C$2:$C$2000,A1747,المبيعات!$J$2:$J$2000,"آجل"))</f>
        <v/>
      </c>
      <c r="G1747" s="4" t="n"/>
      <c r="H1747">
        <f>IF(A1747="","",F1747-G1747)</f>
        <v/>
      </c>
    </row>
    <row r="1748">
      <c r="A1748" s="4" t="n"/>
      <c r="B1748" s="4" t="n"/>
      <c r="C1748">
        <f>IF(A1748="","",SUMPRODUCT((المبيعات!$C$2:$C$2000=A1748)*(المبيعات!$B$2:$B$2000&lt;&gt;"")/COUNTIFS(المبيعات!$B$2:$B$2000,المبيعات!$B$2:$B$2000&amp;"",المبيعات!$C$2:$C$2000,المبيعات!$C$2:$C$2000&amp;"")))</f>
        <v/>
      </c>
      <c r="D1748">
        <f>IF(A1748="","",SUMIFS(المبيعات!$H$2:$H$2000,المبيعات!$C$2:$C$2000,A1748))</f>
        <v/>
      </c>
      <c r="E1748" s="13">
        <f>IF(A1748="","",IF(COUNTIF(المبيعات!$C$2:$C$2000,A1748)=0,"",_xlfn.MAXIFS(المبيعات!$A$2:$A$2000,المبيعات!$C$2:$C$2000,A1748)))</f>
        <v/>
      </c>
      <c r="F1748">
        <f>IF(A1748="","",SUMIFS(المبيعات!$H$2:$H$2000,المبيعات!$C$2:$C$2000,A1748,المبيعات!$J$2:$J$2000,"آجل"))</f>
        <v/>
      </c>
      <c r="G1748" s="4" t="n"/>
      <c r="H1748">
        <f>IF(A1748="","",F1748-G1748)</f>
        <v/>
      </c>
    </row>
    <row r="1749">
      <c r="A1749" s="4" t="n"/>
      <c r="B1749" s="4" t="n"/>
      <c r="C1749">
        <f>IF(A1749="","",SUMPRODUCT((المبيعات!$C$2:$C$2000=A1749)*(المبيعات!$B$2:$B$2000&lt;&gt;"")/COUNTIFS(المبيعات!$B$2:$B$2000,المبيعات!$B$2:$B$2000&amp;"",المبيعات!$C$2:$C$2000,المبيعات!$C$2:$C$2000&amp;"")))</f>
        <v/>
      </c>
      <c r="D1749">
        <f>IF(A1749="","",SUMIFS(المبيعات!$H$2:$H$2000,المبيعات!$C$2:$C$2000,A1749))</f>
        <v/>
      </c>
      <c r="E1749" s="13">
        <f>IF(A1749="","",IF(COUNTIF(المبيعات!$C$2:$C$2000,A1749)=0,"",_xlfn.MAXIFS(المبيعات!$A$2:$A$2000,المبيعات!$C$2:$C$2000,A1749)))</f>
        <v/>
      </c>
      <c r="F1749">
        <f>IF(A1749="","",SUMIFS(المبيعات!$H$2:$H$2000,المبيعات!$C$2:$C$2000,A1749,المبيعات!$J$2:$J$2000,"آجل"))</f>
        <v/>
      </c>
      <c r="G1749" s="4" t="n"/>
      <c r="H1749">
        <f>IF(A1749="","",F1749-G1749)</f>
        <v/>
      </c>
    </row>
    <row r="1750">
      <c r="A1750" s="4" t="n"/>
      <c r="B1750" s="4" t="n"/>
      <c r="C1750">
        <f>IF(A1750="","",SUMPRODUCT((المبيعات!$C$2:$C$2000=A1750)*(المبيعات!$B$2:$B$2000&lt;&gt;"")/COUNTIFS(المبيعات!$B$2:$B$2000,المبيعات!$B$2:$B$2000&amp;"",المبيعات!$C$2:$C$2000,المبيعات!$C$2:$C$2000&amp;"")))</f>
        <v/>
      </c>
      <c r="D1750">
        <f>IF(A1750="","",SUMIFS(المبيعات!$H$2:$H$2000,المبيعات!$C$2:$C$2000,A1750))</f>
        <v/>
      </c>
      <c r="E1750" s="13">
        <f>IF(A1750="","",IF(COUNTIF(المبيعات!$C$2:$C$2000,A1750)=0,"",_xlfn.MAXIFS(المبيعات!$A$2:$A$2000,المبيعات!$C$2:$C$2000,A1750)))</f>
        <v/>
      </c>
      <c r="F1750">
        <f>IF(A1750="","",SUMIFS(المبيعات!$H$2:$H$2000,المبيعات!$C$2:$C$2000,A1750,المبيعات!$J$2:$J$2000,"آجل"))</f>
        <v/>
      </c>
      <c r="G1750" s="4" t="n"/>
      <c r="H1750">
        <f>IF(A1750="","",F1750-G1750)</f>
        <v/>
      </c>
    </row>
    <row r="1751">
      <c r="A1751" s="4" t="n"/>
      <c r="B1751" s="4" t="n"/>
      <c r="C1751">
        <f>IF(A1751="","",SUMPRODUCT((المبيعات!$C$2:$C$2000=A1751)*(المبيعات!$B$2:$B$2000&lt;&gt;"")/COUNTIFS(المبيعات!$B$2:$B$2000,المبيعات!$B$2:$B$2000&amp;"",المبيعات!$C$2:$C$2000,المبيعات!$C$2:$C$2000&amp;"")))</f>
        <v/>
      </c>
      <c r="D1751">
        <f>IF(A1751="","",SUMIFS(المبيعات!$H$2:$H$2000,المبيعات!$C$2:$C$2000,A1751))</f>
        <v/>
      </c>
      <c r="E1751" s="13">
        <f>IF(A1751="","",IF(COUNTIF(المبيعات!$C$2:$C$2000,A1751)=0,"",_xlfn.MAXIFS(المبيعات!$A$2:$A$2000,المبيعات!$C$2:$C$2000,A1751)))</f>
        <v/>
      </c>
      <c r="F1751">
        <f>IF(A1751="","",SUMIFS(المبيعات!$H$2:$H$2000,المبيعات!$C$2:$C$2000,A1751,المبيعات!$J$2:$J$2000,"آجل"))</f>
        <v/>
      </c>
      <c r="G1751" s="4" t="n"/>
      <c r="H1751">
        <f>IF(A1751="","",F1751-G1751)</f>
        <v/>
      </c>
    </row>
    <row r="1752">
      <c r="A1752" s="4" t="n"/>
      <c r="B1752" s="4" t="n"/>
      <c r="C1752">
        <f>IF(A1752="","",SUMPRODUCT((المبيعات!$C$2:$C$2000=A1752)*(المبيعات!$B$2:$B$2000&lt;&gt;"")/COUNTIFS(المبيعات!$B$2:$B$2000,المبيعات!$B$2:$B$2000&amp;"",المبيعات!$C$2:$C$2000,المبيعات!$C$2:$C$2000&amp;"")))</f>
        <v/>
      </c>
      <c r="D1752">
        <f>IF(A1752="","",SUMIFS(المبيعات!$H$2:$H$2000,المبيعات!$C$2:$C$2000,A1752))</f>
        <v/>
      </c>
      <c r="E1752" s="13">
        <f>IF(A1752="","",IF(COUNTIF(المبيعات!$C$2:$C$2000,A1752)=0,"",_xlfn.MAXIFS(المبيعات!$A$2:$A$2000,المبيعات!$C$2:$C$2000,A1752)))</f>
        <v/>
      </c>
      <c r="F1752">
        <f>IF(A1752="","",SUMIFS(المبيعات!$H$2:$H$2000,المبيعات!$C$2:$C$2000,A1752,المبيعات!$J$2:$J$2000,"آجل"))</f>
        <v/>
      </c>
      <c r="G1752" s="4" t="n"/>
      <c r="H1752">
        <f>IF(A1752="","",F1752-G1752)</f>
        <v/>
      </c>
    </row>
    <row r="1753">
      <c r="A1753" s="4" t="n"/>
      <c r="B1753" s="4" t="n"/>
      <c r="C1753">
        <f>IF(A1753="","",SUMPRODUCT((المبيعات!$C$2:$C$2000=A1753)*(المبيعات!$B$2:$B$2000&lt;&gt;"")/COUNTIFS(المبيعات!$B$2:$B$2000,المبيعات!$B$2:$B$2000&amp;"",المبيعات!$C$2:$C$2000,المبيعات!$C$2:$C$2000&amp;"")))</f>
        <v/>
      </c>
      <c r="D1753">
        <f>IF(A1753="","",SUMIFS(المبيعات!$H$2:$H$2000,المبيعات!$C$2:$C$2000,A1753))</f>
        <v/>
      </c>
      <c r="E1753" s="13">
        <f>IF(A1753="","",IF(COUNTIF(المبيعات!$C$2:$C$2000,A1753)=0,"",_xlfn.MAXIFS(المبيعات!$A$2:$A$2000,المبيعات!$C$2:$C$2000,A1753)))</f>
        <v/>
      </c>
      <c r="F1753">
        <f>IF(A1753="","",SUMIFS(المبيعات!$H$2:$H$2000,المبيعات!$C$2:$C$2000,A1753,المبيعات!$J$2:$J$2000,"آجل"))</f>
        <v/>
      </c>
      <c r="G1753" s="4" t="n"/>
      <c r="H1753">
        <f>IF(A1753="","",F1753-G1753)</f>
        <v/>
      </c>
    </row>
    <row r="1754">
      <c r="A1754" s="4" t="n"/>
      <c r="B1754" s="4" t="n"/>
      <c r="C1754">
        <f>IF(A1754="","",SUMPRODUCT((المبيعات!$C$2:$C$2000=A1754)*(المبيعات!$B$2:$B$2000&lt;&gt;"")/COUNTIFS(المبيعات!$B$2:$B$2000,المبيعات!$B$2:$B$2000&amp;"",المبيعات!$C$2:$C$2000,المبيعات!$C$2:$C$2000&amp;"")))</f>
        <v/>
      </c>
      <c r="D1754">
        <f>IF(A1754="","",SUMIFS(المبيعات!$H$2:$H$2000,المبيعات!$C$2:$C$2000,A1754))</f>
        <v/>
      </c>
      <c r="E1754" s="13">
        <f>IF(A1754="","",IF(COUNTIF(المبيعات!$C$2:$C$2000,A1754)=0,"",_xlfn.MAXIFS(المبيعات!$A$2:$A$2000,المبيعات!$C$2:$C$2000,A1754)))</f>
        <v/>
      </c>
      <c r="F1754">
        <f>IF(A1754="","",SUMIFS(المبيعات!$H$2:$H$2000,المبيعات!$C$2:$C$2000,A1754,المبيعات!$J$2:$J$2000,"آجل"))</f>
        <v/>
      </c>
      <c r="G1754" s="4" t="n"/>
      <c r="H1754">
        <f>IF(A1754="","",F1754-G1754)</f>
        <v/>
      </c>
    </row>
    <row r="1755">
      <c r="A1755" s="4" t="n"/>
      <c r="B1755" s="4" t="n"/>
      <c r="C1755">
        <f>IF(A1755="","",SUMPRODUCT((المبيعات!$C$2:$C$2000=A1755)*(المبيعات!$B$2:$B$2000&lt;&gt;"")/COUNTIFS(المبيعات!$B$2:$B$2000,المبيعات!$B$2:$B$2000&amp;"",المبيعات!$C$2:$C$2000,المبيعات!$C$2:$C$2000&amp;"")))</f>
        <v/>
      </c>
      <c r="D1755">
        <f>IF(A1755="","",SUMIFS(المبيعات!$H$2:$H$2000,المبيعات!$C$2:$C$2000,A1755))</f>
        <v/>
      </c>
      <c r="E1755" s="13">
        <f>IF(A1755="","",IF(COUNTIF(المبيعات!$C$2:$C$2000,A1755)=0,"",_xlfn.MAXIFS(المبيعات!$A$2:$A$2000,المبيعات!$C$2:$C$2000,A1755)))</f>
        <v/>
      </c>
      <c r="F1755">
        <f>IF(A1755="","",SUMIFS(المبيعات!$H$2:$H$2000,المبيعات!$C$2:$C$2000,A1755,المبيعات!$J$2:$J$2000,"آجل"))</f>
        <v/>
      </c>
      <c r="G1755" s="4" t="n"/>
      <c r="H1755">
        <f>IF(A1755="","",F1755-G1755)</f>
        <v/>
      </c>
    </row>
    <row r="1756">
      <c r="A1756" s="4" t="n"/>
      <c r="B1756" s="4" t="n"/>
      <c r="C1756">
        <f>IF(A1756="","",SUMPRODUCT((المبيعات!$C$2:$C$2000=A1756)*(المبيعات!$B$2:$B$2000&lt;&gt;"")/COUNTIFS(المبيعات!$B$2:$B$2000,المبيعات!$B$2:$B$2000&amp;"",المبيعات!$C$2:$C$2000,المبيعات!$C$2:$C$2000&amp;"")))</f>
        <v/>
      </c>
      <c r="D1756">
        <f>IF(A1756="","",SUMIFS(المبيعات!$H$2:$H$2000,المبيعات!$C$2:$C$2000,A1756))</f>
        <v/>
      </c>
      <c r="E1756" s="13">
        <f>IF(A1756="","",IF(COUNTIF(المبيعات!$C$2:$C$2000,A1756)=0,"",_xlfn.MAXIFS(المبيعات!$A$2:$A$2000,المبيعات!$C$2:$C$2000,A1756)))</f>
        <v/>
      </c>
      <c r="F1756">
        <f>IF(A1756="","",SUMIFS(المبيعات!$H$2:$H$2000,المبيعات!$C$2:$C$2000,A1756,المبيعات!$J$2:$J$2000,"آجل"))</f>
        <v/>
      </c>
      <c r="G1756" s="4" t="n"/>
      <c r="H1756">
        <f>IF(A1756="","",F1756-G1756)</f>
        <v/>
      </c>
    </row>
    <row r="1757">
      <c r="A1757" s="4" t="n"/>
      <c r="B1757" s="4" t="n"/>
      <c r="C1757">
        <f>IF(A1757="","",SUMPRODUCT((المبيعات!$C$2:$C$2000=A1757)*(المبيعات!$B$2:$B$2000&lt;&gt;"")/COUNTIFS(المبيعات!$B$2:$B$2000,المبيعات!$B$2:$B$2000&amp;"",المبيعات!$C$2:$C$2000,المبيعات!$C$2:$C$2000&amp;"")))</f>
        <v/>
      </c>
      <c r="D1757">
        <f>IF(A1757="","",SUMIFS(المبيعات!$H$2:$H$2000,المبيعات!$C$2:$C$2000,A1757))</f>
        <v/>
      </c>
      <c r="E1757" s="13">
        <f>IF(A1757="","",IF(COUNTIF(المبيعات!$C$2:$C$2000,A1757)=0,"",_xlfn.MAXIFS(المبيعات!$A$2:$A$2000,المبيعات!$C$2:$C$2000,A1757)))</f>
        <v/>
      </c>
      <c r="F1757">
        <f>IF(A1757="","",SUMIFS(المبيعات!$H$2:$H$2000,المبيعات!$C$2:$C$2000,A1757,المبيعات!$J$2:$J$2000,"آجل"))</f>
        <v/>
      </c>
      <c r="G1757" s="4" t="n"/>
      <c r="H1757">
        <f>IF(A1757="","",F1757-G1757)</f>
        <v/>
      </c>
    </row>
    <row r="1758">
      <c r="A1758" s="4" t="n"/>
      <c r="B1758" s="4" t="n"/>
      <c r="C1758">
        <f>IF(A1758="","",SUMPRODUCT((المبيعات!$C$2:$C$2000=A1758)*(المبيعات!$B$2:$B$2000&lt;&gt;"")/COUNTIFS(المبيعات!$B$2:$B$2000,المبيعات!$B$2:$B$2000&amp;"",المبيعات!$C$2:$C$2000,المبيعات!$C$2:$C$2000&amp;"")))</f>
        <v/>
      </c>
      <c r="D1758">
        <f>IF(A1758="","",SUMIFS(المبيعات!$H$2:$H$2000,المبيعات!$C$2:$C$2000,A1758))</f>
        <v/>
      </c>
      <c r="E1758" s="13">
        <f>IF(A1758="","",IF(COUNTIF(المبيعات!$C$2:$C$2000,A1758)=0,"",_xlfn.MAXIFS(المبيعات!$A$2:$A$2000,المبيعات!$C$2:$C$2000,A1758)))</f>
        <v/>
      </c>
      <c r="F1758">
        <f>IF(A1758="","",SUMIFS(المبيعات!$H$2:$H$2000,المبيعات!$C$2:$C$2000,A1758,المبيعات!$J$2:$J$2000,"آجل"))</f>
        <v/>
      </c>
      <c r="G1758" s="4" t="n"/>
      <c r="H1758">
        <f>IF(A1758="","",F1758-G1758)</f>
        <v/>
      </c>
    </row>
    <row r="1759">
      <c r="A1759" s="4" t="n"/>
      <c r="B1759" s="4" t="n"/>
      <c r="C1759">
        <f>IF(A1759="","",SUMPRODUCT((المبيعات!$C$2:$C$2000=A1759)*(المبيعات!$B$2:$B$2000&lt;&gt;"")/COUNTIFS(المبيعات!$B$2:$B$2000,المبيعات!$B$2:$B$2000&amp;"",المبيعات!$C$2:$C$2000,المبيعات!$C$2:$C$2000&amp;"")))</f>
        <v/>
      </c>
      <c r="D1759">
        <f>IF(A1759="","",SUMIFS(المبيعات!$H$2:$H$2000,المبيعات!$C$2:$C$2000,A1759))</f>
        <v/>
      </c>
      <c r="E1759" s="13">
        <f>IF(A1759="","",IF(COUNTIF(المبيعات!$C$2:$C$2000,A1759)=0,"",_xlfn.MAXIFS(المبيعات!$A$2:$A$2000,المبيعات!$C$2:$C$2000,A1759)))</f>
        <v/>
      </c>
      <c r="F1759">
        <f>IF(A1759="","",SUMIFS(المبيعات!$H$2:$H$2000,المبيعات!$C$2:$C$2000,A1759,المبيعات!$J$2:$J$2000,"آجل"))</f>
        <v/>
      </c>
      <c r="G1759" s="4" t="n"/>
      <c r="H1759">
        <f>IF(A1759="","",F1759-G1759)</f>
        <v/>
      </c>
    </row>
    <row r="1760">
      <c r="A1760" s="4" t="n"/>
      <c r="B1760" s="4" t="n"/>
      <c r="C1760">
        <f>IF(A1760="","",SUMPRODUCT((المبيعات!$C$2:$C$2000=A1760)*(المبيعات!$B$2:$B$2000&lt;&gt;"")/COUNTIFS(المبيعات!$B$2:$B$2000,المبيعات!$B$2:$B$2000&amp;"",المبيعات!$C$2:$C$2000,المبيعات!$C$2:$C$2000&amp;"")))</f>
        <v/>
      </c>
      <c r="D1760">
        <f>IF(A1760="","",SUMIFS(المبيعات!$H$2:$H$2000,المبيعات!$C$2:$C$2000,A1760))</f>
        <v/>
      </c>
      <c r="E1760" s="13">
        <f>IF(A1760="","",IF(COUNTIF(المبيعات!$C$2:$C$2000,A1760)=0,"",_xlfn.MAXIFS(المبيعات!$A$2:$A$2000,المبيعات!$C$2:$C$2000,A1760)))</f>
        <v/>
      </c>
      <c r="F1760">
        <f>IF(A1760="","",SUMIFS(المبيعات!$H$2:$H$2000,المبيعات!$C$2:$C$2000,A1760,المبيعات!$J$2:$J$2000,"آجل"))</f>
        <v/>
      </c>
      <c r="G1760" s="4" t="n"/>
      <c r="H1760">
        <f>IF(A1760="","",F1760-G1760)</f>
        <v/>
      </c>
    </row>
    <row r="1761">
      <c r="A1761" s="4" t="n"/>
      <c r="B1761" s="4" t="n"/>
      <c r="C1761">
        <f>IF(A1761="","",SUMPRODUCT((المبيعات!$C$2:$C$2000=A1761)*(المبيعات!$B$2:$B$2000&lt;&gt;"")/COUNTIFS(المبيعات!$B$2:$B$2000,المبيعات!$B$2:$B$2000&amp;"",المبيعات!$C$2:$C$2000,المبيعات!$C$2:$C$2000&amp;"")))</f>
        <v/>
      </c>
      <c r="D1761">
        <f>IF(A1761="","",SUMIFS(المبيعات!$H$2:$H$2000,المبيعات!$C$2:$C$2000,A1761))</f>
        <v/>
      </c>
      <c r="E1761" s="13">
        <f>IF(A1761="","",IF(COUNTIF(المبيعات!$C$2:$C$2000,A1761)=0,"",_xlfn.MAXIFS(المبيعات!$A$2:$A$2000,المبيعات!$C$2:$C$2000,A1761)))</f>
        <v/>
      </c>
      <c r="F1761">
        <f>IF(A1761="","",SUMIFS(المبيعات!$H$2:$H$2000,المبيعات!$C$2:$C$2000,A1761,المبيعات!$J$2:$J$2000,"آجل"))</f>
        <v/>
      </c>
      <c r="G1761" s="4" t="n"/>
      <c r="H1761">
        <f>IF(A1761="","",F1761-G1761)</f>
        <v/>
      </c>
    </row>
    <row r="1762">
      <c r="A1762" s="4" t="n"/>
      <c r="B1762" s="4" t="n"/>
      <c r="C1762">
        <f>IF(A1762="","",SUMPRODUCT((المبيعات!$C$2:$C$2000=A1762)*(المبيعات!$B$2:$B$2000&lt;&gt;"")/COUNTIFS(المبيعات!$B$2:$B$2000,المبيعات!$B$2:$B$2000&amp;"",المبيعات!$C$2:$C$2000,المبيعات!$C$2:$C$2000&amp;"")))</f>
        <v/>
      </c>
      <c r="D1762">
        <f>IF(A1762="","",SUMIFS(المبيعات!$H$2:$H$2000,المبيعات!$C$2:$C$2000,A1762))</f>
        <v/>
      </c>
      <c r="E1762" s="13">
        <f>IF(A1762="","",IF(COUNTIF(المبيعات!$C$2:$C$2000,A1762)=0,"",_xlfn.MAXIFS(المبيعات!$A$2:$A$2000,المبيعات!$C$2:$C$2000,A1762)))</f>
        <v/>
      </c>
      <c r="F1762">
        <f>IF(A1762="","",SUMIFS(المبيعات!$H$2:$H$2000,المبيعات!$C$2:$C$2000,A1762,المبيعات!$J$2:$J$2000,"آجل"))</f>
        <v/>
      </c>
      <c r="G1762" s="4" t="n"/>
      <c r="H1762">
        <f>IF(A1762="","",F1762-G1762)</f>
        <v/>
      </c>
    </row>
    <row r="1763">
      <c r="A1763" s="4" t="n"/>
      <c r="B1763" s="4" t="n"/>
      <c r="C1763">
        <f>IF(A1763="","",SUMPRODUCT((المبيعات!$C$2:$C$2000=A1763)*(المبيعات!$B$2:$B$2000&lt;&gt;"")/COUNTIFS(المبيعات!$B$2:$B$2000,المبيعات!$B$2:$B$2000&amp;"",المبيعات!$C$2:$C$2000,المبيعات!$C$2:$C$2000&amp;"")))</f>
        <v/>
      </c>
      <c r="D1763">
        <f>IF(A1763="","",SUMIFS(المبيعات!$H$2:$H$2000,المبيعات!$C$2:$C$2000,A1763))</f>
        <v/>
      </c>
      <c r="E1763" s="13">
        <f>IF(A1763="","",IF(COUNTIF(المبيعات!$C$2:$C$2000,A1763)=0,"",_xlfn.MAXIFS(المبيعات!$A$2:$A$2000,المبيعات!$C$2:$C$2000,A1763)))</f>
        <v/>
      </c>
      <c r="F1763">
        <f>IF(A1763="","",SUMIFS(المبيعات!$H$2:$H$2000,المبيعات!$C$2:$C$2000,A1763,المبيعات!$J$2:$J$2000,"آجل"))</f>
        <v/>
      </c>
      <c r="G1763" s="4" t="n"/>
      <c r="H1763">
        <f>IF(A1763="","",F1763-G1763)</f>
        <v/>
      </c>
    </row>
    <row r="1764">
      <c r="A1764" s="4" t="n"/>
      <c r="B1764" s="4" t="n"/>
      <c r="C1764">
        <f>IF(A1764="","",SUMPRODUCT((المبيعات!$C$2:$C$2000=A1764)*(المبيعات!$B$2:$B$2000&lt;&gt;"")/COUNTIFS(المبيعات!$B$2:$B$2000,المبيعات!$B$2:$B$2000&amp;"",المبيعات!$C$2:$C$2000,المبيعات!$C$2:$C$2000&amp;"")))</f>
        <v/>
      </c>
      <c r="D1764">
        <f>IF(A1764="","",SUMIFS(المبيعات!$H$2:$H$2000,المبيعات!$C$2:$C$2000,A1764))</f>
        <v/>
      </c>
      <c r="E1764" s="13">
        <f>IF(A1764="","",IF(COUNTIF(المبيعات!$C$2:$C$2000,A1764)=0,"",_xlfn.MAXIFS(المبيعات!$A$2:$A$2000,المبيعات!$C$2:$C$2000,A1764)))</f>
        <v/>
      </c>
      <c r="F1764">
        <f>IF(A1764="","",SUMIFS(المبيعات!$H$2:$H$2000,المبيعات!$C$2:$C$2000,A1764,المبيعات!$J$2:$J$2000,"آجل"))</f>
        <v/>
      </c>
      <c r="G1764" s="4" t="n"/>
      <c r="H1764">
        <f>IF(A1764="","",F1764-G1764)</f>
        <v/>
      </c>
    </row>
    <row r="1765">
      <c r="A1765" s="4" t="n"/>
      <c r="B1765" s="4" t="n"/>
      <c r="C1765">
        <f>IF(A1765="","",SUMPRODUCT((المبيعات!$C$2:$C$2000=A1765)*(المبيعات!$B$2:$B$2000&lt;&gt;"")/COUNTIFS(المبيعات!$B$2:$B$2000,المبيعات!$B$2:$B$2000&amp;"",المبيعات!$C$2:$C$2000,المبيعات!$C$2:$C$2000&amp;"")))</f>
        <v/>
      </c>
      <c r="D1765">
        <f>IF(A1765="","",SUMIFS(المبيعات!$H$2:$H$2000,المبيعات!$C$2:$C$2000,A1765))</f>
        <v/>
      </c>
      <c r="E1765" s="13">
        <f>IF(A1765="","",IF(COUNTIF(المبيعات!$C$2:$C$2000,A1765)=0,"",_xlfn.MAXIFS(المبيعات!$A$2:$A$2000,المبيعات!$C$2:$C$2000,A1765)))</f>
        <v/>
      </c>
      <c r="F1765">
        <f>IF(A1765="","",SUMIFS(المبيعات!$H$2:$H$2000,المبيعات!$C$2:$C$2000,A1765,المبيعات!$J$2:$J$2000,"آجل"))</f>
        <v/>
      </c>
      <c r="G1765" s="4" t="n"/>
      <c r="H1765">
        <f>IF(A1765="","",F1765-G1765)</f>
        <v/>
      </c>
    </row>
    <row r="1766">
      <c r="A1766" s="4" t="n"/>
      <c r="B1766" s="4" t="n"/>
      <c r="C1766">
        <f>IF(A1766="","",SUMPRODUCT((المبيعات!$C$2:$C$2000=A1766)*(المبيعات!$B$2:$B$2000&lt;&gt;"")/COUNTIFS(المبيعات!$B$2:$B$2000,المبيعات!$B$2:$B$2000&amp;"",المبيعات!$C$2:$C$2000,المبيعات!$C$2:$C$2000&amp;"")))</f>
        <v/>
      </c>
      <c r="D1766">
        <f>IF(A1766="","",SUMIFS(المبيعات!$H$2:$H$2000,المبيعات!$C$2:$C$2000,A1766))</f>
        <v/>
      </c>
      <c r="E1766" s="13">
        <f>IF(A1766="","",IF(COUNTIF(المبيعات!$C$2:$C$2000,A1766)=0,"",_xlfn.MAXIFS(المبيعات!$A$2:$A$2000,المبيعات!$C$2:$C$2000,A1766)))</f>
        <v/>
      </c>
      <c r="F1766">
        <f>IF(A1766="","",SUMIFS(المبيعات!$H$2:$H$2000,المبيعات!$C$2:$C$2000,A1766,المبيعات!$J$2:$J$2000,"آجل"))</f>
        <v/>
      </c>
      <c r="G1766" s="4" t="n"/>
      <c r="H1766">
        <f>IF(A1766="","",F1766-G1766)</f>
        <v/>
      </c>
    </row>
    <row r="1767">
      <c r="A1767" s="4" t="n"/>
      <c r="B1767" s="4" t="n"/>
      <c r="C1767">
        <f>IF(A1767="","",SUMPRODUCT((المبيعات!$C$2:$C$2000=A1767)*(المبيعات!$B$2:$B$2000&lt;&gt;"")/COUNTIFS(المبيعات!$B$2:$B$2000,المبيعات!$B$2:$B$2000&amp;"",المبيعات!$C$2:$C$2000,المبيعات!$C$2:$C$2000&amp;"")))</f>
        <v/>
      </c>
      <c r="D1767">
        <f>IF(A1767="","",SUMIFS(المبيعات!$H$2:$H$2000,المبيعات!$C$2:$C$2000,A1767))</f>
        <v/>
      </c>
      <c r="E1767" s="13">
        <f>IF(A1767="","",IF(COUNTIF(المبيعات!$C$2:$C$2000,A1767)=0,"",_xlfn.MAXIFS(المبيعات!$A$2:$A$2000,المبيعات!$C$2:$C$2000,A1767)))</f>
        <v/>
      </c>
      <c r="F1767">
        <f>IF(A1767="","",SUMIFS(المبيعات!$H$2:$H$2000,المبيعات!$C$2:$C$2000,A1767,المبيعات!$J$2:$J$2000,"آجل"))</f>
        <v/>
      </c>
      <c r="G1767" s="4" t="n"/>
      <c r="H1767">
        <f>IF(A1767="","",F1767-G1767)</f>
        <v/>
      </c>
    </row>
    <row r="1768">
      <c r="A1768" s="4" t="n"/>
      <c r="B1768" s="4" t="n"/>
      <c r="C1768">
        <f>IF(A1768="","",SUMPRODUCT((المبيعات!$C$2:$C$2000=A1768)*(المبيعات!$B$2:$B$2000&lt;&gt;"")/COUNTIFS(المبيعات!$B$2:$B$2000,المبيعات!$B$2:$B$2000&amp;"",المبيعات!$C$2:$C$2000,المبيعات!$C$2:$C$2000&amp;"")))</f>
        <v/>
      </c>
      <c r="D1768">
        <f>IF(A1768="","",SUMIFS(المبيعات!$H$2:$H$2000,المبيعات!$C$2:$C$2000,A1768))</f>
        <v/>
      </c>
      <c r="E1768" s="13">
        <f>IF(A1768="","",IF(COUNTIF(المبيعات!$C$2:$C$2000,A1768)=0,"",_xlfn.MAXIFS(المبيعات!$A$2:$A$2000,المبيعات!$C$2:$C$2000,A1768)))</f>
        <v/>
      </c>
      <c r="F1768">
        <f>IF(A1768="","",SUMIFS(المبيعات!$H$2:$H$2000,المبيعات!$C$2:$C$2000,A1768,المبيعات!$J$2:$J$2000,"آجل"))</f>
        <v/>
      </c>
      <c r="G1768" s="4" t="n"/>
      <c r="H1768">
        <f>IF(A1768="","",F1768-G1768)</f>
        <v/>
      </c>
    </row>
    <row r="1769">
      <c r="A1769" s="4" t="n"/>
      <c r="B1769" s="4" t="n"/>
      <c r="C1769">
        <f>IF(A1769="","",SUMPRODUCT((المبيعات!$C$2:$C$2000=A1769)*(المبيعات!$B$2:$B$2000&lt;&gt;"")/COUNTIFS(المبيعات!$B$2:$B$2000,المبيعات!$B$2:$B$2000&amp;"",المبيعات!$C$2:$C$2000,المبيعات!$C$2:$C$2000&amp;"")))</f>
        <v/>
      </c>
      <c r="D1769">
        <f>IF(A1769="","",SUMIFS(المبيعات!$H$2:$H$2000,المبيعات!$C$2:$C$2000,A1769))</f>
        <v/>
      </c>
      <c r="E1769" s="13">
        <f>IF(A1769="","",IF(COUNTIF(المبيعات!$C$2:$C$2000,A1769)=0,"",_xlfn.MAXIFS(المبيعات!$A$2:$A$2000,المبيعات!$C$2:$C$2000,A1769)))</f>
        <v/>
      </c>
      <c r="F1769">
        <f>IF(A1769="","",SUMIFS(المبيعات!$H$2:$H$2000,المبيعات!$C$2:$C$2000,A1769,المبيعات!$J$2:$J$2000,"آجل"))</f>
        <v/>
      </c>
      <c r="G1769" s="4" t="n"/>
      <c r="H1769">
        <f>IF(A1769="","",F1769-G1769)</f>
        <v/>
      </c>
    </row>
    <row r="1770">
      <c r="A1770" s="4" t="n"/>
      <c r="B1770" s="4" t="n"/>
      <c r="C1770">
        <f>IF(A1770="","",SUMPRODUCT((المبيعات!$C$2:$C$2000=A1770)*(المبيعات!$B$2:$B$2000&lt;&gt;"")/COUNTIFS(المبيعات!$B$2:$B$2000,المبيعات!$B$2:$B$2000&amp;"",المبيعات!$C$2:$C$2000,المبيعات!$C$2:$C$2000&amp;"")))</f>
        <v/>
      </c>
      <c r="D1770">
        <f>IF(A1770="","",SUMIFS(المبيعات!$H$2:$H$2000,المبيعات!$C$2:$C$2000,A1770))</f>
        <v/>
      </c>
      <c r="E1770" s="13">
        <f>IF(A1770="","",IF(COUNTIF(المبيعات!$C$2:$C$2000,A1770)=0,"",_xlfn.MAXIFS(المبيعات!$A$2:$A$2000,المبيعات!$C$2:$C$2000,A1770)))</f>
        <v/>
      </c>
      <c r="F1770">
        <f>IF(A1770="","",SUMIFS(المبيعات!$H$2:$H$2000,المبيعات!$C$2:$C$2000,A1770,المبيعات!$J$2:$J$2000,"آجل"))</f>
        <v/>
      </c>
      <c r="G1770" s="4" t="n"/>
      <c r="H1770">
        <f>IF(A1770="","",F1770-G1770)</f>
        <v/>
      </c>
    </row>
    <row r="1771">
      <c r="A1771" s="4" t="n"/>
      <c r="B1771" s="4" t="n"/>
      <c r="C1771">
        <f>IF(A1771="","",SUMPRODUCT((المبيعات!$C$2:$C$2000=A1771)*(المبيعات!$B$2:$B$2000&lt;&gt;"")/COUNTIFS(المبيعات!$B$2:$B$2000,المبيعات!$B$2:$B$2000&amp;"",المبيعات!$C$2:$C$2000,المبيعات!$C$2:$C$2000&amp;"")))</f>
        <v/>
      </c>
      <c r="D1771">
        <f>IF(A1771="","",SUMIFS(المبيعات!$H$2:$H$2000,المبيعات!$C$2:$C$2000,A1771))</f>
        <v/>
      </c>
      <c r="E1771" s="13">
        <f>IF(A1771="","",IF(COUNTIF(المبيعات!$C$2:$C$2000,A1771)=0,"",_xlfn.MAXIFS(المبيعات!$A$2:$A$2000,المبيعات!$C$2:$C$2000,A1771)))</f>
        <v/>
      </c>
      <c r="F1771">
        <f>IF(A1771="","",SUMIFS(المبيعات!$H$2:$H$2000,المبيعات!$C$2:$C$2000,A1771,المبيعات!$J$2:$J$2000,"آجل"))</f>
        <v/>
      </c>
      <c r="G1771" s="4" t="n"/>
      <c r="H1771">
        <f>IF(A1771="","",F1771-G1771)</f>
        <v/>
      </c>
    </row>
    <row r="1772">
      <c r="A1772" s="4" t="n"/>
      <c r="B1772" s="4" t="n"/>
      <c r="C1772">
        <f>IF(A1772="","",SUMPRODUCT((المبيعات!$C$2:$C$2000=A1772)*(المبيعات!$B$2:$B$2000&lt;&gt;"")/COUNTIFS(المبيعات!$B$2:$B$2000,المبيعات!$B$2:$B$2000&amp;"",المبيعات!$C$2:$C$2000,المبيعات!$C$2:$C$2000&amp;"")))</f>
        <v/>
      </c>
      <c r="D1772">
        <f>IF(A1772="","",SUMIFS(المبيعات!$H$2:$H$2000,المبيعات!$C$2:$C$2000,A1772))</f>
        <v/>
      </c>
      <c r="E1772" s="13">
        <f>IF(A1772="","",IF(COUNTIF(المبيعات!$C$2:$C$2000,A1772)=0,"",_xlfn.MAXIFS(المبيعات!$A$2:$A$2000,المبيعات!$C$2:$C$2000,A1772)))</f>
        <v/>
      </c>
      <c r="F1772">
        <f>IF(A1772="","",SUMIFS(المبيعات!$H$2:$H$2000,المبيعات!$C$2:$C$2000,A1772,المبيعات!$J$2:$J$2000,"آجل"))</f>
        <v/>
      </c>
      <c r="G1772" s="4" t="n"/>
      <c r="H1772">
        <f>IF(A1772="","",F1772-G1772)</f>
        <v/>
      </c>
    </row>
    <row r="1773">
      <c r="A1773" s="4" t="n"/>
      <c r="B1773" s="4" t="n"/>
      <c r="C1773">
        <f>IF(A1773="","",SUMPRODUCT((المبيعات!$C$2:$C$2000=A1773)*(المبيعات!$B$2:$B$2000&lt;&gt;"")/COUNTIFS(المبيعات!$B$2:$B$2000,المبيعات!$B$2:$B$2000&amp;"",المبيعات!$C$2:$C$2000,المبيعات!$C$2:$C$2000&amp;"")))</f>
        <v/>
      </c>
      <c r="D1773">
        <f>IF(A1773="","",SUMIFS(المبيعات!$H$2:$H$2000,المبيعات!$C$2:$C$2000,A1773))</f>
        <v/>
      </c>
      <c r="E1773" s="13">
        <f>IF(A1773="","",IF(COUNTIF(المبيعات!$C$2:$C$2000,A1773)=0,"",_xlfn.MAXIFS(المبيعات!$A$2:$A$2000,المبيعات!$C$2:$C$2000,A1773)))</f>
        <v/>
      </c>
      <c r="F1773">
        <f>IF(A1773="","",SUMIFS(المبيعات!$H$2:$H$2000,المبيعات!$C$2:$C$2000,A1773,المبيعات!$J$2:$J$2000,"آجل"))</f>
        <v/>
      </c>
      <c r="G1773" s="4" t="n"/>
      <c r="H1773">
        <f>IF(A1773="","",F1773-G1773)</f>
        <v/>
      </c>
    </row>
    <row r="1774">
      <c r="A1774" s="4" t="n"/>
      <c r="B1774" s="4" t="n"/>
      <c r="C1774">
        <f>IF(A1774="","",SUMPRODUCT((المبيعات!$C$2:$C$2000=A1774)*(المبيعات!$B$2:$B$2000&lt;&gt;"")/COUNTIFS(المبيعات!$B$2:$B$2000,المبيعات!$B$2:$B$2000&amp;"",المبيعات!$C$2:$C$2000,المبيعات!$C$2:$C$2000&amp;"")))</f>
        <v/>
      </c>
      <c r="D1774">
        <f>IF(A1774="","",SUMIFS(المبيعات!$H$2:$H$2000,المبيعات!$C$2:$C$2000,A1774))</f>
        <v/>
      </c>
      <c r="E1774" s="13">
        <f>IF(A1774="","",IF(COUNTIF(المبيعات!$C$2:$C$2000,A1774)=0,"",_xlfn.MAXIFS(المبيعات!$A$2:$A$2000,المبيعات!$C$2:$C$2000,A1774)))</f>
        <v/>
      </c>
      <c r="F1774">
        <f>IF(A1774="","",SUMIFS(المبيعات!$H$2:$H$2000,المبيعات!$C$2:$C$2000,A1774,المبيعات!$J$2:$J$2000,"آجل"))</f>
        <v/>
      </c>
      <c r="G1774" s="4" t="n"/>
      <c r="H1774">
        <f>IF(A1774="","",F1774-G1774)</f>
        <v/>
      </c>
    </row>
    <row r="1775">
      <c r="A1775" s="4" t="n"/>
      <c r="B1775" s="4" t="n"/>
      <c r="C1775">
        <f>IF(A1775="","",SUMPRODUCT((المبيعات!$C$2:$C$2000=A1775)*(المبيعات!$B$2:$B$2000&lt;&gt;"")/COUNTIFS(المبيعات!$B$2:$B$2000,المبيعات!$B$2:$B$2000&amp;"",المبيعات!$C$2:$C$2000,المبيعات!$C$2:$C$2000&amp;"")))</f>
        <v/>
      </c>
      <c r="D1775">
        <f>IF(A1775="","",SUMIFS(المبيعات!$H$2:$H$2000,المبيعات!$C$2:$C$2000,A1775))</f>
        <v/>
      </c>
      <c r="E1775" s="13">
        <f>IF(A1775="","",IF(COUNTIF(المبيعات!$C$2:$C$2000,A1775)=0,"",_xlfn.MAXIFS(المبيعات!$A$2:$A$2000,المبيعات!$C$2:$C$2000,A1775)))</f>
        <v/>
      </c>
      <c r="F1775">
        <f>IF(A1775="","",SUMIFS(المبيعات!$H$2:$H$2000,المبيعات!$C$2:$C$2000,A1775,المبيعات!$J$2:$J$2000,"آجل"))</f>
        <v/>
      </c>
      <c r="G1775" s="4" t="n"/>
      <c r="H1775">
        <f>IF(A1775="","",F1775-G1775)</f>
        <v/>
      </c>
    </row>
    <row r="1776">
      <c r="A1776" s="4" t="n"/>
      <c r="B1776" s="4" t="n"/>
      <c r="C1776">
        <f>IF(A1776="","",SUMPRODUCT((المبيعات!$C$2:$C$2000=A1776)*(المبيعات!$B$2:$B$2000&lt;&gt;"")/COUNTIFS(المبيعات!$B$2:$B$2000,المبيعات!$B$2:$B$2000&amp;"",المبيعات!$C$2:$C$2000,المبيعات!$C$2:$C$2000&amp;"")))</f>
        <v/>
      </c>
      <c r="D1776">
        <f>IF(A1776="","",SUMIFS(المبيعات!$H$2:$H$2000,المبيعات!$C$2:$C$2000,A1776))</f>
        <v/>
      </c>
      <c r="E1776" s="13">
        <f>IF(A1776="","",IF(COUNTIF(المبيعات!$C$2:$C$2000,A1776)=0,"",_xlfn.MAXIFS(المبيعات!$A$2:$A$2000,المبيعات!$C$2:$C$2000,A1776)))</f>
        <v/>
      </c>
      <c r="F1776">
        <f>IF(A1776="","",SUMIFS(المبيعات!$H$2:$H$2000,المبيعات!$C$2:$C$2000,A1776,المبيعات!$J$2:$J$2000,"آجل"))</f>
        <v/>
      </c>
      <c r="G1776" s="4" t="n"/>
      <c r="H1776">
        <f>IF(A1776="","",F1776-G1776)</f>
        <v/>
      </c>
    </row>
    <row r="1777">
      <c r="A1777" s="4" t="n"/>
      <c r="B1777" s="4" t="n"/>
      <c r="C1777">
        <f>IF(A1777="","",SUMPRODUCT((المبيعات!$C$2:$C$2000=A1777)*(المبيعات!$B$2:$B$2000&lt;&gt;"")/COUNTIFS(المبيعات!$B$2:$B$2000,المبيعات!$B$2:$B$2000&amp;"",المبيعات!$C$2:$C$2000,المبيعات!$C$2:$C$2000&amp;"")))</f>
        <v/>
      </c>
      <c r="D1777">
        <f>IF(A1777="","",SUMIFS(المبيعات!$H$2:$H$2000,المبيعات!$C$2:$C$2000,A1777))</f>
        <v/>
      </c>
      <c r="E1777" s="13">
        <f>IF(A1777="","",IF(COUNTIF(المبيعات!$C$2:$C$2000,A1777)=0,"",_xlfn.MAXIFS(المبيعات!$A$2:$A$2000,المبيعات!$C$2:$C$2000,A1777)))</f>
        <v/>
      </c>
      <c r="F1777">
        <f>IF(A1777="","",SUMIFS(المبيعات!$H$2:$H$2000,المبيعات!$C$2:$C$2000,A1777,المبيعات!$J$2:$J$2000,"آجل"))</f>
        <v/>
      </c>
      <c r="G1777" s="4" t="n"/>
      <c r="H1777">
        <f>IF(A1777="","",F1777-G1777)</f>
        <v/>
      </c>
    </row>
    <row r="1778">
      <c r="A1778" s="4" t="n"/>
      <c r="B1778" s="4" t="n"/>
      <c r="C1778">
        <f>IF(A1778="","",SUMPRODUCT((المبيعات!$C$2:$C$2000=A1778)*(المبيعات!$B$2:$B$2000&lt;&gt;"")/COUNTIFS(المبيعات!$B$2:$B$2000,المبيعات!$B$2:$B$2000&amp;"",المبيعات!$C$2:$C$2000,المبيعات!$C$2:$C$2000&amp;"")))</f>
        <v/>
      </c>
      <c r="D1778">
        <f>IF(A1778="","",SUMIFS(المبيعات!$H$2:$H$2000,المبيعات!$C$2:$C$2000,A1778))</f>
        <v/>
      </c>
      <c r="E1778" s="13">
        <f>IF(A1778="","",IF(COUNTIF(المبيعات!$C$2:$C$2000,A1778)=0,"",_xlfn.MAXIFS(المبيعات!$A$2:$A$2000,المبيعات!$C$2:$C$2000,A1778)))</f>
        <v/>
      </c>
      <c r="F1778">
        <f>IF(A1778="","",SUMIFS(المبيعات!$H$2:$H$2000,المبيعات!$C$2:$C$2000,A1778,المبيعات!$J$2:$J$2000,"آجل"))</f>
        <v/>
      </c>
      <c r="G1778" s="4" t="n"/>
      <c r="H1778">
        <f>IF(A1778="","",F1778-G1778)</f>
        <v/>
      </c>
    </row>
    <row r="1779">
      <c r="A1779" s="4" t="n"/>
      <c r="B1779" s="4" t="n"/>
      <c r="C1779">
        <f>IF(A1779="","",SUMPRODUCT((المبيعات!$C$2:$C$2000=A1779)*(المبيعات!$B$2:$B$2000&lt;&gt;"")/COUNTIFS(المبيعات!$B$2:$B$2000,المبيعات!$B$2:$B$2000&amp;"",المبيعات!$C$2:$C$2000,المبيعات!$C$2:$C$2000&amp;"")))</f>
        <v/>
      </c>
      <c r="D1779">
        <f>IF(A1779="","",SUMIFS(المبيعات!$H$2:$H$2000,المبيعات!$C$2:$C$2000,A1779))</f>
        <v/>
      </c>
      <c r="E1779" s="13">
        <f>IF(A1779="","",IF(COUNTIF(المبيعات!$C$2:$C$2000,A1779)=0,"",_xlfn.MAXIFS(المبيعات!$A$2:$A$2000,المبيعات!$C$2:$C$2000,A1779)))</f>
        <v/>
      </c>
      <c r="F1779">
        <f>IF(A1779="","",SUMIFS(المبيعات!$H$2:$H$2000,المبيعات!$C$2:$C$2000,A1779,المبيعات!$J$2:$J$2000,"آجل"))</f>
        <v/>
      </c>
      <c r="G1779" s="4" t="n"/>
      <c r="H1779">
        <f>IF(A1779="","",F1779-G1779)</f>
        <v/>
      </c>
    </row>
    <row r="1780">
      <c r="A1780" s="4" t="n"/>
      <c r="B1780" s="4" t="n"/>
      <c r="C1780">
        <f>IF(A1780="","",SUMPRODUCT((المبيعات!$C$2:$C$2000=A1780)*(المبيعات!$B$2:$B$2000&lt;&gt;"")/COUNTIFS(المبيعات!$B$2:$B$2000,المبيعات!$B$2:$B$2000&amp;"",المبيعات!$C$2:$C$2000,المبيعات!$C$2:$C$2000&amp;"")))</f>
        <v/>
      </c>
      <c r="D1780">
        <f>IF(A1780="","",SUMIFS(المبيعات!$H$2:$H$2000,المبيعات!$C$2:$C$2000,A1780))</f>
        <v/>
      </c>
      <c r="E1780" s="13">
        <f>IF(A1780="","",IF(COUNTIF(المبيعات!$C$2:$C$2000,A1780)=0,"",_xlfn.MAXIFS(المبيعات!$A$2:$A$2000,المبيعات!$C$2:$C$2000,A1780)))</f>
        <v/>
      </c>
      <c r="F1780">
        <f>IF(A1780="","",SUMIFS(المبيعات!$H$2:$H$2000,المبيعات!$C$2:$C$2000,A1780,المبيعات!$J$2:$J$2000,"آجل"))</f>
        <v/>
      </c>
      <c r="G1780" s="4" t="n"/>
      <c r="H1780">
        <f>IF(A1780="","",F1780-G1780)</f>
        <v/>
      </c>
    </row>
    <row r="1781">
      <c r="A1781" s="4" t="n"/>
      <c r="B1781" s="4" t="n"/>
      <c r="C1781">
        <f>IF(A1781="","",SUMPRODUCT((المبيعات!$C$2:$C$2000=A1781)*(المبيعات!$B$2:$B$2000&lt;&gt;"")/COUNTIFS(المبيعات!$B$2:$B$2000,المبيعات!$B$2:$B$2000&amp;"",المبيعات!$C$2:$C$2000,المبيعات!$C$2:$C$2000&amp;"")))</f>
        <v/>
      </c>
      <c r="D1781">
        <f>IF(A1781="","",SUMIFS(المبيعات!$H$2:$H$2000,المبيعات!$C$2:$C$2000,A1781))</f>
        <v/>
      </c>
      <c r="E1781" s="13">
        <f>IF(A1781="","",IF(COUNTIF(المبيعات!$C$2:$C$2000,A1781)=0,"",_xlfn.MAXIFS(المبيعات!$A$2:$A$2000,المبيعات!$C$2:$C$2000,A1781)))</f>
        <v/>
      </c>
      <c r="F1781">
        <f>IF(A1781="","",SUMIFS(المبيعات!$H$2:$H$2000,المبيعات!$C$2:$C$2000,A1781,المبيعات!$J$2:$J$2000,"آجل"))</f>
        <v/>
      </c>
      <c r="G1781" s="4" t="n"/>
      <c r="H1781">
        <f>IF(A1781="","",F1781-G1781)</f>
        <v/>
      </c>
    </row>
    <row r="1782">
      <c r="A1782" s="4" t="n"/>
      <c r="B1782" s="4" t="n"/>
      <c r="C1782">
        <f>IF(A1782="","",SUMPRODUCT((المبيعات!$C$2:$C$2000=A1782)*(المبيعات!$B$2:$B$2000&lt;&gt;"")/COUNTIFS(المبيعات!$B$2:$B$2000,المبيعات!$B$2:$B$2000&amp;"",المبيعات!$C$2:$C$2000,المبيعات!$C$2:$C$2000&amp;"")))</f>
        <v/>
      </c>
      <c r="D1782">
        <f>IF(A1782="","",SUMIFS(المبيعات!$H$2:$H$2000,المبيعات!$C$2:$C$2000,A1782))</f>
        <v/>
      </c>
      <c r="E1782" s="13">
        <f>IF(A1782="","",IF(COUNTIF(المبيعات!$C$2:$C$2000,A1782)=0,"",_xlfn.MAXIFS(المبيعات!$A$2:$A$2000,المبيعات!$C$2:$C$2000,A1782)))</f>
        <v/>
      </c>
      <c r="F1782">
        <f>IF(A1782="","",SUMIFS(المبيعات!$H$2:$H$2000,المبيعات!$C$2:$C$2000,A1782,المبيعات!$J$2:$J$2000,"آجل"))</f>
        <v/>
      </c>
      <c r="G1782" s="4" t="n"/>
      <c r="H1782">
        <f>IF(A1782="","",F1782-G1782)</f>
        <v/>
      </c>
    </row>
    <row r="1783">
      <c r="A1783" s="4" t="n"/>
      <c r="B1783" s="4" t="n"/>
      <c r="C1783">
        <f>IF(A1783="","",SUMPRODUCT((المبيعات!$C$2:$C$2000=A1783)*(المبيعات!$B$2:$B$2000&lt;&gt;"")/COUNTIFS(المبيعات!$B$2:$B$2000,المبيعات!$B$2:$B$2000&amp;"",المبيعات!$C$2:$C$2000,المبيعات!$C$2:$C$2000&amp;"")))</f>
        <v/>
      </c>
      <c r="D1783">
        <f>IF(A1783="","",SUMIFS(المبيعات!$H$2:$H$2000,المبيعات!$C$2:$C$2000,A1783))</f>
        <v/>
      </c>
      <c r="E1783" s="13">
        <f>IF(A1783="","",IF(COUNTIF(المبيعات!$C$2:$C$2000,A1783)=0,"",_xlfn.MAXIFS(المبيعات!$A$2:$A$2000,المبيعات!$C$2:$C$2000,A1783)))</f>
        <v/>
      </c>
      <c r="F1783">
        <f>IF(A1783="","",SUMIFS(المبيعات!$H$2:$H$2000,المبيعات!$C$2:$C$2000,A1783,المبيعات!$J$2:$J$2000,"آجل"))</f>
        <v/>
      </c>
      <c r="G1783" s="4" t="n"/>
      <c r="H1783">
        <f>IF(A1783="","",F1783-G1783)</f>
        <v/>
      </c>
    </row>
    <row r="1784">
      <c r="A1784" s="4" t="n"/>
      <c r="B1784" s="4" t="n"/>
      <c r="C1784">
        <f>IF(A1784="","",SUMPRODUCT((المبيعات!$C$2:$C$2000=A1784)*(المبيعات!$B$2:$B$2000&lt;&gt;"")/COUNTIFS(المبيعات!$B$2:$B$2000,المبيعات!$B$2:$B$2000&amp;"",المبيعات!$C$2:$C$2000,المبيعات!$C$2:$C$2000&amp;"")))</f>
        <v/>
      </c>
      <c r="D1784">
        <f>IF(A1784="","",SUMIFS(المبيعات!$H$2:$H$2000,المبيعات!$C$2:$C$2000,A1784))</f>
        <v/>
      </c>
      <c r="E1784" s="13">
        <f>IF(A1784="","",IF(COUNTIF(المبيعات!$C$2:$C$2000,A1784)=0,"",_xlfn.MAXIFS(المبيعات!$A$2:$A$2000,المبيعات!$C$2:$C$2000,A1784)))</f>
        <v/>
      </c>
      <c r="F1784">
        <f>IF(A1784="","",SUMIFS(المبيعات!$H$2:$H$2000,المبيعات!$C$2:$C$2000,A1784,المبيعات!$J$2:$J$2000,"آجل"))</f>
        <v/>
      </c>
      <c r="G1784" s="4" t="n"/>
      <c r="H1784">
        <f>IF(A1784="","",F1784-G1784)</f>
        <v/>
      </c>
    </row>
    <row r="1785">
      <c r="A1785" s="4" t="n"/>
      <c r="B1785" s="4" t="n"/>
      <c r="C1785">
        <f>IF(A1785="","",SUMPRODUCT((المبيعات!$C$2:$C$2000=A1785)*(المبيعات!$B$2:$B$2000&lt;&gt;"")/COUNTIFS(المبيعات!$B$2:$B$2000,المبيعات!$B$2:$B$2000&amp;"",المبيعات!$C$2:$C$2000,المبيعات!$C$2:$C$2000&amp;"")))</f>
        <v/>
      </c>
      <c r="D1785">
        <f>IF(A1785="","",SUMIFS(المبيعات!$H$2:$H$2000,المبيعات!$C$2:$C$2000,A1785))</f>
        <v/>
      </c>
      <c r="E1785" s="13">
        <f>IF(A1785="","",IF(COUNTIF(المبيعات!$C$2:$C$2000,A1785)=0,"",_xlfn.MAXIFS(المبيعات!$A$2:$A$2000,المبيعات!$C$2:$C$2000,A1785)))</f>
        <v/>
      </c>
      <c r="F1785">
        <f>IF(A1785="","",SUMIFS(المبيعات!$H$2:$H$2000,المبيعات!$C$2:$C$2000,A1785,المبيعات!$J$2:$J$2000,"آجل"))</f>
        <v/>
      </c>
      <c r="G1785" s="4" t="n"/>
      <c r="H1785">
        <f>IF(A1785="","",F1785-G1785)</f>
        <v/>
      </c>
    </row>
    <row r="1786">
      <c r="A1786" s="4" t="n"/>
      <c r="B1786" s="4" t="n"/>
      <c r="C1786">
        <f>IF(A1786="","",SUMPRODUCT((المبيعات!$C$2:$C$2000=A1786)*(المبيعات!$B$2:$B$2000&lt;&gt;"")/COUNTIFS(المبيعات!$B$2:$B$2000,المبيعات!$B$2:$B$2000&amp;"",المبيعات!$C$2:$C$2000,المبيعات!$C$2:$C$2000&amp;"")))</f>
        <v/>
      </c>
      <c r="D1786">
        <f>IF(A1786="","",SUMIFS(المبيعات!$H$2:$H$2000,المبيعات!$C$2:$C$2000,A1786))</f>
        <v/>
      </c>
      <c r="E1786" s="13">
        <f>IF(A1786="","",IF(COUNTIF(المبيعات!$C$2:$C$2000,A1786)=0,"",_xlfn.MAXIFS(المبيعات!$A$2:$A$2000,المبيعات!$C$2:$C$2000,A1786)))</f>
        <v/>
      </c>
      <c r="F1786">
        <f>IF(A1786="","",SUMIFS(المبيعات!$H$2:$H$2000,المبيعات!$C$2:$C$2000,A1786,المبيعات!$J$2:$J$2000,"آجل"))</f>
        <v/>
      </c>
      <c r="G1786" s="4" t="n"/>
      <c r="H1786">
        <f>IF(A1786="","",F1786-G1786)</f>
        <v/>
      </c>
    </row>
    <row r="1787">
      <c r="A1787" s="4" t="n"/>
      <c r="B1787" s="4" t="n"/>
      <c r="C1787">
        <f>IF(A1787="","",SUMPRODUCT((المبيعات!$C$2:$C$2000=A1787)*(المبيعات!$B$2:$B$2000&lt;&gt;"")/COUNTIFS(المبيعات!$B$2:$B$2000,المبيعات!$B$2:$B$2000&amp;"",المبيعات!$C$2:$C$2000,المبيعات!$C$2:$C$2000&amp;"")))</f>
        <v/>
      </c>
      <c r="D1787">
        <f>IF(A1787="","",SUMIFS(المبيعات!$H$2:$H$2000,المبيعات!$C$2:$C$2000,A1787))</f>
        <v/>
      </c>
      <c r="E1787" s="13">
        <f>IF(A1787="","",IF(COUNTIF(المبيعات!$C$2:$C$2000,A1787)=0,"",_xlfn.MAXIFS(المبيعات!$A$2:$A$2000,المبيعات!$C$2:$C$2000,A1787)))</f>
        <v/>
      </c>
      <c r="F1787">
        <f>IF(A1787="","",SUMIFS(المبيعات!$H$2:$H$2000,المبيعات!$C$2:$C$2000,A1787,المبيعات!$J$2:$J$2000,"آجل"))</f>
        <v/>
      </c>
      <c r="G1787" s="4" t="n"/>
      <c r="H1787">
        <f>IF(A1787="","",F1787-G1787)</f>
        <v/>
      </c>
    </row>
    <row r="1788">
      <c r="A1788" s="4" t="n"/>
      <c r="B1788" s="4" t="n"/>
      <c r="C1788">
        <f>IF(A1788="","",SUMPRODUCT((المبيعات!$C$2:$C$2000=A1788)*(المبيعات!$B$2:$B$2000&lt;&gt;"")/COUNTIFS(المبيعات!$B$2:$B$2000,المبيعات!$B$2:$B$2000&amp;"",المبيعات!$C$2:$C$2000,المبيعات!$C$2:$C$2000&amp;"")))</f>
        <v/>
      </c>
      <c r="D1788">
        <f>IF(A1788="","",SUMIFS(المبيعات!$H$2:$H$2000,المبيعات!$C$2:$C$2000,A1788))</f>
        <v/>
      </c>
      <c r="E1788" s="13">
        <f>IF(A1788="","",IF(COUNTIF(المبيعات!$C$2:$C$2000,A1788)=0,"",_xlfn.MAXIFS(المبيعات!$A$2:$A$2000,المبيعات!$C$2:$C$2000,A1788)))</f>
        <v/>
      </c>
      <c r="F1788">
        <f>IF(A1788="","",SUMIFS(المبيعات!$H$2:$H$2000,المبيعات!$C$2:$C$2000,A1788,المبيعات!$J$2:$J$2000,"آجل"))</f>
        <v/>
      </c>
      <c r="G1788" s="4" t="n"/>
      <c r="H1788">
        <f>IF(A1788="","",F1788-G1788)</f>
        <v/>
      </c>
    </row>
    <row r="1789">
      <c r="A1789" s="4" t="n"/>
      <c r="B1789" s="4" t="n"/>
      <c r="C1789">
        <f>IF(A1789="","",SUMPRODUCT((المبيعات!$C$2:$C$2000=A1789)*(المبيعات!$B$2:$B$2000&lt;&gt;"")/COUNTIFS(المبيعات!$B$2:$B$2000,المبيعات!$B$2:$B$2000&amp;"",المبيعات!$C$2:$C$2000,المبيعات!$C$2:$C$2000&amp;"")))</f>
        <v/>
      </c>
      <c r="D1789">
        <f>IF(A1789="","",SUMIFS(المبيعات!$H$2:$H$2000,المبيعات!$C$2:$C$2000,A1789))</f>
        <v/>
      </c>
      <c r="E1789" s="13">
        <f>IF(A1789="","",IF(COUNTIF(المبيعات!$C$2:$C$2000,A1789)=0,"",_xlfn.MAXIFS(المبيعات!$A$2:$A$2000,المبيعات!$C$2:$C$2000,A1789)))</f>
        <v/>
      </c>
      <c r="F1789">
        <f>IF(A1789="","",SUMIFS(المبيعات!$H$2:$H$2000,المبيعات!$C$2:$C$2000,A1789,المبيعات!$J$2:$J$2000,"آجل"))</f>
        <v/>
      </c>
      <c r="G1789" s="4" t="n"/>
      <c r="H1789">
        <f>IF(A1789="","",F1789-G1789)</f>
        <v/>
      </c>
    </row>
    <row r="1790">
      <c r="A1790" s="4" t="n"/>
      <c r="B1790" s="4" t="n"/>
      <c r="C1790">
        <f>IF(A1790="","",SUMPRODUCT((المبيعات!$C$2:$C$2000=A1790)*(المبيعات!$B$2:$B$2000&lt;&gt;"")/COUNTIFS(المبيعات!$B$2:$B$2000,المبيعات!$B$2:$B$2000&amp;"",المبيعات!$C$2:$C$2000,المبيعات!$C$2:$C$2000&amp;"")))</f>
        <v/>
      </c>
      <c r="D1790">
        <f>IF(A1790="","",SUMIFS(المبيعات!$H$2:$H$2000,المبيعات!$C$2:$C$2000,A1790))</f>
        <v/>
      </c>
      <c r="E1790" s="13">
        <f>IF(A1790="","",IF(COUNTIF(المبيعات!$C$2:$C$2000,A1790)=0,"",_xlfn.MAXIFS(المبيعات!$A$2:$A$2000,المبيعات!$C$2:$C$2000,A1790)))</f>
        <v/>
      </c>
      <c r="F1790">
        <f>IF(A1790="","",SUMIFS(المبيعات!$H$2:$H$2000,المبيعات!$C$2:$C$2000,A1790,المبيعات!$J$2:$J$2000,"آجل"))</f>
        <v/>
      </c>
      <c r="G1790" s="4" t="n"/>
      <c r="H1790">
        <f>IF(A1790="","",F1790-G1790)</f>
        <v/>
      </c>
    </row>
    <row r="1791">
      <c r="A1791" s="4" t="n"/>
      <c r="B1791" s="4" t="n"/>
      <c r="C1791">
        <f>IF(A1791="","",SUMPRODUCT((المبيعات!$C$2:$C$2000=A1791)*(المبيعات!$B$2:$B$2000&lt;&gt;"")/COUNTIFS(المبيعات!$B$2:$B$2000,المبيعات!$B$2:$B$2000&amp;"",المبيعات!$C$2:$C$2000,المبيعات!$C$2:$C$2000&amp;"")))</f>
        <v/>
      </c>
      <c r="D1791">
        <f>IF(A1791="","",SUMIFS(المبيعات!$H$2:$H$2000,المبيعات!$C$2:$C$2000,A1791))</f>
        <v/>
      </c>
      <c r="E1791" s="13">
        <f>IF(A1791="","",IF(COUNTIF(المبيعات!$C$2:$C$2000,A1791)=0,"",_xlfn.MAXIFS(المبيعات!$A$2:$A$2000,المبيعات!$C$2:$C$2000,A1791)))</f>
        <v/>
      </c>
      <c r="F1791">
        <f>IF(A1791="","",SUMIFS(المبيعات!$H$2:$H$2000,المبيعات!$C$2:$C$2000,A1791,المبيعات!$J$2:$J$2000,"آجل"))</f>
        <v/>
      </c>
      <c r="G1791" s="4" t="n"/>
      <c r="H1791">
        <f>IF(A1791="","",F1791-G1791)</f>
        <v/>
      </c>
    </row>
    <row r="1792">
      <c r="A1792" s="4" t="n"/>
      <c r="B1792" s="4" t="n"/>
      <c r="C1792">
        <f>IF(A1792="","",SUMPRODUCT((المبيعات!$C$2:$C$2000=A1792)*(المبيعات!$B$2:$B$2000&lt;&gt;"")/COUNTIFS(المبيعات!$B$2:$B$2000,المبيعات!$B$2:$B$2000&amp;"",المبيعات!$C$2:$C$2000,المبيعات!$C$2:$C$2000&amp;"")))</f>
        <v/>
      </c>
      <c r="D1792">
        <f>IF(A1792="","",SUMIFS(المبيعات!$H$2:$H$2000,المبيعات!$C$2:$C$2000,A1792))</f>
        <v/>
      </c>
      <c r="E1792" s="13">
        <f>IF(A1792="","",IF(COUNTIF(المبيعات!$C$2:$C$2000,A1792)=0,"",_xlfn.MAXIFS(المبيعات!$A$2:$A$2000,المبيعات!$C$2:$C$2000,A1792)))</f>
        <v/>
      </c>
      <c r="F1792">
        <f>IF(A1792="","",SUMIFS(المبيعات!$H$2:$H$2000,المبيعات!$C$2:$C$2000,A1792,المبيعات!$J$2:$J$2000,"آجل"))</f>
        <v/>
      </c>
      <c r="G1792" s="4" t="n"/>
      <c r="H1792">
        <f>IF(A1792="","",F1792-G1792)</f>
        <v/>
      </c>
    </row>
    <row r="1793">
      <c r="A1793" s="4" t="n"/>
      <c r="B1793" s="4" t="n"/>
      <c r="C1793">
        <f>IF(A1793="","",SUMPRODUCT((المبيعات!$C$2:$C$2000=A1793)*(المبيعات!$B$2:$B$2000&lt;&gt;"")/COUNTIFS(المبيعات!$B$2:$B$2000,المبيعات!$B$2:$B$2000&amp;"",المبيعات!$C$2:$C$2000,المبيعات!$C$2:$C$2000&amp;"")))</f>
        <v/>
      </c>
      <c r="D1793">
        <f>IF(A1793="","",SUMIFS(المبيعات!$H$2:$H$2000,المبيعات!$C$2:$C$2000,A1793))</f>
        <v/>
      </c>
      <c r="E1793" s="13">
        <f>IF(A1793="","",IF(COUNTIF(المبيعات!$C$2:$C$2000,A1793)=0,"",_xlfn.MAXIFS(المبيعات!$A$2:$A$2000,المبيعات!$C$2:$C$2000,A1793)))</f>
        <v/>
      </c>
      <c r="F1793">
        <f>IF(A1793="","",SUMIFS(المبيعات!$H$2:$H$2000,المبيعات!$C$2:$C$2000,A1793,المبيعات!$J$2:$J$2000,"آجل"))</f>
        <v/>
      </c>
      <c r="G1793" s="4" t="n"/>
      <c r="H1793">
        <f>IF(A1793="","",F1793-G1793)</f>
        <v/>
      </c>
    </row>
    <row r="1794">
      <c r="A1794" s="4" t="n"/>
      <c r="B1794" s="4" t="n"/>
      <c r="C1794">
        <f>IF(A1794="","",SUMPRODUCT((المبيعات!$C$2:$C$2000=A1794)*(المبيعات!$B$2:$B$2000&lt;&gt;"")/COUNTIFS(المبيعات!$B$2:$B$2000,المبيعات!$B$2:$B$2000&amp;"",المبيعات!$C$2:$C$2000,المبيعات!$C$2:$C$2000&amp;"")))</f>
        <v/>
      </c>
      <c r="D1794">
        <f>IF(A1794="","",SUMIFS(المبيعات!$H$2:$H$2000,المبيعات!$C$2:$C$2000,A1794))</f>
        <v/>
      </c>
      <c r="E1794" s="13">
        <f>IF(A1794="","",IF(COUNTIF(المبيعات!$C$2:$C$2000,A1794)=0,"",_xlfn.MAXIFS(المبيعات!$A$2:$A$2000,المبيعات!$C$2:$C$2000,A1794)))</f>
        <v/>
      </c>
      <c r="F1794">
        <f>IF(A1794="","",SUMIFS(المبيعات!$H$2:$H$2000,المبيعات!$C$2:$C$2000,A1794,المبيعات!$J$2:$J$2000,"آجل"))</f>
        <v/>
      </c>
      <c r="G1794" s="4" t="n"/>
      <c r="H1794">
        <f>IF(A1794="","",F1794-G1794)</f>
        <v/>
      </c>
    </row>
    <row r="1795">
      <c r="A1795" s="4" t="n"/>
      <c r="B1795" s="4" t="n"/>
      <c r="C1795">
        <f>IF(A1795="","",SUMPRODUCT((المبيعات!$C$2:$C$2000=A1795)*(المبيعات!$B$2:$B$2000&lt;&gt;"")/COUNTIFS(المبيعات!$B$2:$B$2000,المبيعات!$B$2:$B$2000&amp;"",المبيعات!$C$2:$C$2000,المبيعات!$C$2:$C$2000&amp;"")))</f>
        <v/>
      </c>
      <c r="D1795">
        <f>IF(A1795="","",SUMIFS(المبيعات!$H$2:$H$2000,المبيعات!$C$2:$C$2000,A1795))</f>
        <v/>
      </c>
      <c r="E1795" s="13">
        <f>IF(A1795="","",IF(COUNTIF(المبيعات!$C$2:$C$2000,A1795)=0,"",_xlfn.MAXIFS(المبيعات!$A$2:$A$2000,المبيعات!$C$2:$C$2000,A1795)))</f>
        <v/>
      </c>
      <c r="F1795">
        <f>IF(A1795="","",SUMIFS(المبيعات!$H$2:$H$2000,المبيعات!$C$2:$C$2000,A1795,المبيعات!$J$2:$J$2000,"آجل"))</f>
        <v/>
      </c>
      <c r="G1795" s="4" t="n"/>
      <c r="H1795">
        <f>IF(A1795="","",F1795-G1795)</f>
        <v/>
      </c>
    </row>
    <row r="1796">
      <c r="A1796" s="4" t="n"/>
      <c r="B1796" s="4" t="n"/>
      <c r="C1796">
        <f>IF(A1796="","",SUMPRODUCT((المبيعات!$C$2:$C$2000=A1796)*(المبيعات!$B$2:$B$2000&lt;&gt;"")/COUNTIFS(المبيعات!$B$2:$B$2000,المبيعات!$B$2:$B$2000&amp;"",المبيعات!$C$2:$C$2000,المبيعات!$C$2:$C$2000&amp;"")))</f>
        <v/>
      </c>
      <c r="D1796">
        <f>IF(A1796="","",SUMIFS(المبيعات!$H$2:$H$2000,المبيعات!$C$2:$C$2000,A1796))</f>
        <v/>
      </c>
      <c r="E1796" s="13">
        <f>IF(A1796="","",IF(COUNTIF(المبيعات!$C$2:$C$2000,A1796)=0,"",_xlfn.MAXIFS(المبيعات!$A$2:$A$2000,المبيعات!$C$2:$C$2000,A1796)))</f>
        <v/>
      </c>
      <c r="F1796">
        <f>IF(A1796="","",SUMIFS(المبيعات!$H$2:$H$2000,المبيعات!$C$2:$C$2000,A1796,المبيعات!$J$2:$J$2000,"آجل"))</f>
        <v/>
      </c>
      <c r="G1796" s="4" t="n"/>
      <c r="H1796">
        <f>IF(A1796="","",F1796-G1796)</f>
        <v/>
      </c>
    </row>
    <row r="1797">
      <c r="A1797" s="4" t="n"/>
      <c r="B1797" s="4" t="n"/>
      <c r="C1797">
        <f>IF(A1797="","",SUMPRODUCT((المبيعات!$C$2:$C$2000=A1797)*(المبيعات!$B$2:$B$2000&lt;&gt;"")/COUNTIFS(المبيعات!$B$2:$B$2000,المبيعات!$B$2:$B$2000&amp;"",المبيعات!$C$2:$C$2000,المبيعات!$C$2:$C$2000&amp;"")))</f>
        <v/>
      </c>
      <c r="D1797">
        <f>IF(A1797="","",SUMIFS(المبيعات!$H$2:$H$2000,المبيعات!$C$2:$C$2000,A1797))</f>
        <v/>
      </c>
      <c r="E1797" s="13">
        <f>IF(A1797="","",IF(COUNTIF(المبيعات!$C$2:$C$2000,A1797)=0,"",_xlfn.MAXIFS(المبيعات!$A$2:$A$2000,المبيعات!$C$2:$C$2000,A1797)))</f>
        <v/>
      </c>
      <c r="F1797">
        <f>IF(A1797="","",SUMIFS(المبيعات!$H$2:$H$2000,المبيعات!$C$2:$C$2000,A1797,المبيعات!$J$2:$J$2000,"آجل"))</f>
        <v/>
      </c>
      <c r="G1797" s="4" t="n"/>
      <c r="H1797">
        <f>IF(A1797="","",F1797-G1797)</f>
        <v/>
      </c>
    </row>
    <row r="1798">
      <c r="A1798" s="4" t="n"/>
      <c r="B1798" s="4" t="n"/>
      <c r="C1798">
        <f>IF(A1798="","",SUMPRODUCT((المبيعات!$C$2:$C$2000=A1798)*(المبيعات!$B$2:$B$2000&lt;&gt;"")/COUNTIFS(المبيعات!$B$2:$B$2000,المبيعات!$B$2:$B$2000&amp;"",المبيعات!$C$2:$C$2000,المبيعات!$C$2:$C$2000&amp;"")))</f>
        <v/>
      </c>
      <c r="D1798">
        <f>IF(A1798="","",SUMIFS(المبيعات!$H$2:$H$2000,المبيعات!$C$2:$C$2000,A1798))</f>
        <v/>
      </c>
      <c r="E1798" s="13">
        <f>IF(A1798="","",IF(COUNTIF(المبيعات!$C$2:$C$2000,A1798)=0,"",_xlfn.MAXIFS(المبيعات!$A$2:$A$2000,المبيعات!$C$2:$C$2000,A1798)))</f>
        <v/>
      </c>
      <c r="F1798">
        <f>IF(A1798="","",SUMIFS(المبيعات!$H$2:$H$2000,المبيعات!$C$2:$C$2000,A1798,المبيعات!$J$2:$J$2000,"آجل"))</f>
        <v/>
      </c>
      <c r="G1798" s="4" t="n"/>
      <c r="H1798">
        <f>IF(A1798="","",F1798-G1798)</f>
        <v/>
      </c>
    </row>
    <row r="1799">
      <c r="A1799" s="4" t="n"/>
      <c r="B1799" s="4" t="n"/>
      <c r="C1799">
        <f>IF(A1799="","",SUMPRODUCT((المبيعات!$C$2:$C$2000=A1799)*(المبيعات!$B$2:$B$2000&lt;&gt;"")/COUNTIFS(المبيعات!$B$2:$B$2000,المبيعات!$B$2:$B$2000&amp;"",المبيعات!$C$2:$C$2000,المبيعات!$C$2:$C$2000&amp;"")))</f>
        <v/>
      </c>
      <c r="D1799">
        <f>IF(A1799="","",SUMIFS(المبيعات!$H$2:$H$2000,المبيعات!$C$2:$C$2000,A1799))</f>
        <v/>
      </c>
      <c r="E1799" s="13">
        <f>IF(A1799="","",IF(COUNTIF(المبيعات!$C$2:$C$2000,A1799)=0,"",_xlfn.MAXIFS(المبيعات!$A$2:$A$2000,المبيعات!$C$2:$C$2000,A1799)))</f>
        <v/>
      </c>
      <c r="F1799">
        <f>IF(A1799="","",SUMIFS(المبيعات!$H$2:$H$2000,المبيعات!$C$2:$C$2000,A1799,المبيعات!$J$2:$J$2000,"آجل"))</f>
        <v/>
      </c>
      <c r="G1799" s="4" t="n"/>
      <c r="H1799">
        <f>IF(A1799="","",F1799-G1799)</f>
        <v/>
      </c>
    </row>
    <row r="1800">
      <c r="A1800" s="4" t="n"/>
      <c r="B1800" s="4" t="n"/>
      <c r="C1800">
        <f>IF(A1800="","",SUMPRODUCT((المبيعات!$C$2:$C$2000=A1800)*(المبيعات!$B$2:$B$2000&lt;&gt;"")/COUNTIFS(المبيعات!$B$2:$B$2000,المبيعات!$B$2:$B$2000&amp;"",المبيعات!$C$2:$C$2000,المبيعات!$C$2:$C$2000&amp;"")))</f>
        <v/>
      </c>
      <c r="D1800">
        <f>IF(A1800="","",SUMIFS(المبيعات!$H$2:$H$2000,المبيعات!$C$2:$C$2000,A1800))</f>
        <v/>
      </c>
      <c r="E1800" s="13">
        <f>IF(A1800="","",IF(COUNTIF(المبيعات!$C$2:$C$2000,A1800)=0,"",_xlfn.MAXIFS(المبيعات!$A$2:$A$2000,المبيعات!$C$2:$C$2000,A1800)))</f>
        <v/>
      </c>
      <c r="F1800">
        <f>IF(A1800="","",SUMIFS(المبيعات!$H$2:$H$2000,المبيعات!$C$2:$C$2000,A1800,المبيعات!$J$2:$J$2000,"آجل"))</f>
        <v/>
      </c>
      <c r="G1800" s="4" t="n"/>
      <c r="H1800">
        <f>IF(A1800="","",F1800-G1800)</f>
        <v/>
      </c>
    </row>
    <row r="1801">
      <c r="A1801" s="4" t="n"/>
      <c r="B1801" s="4" t="n"/>
      <c r="C1801">
        <f>IF(A1801="","",SUMPRODUCT((المبيعات!$C$2:$C$2000=A1801)*(المبيعات!$B$2:$B$2000&lt;&gt;"")/COUNTIFS(المبيعات!$B$2:$B$2000,المبيعات!$B$2:$B$2000&amp;"",المبيعات!$C$2:$C$2000,المبيعات!$C$2:$C$2000&amp;"")))</f>
        <v/>
      </c>
      <c r="D1801">
        <f>IF(A1801="","",SUMIFS(المبيعات!$H$2:$H$2000,المبيعات!$C$2:$C$2000,A1801))</f>
        <v/>
      </c>
      <c r="E1801" s="13">
        <f>IF(A1801="","",IF(COUNTIF(المبيعات!$C$2:$C$2000,A1801)=0,"",_xlfn.MAXIFS(المبيعات!$A$2:$A$2000,المبيعات!$C$2:$C$2000,A1801)))</f>
        <v/>
      </c>
      <c r="F1801">
        <f>IF(A1801="","",SUMIFS(المبيعات!$H$2:$H$2000,المبيعات!$C$2:$C$2000,A1801,المبيعات!$J$2:$J$2000,"آجل"))</f>
        <v/>
      </c>
      <c r="G1801" s="4" t="n"/>
      <c r="H1801">
        <f>IF(A1801="","",F1801-G1801)</f>
        <v/>
      </c>
    </row>
    <row r="1802">
      <c r="A1802" s="4" t="n"/>
      <c r="B1802" s="4" t="n"/>
      <c r="C1802">
        <f>IF(A1802="","",SUMPRODUCT((المبيعات!$C$2:$C$2000=A1802)*(المبيعات!$B$2:$B$2000&lt;&gt;"")/COUNTIFS(المبيعات!$B$2:$B$2000,المبيعات!$B$2:$B$2000&amp;"",المبيعات!$C$2:$C$2000,المبيعات!$C$2:$C$2000&amp;"")))</f>
        <v/>
      </c>
      <c r="D1802">
        <f>IF(A1802="","",SUMIFS(المبيعات!$H$2:$H$2000,المبيعات!$C$2:$C$2000,A1802))</f>
        <v/>
      </c>
      <c r="E1802" s="13">
        <f>IF(A1802="","",IF(COUNTIF(المبيعات!$C$2:$C$2000,A1802)=0,"",_xlfn.MAXIFS(المبيعات!$A$2:$A$2000,المبيعات!$C$2:$C$2000,A1802)))</f>
        <v/>
      </c>
      <c r="F1802">
        <f>IF(A1802="","",SUMIFS(المبيعات!$H$2:$H$2000,المبيعات!$C$2:$C$2000,A1802,المبيعات!$J$2:$J$2000,"آجل"))</f>
        <v/>
      </c>
      <c r="G1802" s="4" t="n"/>
      <c r="H1802">
        <f>IF(A1802="","",F1802-G1802)</f>
        <v/>
      </c>
    </row>
    <row r="1803">
      <c r="A1803" s="4" t="n"/>
      <c r="B1803" s="4" t="n"/>
      <c r="C1803">
        <f>IF(A1803="","",SUMPRODUCT((المبيعات!$C$2:$C$2000=A1803)*(المبيعات!$B$2:$B$2000&lt;&gt;"")/COUNTIFS(المبيعات!$B$2:$B$2000,المبيعات!$B$2:$B$2000&amp;"",المبيعات!$C$2:$C$2000,المبيعات!$C$2:$C$2000&amp;"")))</f>
        <v/>
      </c>
      <c r="D1803">
        <f>IF(A1803="","",SUMIFS(المبيعات!$H$2:$H$2000,المبيعات!$C$2:$C$2000,A1803))</f>
        <v/>
      </c>
      <c r="E1803" s="13">
        <f>IF(A1803="","",IF(COUNTIF(المبيعات!$C$2:$C$2000,A1803)=0,"",_xlfn.MAXIFS(المبيعات!$A$2:$A$2000,المبيعات!$C$2:$C$2000,A1803)))</f>
        <v/>
      </c>
      <c r="F1803">
        <f>IF(A1803="","",SUMIFS(المبيعات!$H$2:$H$2000,المبيعات!$C$2:$C$2000,A1803,المبيعات!$J$2:$J$2000,"آجل"))</f>
        <v/>
      </c>
      <c r="G1803" s="4" t="n"/>
      <c r="H1803">
        <f>IF(A1803="","",F1803-G1803)</f>
        <v/>
      </c>
    </row>
    <row r="1804">
      <c r="A1804" s="4" t="n"/>
      <c r="B1804" s="4" t="n"/>
      <c r="C1804">
        <f>IF(A1804="","",SUMPRODUCT((المبيعات!$C$2:$C$2000=A1804)*(المبيعات!$B$2:$B$2000&lt;&gt;"")/COUNTIFS(المبيعات!$B$2:$B$2000,المبيعات!$B$2:$B$2000&amp;"",المبيعات!$C$2:$C$2000,المبيعات!$C$2:$C$2000&amp;"")))</f>
        <v/>
      </c>
      <c r="D1804">
        <f>IF(A1804="","",SUMIFS(المبيعات!$H$2:$H$2000,المبيعات!$C$2:$C$2000,A1804))</f>
        <v/>
      </c>
      <c r="E1804" s="13">
        <f>IF(A1804="","",IF(COUNTIF(المبيعات!$C$2:$C$2000,A1804)=0,"",_xlfn.MAXIFS(المبيعات!$A$2:$A$2000,المبيعات!$C$2:$C$2000,A1804)))</f>
        <v/>
      </c>
      <c r="F1804">
        <f>IF(A1804="","",SUMIFS(المبيعات!$H$2:$H$2000,المبيعات!$C$2:$C$2000,A1804,المبيعات!$J$2:$J$2000,"آجل"))</f>
        <v/>
      </c>
      <c r="G1804" s="4" t="n"/>
      <c r="H1804">
        <f>IF(A1804="","",F1804-G1804)</f>
        <v/>
      </c>
    </row>
    <row r="1805">
      <c r="A1805" s="4" t="n"/>
      <c r="B1805" s="4" t="n"/>
      <c r="C1805">
        <f>IF(A1805="","",SUMPRODUCT((المبيعات!$C$2:$C$2000=A1805)*(المبيعات!$B$2:$B$2000&lt;&gt;"")/COUNTIFS(المبيعات!$B$2:$B$2000,المبيعات!$B$2:$B$2000&amp;"",المبيعات!$C$2:$C$2000,المبيعات!$C$2:$C$2000&amp;"")))</f>
        <v/>
      </c>
      <c r="D1805">
        <f>IF(A1805="","",SUMIFS(المبيعات!$H$2:$H$2000,المبيعات!$C$2:$C$2000,A1805))</f>
        <v/>
      </c>
      <c r="E1805" s="13">
        <f>IF(A1805="","",IF(COUNTIF(المبيعات!$C$2:$C$2000,A1805)=0,"",_xlfn.MAXIFS(المبيعات!$A$2:$A$2000,المبيعات!$C$2:$C$2000,A1805)))</f>
        <v/>
      </c>
      <c r="F1805">
        <f>IF(A1805="","",SUMIFS(المبيعات!$H$2:$H$2000,المبيعات!$C$2:$C$2000,A1805,المبيعات!$J$2:$J$2000,"آجل"))</f>
        <v/>
      </c>
      <c r="G1805" s="4" t="n"/>
      <c r="H1805">
        <f>IF(A1805="","",F1805-G1805)</f>
        <v/>
      </c>
    </row>
    <row r="1806">
      <c r="A1806" s="4" t="n"/>
      <c r="B1806" s="4" t="n"/>
      <c r="C1806">
        <f>IF(A1806="","",SUMPRODUCT((المبيعات!$C$2:$C$2000=A1806)*(المبيعات!$B$2:$B$2000&lt;&gt;"")/COUNTIFS(المبيعات!$B$2:$B$2000,المبيعات!$B$2:$B$2000&amp;"",المبيعات!$C$2:$C$2000,المبيعات!$C$2:$C$2000&amp;"")))</f>
        <v/>
      </c>
      <c r="D1806">
        <f>IF(A1806="","",SUMIFS(المبيعات!$H$2:$H$2000,المبيعات!$C$2:$C$2000,A1806))</f>
        <v/>
      </c>
      <c r="E1806" s="13">
        <f>IF(A1806="","",IF(COUNTIF(المبيعات!$C$2:$C$2000,A1806)=0,"",_xlfn.MAXIFS(المبيعات!$A$2:$A$2000,المبيعات!$C$2:$C$2000,A1806)))</f>
        <v/>
      </c>
      <c r="F1806">
        <f>IF(A1806="","",SUMIFS(المبيعات!$H$2:$H$2000,المبيعات!$C$2:$C$2000,A1806,المبيعات!$J$2:$J$2000,"آجل"))</f>
        <v/>
      </c>
      <c r="G1806" s="4" t="n"/>
      <c r="H1806">
        <f>IF(A1806="","",F1806-G1806)</f>
        <v/>
      </c>
    </row>
    <row r="1807">
      <c r="A1807" s="4" t="n"/>
      <c r="B1807" s="4" t="n"/>
      <c r="C1807">
        <f>IF(A1807="","",SUMPRODUCT((المبيعات!$C$2:$C$2000=A1807)*(المبيعات!$B$2:$B$2000&lt;&gt;"")/COUNTIFS(المبيعات!$B$2:$B$2000,المبيعات!$B$2:$B$2000&amp;"",المبيعات!$C$2:$C$2000,المبيعات!$C$2:$C$2000&amp;"")))</f>
        <v/>
      </c>
      <c r="D1807">
        <f>IF(A1807="","",SUMIFS(المبيعات!$H$2:$H$2000,المبيعات!$C$2:$C$2000,A1807))</f>
        <v/>
      </c>
      <c r="E1807" s="13">
        <f>IF(A1807="","",IF(COUNTIF(المبيعات!$C$2:$C$2000,A1807)=0,"",_xlfn.MAXIFS(المبيعات!$A$2:$A$2000,المبيعات!$C$2:$C$2000,A1807)))</f>
        <v/>
      </c>
      <c r="F1807">
        <f>IF(A1807="","",SUMIFS(المبيعات!$H$2:$H$2000,المبيعات!$C$2:$C$2000,A1807,المبيعات!$J$2:$J$2000,"آجل"))</f>
        <v/>
      </c>
      <c r="G1807" s="4" t="n"/>
      <c r="H1807">
        <f>IF(A1807="","",F1807-G1807)</f>
        <v/>
      </c>
    </row>
    <row r="1808">
      <c r="A1808" s="4" t="n"/>
      <c r="B1808" s="4" t="n"/>
      <c r="C1808">
        <f>IF(A1808="","",SUMPRODUCT((المبيعات!$C$2:$C$2000=A1808)*(المبيعات!$B$2:$B$2000&lt;&gt;"")/COUNTIFS(المبيعات!$B$2:$B$2000,المبيعات!$B$2:$B$2000&amp;"",المبيعات!$C$2:$C$2000,المبيعات!$C$2:$C$2000&amp;"")))</f>
        <v/>
      </c>
      <c r="D1808">
        <f>IF(A1808="","",SUMIFS(المبيعات!$H$2:$H$2000,المبيعات!$C$2:$C$2000,A1808))</f>
        <v/>
      </c>
      <c r="E1808" s="13">
        <f>IF(A1808="","",IF(COUNTIF(المبيعات!$C$2:$C$2000,A1808)=0,"",_xlfn.MAXIFS(المبيعات!$A$2:$A$2000,المبيعات!$C$2:$C$2000,A1808)))</f>
        <v/>
      </c>
      <c r="F1808">
        <f>IF(A1808="","",SUMIFS(المبيعات!$H$2:$H$2000,المبيعات!$C$2:$C$2000,A1808,المبيعات!$J$2:$J$2000,"آجل"))</f>
        <v/>
      </c>
      <c r="G1808" s="4" t="n"/>
      <c r="H1808">
        <f>IF(A1808="","",F1808-G1808)</f>
        <v/>
      </c>
    </row>
    <row r="1809">
      <c r="A1809" s="4" t="n"/>
      <c r="B1809" s="4" t="n"/>
      <c r="C1809">
        <f>IF(A1809="","",SUMPRODUCT((المبيعات!$C$2:$C$2000=A1809)*(المبيعات!$B$2:$B$2000&lt;&gt;"")/COUNTIFS(المبيعات!$B$2:$B$2000,المبيعات!$B$2:$B$2000&amp;"",المبيعات!$C$2:$C$2000,المبيعات!$C$2:$C$2000&amp;"")))</f>
        <v/>
      </c>
      <c r="D1809">
        <f>IF(A1809="","",SUMIFS(المبيعات!$H$2:$H$2000,المبيعات!$C$2:$C$2000,A1809))</f>
        <v/>
      </c>
      <c r="E1809" s="13">
        <f>IF(A1809="","",IF(COUNTIF(المبيعات!$C$2:$C$2000,A1809)=0,"",_xlfn.MAXIFS(المبيعات!$A$2:$A$2000,المبيعات!$C$2:$C$2000,A1809)))</f>
        <v/>
      </c>
      <c r="F1809">
        <f>IF(A1809="","",SUMIFS(المبيعات!$H$2:$H$2000,المبيعات!$C$2:$C$2000,A1809,المبيعات!$J$2:$J$2000,"آجل"))</f>
        <v/>
      </c>
      <c r="G1809" s="4" t="n"/>
      <c r="H1809">
        <f>IF(A1809="","",F1809-G1809)</f>
        <v/>
      </c>
    </row>
    <row r="1810">
      <c r="A1810" s="4" t="n"/>
      <c r="B1810" s="4" t="n"/>
      <c r="C1810">
        <f>IF(A1810="","",SUMPRODUCT((المبيعات!$C$2:$C$2000=A1810)*(المبيعات!$B$2:$B$2000&lt;&gt;"")/COUNTIFS(المبيعات!$B$2:$B$2000,المبيعات!$B$2:$B$2000&amp;"",المبيعات!$C$2:$C$2000,المبيعات!$C$2:$C$2000&amp;"")))</f>
        <v/>
      </c>
      <c r="D1810">
        <f>IF(A1810="","",SUMIFS(المبيعات!$H$2:$H$2000,المبيعات!$C$2:$C$2000,A1810))</f>
        <v/>
      </c>
      <c r="E1810" s="13">
        <f>IF(A1810="","",IF(COUNTIF(المبيعات!$C$2:$C$2000,A1810)=0,"",_xlfn.MAXIFS(المبيعات!$A$2:$A$2000,المبيعات!$C$2:$C$2000,A1810)))</f>
        <v/>
      </c>
      <c r="F1810">
        <f>IF(A1810="","",SUMIFS(المبيعات!$H$2:$H$2000,المبيعات!$C$2:$C$2000,A1810,المبيعات!$J$2:$J$2000,"آجل"))</f>
        <v/>
      </c>
      <c r="G1810" s="4" t="n"/>
      <c r="H1810">
        <f>IF(A1810="","",F1810-G1810)</f>
        <v/>
      </c>
    </row>
    <row r="1811">
      <c r="A1811" s="4" t="n"/>
      <c r="B1811" s="4" t="n"/>
      <c r="C1811">
        <f>IF(A1811="","",SUMPRODUCT((المبيعات!$C$2:$C$2000=A1811)*(المبيعات!$B$2:$B$2000&lt;&gt;"")/COUNTIFS(المبيعات!$B$2:$B$2000,المبيعات!$B$2:$B$2000&amp;"",المبيعات!$C$2:$C$2000,المبيعات!$C$2:$C$2000&amp;"")))</f>
        <v/>
      </c>
      <c r="D1811">
        <f>IF(A1811="","",SUMIFS(المبيعات!$H$2:$H$2000,المبيعات!$C$2:$C$2000,A1811))</f>
        <v/>
      </c>
      <c r="E1811" s="13">
        <f>IF(A1811="","",IF(COUNTIF(المبيعات!$C$2:$C$2000,A1811)=0,"",_xlfn.MAXIFS(المبيعات!$A$2:$A$2000,المبيعات!$C$2:$C$2000,A1811)))</f>
        <v/>
      </c>
      <c r="F1811">
        <f>IF(A1811="","",SUMIFS(المبيعات!$H$2:$H$2000,المبيعات!$C$2:$C$2000,A1811,المبيعات!$J$2:$J$2000,"آجل"))</f>
        <v/>
      </c>
      <c r="G1811" s="4" t="n"/>
      <c r="H1811">
        <f>IF(A1811="","",F1811-G1811)</f>
        <v/>
      </c>
    </row>
    <row r="1812">
      <c r="A1812" s="4" t="n"/>
      <c r="B1812" s="4" t="n"/>
      <c r="C1812">
        <f>IF(A1812="","",SUMPRODUCT((المبيعات!$C$2:$C$2000=A1812)*(المبيعات!$B$2:$B$2000&lt;&gt;"")/COUNTIFS(المبيعات!$B$2:$B$2000,المبيعات!$B$2:$B$2000&amp;"",المبيعات!$C$2:$C$2000,المبيعات!$C$2:$C$2000&amp;"")))</f>
        <v/>
      </c>
      <c r="D1812">
        <f>IF(A1812="","",SUMIFS(المبيعات!$H$2:$H$2000,المبيعات!$C$2:$C$2000,A1812))</f>
        <v/>
      </c>
      <c r="E1812" s="13">
        <f>IF(A1812="","",IF(COUNTIF(المبيعات!$C$2:$C$2000,A1812)=0,"",_xlfn.MAXIFS(المبيعات!$A$2:$A$2000,المبيعات!$C$2:$C$2000,A1812)))</f>
        <v/>
      </c>
      <c r="F1812">
        <f>IF(A1812="","",SUMIFS(المبيعات!$H$2:$H$2000,المبيعات!$C$2:$C$2000,A1812,المبيعات!$J$2:$J$2000,"آجل"))</f>
        <v/>
      </c>
      <c r="G1812" s="4" t="n"/>
      <c r="H1812">
        <f>IF(A1812="","",F1812-G1812)</f>
        <v/>
      </c>
    </row>
    <row r="1813">
      <c r="A1813" s="4" t="n"/>
      <c r="B1813" s="4" t="n"/>
      <c r="C1813">
        <f>IF(A1813="","",SUMPRODUCT((المبيعات!$C$2:$C$2000=A1813)*(المبيعات!$B$2:$B$2000&lt;&gt;"")/COUNTIFS(المبيعات!$B$2:$B$2000,المبيعات!$B$2:$B$2000&amp;"",المبيعات!$C$2:$C$2000,المبيعات!$C$2:$C$2000&amp;"")))</f>
        <v/>
      </c>
      <c r="D1813">
        <f>IF(A1813="","",SUMIFS(المبيعات!$H$2:$H$2000,المبيعات!$C$2:$C$2000,A1813))</f>
        <v/>
      </c>
      <c r="E1813" s="13">
        <f>IF(A1813="","",IF(COUNTIF(المبيعات!$C$2:$C$2000,A1813)=0,"",_xlfn.MAXIFS(المبيعات!$A$2:$A$2000,المبيعات!$C$2:$C$2000,A1813)))</f>
        <v/>
      </c>
      <c r="F1813">
        <f>IF(A1813="","",SUMIFS(المبيعات!$H$2:$H$2000,المبيعات!$C$2:$C$2000,A1813,المبيعات!$J$2:$J$2000,"آجل"))</f>
        <v/>
      </c>
      <c r="G1813" s="4" t="n"/>
      <c r="H1813">
        <f>IF(A1813="","",F1813-G1813)</f>
        <v/>
      </c>
    </row>
    <row r="1814">
      <c r="A1814" s="4" t="n"/>
      <c r="B1814" s="4" t="n"/>
      <c r="C1814">
        <f>IF(A1814="","",SUMPRODUCT((المبيعات!$C$2:$C$2000=A1814)*(المبيعات!$B$2:$B$2000&lt;&gt;"")/COUNTIFS(المبيعات!$B$2:$B$2000,المبيعات!$B$2:$B$2000&amp;"",المبيعات!$C$2:$C$2000,المبيعات!$C$2:$C$2000&amp;"")))</f>
        <v/>
      </c>
      <c r="D1814">
        <f>IF(A1814="","",SUMIFS(المبيعات!$H$2:$H$2000,المبيعات!$C$2:$C$2000,A1814))</f>
        <v/>
      </c>
      <c r="E1814" s="13">
        <f>IF(A1814="","",IF(COUNTIF(المبيعات!$C$2:$C$2000,A1814)=0,"",_xlfn.MAXIFS(المبيعات!$A$2:$A$2000,المبيعات!$C$2:$C$2000,A1814)))</f>
        <v/>
      </c>
      <c r="F1814">
        <f>IF(A1814="","",SUMIFS(المبيعات!$H$2:$H$2000,المبيعات!$C$2:$C$2000,A1814,المبيعات!$J$2:$J$2000,"آجل"))</f>
        <v/>
      </c>
      <c r="G1814" s="4" t="n"/>
      <c r="H1814">
        <f>IF(A1814="","",F1814-G1814)</f>
        <v/>
      </c>
    </row>
    <row r="1815">
      <c r="A1815" s="4" t="n"/>
      <c r="B1815" s="4" t="n"/>
      <c r="C1815">
        <f>IF(A1815="","",SUMPRODUCT((المبيعات!$C$2:$C$2000=A1815)*(المبيعات!$B$2:$B$2000&lt;&gt;"")/COUNTIFS(المبيعات!$B$2:$B$2000,المبيعات!$B$2:$B$2000&amp;"",المبيعات!$C$2:$C$2000,المبيعات!$C$2:$C$2000&amp;"")))</f>
        <v/>
      </c>
      <c r="D1815">
        <f>IF(A1815="","",SUMIFS(المبيعات!$H$2:$H$2000,المبيعات!$C$2:$C$2000,A1815))</f>
        <v/>
      </c>
      <c r="E1815" s="13">
        <f>IF(A1815="","",IF(COUNTIF(المبيعات!$C$2:$C$2000,A1815)=0,"",_xlfn.MAXIFS(المبيعات!$A$2:$A$2000,المبيعات!$C$2:$C$2000,A1815)))</f>
        <v/>
      </c>
      <c r="F1815">
        <f>IF(A1815="","",SUMIFS(المبيعات!$H$2:$H$2000,المبيعات!$C$2:$C$2000,A1815,المبيعات!$J$2:$J$2000,"آجل"))</f>
        <v/>
      </c>
      <c r="G1815" s="4" t="n"/>
      <c r="H1815">
        <f>IF(A1815="","",F1815-G1815)</f>
        <v/>
      </c>
    </row>
    <row r="1816">
      <c r="A1816" s="4" t="n"/>
      <c r="B1816" s="4" t="n"/>
      <c r="C1816">
        <f>IF(A1816="","",SUMPRODUCT((المبيعات!$C$2:$C$2000=A1816)*(المبيعات!$B$2:$B$2000&lt;&gt;"")/COUNTIFS(المبيعات!$B$2:$B$2000,المبيعات!$B$2:$B$2000&amp;"",المبيعات!$C$2:$C$2000,المبيعات!$C$2:$C$2000&amp;"")))</f>
        <v/>
      </c>
      <c r="D1816">
        <f>IF(A1816="","",SUMIFS(المبيعات!$H$2:$H$2000,المبيعات!$C$2:$C$2000,A1816))</f>
        <v/>
      </c>
      <c r="E1816" s="13">
        <f>IF(A1816="","",IF(COUNTIF(المبيعات!$C$2:$C$2000,A1816)=0,"",_xlfn.MAXIFS(المبيعات!$A$2:$A$2000,المبيعات!$C$2:$C$2000,A1816)))</f>
        <v/>
      </c>
      <c r="F1816">
        <f>IF(A1816="","",SUMIFS(المبيعات!$H$2:$H$2000,المبيعات!$C$2:$C$2000,A1816,المبيعات!$J$2:$J$2000,"آجل"))</f>
        <v/>
      </c>
      <c r="G1816" s="4" t="n"/>
      <c r="H1816">
        <f>IF(A1816="","",F1816-G1816)</f>
        <v/>
      </c>
    </row>
    <row r="1817">
      <c r="A1817" s="4" t="n"/>
      <c r="B1817" s="4" t="n"/>
      <c r="C1817">
        <f>IF(A1817="","",SUMPRODUCT((المبيعات!$C$2:$C$2000=A1817)*(المبيعات!$B$2:$B$2000&lt;&gt;"")/COUNTIFS(المبيعات!$B$2:$B$2000,المبيعات!$B$2:$B$2000&amp;"",المبيعات!$C$2:$C$2000,المبيعات!$C$2:$C$2000&amp;"")))</f>
        <v/>
      </c>
      <c r="D1817">
        <f>IF(A1817="","",SUMIFS(المبيعات!$H$2:$H$2000,المبيعات!$C$2:$C$2000,A1817))</f>
        <v/>
      </c>
      <c r="E1817" s="13">
        <f>IF(A1817="","",IF(COUNTIF(المبيعات!$C$2:$C$2000,A1817)=0,"",_xlfn.MAXIFS(المبيعات!$A$2:$A$2000,المبيعات!$C$2:$C$2000,A1817)))</f>
        <v/>
      </c>
      <c r="F1817">
        <f>IF(A1817="","",SUMIFS(المبيعات!$H$2:$H$2000,المبيعات!$C$2:$C$2000,A1817,المبيعات!$J$2:$J$2000,"آجل"))</f>
        <v/>
      </c>
      <c r="G1817" s="4" t="n"/>
      <c r="H1817">
        <f>IF(A1817="","",F1817-G1817)</f>
        <v/>
      </c>
    </row>
    <row r="1818">
      <c r="A1818" s="4" t="n"/>
      <c r="B1818" s="4" t="n"/>
      <c r="C1818">
        <f>IF(A1818="","",SUMPRODUCT((المبيعات!$C$2:$C$2000=A1818)*(المبيعات!$B$2:$B$2000&lt;&gt;"")/COUNTIFS(المبيعات!$B$2:$B$2000,المبيعات!$B$2:$B$2000&amp;"",المبيعات!$C$2:$C$2000,المبيعات!$C$2:$C$2000&amp;"")))</f>
        <v/>
      </c>
      <c r="D1818">
        <f>IF(A1818="","",SUMIFS(المبيعات!$H$2:$H$2000,المبيعات!$C$2:$C$2000,A1818))</f>
        <v/>
      </c>
      <c r="E1818" s="13">
        <f>IF(A1818="","",IF(COUNTIF(المبيعات!$C$2:$C$2000,A1818)=0,"",_xlfn.MAXIFS(المبيعات!$A$2:$A$2000,المبيعات!$C$2:$C$2000,A1818)))</f>
        <v/>
      </c>
      <c r="F1818">
        <f>IF(A1818="","",SUMIFS(المبيعات!$H$2:$H$2000,المبيعات!$C$2:$C$2000,A1818,المبيعات!$J$2:$J$2000,"آجل"))</f>
        <v/>
      </c>
      <c r="G1818" s="4" t="n"/>
      <c r="H1818">
        <f>IF(A1818="","",F1818-G1818)</f>
        <v/>
      </c>
    </row>
    <row r="1819">
      <c r="A1819" s="4" t="n"/>
      <c r="B1819" s="4" t="n"/>
      <c r="C1819">
        <f>IF(A1819="","",SUMPRODUCT((المبيعات!$C$2:$C$2000=A1819)*(المبيعات!$B$2:$B$2000&lt;&gt;"")/COUNTIFS(المبيعات!$B$2:$B$2000,المبيعات!$B$2:$B$2000&amp;"",المبيعات!$C$2:$C$2000,المبيعات!$C$2:$C$2000&amp;"")))</f>
        <v/>
      </c>
      <c r="D1819">
        <f>IF(A1819="","",SUMIFS(المبيعات!$H$2:$H$2000,المبيعات!$C$2:$C$2000,A1819))</f>
        <v/>
      </c>
      <c r="E1819" s="13">
        <f>IF(A1819="","",IF(COUNTIF(المبيعات!$C$2:$C$2000,A1819)=0,"",_xlfn.MAXIFS(المبيعات!$A$2:$A$2000,المبيعات!$C$2:$C$2000,A1819)))</f>
        <v/>
      </c>
      <c r="F1819">
        <f>IF(A1819="","",SUMIFS(المبيعات!$H$2:$H$2000,المبيعات!$C$2:$C$2000,A1819,المبيعات!$J$2:$J$2000,"آجل"))</f>
        <v/>
      </c>
      <c r="G1819" s="4" t="n"/>
      <c r="H1819">
        <f>IF(A1819="","",F1819-G1819)</f>
        <v/>
      </c>
    </row>
    <row r="1820">
      <c r="A1820" s="4" t="n"/>
      <c r="B1820" s="4" t="n"/>
      <c r="C1820">
        <f>IF(A1820="","",SUMPRODUCT((المبيعات!$C$2:$C$2000=A1820)*(المبيعات!$B$2:$B$2000&lt;&gt;"")/COUNTIFS(المبيعات!$B$2:$B$2000,المبيعات!$B$2:$B$2000&amp;"",المبيعات!$C$2:$C$2000,المبيعات!$C$2:$C$2000&amp;"")))</f>
        <v/>
      </c>
      <c r="D1820">
        <f>IF(A1820="","",SUMIFS(المبيعات!$H$2:$H$2000,المبيعات!$C$2:$C$2000,A1820))</f>
        <v/>
      </c>
      <c r="E1820" s="13">
        <f>IF(A1820="","",IF(COUNTIF(المبيعات!$C$2:$C$2000,A1820)=0,"",_xlfn.MAXIFS(المبيعات!$A$2:$A$2000,المبيعات!$C$2:$C$2000,A1820)))</f>
        <v/>
      </c>
      <c r="F1820">
        <f>IF(A1820="","",SUMIFS(المبيعات!$H$2:$H$2000,المبيعات!$C$2:$C$2000,A1820,المبيعات!$J$2:$J$2000,"آجل"))</f>
        <v/>
      </c>
      <c r="G1820" s="4" t="n"/>
      <c r="H1820">
        <f>IF(A1820="","",F1820-G1820)</f>
        <v/>
      </c>
    </row>
    <row r="1821">
      <c r="A1821" s="4" t="n"/>
      <c r="B1821" s="4" t="n"/>
      <c r="C1821">
        <f>IF(A1821="","",SUMPRODUCT((المبيعات!$C$2:$C$2000=A1821)*(المبيعات!$B$2:$B$2000&lt;&gt;"")/COUNTIFS(المبيعات!$B$2:$B$2000,المبيعات!$B$2:$B$2000&amp;"",المبيعات!$C$2:$C$2000,المبيعات!$C$2:$C$2000&amp;"")))</f>
        <v/>
      </c>
      <c r="D1821">
        <f>IF(A1821="","",SUMIFS(المبيعات!$H$2:$H$2000,المبيعات!$C$2:$C$2000,A1821))</f>
        <v/>
      </c>
      <c r="E1821" s="13">
        <f>IF(A1821="","",IF(COUNTIF(المبيعات!$C$2:$C$2000,A1821)=0,"",_xlfn.MAXIFS(المبيعات!$A$2:$A$2000,المبيعات!$C$2:$C$2000,A1821)))</f>
        <v/>
      </c>
      <c r="F1821">
        <f>IF(A1821="","",SUMIFS(المبيعات!$H$2:$H$2000,المبيعات!$C$2:$C$2000,A1821,المبيعات!$J$2:$J$2000,"آجل"))</f>
        <v/>
      </c>
      <c r="G1821" s="4" t="n"/>
      <c r="H1821">
        <f>IF(A1821="","",F1821-G1821)</f>
        <v/>
      </c>
    </row>
    <row r="1822">
      <c r="A1822" s="4" t="n"/>
      <c r="B1822" s="4" t="n"/>
      <c r="C1822">
        <f>IF(A1822="","",SUMPRODUCT((المبيعات!$C$2:$C$2000=A1822)*(المبيعات!$B$2:$B$2000&lt;&gt;"")/COUNTIFS(المبيعات!$B$2:$B$2000,المبيعات!$B$2:$B$2000&amp;"",المبيعات!$C$2:$C$2000,المبيعات!$C$2:$C$2000&amp;"")))</f>
        <v/>
      </c>
      <c r="D1822">
        <f>IF(A1822="","",SUMIFS(المبيعات!$H$2:$H$2000,المبيعات!$C$2:$C$2000,A1822))</f>
        <v/>
      </c>
      <c r="E1822" s="13">
        <f>IF(A1822="","",IF(COUNTIF(المبيعات!$C$2:$C$2000,A1822)=0,"",_xlfn.MAXIFS(المبيعات!$A$2:$A$2000,المبيعات!$C$2:$C$2000,A1822)))</f>
        <v/>
      </c>
      <c r="F1822">
        <f>IF(A1822="","",SUMIFS(المبيعات!$H$2:$H$2000,المبيعات!$C$2:$C$2000,A1822,المبيعات!$J$2:$J$2000,"آجل"))</f>
        <v/>
      </c>
      <c r="G1822" s="4" t="n"/>
      <c r="H1822">
        <f>IF(A1822="","",F1822-G1822)</f>
        <v/>
      </c>
    </row>
    <row r="1823">
      <c r="A1823" s="4" t="n"/>
      <c r="B1823" s="4" t="n"/>
      <c r="C1823">
        <f>IF(A1823="","",SUMPRODUCT((المبيعات!$C$2:$C$2000=A1823)*(المبيعات!$B$2:$B$2000&lt;&gt;"")/COUNTIFS(المبيعات!$B$2:$B$2000,المبيعات!$B$2:$B$2000&amp;"",المبيعات!$C$2:$C$2000,المبيعات!$C$2:$C$2000&amp;"")))</f>
        <v/>
      </c>
      <c r="D1823">
        <f>IF(A1823="","",SUMIFS(المبيعات!$H$2:$H$2000,المبيعات!$C$2:$C$2000,A1823))</f>
        <v/>
      </c>
      <c r="E1823" s="13">
        <f>IF(A1823="","",IF(COUNTIF(المبيعات!$C$2:$C$2000,A1823)=0,"",_xlfn.MAXIFS(المبيعات!$A$2:$A$2000,المبيعات!$C$2:$C$2000,A1823)))</f>
        <v/>
      </c>
      <c r="F1823">
        <f>IF(A1823="","",SUMIFS(المبيعات!$H$2:$H$2000,المبيعات!$C$2:$C$2000,A1823,المبيعات!$J$2:$J$2000,"آجل"))</f>
        <v/>
      </c>
      <c r="G1823" s="4" t="n"/>
      <c r="H1823">
        <f>IF(A1823="","",F1823-G1823)</f>
        <v/>
      </c>
    </row>
    <row r="1824">
      <c r="A1824" s="4" t="n"/>
      <c r="B1824" s="4" t="n"/>
      <c r="C1824">
        <f>IF(A1824="","",SUMPRODUCT((المبيعات!$C$2:$C$2000=A1824)*(المبيعات!$B$2:$B$2000&lt;&gt;"")/COUNTIFS(المبيعات!$B$2:$B$2000,المبيعات!$B$2:$B$2000&amp;"",المبيعات!$C$2:$C$2000,المبيعات!$C$2:$C$2000&amp;"")))</f>
        <v/>
      </c>
      <c r="D1824">
        <f>IF(A1824="","",SUMIFS(المبيعات!$H$2:$H$2000,المبيعات!$C$2:$C$2000,A1824))</f>
        <v/>
      </c>
      <c r="E1824" s="13">
        <f>IF(A1824="","",IF(COUNTIF(المبيعات!$C$2:$C$2000,A1824)=0,"",_xlfn.MAXIFS(المبيعات!$A$2:$A$2000,المبيعات!$C$2:$C$2000,A1824)))</f>
        <v/>
      </c>
      <c r="F1824">
        <f>IF(A1824="","",SUMIFS(المبيعات!$H$2:$H$2000,المبيعات!$C$2:$C$2000,A1824,المبيعات!$J$2:$J$2000,"آجل"))</f>
        <v/>
      </c>
      <c r="G1824" s="4" t="n"/>
      <c r="H1824">
        <f>IF(A1824="","",F1824-G1824)</f>
        <v/>
      </c>
    </row>
    <row r="1825">
      <c r="A1825" s="4" t="n"/>
      <c r="B1825" s="4" t="n"/>
      <c r="C1825">
        <f>IF(A1825="","",SUMPRODUCT((المبيعات!$C$2:$C$2000=A1825)*(المبيعات!$B$2:$B$2000&lt;&gt;"")/COUNTIFS(المبيعات!$B$2:$B$2000,المبيعات!$B$2:$B$2000&amp;"",المبيعات!$C$2:$C$2000,المبيعات!$C$2:$C$2000&amp;"")))</f>
        <v/>
      </c>
      <c r="D1825">
        <f>IF(A1825="","",SUMIFS(المبيعات!$H$2:$H$2000,المبيعات!$C$2:$C$2000,A1825))</f>
        <v/>
      </c>
      <c r="E1825" s="13">
        <f>IF(A1825="","",IF(COUNTIF(المبيعات!$C$2:$C$2000,A1825)=0,"",_xlfn.MAXIFS(المبيعات!$A$2:$A$2000,المبيعات!$C$2:$C$2000,A1825)))</f>
        <v/>
      </c>
      <c r="F1825">
        <f>IF(A1825="","",SUMIFS(المبيعات!$H$2:$H$2000,المبيعات!$C$2:$C$2000,A1825,المبيعات!$J$2:$J$2000,"آجل"))</f>
        <v/>
      </c>
      <c r="G1825" s="4" t="n"/>
      <c r="H1825">
        <f>IF(A1825="","",F1825-G1825)</f>
        <v/>
      </c>
    </row>
    <row r="1826">
      <c r="A1826" s="4" t="n"/>
      <c r="B1826" s="4" t="n"/>
      <c r="C1826">
        <f>IF(A1826="","",SUMPRODUCT((المبيعات!$C$2:$C$2000=A1826)*(المبيعات!$B$2:$B$2000&lt;&gt;"")/COUNTIFS(المبيعات!$B$2:$B$2000,المبيعات!$B$2:$B$2000&amp;"",المبيعات!$C$2:$C$2000,المبيعات!$C$2:$C$2000&amp;"")))</f>
        <v/>
      </c>
      <c r="D1826">
        <f>IF(A1826="","",SUMIFS(المبيعات!$H$2:$H$2000,المبيعات!$C$2:$C$2000,A1826))</f>
        <v/>
      </c>
      <c r="E1826" s="13">
        <f>IF(A1826="","",IF(COUNTIF(المبيعات!$C$2:$C$2000,A1826)=0,"",_xlfn.MAXIFS(المبيعات!$A$2:$A$2000,المبيعات!$C$2:$C$2000,A1826)))</f>
        <v/>
      </c>
      <c r="F1826">
        <f>IF(A1826="","",SUMIFS(المبيعات!$H$2:$H$2000,المبيعات!$C$2:$C$2000,A1826,المبيعات!$J$2:$J$2000,"آجل"))</f>
        <v/>
      </c>
      <c r="G1826" s="4" t="n"/>
      <c r="H1826">
        <f>IF(A1826="","",F1826-G1826)</f>
        <v/>
      </c>
    </row>
    <row r="1827">
      <c r="A1827" s="4" t="n"/>
      <c r="B1827" s="4" t="n"/>
      <c r="C1827">
        <f>IF(A1827="","",SUMPRODUCT((المبيعات!$C$2:$C$2000=A1827)*(المبيعات!$B$2:$B$2000&lt;&gt;"")/COUNTIFS(المبيعات!$B$2:$B$2000,المبيعات!$B$2:$B$2000&amp;"",المبيعات!$C$2:$C$2000,المبيعات!$C$2:$C$2000&amp;"")))</f>
        <v/>
      </c>
      <c r="D1827">
        <f>IF(A1827="","",SUMIFS(المبيعات!$H$2:$H$2000,المبيعات!$C$2:$C$2000,A1827))</f>
        <v/>
      </c>
      <c r="E1827" s="13">
        <f>IF(A1827="","",IF(COUNTIF(المبيعات!$C$2:$C$2000,A1827)=0,"",_xlfn.MAXIFS(المبيعات!$A$2:$A$2000,المبيعات!$C$2:$C$2000,A1827)))</f>
        <v/>
      </c>
      <c r="F1827">
        <f>IF(A1827="","",SUMIFS(المبيعات!$H$2:$H$2000,المبيعات!$C$2:$C$2000,A1827,المبيعات!$J$2:$J$2000,"آجل"))</f>
        <v/>
      </c>
      <c r="G1827" s="4" t="n"/>
      <c r="H1827">
        <f>IF(A1827="","",F1827-G1827)</f>
        <v/>
      </c>
    </row>
    <row r="1828">
      <c r="A1828" s="4" t="n"/>
      <c r="B1828" s="4" t="n"/>
      <c r="C1828">
        <f>IF(A1828="","",SUMPRODUCT((المبيعات!$C$2:$C$2000=A1828)*(المبيعات!$B$2:$B$2000&lt;&gt;"")/COUNTIFS(المبيعات!$B$2:$B$2000,المبيعات!$B$2:$B$2000&amp;"",المبيعات!$C$2:$C$2000,المبيعات!$C$2:$C$2000&amp;"")))</f>
        <v/>
      </c>
      <c r="D1828">
        <f>IF(A1828="","",SUMIFS(المبيعات!$H$2:$H$2000,المبيعات!$C$2:$C$2000,A1828))</f>
        <v/>
      </c>
      <c r="E1828" s="13">
        <f>IF(A1828="","",IF(COUNTIF(المبيعات!$C$2:$C$2000,A1828)=0,"",_xlfn.MAXIFS(المبيعات!$A$2:$A$2000,المبيعات!$C$2:$C$2000,A1828)))</f>
        <v/>
      </c>
      <c r="F1828">
        <f>IF(A1828="","",SUMIFS(المبيعات!$H$2:$H$2000,المبيعات!$C$2:$C$2000,A1828,المبيعات!$J$2:$J$2000,"آجل"))</f>
        <v/>
      </c>
      <c r="G1828" s="4" t="n"/>
      <c r="H1828">
        <f>IF(A1828="","",F1828-G1828)</f>
        <v/>
      </c>
    </row>
    <row r="1829">
      <c r="A1829" s="4" t="n"/>
      <c r="B1829" s="4" t="n"/>
      <c r="C1829">
        <f>IF(A1829="","",SUMPRODUCT((المبيعات!$C$2:$C$2000=A1829)*(المبيعات!$B$2:$B$2000&lt;&gt;"")/COUNTIFS(المبيعات!$B$2:$B$2000,المبيعات!$B$2:$B$2000&amp;"",المبيعات!$C$2:$C$2000,المبيعات!$C$2:$C$2000&amp;"")))</f>
        <v/>
      </c>
      <c r="D1829">
        <f>IF(A1829="","",SUMIFS(المبيعات!$H$2:$H$2000,المبيعات!$C$2:$C$2000,A1829))</f>
        <v/>
      </c>
      <c r="E1829" s="13">
        <f>IF(A1829="","",IF(COUNTIF(المبيعات!$C$2:$C$2000,A1829)=0,"",_xlfn.MAXIFS(المبيعات!$A$2:$A$2000,المبيعات!$C$2:$C$2000,A1829)))</f>
        <v/>
      </c>
      <c r="F1829">
        <f>IF(A1829="","",SUMIFS(المبيعات!$H$2:$H$2000,المبيعات!$C$2:$C$2000,A1829,المبيعات!$J$2:$J$2000,"آجل"))</f>
        <v/>
      </c>
      <c r="G1829" s="4" t="n"/>
      <c r="H1829">
        <f>IF(A1829="","",F1829-G1829)</f>
        <v/>
      </c>
    </row>
    <row r="1830">
      <c r="A1830" s="4" t="n"/>
      <c r="B1830" s="4" t="n"/>
      <c r="C1830">
        <f>IF(A1830="","",SUMPRODUCT((المبيعات!$C$2:$C$2000=A1830)*(المبيعات!$B$2:$B$2000&lt;&gt;"")/COUNTIFS(المبيعات!$B$2:$B$2000,المبيعات!$B$2:$B$2000&amp;"",المبيعات!$C$2:$C$2000,المبيعات!$C$2:$C$2000&amp;"")))</f>
        <v/>
      </c>
      <c r="D1830">
        <f>IF(A1830="","",SUMIFS(المبيعات!$H$2:$H$2000,المبيعات!$C$2:$C$2000,A1830))</f>
        <v/>
      </c>
      <c r="E1830" s="13">
        <f>IF(A1830="","",IF(COUNTIF(المبيعات!$C$2:$C$2000,A1830)=0,"",_xlfn.MAXIFS(المبيعات!$A$2:$A$2000,المبيعات!$C$2:$C$2000,A1830)))</f>
        <v/>
      </c>
      <c r="F1830">
        <f>IF(A1830="","",SUMIFS(المبيعات!$H$2:$H$2000,المبيعات!$C$2:$C$2000,A1830,المبيعات!$J$2:$J$2000,"آجل"))</f>
        <v/>
      </c>
      <c r="G1830" s="4" t="n"/>
      <c r="H1830">
        <f>IF(A1830="","",F1830-G1830)</f>
        <v/>
      </c>
    </row>
    <row r="1831">
      <c r="A1831" s="4" t="n"/>
      <c r="B1831" s="4" t="n"/>
      <c r="C1831">
        <f>IF(A1831="","",SUMPRODUCT((المبيعات!$C$2:$C$2000=A1831)*(المبيعات!$B$2:$B$2000&lt;&gt;"")/COUNTIFS(المبيعات!$B$2:$B$2000,المبيعات!$B$2:$B$2000&amp;"",المبيعات!$C$2:$C$2000,المبيعات!$C$2:$C$2000&amp;"")))</f>
        <v/>
      </c>
      <c r="D1831">
        <f>IF(A1831="","",SUMIFS(المبيعات!$H$2:$H$2000,المبيعات!$C$2:$C$2000,A1831))</f>
        <v/>
      </c>
      <c r="E1831" s="13">
        <f>IF(A1831="","",IF(COUNTIF(المبيعات!$C$2:$C$2000,A1831)=0,"",_xlfn.MAXIFS(المبيعات!$A$2:$A$2000,المبيعات!$C$2:$C$2000,A1831)))</f>
        <v/>
      </c>
      <c r="F1831">
        <f>IF(A1831="","",SUMIFS(المبيعات!$H$2:$H$2000,المبيعات!$C$2:$C$2000,A1831,المبيعات!$J$2:$J$2000,"آجل"))</f>
        <v/>
      </c>
      <c r="G1831" s="4" t="n"/>
      <c r="H1831">
        <f>IF(A1831="","",F1831-G1831)</f>
        <v/>
      </c>
    </row>
    <row r="1832">
      <c r="A1832" s="4" t="n"/>
      <c r="B1832" s="4" t="n"/>
      <c r="C1832">
        <f>IF(A1832="","",SUMPRODUCT((المبيعات!$C$2:$C$2000=A1832)*(المبيعات!$B$2:$B$2000&lt;&gt;"")/COUNTIFS(المبيعات!$B$2:$B$2000,المبيعات!$B$2:$B$2000&amp;"",المبيعات!$C$2:$C$2000,المبيعات!$C$2:$C$2000&amp;"")))</f>
        <v/>
      </c>
      <c r="D1832">
        <f>IF(A1832="","",SUMIFS(المبيعات!$H$2:$H$2000,المبيعات!$C$2:$C$2000,A1832))</f>
        <v/>
      </c>
      <c r="E1832" s="13">
        <f>IF(A1832="","",IF(COUNTIF(المبيعات!$C$2:$C$2000,A1832)=0,"",_xlfn.MAXIFS(المبيعات!$A$2:$A$2000,المبيعات!$C$2:$C$2000,A1832)))</f>
        <v/>
      </c>
      <c r="F1832">
        <f>IF(A1832="","",SUMIFS(المبيعات!$H$2:$H$2000,المبيعات!$C$2:$C$2000,A1832,المبيعات!$J$2:$J$2000,"آجل"))</f>
        <v/>
      </c>
      <c r="G1832" s="4" t="n"/>
      <c r="H1832">
        <f>IF(A1832="","",F1832-G1832)</f>
        <v/>
      </c>
    </row>
    <row r="1833">
      <c r="A1833" s="4" t="n"/>
      <c r="B1833" s="4" t="n"/>
      <c r="C1833">
        <f>IF(A1833="","",SUMPRODUCT((المبيعات!$C$2:$C$2000=A1833)*(المبيعات!$B$2:$B$2000&lt;&gt;"")/COUNTIFS(المبيعات!$B$2:$B$2000,المبيعات!$B$2:$B$2000&amp;"",المبيعات!$C$2:$C$2000,المبيعات!$C$2:$C$2000&amp;"")))</f>
        <v/>
      </c>
      <c r="D1833">
        <f>IF(A1833="","",SUMIFS(المبيعات!$H$2:$H$2000,المبيعات!$C$2:$C$2000,A1833))</f>
        <v/>
      </c>
      <c r="E1833" s="13">
        <f>IF(A1833="","",IF(COUNTIF(المبيعات!$C$2:$C$2000,A1833)=0,"",_xlfn.MAXIFS(المبيعات!$A$2:$A$2000,المبيعات!$C$2:$C$2000,A1833)))</f>
        <v/>
      </c>
      <c r="F1833">
        <f>IF(A1833="","",SUMIFS(المبيعات!$H$2:$H$2000,المبيعات!$C$2:$C$2000,A1833,المبيعات!$J$2:$J$2000,"آجل"))</f>
        <v/>
      </c>
      <c r="G1833" s="4" t="n"/>
      <c r="H1833">
        <f>IF(A1833="","",F1833-G1833)</f>
        <v/>
      </c>
    </row>
    <row r="1834">
      <c r="A1834" s="4" t="n"/>
      <c r="B1834" s="4" t="n"/>
      <c r="C1834">
        <f>IF(A1834="","",SUMPRODUCT((المبيعات!$C$2:$C$2000=A1834)*(المبيعات!$B$2:$B$2000&lt;&gt;"")/COUNTIFS(المبيعات!$B$2:$B$2000,المبيعات!$B$2:$B$2000&amp;"",المبيعات!$C$2:$C$2000,المبيعات!$C$2:$C$2000&amp;"")))</f>
        <v/>
      </c>
      <c r="D1834">
        <f>IF(A1834="","",SUMIFS(المبيعات!$H$2:$H$2000,المبيعات!$C$2:$C$2000,A1834))</f>
        <v/>
      </c>
      <c r="E1834" s="13">
        <f>IF(A1834="","",IF(COUNTIF(المبيعات!$C$2:$C$2000,A1834)=0,"",_xlfn.MAXIFS(المبيعات!$A$2:$A$2000,المبيعات!$C$2:$C$2000,A1834)))</f>
        <v/>
      </c>
      <c r="F1834">
        <f>IF(A1834="","",SUMIFS(المبيعات!$H$2:$H$2000,المبيعات!$C$2:$C$2000,A1834,المبيعات!$J$2:$J$2000,"آجل"))</f>
        <v/>
      </c>
      <c r="G1834" s="4" t="n"/>
      <c r="H1834">
        <f>IF(A1834="","",F1834-G1834)</f>
        <v/>
      </c>
    </row>
    <row r="1835">
      <c r="A1835" s="4" t="n"/>
      <c r="B1835" s="4" t="n"/>
      <c r="C1835">
        <f>IF(A1835="","",SUMPRODUCT((المبيعات!$C$2:$C$2000=A1835)*(المبيعات!$B$2:$B$2000&lt;&gt;"")/COUNTIFS(المبيعات!$B$2:$B$2000,المبيعات!$B$2:$B$2000&amp;"",المبيعات!$C$2:$C$2000,المبيعات!$C$2:$C$2000&amp;"")))</f>
        <v/>
      </c>
      <c r="D1835">
        <f>IF(A1835="","",SUMIFS(المبيعات!$H$2:$H$2000,المبيعات!$C$2:$C$2000,A1835))</f>
        <v/>
      </c>
      <c r="E1835" s="13">
        <f>IF(A1835="","",IF(COUNTIF(المبيعات!$C$2:$C$2000,A1835)=0,"",_xlfn.MAXIFS(المبيعات!$A$2:$A$2000,المبيعات!$C$2:$C$2000,A1835)))</f>
        <v/>
      </c>
      <c r="F1835">
        <f>IF(A1835="","",SUMIFS(المبيعات!$H$2:$H$2000,المبيعات!$C$2:$C$2000,A1835,المبيعات!$J$2:$J$2000,"آجل"))</f>
        <v/>
      </c>
      <c r="G1835" s="4" t="n"/>
      <c r="H1835">
        <f>IF(A1835="","",F1835-G1835)</f>
        <v/>
      </c>
    </row>
    <row r="1836">
      <c r="A1836" s="4" t="n"/>
      <c r="B1836" s="4" t="n"/>
      <c r="C1836">
        <f>IF(A1836="","",SUMPRODUCT((المبيعات!$C$2:$C$2000=A1836)*(المبيعات!$B$2:$B$2000&lt;&gt;"")/COUNTIFS(المبيعات!$B$2:$B$2000,المبيعات!$B$2:$B$2000&amp;"",المبيعات!$C$2:$C$2000,المبيعات!$C$2:$C$2000&amp;"")))</f>
        <v/>
      </c>
      <c r="D1836">
        <f>IF(A1836="","",SUMIFS(المبيعات!$H$2:$H$2000,المبيعات!$C$2:$C$2000,A1836))</f>
        <v/>
      </c>
      <c r="E1836" s="13">
        <f>IF(A1836="","",IF(COUNTIF(المبيعات!$C$2:$C$2000,A1836)=0,"",_xlfn.MAXIFS(المبيعات!$A$2:$A$2000,المبيعات!$C$2:$C$2000,A1836)))</f>
        <v/>
      </c>
      <c r="F1836">
        <f>IF(A1836="","",SUMIFS(المبيعات!$H$2:$H$2000,المبيعات!$C$2:$C$2000,A1836,المبيعات!$J$2:$J$2000,"آجل"))</f>
        <v/>
      </c>
      <c r="G1836" s="4" t="n"/>
      <c r="H1836">
        <f>IF(A1836="","",F1836-G1836)</f>
        <v/>
      </c>
    </row>
    <row r="1837">
      <c r="A1837" s="4" t="n"/>
      <c r="B1837" s="4" t="n"/>
      <c r="C1837">
        <f>IF(A1837="","",SUMPRODUCT((المبيعات!$C$2:$C$2000=A1837)*(المبيعات!$B$2:$B$2000&lt;&gt;"")/COUNTIFS(المبيعات!$B$2:$B$2000,المبيعات!$B$2:$B$2000&amp;"",المبيعات!$C$2:$C$2000,المبيعات!$C$2:$C$2000&amp;"")))</f>
        <v/>
      </c>
      <c r="D1837">
        <f>IF(A1837="","",SUMIFS(المبيعات!$H$2:$H$2000,المبيعات!$C$2:$C$2000,A1837))</f>
        <v/>
      </c>
      <c r="E1837" s="13">
        <f>IF(A1837="","",IF(COUNTIF(المبيعات!$C$2:$C$2000,A1837)=0,"",_xlfn.MAXIFS(المبيعات!$A$2:$A$2000,المبيعات!$C$2:$C$2000,A1837)))</f>
        <v/>
      </c>
      <c r="F1837">
        <f>IF(A1837="","",SUMIFS(المبيعات!$H$2:$H$2000,المبيعات!$C$2:$C$2000,A1837,المبيعات!$J$2:$J$2000,"آجل"))</f>
        <v/>
      </c>
      <c r="G1837" s="4" t="n"/>
      <c r="H1837">
        <f>IF(A1837="","",F1837-G1837)</f>
        <v/>
      </c>
    </row>
    <row r="1838">
      <c r="A1838" s="4" t="n"/>
      <c r="B1838" s="4" t="n"/>
      <c r="C1838">
        <f>IF(A1838="","",SUMPRODUCT((المبيعات!$C$2:$C$2000=A1838)*(المبيعات!$B$2:$B$2000&lt;&gt;"")/COUNTIFS(المبيعات!$B$2:$B$2000,المبيعات!$B$2:$B$2000&amp;"",المبيعات!$C$2:$C$2000,المبيعات!$C$2:$C$2000&amp;"")))</f>
        <v/>
      </c>
      <c r="D1838">
        <f>IF(A1838="","",SUMIFS(المبيعات!$H$2:$H$2000,المبيعات!$C$2:$C$2000,A1838))</f>
        <v/>
      </c>
      <c r="E1838" s="13">
        <f>IF(A1838="","",IF(COUNTIF(المبيعات!$C$2:$C$2000,A1838)=0,"",_xlfn.MAXIFS(المبيعات!$A$2:$A$2000,المبيعات!$C$2:$C$2000,A1838)))</f>
        <v/>
      </c>
      <c r="F1838">
        <f>IF(A1838="","",SUMIFS(المبيعات!$H$2:$H$2000,المبيعات!$C$2:$C$2000,A1838,المبيعات!$J$2:$J$2000,"آجل"))</f>
        <v/>
      </c>
      <c r="G1838" s="4" t="n"/>
      <c r="H1838">
        <f>IF(A1838="","",F1838-G1838)</f>
        <v/>
      </c>
    </row>
    <row r="1839">
      <c r="A1839" s="4" t="n"/>
      <c r="B1839" s="4" t="n"/>
      <c r="C1839">
        <f>IF(A1839="","",SUMPRODUCT((المبيعات!$C$2:$C$2000=A1839)*(المبيعات!$B$2:$B$2000&lt;&gt;"")/COUNTIFS(المبيعات!$B$2:$B$2000,المبيعات!$B$2:$B$2000&amp;"",المبيعات!$C$2:$C$2000,المبيعات!$C$2:$C$2000&amp;"")))</f>
        <v/>
      </c>
      <c r="D1839">
        <f>IF(A1839="","",SUMIFS(المبيعات!$H$2:$H$2000,المبيعات!$C$2:$C$2000,A1839))</f>
        <v/>
      </c>
      <c r="E1839" s="13">
        <f>IF(A1839="","",IF(COUNTIF(المبيعات!$C$2:$C$2000,A1839)=0,"",_xlfn.MAXIFS(المبيعات!$A$2:$A$2000,المبيعات!$C$2:$C$2000,A1839)))</f>
        <v/>
      </c>
      <c r="F1839">
        <f>IF(A1839="","",SUMIFS(المبيعات!$H$2:$H$2000,المبيعات!$C$2:$C$2000,A1839,المبيعات!$J$2:$J$2000,"آجل"))</f>
        <v/>
      </c>
      <c r="G1839" s="4" t="n"/>
      <c r="H1839">
        <f>IF(A1839="","",F1839-G1839)</f>
        <v/>
      </c>
    </row>
    <row r="1840">
      <c r="A1840" s="4" t="n"/>
      <c r="B1840" s="4" t="n"/>
      <c r="C1840">
        <f>IF(A1840="","",SUMPRODUCT((المبيعات!$C$2:$C$2000=A1840)*(المبيعات!$B$2:$B$2000&lt;&gt;"")/COUNTIFS(المبيعات!$B$2:$B$2000,المبيعات!$B$2:$B$2000&amp;"",المبيعات!$C$2:$C$2000,المبيعات!$C$2:$C$2000&amp;"")))</f>
        <v/>
      </c>
      <c r="D1840">
        <f>IF(A1840="","",SUMIFS(المبيعات!$H$2:$H$2000,المبيعات!$C$2:$C$2000,A1840))</f>
        <v/>
      </c>
      <c r="E1840" s="13">
        <f>IF(A1840="","",IF(COUNTIF(المبيعات!$C$2:$C$2000,A1840)=0,"",_xlfn.MAXIFS(المبيعات!$A$2:$A$2000,المبيعات!$C$2:$C$2000,A1840)))</f>
        <v/>
      </c>
      <c r="F1840">
        <f>IF(A1840="","",SUMIFS(المبيعات!$H$2:$H$2000,المبيعات!$C$2:$C$2000,A1840,المبيعات!$J$2:$J$2000,"آجل"))</f>
        <v/>
      </c>
      <c r="G1840" s="4" t="n"/>
      <c r="H1840">
        <f>IF(A1840="","",F1840-G1840)</f>
        <v/>
      </c>
    </row>
    <row r="1841">
      <c r="A1841" s="4" t="n"/>
      <c r="B1841" s="4" t="n"/>
      <c r="C1841">
        <f>IF(A1841="","",SUMPRODUCT((المبيعات!$C$2:$C$2000=A1841)*(المبيعات!$B$2:$B$2000&lt;&gt;"")/COUNTIFS(المبيعات!$B$2:$B$2000,المبيعات!$B$2:$B$2000&amp;"",المبيعات!$C$2:$C$2000,المبيعات!$C$2:$C$2000&amp;"")))</f>
        <v/>
      </c>
      <c r="D1841">
        <f>IF(A1841="","",SUMIFS(المبيعات!$H$2:$H$2000,المبيعات!$C$2:$C$2000,A1841))</f>
        <v/>
      </c>
      <c r="E1841" s="13">
        <f>IF(A1841="","",IF(COUNTIF(المبيعات!$C$2:$C$2000,A1841)=0,"",_xlfn.MAXIFS(المبيعات!$A$2:$A$2000,المبيعات!$C$2:$C$2000,A1841)))</f>
        <v/>
      </c>
      <c r="F1841">
        <f>IF(A1841="","",SUMIFS(المبيعات!$H$2:$H$2000,المبيعات!$C$2:$C$2000,A1841,المبيعات!$J$2:$J$2000,"آجل"))</f>
        <v/>
      </c>
      <c r="G1841" s="4" t="n"/>
      <c r="H1841">
        <f>IF(A1841="","",F1841-G1841)</f>
        <v/>
      </c>
    </row>
    <row r="1842">
      <c r="A1842" s="4" t="n"/>
      <c r="B1842" s="4" t="n"/>
      <c r="C1842">
        <f>IF(A1842="","",SUMPRODUCT((المبيعات!$C$2:$C$2000=A1842)*(المبيعات!$B$2:$B$2000&lt;&gt;"")/COUNTIFS(المبيعات!$B$2:$B$2000,المبيعات!$B$2:$B$2000&amp;"",المبيعات!$C$2:$C$2000,المبيعات!$C$2:$C$2000&amp;"")))</f>
        <v/>
      </c>
      <c r="D1842">
        <f>IF(A1842="","",SUMIFS(المبيعات!$H$2:$H$2000,المبيعات!$C$2:$C$2000,A1842))</f>
        <v/>
      </c>
      <c r="E1842" s="13">
        <f>IF(A1842="","",IF(COUNTIF(المبيعات!$C$2:$C$2000,A1842)=0,"",_xlfn.MAXIFS(المبيعات!$A$2:$A$2000,المبيعات!$C$2:$C$2000,A1842)))</f>
        <v/>
      </c>
      <c r="F1842">
        <f>IF(A1842="","",SUMIFS(المبيعات!$H$2:$H$2000,المبيعات!$C$2:$C$2000,A1842,المبيعات!$J$2:$J$2000,"آجل"))</f>
        <v/>
      </c>
      <c r="G1842" s="4" t="n"/>
      <c r="H1842">
        <f>IF(A1842="","",F1842-G1842)</f>
        <v/>
      </c>
    </row>
    <row r="1843">
      <c r="A1843" s="4" t="n"/>
      <c r="B1843" s="4" t="n"/>
      <c r="C1843">
        <f>IF(A1843="","",SUMPRODUCT((المبيعات!$C$2:$C$2000=A1843)*(المبيعات!$B$2:$B$2000&lt;&gt;"")/COUNTIFS(المبيعات!$B$2:$B$2000,المبيعات!$B$2:$B$2000&amp;"",المبيعات!$C$2:$C$2000,المبيعات!$C$2:$C$2000&amp;"")))</f>
        <v/>
      </c>
      <c r="D1843">
        <f>IF(A1843="","",SUMIFS(المبيعات!$H$2:$H$2000,المبيعات!$C$2:$C$2000,A1843))</f>
        <v/>
      </c>
      <c r="E1843" s="13">
        <f>IF(A1843="","",IF(COUNTIF(المبيعات!$C$2:$C$2000,A1843)=0,"",_xlfn.MAXIFS(المبيعات!$A$2:$A$2000,المبيعات!$C$2:$C$2000,A1843)))</f>
        <v/>
      </c>
      <c r="F1843">
        <f>IF(A1843="","",SUMIFS(المبيعات!$H$2:$H$2000,المبيعات!$C$2:$C$2000,A1843,المبيعات!$J$2:$J$2000,"آجل"))</f>
        <v/>
      </c>
      <c r="G1843" s="4" t="n"/>
      <c r="H1843">
        <f>IF(A1843="","",F1843-G1843)</f>
        <v/>
      </c>
    </row>
    <row r="1844">
      <c r="A1844" s="4" t="n"/>
      <c r="B1844" s="4" t="n"/>
      <c r="C1844">
        <f>IF(A1844="","",SUMPRODUCT((المبيعات!$C$2:$C$2000=A1844)*(المبيعات!$B$2:$B$2000&lt;&gt;"")/COUNTIFS(المبيعات!$B$2:$B$2000,المبيعات!$B$2:$B$2000&amp;"",المبيعات!$C$2:$C$2000,المبيعات!$C$2:$C$2000&amp;"")))</f>
        <v/>
      </c>
      <c r="D1844">
        <f>IF(A1844="","",SUMIFS(المبيعات!$H$2:$H$2000,المبيعات!$C$2:$C$2000,A1844))</f>
        <v/>
      </c>
      <c r="E1844" s="13">
        <f>IF(A1844="","",IF(COUNTIF(المبيعات!$C$2:$C$2000,A1844)=0,"",_xlfn.MAXIFS(المبيعات!$A$2:$A$2000,المبيعات!$C$2:$C$2000,A1844)))</f>
        <v/>
      </c>
      <c r="F1844">
        <f>IF(A1844="","",SUMIFS(المبيعات!$H$2:$H$2000,المبيعات!$C$2:$C$2000,A1844,المبيعات!$J$2:$J$2000,"آجل"))</f>
        <v/>
      </c>
      <c r="G1844" s="4" t="n"/>
      <c r="H1844">
        <f>IF(A1844="","",F1844-G1844)</f>
        <v/>
      </c>
    </row>
    <row r="1845">
      <c r="A1845" s="4" t="n"/>
      <c r="B1845" s="4" t="n"/>
      <c r="C1845">
        <f>IF(A1845="","",SUMPRODUCT((المبيعات!$C$2:$C$2000=A1845)*(المبيعات!$B$2:$B$2000&lt;&gt;"")/COUNTIFS(المبيعات!$B$2:$B$2000,المبيعات!$B$2:$B$2000&amp;"",المبيعات!$C$2:$C$2000,المبيعات!$C$2:$C$2000&amp;"")))</f>
        <v/>
      </c>
      <c r="D1845">
        <f>IF(A1845="","",SUMIFS(المبيعات!$H$2:$H$2000,المبيعات!$C$2:$C$2000,A1845))</f>
        <v/>
      </c>
      <c r="E1845" s="13">
        <f>IF(A1845="","",IF(COUNTIF(المبيعات!$C$2:$C$2000,A1845)=0,"",_xlfn.MAXIFS(المبيعات!$A$2:$A$2000,المبيعات!$C$2:$C$2000,A1845)))</f>
        <v/>
      </c>
      <c r="F1845">
        <f>IF(A1845="","",SUMIFS(المبيعات!$H$2:$H$2000,المبيعات!$C$2:$C$2000,A1845,المبيعات!$J$2:$J$2000,"آجل"))</f>
        <v/>
      </c>
      <c r="G1845" s="4" t="n"/>
      <c r="H1845">
        <f>IF(A1845="","",F1845-G1845)</f>
        <v/>
      </c>
    </row>
    <row r="1846">
      <c r="A1846" s="4" t="n"/>
      <c r="B1846" s="4" t="n"/>
      <c r="C1846">
        <f>IF(A1846="","",SUMPRODUCT((المبيعات!$C$2:$C$2000=A1846)*(المبيعات!$B$2:$B$2000&lt;&gt;"")/COUNTIFS(المبيعات!$B$2:$B$2000,المبيعات!$B$2:$B$2000&amp;"",المبيعات!$C$2:$C$2000,المبيعات!$C$2:$C$2000&amp;"")))</f>
        <v/>
      </c>
      <c r="D1846">
        <f>IF(A1846="","",SUMIFS(المبيعات!$H$2:$H$2000,المبيعات!$C$2:$C$2000,A1846))</f>
        <v/>
      </c>
      <c r="E1846" s="13">
        <f>IF(A1846="","",IF(COUNTIF(المبيعات!$C$2:$C$2000,A1846)=0,"",_xlfn.MAXIFS(المبيعات!$A$2:$A$2000,المبيعات!$C$2:$C$2000,A1846)))</f>
        <v/>
      </c>
      <c r="F1846">
        <f>IF(A1846="","",SUMIFS(المبيعات!$H$2:$H$2000,المبيعات!$C$2:$C$2000,A1846,المبيعات!$J$2:$J$2000,"آجل"))</f>
        <v/>
      </c>
      <c r="G1846" s="4" t="n"/>
      <c r="H1846">
        <f>IF(A1846="","",F1846-G1846)</f>
        <v/>
      </c>
    </row>
    <row r="1847">
      <c r="A1847" s="4" t="n"/>
      <c r="B1847" s="4" t="n"/>
      <c r="C1847">
        <f>IF(A1847="","",SUMPRODUCT((المبيعات!$C$2:$C$2000=A1847)*(المبيعات!$B$2:$B$2000&lt;&gt;"")/COUNTIFS(المبيعات!$B$2:$B$2000,المبيعات!$B$2:$B$2000&amp;"",المبيعات!$C$2:$C$2000,المبيعات!$C$2:$C$2000&amp;"")))</f>
        <v/>
      </c>
      <c r="D1847">
        <f>IF(A1847="","",SUMIFS(المبيعات!$H$2:$H$2000,المبيعات!$C$2:$C$2000,A1847))</f>
        <v/>
      </c>
      <c r="E1847" s="13">
        <f>IF(A1847="","",IF(COUNTIF(المبيعات!$C$2:$C$2000,A1847)=0,"",_xlfn.MAXIFS(المبيعات!$A$2:$A$2000,المبيعات!$C$2:$C$2000,A1847)))</f>
        <v/>
      </c>
      <c r="F1847">
        <f>IF(A1847="","",SUMIFS(المبيعات!$H$2:$H$2000,المبيعات!$C$2:$C$2000,A1847,المبيعات!$J$2:$J$2000,"آجل"))</f>
        <v/>
      </c>
      <c r="G1847" s="4" t="n"/>
      <c r="H1847">
        <f>IF(A1847="","",F1847-G1847)</f>
        <v/>
      </c>
    </row>
    <row r="1848">
      <c r="A1848" s="4" t="n"/>
      <c r="B1848" s="4" t="n"/>
      <c r="C1848">
        <f>IF(A1848="","",SUMPRODUCT((المبيعات!$C$2:$C$2000=A1848)*(المبيعات!$B$2:$B$2000&lt;&gt;"")/COUNTIFS(المبيعات!$B$2:$B$2000,المبيعات!$B$2:$B$2000&amp;"",المبيعات!$C$2:$C$2000,المبيعات!$C$2:$C$2000&amp;"")))</f>
        <v/>
      </c>
      <c r="D1848">
        <f>IF(A1848="","",SUMIFS(المبيعات!$H$2:$H$2000,المبيعات!$C$2:$C$2000,A1848))</f>
        <v/>
      </c>
      <c r="E1848" s="13">
        <f>IF(A1848="","",IF(COUNTIF(المبيعات!$C$2:$C$2000,A1848)=0,"",_xlfn.MAXIFS(المبيعات!$A$2:$A$2000,المبيعات!$C$2:$C$2000,A1848)))</f>
        <v/>
      </c>
      <c r="F1848">
        <f>IF(A1848="","",SUMIFS(المبيعات!$H$2:$H$2000,المبيعات!$C$2:$C$2000,A1848,المبيعات!$J$2:$J$2000,"آجل"))</f>
        <v/>
      </c>
      <c r="G1848" s="4" t="n"/>
      <c r="H1848">
        <f>IF(A1848="","",F1848-G1848)</f>
        <v/>
      </c>
    </row>
    <row r="1849">
      <c r="A1849" s="4" t="n"/>
      <c r="B1849" s="4" t="n"/>
      <c r="C1849">
        <f>IF(A1849="","",SUMPRODUCT((المبيعات!$C$2:$C$2000=A1849)*(المبيعات!$B$2:$B$2000&lt;&gt;"")/COUNTIFS(المبيعات!$B$2:$B$2000,المبيعات!$B$2:$B$2000&amp;"",المبيعات!$C$2:$C$2000,المبيعات!$C$2:$C$2000&amp;"")))</f>
        <v/>
      </c>
      <c r="D1849">
        <f>IF(A1849="","",SUMIFS(المبيعات!$H$2:$H$2000,المبيعات!$C$2:$C$2000,A1849))</f>
        <v/>
      </c>
      <c r="E1849" s="13">
        <f>IF(A1849="","",IF(COUNTIF(المبيعات!$C$2:$C$2000,A1849)=0,"",_xlfn.MAXIFS(المبيعات!$A$2:$A$2000,المبيعات!$C$2:$C$2000,A1849)))</f>
        <v/>
      </c>
      <c r="F1849">
        <f>IF(A1849="","",SUMIFS(المبيعات!$H$2:$H$2000,المبيعات!$C$2:$C$2000,A1849,المبيعات!$J$2:$J$2000,"آجل"))</f>
        <v/>
      </c>
      <c r="G1849" s="4" t="n"/>
      <c r="H1849">
        <f>IF(A1849="","",F1849-G1849)</f>
        <v/>
      </c>
    </row>
    <row r="1850">
      <c r="A1850" s="4" t="n"/>
      <c r="B1850" s="4" t="n"/>
      <c r="C1850">
        <f>IF(A1850="","",SUMPRODUCT((المبيعات!$C$2:$C$2000=A1850)*(المبيعات!$B$2:$B$2000&lt;&gt;"")/COUNTIFS(المبيعات!$B$2:$B$2000,المبيعات!$B$2:$B$2000&amp;"",المبيعات!$C$2:$C$2000,المبيعات!$C$2:$C$2000&amp;"")))</f>
        <v/>
      </c>
      <c r="D1850">
        <f>IF(A1850="","",SUMIFS(المبيعات!$H$2:$H$2000,المبيعات!$C$2:$C$2000,A1850))</f>
        <v/>
      </c>
      <c r="E1850" s="13">
        <f>IF(A1850="","",IF(COUNTIF(المبيعات!$C$2:$C$2000,A1850)=0,"",_xlfn.MAXIFS(المبيعات!$A$2:$A$2000,المبيعات!$C$2:$C$2000,A1850)))</f>
        <v/>
      </c>
      <c r="F1850">
        <f>IF(A1850="","",SUMIFS(المبيعات!$H$2:$H$2000,المبيعات!$C$2:$C$2000,A1850,المبيعات!$J$2:$J$2000,"آجل"))</f>
        <v/>
      </c>
      <c r="G1850" s="4" t="n"/>
      <c r="H1850">
        <f>IF(A1850="","",F1850-G1850)</f>
        <v/>
      </c>
    </row>
    <row r="1851">
      <c r="A1851" s="4" t="n"/>
      <c r="B1851" s="4" t="n"/>
      <c r="C1851">
        <f>IF(A1851="","",SUMPRODUCT((المبيعات!$C$2:$C$2000=A1851)*(المبيعات!$B$2:$B$2000&lt;&gt;"")/COUNTIFS(المبيعات!$B$2:$B$2000,المبيعات!$B$2:$B$2000&amp;"",المبيعات!$C$2:$C$2000,المبيعات!$C$2:$C$2000&amp;"")))</f>
        <v/>
      </c>
      <c r="D1851">
        <f>IF(A1851="","",SUMIFS(المبيعات!$H$2:$H$2000,المبيعات!$C$2:$C$2000,A1851))</f>
        <v/>
      </c>
      <c r="E1851" s="13">
        <f>IF(A1851="","",IF(COUNTIF(المبيعات!$C$2:$C$2000,A1851)=0,"",_xlfn.MAXIFS(المبيعات!$A$2:$A$2000,المبيعات!$C$2:$C$2000,A1851)))</f>
        <v/>
      </c>
      <c r="F1851">
        <f>IF(A1851="","",SUMIFS(المبيعات!$H$2:$H$2000,المبيعات!$C$2:$C$2000,A1851,المبيعات!$J$2:$J$2000,"آجل"))</f>
        <v/>
      </c>
      <c r="G1851" s="4" t="n"/>
      <c r="H1851">
        <f>IF(A1851="","",F1851-G1851)</f>
        <v/>
      </c>
    </row>
    <row r="1852">
      <c r="A1852" s="4" t="n"/>
      <c r="B1852" s="4" t="n"/>
      <c r="C1852">
        <f>IF(A1852="","",SUMPRODUCT((المبيعات!$C$2:$C$2000=A1852)*(المبيعات!$B$2:$B$2000&lt;&gt;"")/COUNTIFS(المبيعات!$B$2:$B$2000,المبيعات!$B$2:$B$2000&amp;"",المبيعات!$C$2:$C$2000,المبيعات!$C$2:$C$2000&amp;"")))</f>
        <v/>
      </c>
      <c r="D1852">
        <f>IF(A1852="","",SUMIFS(المبيعات!$H$2:$H$2000,المبيعات!$C$2:$C$2000,A1852))</f>
        <v/>
      </c>
      <c r="E1852" s="13">
        <f>IF(A1852="","",IF(COUNTIF(المبيعات!$C$2:$C$2000,A1852)=0,"",_xlfn.MAXIFS(المبيعات!$A$2:$A$2000,المبيعات!$C$2:$C$2000,A1852)))</f>
        <v/>
      </c>
      <c r="F1852">
        <f>IF(A1852="","",SUMIFS(المبيعات!$H$2:$H$2000,المبيعات!$C$2:$C$2000,A1852,المبيعات!$J$2:$J$2000,"آجل"))</f>
        <v/>
      </c>
      <c r="G1852" s="4" t="n"/>
      <c r="H1852">
        <f>IF(A1852="","",F1852-G1852)</f>
        <v/>
      </c>
    </row>
    <row r="1853">
      <c r="A1853" s="4" t="n"/>
      <c r="B1853" s="4" t="n"/>
      <c r="C1853">
        <f>IF(A1853="","",SUMPRODUCT((المبيعات!$C$2:$C$2000=A1853)*(المبيعات!$B$2:$B$2000&lt;&gt;"")/COUNTIFS(المبيعات!$B$2:$B$2000,المبيعات!$B$2:$B$2000&amp;"",المبيعات!$C$2:$C$2000,المبيعات!$C$2:$C$2000&amp;"")))</f>
        <v/>
      </c>
      <c r="D1853">
        <f>IF(A1853="","",SUMIFS(المبيعات!$H$2:$H$2000,المبيعات!$C$2:$C$2000,A1853))</f>
        <v/>
      </c>
      <c r="E1853" s="13">
        <f>IF(A1853="","",IF(COUNTIF(المبيعات!$C$2:$C$2000,A1853)=0,"",_xlfn.MAXIFS(المبيعات!$A$2:$A$2000,المبيعات!$C$2:$C$2000,A1853)))</f>
        <v/>
      </c>
      <c r="F1853">
        <f>IF(A1853="","",SUMIFS(المبيعات!$H$2:$H$2000,المبيعات!$C$2:$C$2000,A1853,المبيعات!$J$2:$J$2000,"آجل"))</f>
        <v/>
      </c>
      <c r="G1853" s="4" t="n"/>
      <c r="H1853">
        <f>IF(A1853="","",F1853-G1853)</f>
        <v/>
      </c>
    </row>
    <row r="1854">
      <c r="A1854" s="4" t="n"/>
      <c r="B1854" s="4" t="n"/>
      <c r="C1854">
        <f>IF(A1854="","",SUMPRODUCT((المبيعات!$C$2:$C$2000=A1854)*(المبيعات!$B$2:$B$2000&lt;&gt;"")/COUNTIFS(المبيعات!$B$2:$B$2000,المبيعات!$B$2:$B$2000&amp;"",المبيعات!$C$2:$C$2000,المبيعات!$C$2:$C$2000&amp;"")))</f>
        <v/>
      </c>
      <c r="D1854">
        <f>IF(A1854="","",SUMIFS(المبيعات!$H$2:$H$2000,المبيعات!$C$2:$C$2000,A1854))</f>
        <v/>
      </c>
      <c r="E1854" s="13">
        <f>IF(A1854="","",IF(COUNTIF(المبيعات!$C$2:$C$2000,A1854)=0,"",_xlfn.MAXIFS(المبيعات!$A$2:$A$2000,المبيعات!$C$2:$C$2000,A1854)))</f>
        <v/>
      </c>
      <c r="F1854">
        <f>IF(A1854="","",SUMIFS(المبيعات!$H$2:$H$2000,المبيعات!$C$2:$C$2000,A1854,المبيعات!$J$2:$J$2000,"آجل"))</f>
        <v/>
      </c>
      <c r="G1854" s="4" t="n"/>
      <c r="H1854">
        <f>IF(A1854="","",F1854-G1854)</f>
        <v/>
      </c>
    </row>
    <row r="1855">
      <c r="A1855" s="4" t="n"/>
      <c r="B1855" s="4" t="n"/>
      <c r="C1855">
        <f>IF(A1855="","",SUMPRODUCT((المبيعات!$C$2:$C$2000=A1855)*(المبيعات!$B$2:$B$2000&lt;&gt;"")/COUNTIFS(المبيعات!$B$2:$B$2000,المبيعات!$B$2:$B$2000&amp;"",المبيعات!$C$2:$C$2000,المبيعات!$C$2:$C$2000&amp;"")))</f>
        <v/>
      </c>
      <c r="D1855">
        <f>IF(A1855="","",SUMIFS(المبيعات!$H$2:$H$2000,المبيعات!$C$2:$C$2000,A1855))</f>
        <v/>
      </c>
      <c r="E1855" s="13">
        <f>IF(A1855="","",IF(COUNTIF(المبيعات!$C$2:$C$2000,A1855)=0,"",_xlfn.MAXIFS(المبيعات!$A$2:$A$2000,المبيعات!$C$2:$C$2000,A1855)))</f>
        <v/>
      </c>
      <c r="F1855">
        <f>IF(A1855="","",SUMIFS(المبيعات!$H$2:$H$2000,المبيعات!$C$2:$C$2000,A1855,المبيعات!$J$2:$J$2000,"آجل"))</f>
        <v/>
      </c>
      <c r="G1855" s="4" t="n"/>
      <c r="H1855">
        <f>IF(A1855="","",F1855-G1855)</f>
        <v/>
      </c>
    </row>
    <row r="1856">
      <c r="A1856" s="4" t="n"/>
      <c r="B1856" s="4" t="n"/>
      <c r="C1856">
        <f>IF(A1856="","",SUMPRODUCT((المبيعات!$C$2:$C$2000=A1856)*(المبيعات!$B$2:$B$2000&lt;&gt;"")/COUNTIFS(المبيعات!$B$2:$B$2000,المبيعات!$B$2:$B$2000&amp;"",المبيعات!$C$2:$C$2000,المبيعات!$C$2:$C$2000&amp;"")))</f>
        <v/>
      </c>
      <c r="D1856">
        <f>IF(A1856="","",SUMIFS(المبيعات!$H$2:$H$2000,المبيعات!$C$2:$C$2000,A1856))</f>
        <v/>
      </c>
      <c r="E1856" s="13">
        <f>IF(A1856="","",IF(COUNTIF(المبيعات!$C$2:$C$2000,A1856)=0,"",_xlfn.MAXIFS(المبيعات!$A$2:$A$2000,المبيعات!$C$2:$C$2000,A1856)))</f>
        <v/>
      </c>
      <c r="F1856">
        <f>IF(A1856="","",SUMIFS(المبيعات!$H$2:$H$2000,المبيعات!$C$2:$C$2000,A1856,المبيعات!$J$2:$J$2000,"آجل"))</f>
        <v/>
      </c>
      <c r="G1856" s="4" t="n"/>
      <c r="H1856">
        <f>IF(A1856="","",F1856-G1856)</f>
        <v/>
      </c>
    </row>
    <row r="1857">
      <c r="A1857" s="4" t="n"/>
      <c r="B1857" s="4" t="n"/>
      <c r="C1857">
        <f>IF(A1857="","",SUMPRODUCT((المبيعات!$C$2:$C$2000=A1857)*(المبيعات!$B$2:$B$2000&lt;&gt;"")/COUNTIFS(المبيعات!$B$2:$B$2000,المبيعات!$B$2:$B$2000&amp;"",المبيعات!$C$2:$C$2000,المبيعات!$C$2:$C$2000&amp;"")))</f>
        <v/>
      </c>
      <c r="D1857">
        <f>IF(A1857="","",SUMIFS(المبيعات!$H$2:$H$2000,المبيعات!$C$2:$C$2000,A1857))</f>
        <v/>
      </c>
      <c r="E1857" s="13">
        <f>IF(A1857="","",IF(COUNTIF(المبيعات!$C$2:$C$2000,A1857)=0,"",_xlfn.MAXIFS(المبيعات!$A$2:$A$2000,المبيعات!$C$2:$C$2000,A1857)))</f>
        <v/>
      </c>
      <c r="F1857">
        <f>IF(A1857="","",SUMIFS(المبيعات!$H$2:$H$2000,المبيعات!$C$2:$C$2000,A1857,المبيعات!$J$2:$J$2000,"آجل"))</f>
        <v/>
      </c>
      <c r="G1857" s="4" t="n"/>
      <c r="H1857">
        <f>IF(A1857="","",F1857-G1857)</f>
        <v/>
      </c>
    </row>
    <row r="1858">
      <c r="A1858" s="4" t="n"/>
      <c r="B1858" s="4" t="n"/>
      <c r="C1858">
        <f>IF(A1858="","",SUMPRODUCT((المبيعات!$C$2:$C$2000=A1858)*(المبيعات!$B$2:$B$2000&lt;&gt;"")/COUNTIFS(المبيعات!$B$2:$B$2000,المبيعات!$B$2:$B$2000&amp;"",المبيعات!$C$2:$C$2000,المبيعات!$C$2:$C$2000&amp;"")))</f>
        <v/>
      </c>
      <c r="D1858">
        <f>IF(A1858="","",SUMIFS(المبيعات!$H$2:$H$2000,المبيعات!$C$2:$C$2000,A1858))</f>
        <v/>
      </c>
      <c r="E1858" s="13">
        <f>IF(A1858="","",IF(COUNTIF(المبيعات!$C$2:$C$2000,A1858)=0,"",_xlfn.MAXIFS(المبيعات!$A$2:$A$2000,المبيعات!$C$2:$C$2000,A1858)))</f>
        <v/>
      </c>
      <c r="F1858">
        <f>IF(A1858="","",SUMIFS(المبيعات!$H$2:$H$2000,المبيعات!$C$2:$C$2000,A1858,المبيعات!$J$2:$J$2000,"آجل"))</f>
        <v/>
      </c>
      <c r="G1858" s="4" t="n"/>
      <c r="H1858">
        <f>IF(A1858="","",F1858-G1858)</f>
        <v/>
      </c>
    </row>
    <row r="1859">
      <c r="A1859" s="4" t="n"/>
      <c r="B1859" s="4" t="n"/>
      <c r="C1859">
        <f>IF(A1859="","",SUMPRODUCT((المبيعات!$C$2:$C$2000=A1859)*(المبيعات!$B$2:$B$2000&lt;&gt;"")/COUNTIFS(المبيعات!$B$2:$B$2000,المبيعات!$B$2:$B$2000&amp;"",المبيعات!$C$2:$C$2000,المبيعات!$C$2:$C$2000&amp;"")))</f>
        <v/>
      </c>
      <c r="D1859">
        <f>IF(A1859="","",SUMIFS(المبيعات!$H$2:$H$2000,المبيعات!$C$2:$C$2000,A1859))</f>
        <v/>
      </c>
      <c r="E1859" s="13">
        <f>IF(A1859="","",IF(COUNTIF(المبيعات!$C$2:$C$2000,A1859)=0,"",_xlfn.MAXIFS(المبيعات!$A$2:$A$2000,المبيعات!$C$2:$C$2000,A1859)))</f>
        <v/>
      </c>
      <c r="F1859">
        <f>IF(A1859="","",SUMIFS(المبيعات!$H$2:$H$2000,المبيعات!$C$2:$C$2000,A1859,المبيعات!$J$2:$J$2000,"آجل"))</f>
        <v/>
      </c>
      <c r="G1859" s="4" t="n"/>
      <c r="H1859">
        <f>IF(A1859="","",F1859-G1859)</f>
        <v/>
      </c>
    </row>
    <row r="1860">
      <c r="A1860" s="4" t="n"/>
      <c r="B1860" s="4" t="n"/>
      <c r="C1860">
        <f>IF(A1860="","",SUMPRODUCT((المبيعات!$C$2:$C$2000=A1860)*(المبيعات!$B$2:$B$2000&lt;&gt;"")/COUNTIFS(المبيعات!$B$2:$B$2000,المبيعات!$B$2:$B$2000&amp;"",المبيعات!$C$2:$C$2000,المبيعات!$C$2:$C$2000&amp;"")))</f>
        <v/>
      </c>
      <c r="D1860">
        <f>IF(A1860="","",SUMIFS(المبيعات!$H$2:$H$2000,المبيعات!$C$2:$C$2000,A1860))</f>
        <v/>
      </c>
      <c r="E1860" s="13">
        <f>IF(A1860="","",IF(COUNTIF(المبيعات!$C$2:$C$2000,A1860)=0,"",_xlfn.MAXIFS(المبيعات!$A$2:$A$2000,المبيعات!$C$2:$C$2000,A1860)))</f>
        <v/>
      </c>
      <c r="F1860">
        <f>IF(A1860="","",SUMIFS(المبيعات!$H$2:$H$2000,المبيعات!$C$2:$C$2000,A1860,المبيعات!$J$2:$J$2000,"آجل"))</f>
        <v/>
      </c>
      <c r="G1860" s="4" t="n"/>
      <c r="H1860">
        <f>IF(A1860="","",F1860-G1860)</f>
        <v/>
      </c>
    </row>
    <row r="1861">
      <c r="A1861" s="4" t="n"/>
      <c r="B1861" s="4" t="n"/>
      <c r="C1861">
        <f>IF(A1861="","",SUMPRODUCT((المبيعات!$C$2:$C$2000=A1861)*(المبيعات!$B$2:$B$2000&lt;&gt;"")/COUNTIFS(المبيعات!$B$2:$B$2000,المبيعات!$B$2:$B$2000&amp;"",المبيعات!$C$2:$C$2000,المبيعات!$C$2:$C$2000&amp;"")))</f>
        <v/>
      </c>
      <c r="D1861">
        <f>IF(A1861="","",SUMIFS(المبيعات!$H$2:$H$2000,المبيعات!$C$2:$C$2000,A1861))</f>
        <v/>
      </c>
      <c r="E1861" s="13">
        <f>IF(A1861="","",IF(COUNTIF(المبيعات!$C$2:$C$2000,A1861)=0,"",_xlfn.MAXIFS(المبيعات!$A$2:$A$2000,المبيعات!$C$2:$C$2000,A1861)))</f>
        <v/>
      </c>
      <c r="F1861">
        <f>IF(A1861="","",SUMIFS(المبيعات!$H$2:$H$2000,المبيعات!$C$2:$C$2000,A1861,المبيعات!$J$2:$J$2000,"آجل"))</f>
        <v/>
      </c>
      <c r="G1861" s="4" t="n"/>
      <c r="H1861">
        <f>IF(A1861="","",F1861-G1861)</f>
        <v/>
      </c>
    </row>
    <row r="1862">
      <c r="A1862" s="4" t="n"/>
      <c r="B1862" s="4" t="n"/>
      <c r="C1862">
        <f>IF(A1862="","",SUMPRODUCT((المبيعات!$C$2:$C$2000=A1862)*(المبيعات!$B$2:$B$2000&lt;&gt;"")/COUNTIFS(المبيعات!$B$2:$B$2000,المبيعات!$B$2:$B$2000&amp;"",المبيعات!$C$2:$C$2000,المبيعات!$C$2:$C$2000&amp;"")))</f>
        <v/>
      </c>
      <c r="D1862">
        <f>IF(A1862="","",SUMIFS(المبيعات!$H$2:$H$2000,المبيعات!$C$2:$C$2000,A1862))</f>
        <v/>
      </c>
      <c r="E1862" s="13">
        <f>IF(A1862="","",IF(COUNTIF(المبيعات!$C$2:$C$2000,A1862)=0,"",_xlfn.MAXIFS(المبيعات!$A$2:$A$2000,المبيعات!$C$2:$C$2000,A1862)))</f>
        <v/>
      </c>
      <c r="F1862">
        <f>IF(A1862="","",SUMIFS(المبيعات!$H$2:$H$2000,المبيعات!$C$2:$C$2000,A1862,المبيعات!$J$2:$J$2000,"آجل"))</f>
        <v/>
      </c>
      <c r="G1862" s="4" t="n"/>
      <c r="H1862">
        <f>IF(A1862="","",F1862-G1862)</f>
        <v/>
      </c>
    </row>
    <row r="1863">
      <c r="A1863" s="4" t="n"/>
      <c r="B1863" s="4" t="n"/>
      <c r="C1863">
        <f>IF(A1863="","",SUMPRODUCT((المبيعات!$C$2:$C$2000=A1863)*(المبيعات!$B$2:$B$2000&lt;&gt;"")/COUNTIFS(المبيعات!$B$2:$B$2000,المبيعات!$B$2:$B$2000&amp;"",المبيعات!$C$2:$C$2000,المبيعات!$C$2:$C$2000&amp;"")))</f>
        <v/>
      </c>
      <c r="D1863">
        <f>IF(A1863="","",SUMIFS(المبيعات!$H$2:$H$2000,المبيعات!$C$2:$C$2000,A1863))</f>
        <v/>
      </c>
      <c r="E1863" s="13">
        <f>IF(A1863="","",IF(COUNTIF(المبيعات!$C$2:$C$2000,A1863)=0,"",_xlfn.MAXIFS(المبيعات!$A$2:$A$2000,المبيعات!$C$2:$C$2000,A1863)))</f>
        <v/>
      </c>
      <c r="F1863">
        <f>IF(A1863="","",SUMIFS(المبيعات!$H$2:$H$2000,المبيعات!$C$2:$C$2000,A1863,المبيعات!$J$2:$J$2000,"آجل"))</f>
        <v/>
      </c>
      <c r="G1863" s="4" t="n"/>
      <c r="H1863">
        <f>IF(A1863="","",F1863-G1863)</f>
        <v/>
      </c>
    </row>
    <row r="1864">
      <c r="A1864" s="4" t="n"/>
      <c r="B1864" s="4" t="n"/>
      <c r="C1864">
        <f>IF(A1864="","",SUMPRODUCT((المبيعات!$C$2:$C$2000=A1864)*(المبيعات!$B$2:$B$2000&lt;&gt;"")/COUNTIFS(المبيعات!$B$2:$B$2000,المبيعات!$B$2:$B$2000&amp;"",المبيعات!$C$2:$C$2000,المبيعات!$C$2:$C$2000&amp;"")))</f>
        <v/>
      </c>
      <c r="D1864">
        <f>IF(A1864="","",SUMIFS(المبيعات!$H$2:$H$2000,المبيعات!$C$2:$C$2000,A1864))</f>
        <v/>
      </c>
      <c r="E1864" s="13">
        <f>IF(A1864="","",IF(COUNTIF(المبيعات!$C$2:$C$2000,A1864)=0,"",_xlfn.MAXIFS(المبيعات!$A$2:$A$2000,المبيعات!$C$2:$C$2000,A1864)))</f>
        <v/>
      </c>
      <c r="F1864">
        <f>IF(A1864="","",SUMIFS(المبيعات!$H$2:$H$2000,المبيعات!$C$2:$C$2000,A1864,المبيعات!$J$2:$J$2000,"آجل"))</f>
        <v/>
      </c>
      <c r="G1864" s="4" t="n"/>
      <c r="H1864">
        <f>IF(A1864="","",F1864-G1864)</f>
        <v/>
      </c>
    </row>
    <row r="1865">
      <c r="A1865" s="4" t="n"/>
      <c r="B1865" s="4" t="n"/>
      <c r="C1865">
        <f>IF(A1865="","",SUMPRODUCT((المبيعات!$C$2:$C$2000=A1865)*(المبيعات!$B$2:$B$2000&lt;&gt;"")/COUNTIFS(المبيعات!$B$2:$B$2000,المبيعات!$B$2:$B$2000&amp;"",المبيعات!$C$2:$C$2000,المبيعات!$C$2:$C$2000&amp;"")))</f>
        <v/>
      </c>
      <c r="D1865">
        <f>IF(A1865="","",SUMIFS(المبيعات!$H$2:$H$2000,المبيعات!$C$2:$C$2000,A1865))</f>
        <v/>
      </c>
      <c r="E1865" s="13">
        <f>IF(A1865="","",IF(COUNTIF(المبيعات!$C$2:$C$2000,A1865)=0,"",_xlfn.MAXIFS(المبيعات!$A$2:$A$2000,المبيعات!$C$2:$C$2000,A1865)))</f>
        <v/>
      </c>
      <c r="F1865">
        <f>IF(A1865="","",SUMIFS(المبيعات!$H$2:$H$2000,المبيعات!$C$2:$C$2000,A1865,المبيعات!$J$2:$J$2000,"آجل"))</f>
        <v/>
      </c>
      <c r="G1865" s="4" t="n"/>
      <c r="H1865">
        <f>IF(A1865="","",F1865-G1865)</f>
        <v/>
      </c>
    </row>
    <row r="1866">
      <c r="A1866" s="4" t="n"/>
      <c r="B1866" s="4" t="n"/>
      <c r="C1866">
        <f>IF(A1866="","",SUMPRODUCT((المبيعات!$C$2:$C$2000=A1866)*(المبيعات!$B$2:$B$2000&lt;&gt;"")/COUNTIFS(المبيعات!$B$2:$B$2000,المبيعات!$B$2:$B$2000&amp;"",المبيعات!$C$2:$C$2000,المبيعات!$C$2:$C$2000&amp;"")))</f>
        <v/>
      </c>
      <c r="D1866">
        <f>IF(A1866="","",SUMIFS(المبيعات!$H$2:$H$2000,المبيعات!$C$2:$C$2000,A1866))</f>
        <v/>
      </c>
      <c r="E1866" s="13">
        <f>IF(A1866="","",IF(COUNTIF(المبيعات!$C$2:$C$2000,A1866)=0,"",_xlfn.MAXIFS(المبيعات!$A$2:$A$2000,المبيعات!$C$2:$C$2000,A1866)))</f>
        <v/>
      </c>
      <c r="F1866">
        <f>IF(A1866="","",SUMIFS(المبيعات!$H$2:$H$2000,المبيعات!$C$2:$C$2000,A1866,المبيعات!$J$2:$J$2000,"آجل"))</f>
        <v/>
      </c>
      <c r="G1866" s="4" t="n"/>
      <c r="H1866">
        <f>IF(A1866="","",F1866-G1866)</f>
        <v/>
      </c>
    </row>
    <row r="1867">
      <c r="A1867" s="4" t="n"/>
      <c r="B1867" s="4" t="n"/>
      <c r="C1867">
        <f>IF(A1867="","",SUMPRODUCT((المبيعات!$C$2:$C$2000=A1867)*(المبيعات!$B$2:$B$2000&lt;&gt;"")/COUNTIFS(المبيعات!$B$2:$B$2000,المبيعات!$B$2:$B$2000&amp;"",المبيعات!$C$2:$C$2000,المبيعات!$C$2:$C$2000&amp;"")))</f>
        <v/>
      </c>
      <c r="D1867">
        <f>IF(A1867="","",SUMIFS(المبيعات!$H$2:$H$2000,المبيعات!$C$2:$C$2000,A1867))</f>
        <v/>
      </c>
      <c r="E1867" s="13">
        <f>IF(A1867="","",IF(COUNTIF(المبيعات!$C$2:$C$2000,A1867)=0,"",_xlfn.MAXIFS(المبيعات!$A$2:$A$2000,المبيعات!$C$2:$C$2000,A1867)))</f>
        <v/>
      </c>
      <c r="F1867">
        <f>IF(A1867="","",SUMIFS(المبيعات!$H$2:$H$2000,المبيعات!$C$2:$C$2000,A1867,المبيعات!$J$2:$J$2000,"آجل"))</f>
        <v/>
      </c>
      <c r="G1867" s="4" t="n"/>
      <c r="H1867">
        <f>IF(A1867="","",F1867-G1867)</f>
        <v/>
      </c>
    </row>
    <row r="1868">
      <c r="A1868" s="4" t="n"/>
      <c r="B1868" s="4" t="n"/>
      <c r="C1868">
        <f>IF(A1868="","",SUMPRODUCT((المبيعات!$C$2:$C$2000=A1868)*(المبيعات!$B$2:$B$2000&lt;&gt;"")/COUNTIFS(المبيعات!$B$2:$B$2000,المبيعات!$B$2:$B$2000&amp;"",المبيعات!$C$2:$C$2000,المبيعات!$C$2:$C$2000&amp;"")))</f>
        <v/>
      </c>
      <c r="D1868">
        <f>IF(A1868="","",SUMIFS(المبيعات!$H$2:$H$2000,المبيعات!$C$2:$C$2000,A1868))</f>
        <v/>
      </c>
      <c r="E1868" s="13">
        <f>IF(A1868="","",IF(COUNTIF(المبيعات!$C$2:$C$2000,A1868)=0,"",_xlfn.MAXIFS(المبيعات!$A$2:$A$2000,المبيعات!$C$2:$C$2000,A1868)))</f>
        <v/>
      </c>
      <c r="F1868">
        <f>IF(A1868="","",SUMIFS(المبيعات!$H$2:$H$2000,المبيعات!$C$2:$C$2000,A1868,المبيعات!$J$2:$J$2000,"آجل"))</f>
        <v/>
      </c>
      <c r="G1868" s="4" t="n"/>
      <c r="H1868">
        <f>IF(A1868="","",F1868-G1868)</f>
        <v/>
      </c>
    </row>
    <row r="1869">
      <c r="A1869" s="4" t="n"/>
      <c r="B1869" s="4" t="n"/>
      <c r="C1869">
        <f>IF(A1869="","",SUMPRODUCT((المبيعات!$C$2:$C$2000=A1869)*(المبيعات!$B$2:$B$2000&lt;&gt;"")/COUNTIFS(المبيعات!$B$2:$B$2000,المبيعات!$B$2:$B$2000&amp;"",المبيعات!$C$2:$C$2000,المبيعات!$C$2:$C$2000&amp;"")))</f>
        <v/>
      </c>
      <c r="D1869">
        <f>IF(A1869="","",SUMIFS(المبيعات!$H$2:$H$2000,المبيعات!$C$2:$C$2000,A1869))</f>
        <v/>
      </c>
      <c r="E1869" s="13">
        <f>IF(A1869="","",IF(COUNTIF(المبيعات!$C$2:$C$2000,A1869)=0,"",_xlfn.MAXIFS(المبيعات!$A$2:$A$2000,المبيعات!$C$2:$C$2000,A1869)))</f>
        <v/>
      </c>
      <c r="F1869">
        <f>IF(A1869="","",SUMIFS(المبيعات!$H$2:$H$2000,المبيعات!$C$2:$C$2000,A1869,المبيعات!$J$2:$J$2000,"آجل"))</f>
        <v/>
      </c>
      <c r="G1869" s="4" t="n"/>
      <c r="H1869">
        <f>IF(A1869="","",F1869-G1869)</f>
        <v/>
      </c>
    </row>
    <row r="1870">
      <c r="A1870" s="4" t="n"/>
      <c r="B1870" s="4" t="n"/>
      <c r="C1870">
        <f>IF(A1870="","",SUMPRODUCT((المبيعات!$C$2:$C$2000=A1870)*(المبيعات!$B$2:$B$2000&lt;&gt;"")/COUNTIFS(المبيعات!$B$2:$B$2000,المبيعات!$B$2:$B$2000&amp;"",المبيعات!$C$2:$C$2000,المبيعات!$C$2:$C$2000&amp;"")))</f>
        <v/>
      </c>
      <c r="D1870">
        <f>IF(A1870="","",SUMIFS(المبيعات!$H$2:$H$2000,المبيعات!$C$2:$C$2000,A1870))</f>
        <v/>
      </c>
      <c r="E1870" s="13">
        <f>IF(A1870="","",IF(COUNTIF(المبيعات!$C$2:$C$2000,A1870)=0,"",_xlfn.MAXIFS(المبيعات!$A$2:$A$2000,المبيعات!$C$2:$C$2000,A1870)))</f>
        <v/>
      </c>
      <c r="F1870">
        <f>IF(A1870="","",SUMIFS(المبيعات!$H$2:$H$2000,المبيعات!$C$2:$C$2000,A1870,المبيعات!$J$2:$J$2000,"آجل"))</f>
        <v/>
      </c>
      <c r="G1870" s="4" t="n"/>
      <c r="H1870">
        <f>IF(A1870="","",F1870-G1870)</f>
        <v/>
      </c>
    </row>
    <row r="1871">
      <c r="A1871" s="4" t="n"/>
      <c r="B1871" s="4" t="n"/>
      <c r="C1871">
        <f>IF(A1871="","",SUMPRODUCT((المبيعات!$C$2:$C$2000=A1871)*(المبيعات!$B$2:$B$2000&lt;&gt;"")/COUNTIFS(المبيعات!$B$2:$B$2000,المبيعات!$B$2:$B$2000&amp;"",المبيعات!$C$2:$C$2000,المبيعات!$C$2:$C$2000&amp;"")))</f>
        <v/>
      </c>
      <c r="D1871">
        <f>IF(A1871="","",SUMIFS(المبيعات!$H$2:$H$2000,المبيعات!$C$2:$C$2000,A1871))</f>
        <v/>
      </c>
      <c r="E1871" s="13">
        <f>IF(A1871="","",IF(COUNTIF(المبيعات!$C$2:$C$2000,A1871)=0,"",_xlfn.MAXIFS(المبيعات!$A$2:$A$2000,المبيعات!$C$2:$C$2000,A1871)))</f>
        <v/>
      </c>
      <c r="F1871">
        <f>IF(A1871="","",SUMIFS(المبيعات!$H$2:$H$2000,المبيعات!$C$2:$C$2000,A1871,المبيعات!$J$2:$J$2000,"آجل"))</f>
        <v/>
      </c>
      <c r="G1871" s="4" t="n"/>
      <c r="H1871">
        <f>IF(A1871="","",F1871-G1871)</f>
        <v/>
      </c>
    </row>
    <row r="1872">
      <c r="A1872" s="4" t="n"/>
      <c r="B1872" s="4" t="n"/>
      <c r="C1872">
        <f>IF(A1872="","",SUMPRODUCT((المبيعات!$C$2:$C$2000=A1872)*(المبيعات!$B$2:$B$2000&lt;&gt;"")/COUNTIFS(المبيعات!$B$2:$B$2000,المبيعات!$B$2:$B$2000&amp;"",المبيعات!$C$2:$C$2000,المبيعات!$C$2:$C$2000&amp;"")))</f>
        <v/>
      </c>
      <c r="D1872">
        <f>IF(A1872="","",SUMIFS(المبيعات!$H$2:$H$2000,المبيعات!$C$2:$C$2000,A1872))</f>
        <v/>
      </c>
      <c r="E1872" s="13">
        <f>IF(A1872="","",IF(COUNTIF(المبيعات!$C$2:$C$2000,A1872)=0,"",_xlfn.MAXIFS(المبيعات!$A$2:$A$2000,المبيعات!$C$2:$C$2000,A1872)))</f>
        <v/>
      </c>
      <c r="F1872">
        <f>IF(A1872="","",SUMIFS(المبيعات!$H$2:$H$2000,المبيعات!$C$2:$C$2000,A1872,المبيعات!$J$2:$J$2000,"آجل"))</f>
        <v/>
      </c>
      <c r="G1872" s="4" t="n"/>
      <c r="H1872">
        <f>IF(A1872="","",F1872-G1872)</f>
        <v/>
      </c>
    </row>
    <row r="1873">
      <c r="A1873" s="4" t="n"/>
      <c r="B1873" s="4" t="n"/>
      <c r="C1873">
        <f>IF(A1873="","",SUMPRODUCT((المبيعات!$C$2:$C$2000=A1873)*(المبيعات!$B$2:$B$2000&lt;&gt;"")/COUNTIFS(المبيعات!$B$2:$B$2000,المبيعات!$B$2:$B$2000&amp;"",المبيعات!$C$2:$C$2000,المبيعات!$C$2:$C$2000&amp;"")))</f>
        <v/>
      </c>
      <c r="D1873">
        <f>IF(A1873="","",SUMIFS(المبيعات!$H$2:$H$2000,المبيعات!$C$2:$C$2000,A1873))</f>
        <v/>
      </c>
      <c r="E1873" s="13">
        <f>IF(A1873="","",IF(COUNTIF(المبيعات!$C$2:$C$2000,A1873)=0,"",_xlfn.MAXIFS(المبيعات!$A$2:$A$2000,المبيعات!$C$2:$C$2000,A1873)))</f>
        <v/>
      </c>
      <c r="F1873">
        <f>IF(A1873="","",SUMIFS(المبيعات!$H$2:$H$2000,المبيعات!$C$2:$C$2000,A1873,المبيعات!$J$2:$J$2000,"آجل"))</f>
        <v/>
      </c>
      <c r="G1873" s="4" t="n"/>
      <c r="H1873">
        <f>IF(A1873="","",F1873-G1873)</f>
        <v/>
      </c>
    </row>
    <row r="1874">
      <c r="A1874" s="4" t="n"/>
      <c r="B1874" s="4" t="n"/>
      <c r="C1874">
        <f>IF(A1874="","",SUMPRODUCT((المبيعات!$C$2:$C$2000=A1874)*(المبيعات!$B$2:$B$2000&lt;&gt;"")/COUNTIFS(المبيعات!$B$2:$B$2000,المبيعات!$B$2:$B$2000&amp;"",المبيعات!$C$2:$C$2000,المبيعات!$C$2:$C$2000&amp;"")))</f>
        <v/>
      </c>
      <c r="D1874">
        <f>IF(A1874="","",SUMIFS(المبيعات!$H$2:$H$2000,المبيعات!$C$2:$C$2000,A1874))</f>
        <v/>
      </c>
      <c r="E1874" s="13">
        <f>IF(A1874="","",IF(COUNTIF(المبيعات!$C$2:$C$2000,A1874)=0,"",_xlfn.MAXIFS(المبيعات!$A$2:$A$2000,المبيعات!$C$2:$C$2000,A1874)))</f>
        <v/>
      </c>
      <c r="F1874">
        <f>IF(A1874="","",SUMIFS(المبيعات!$H$2:$H$2000,المبيعات!$C$2:$C$2000,A1874,المبيعات!$J$2:$J$2000,"آجل"))</f>
        <v/>
      </c>
      <c r="G1874" s="4" t="n"/>
      <c r="H1874">
        <f>IF(A1874="","",F1874-G1874)</f>
        <v/>
      </c>
    </row>
    <row r="1875">
      <c r="A1875" s="4" t="n"/>
      <c r="B1875" s="4" t="n"/>
      <c r="C1875">
        <f>IF(A1875="","",SUMPRODUCT((المبيعات!$C$2:$C$2000=A1875)*(المبيعات!$B$2:$B$2000&lt;&gt;"")/COUNTIFS(المبيعات!$B$2:$B$2000,المبيعات!$B$2:$B$2000&amp;"",المبيعات!$C$2:$C$2000,المبيعات!$C$2:$C$2000&amp;"")))</f>
        <v/>
      </c>
      <c r="D1875">
        <f>IF(A1875="","",SUMIFS(المبيعات!$H$2:$H$2000,المبيعات!$C$2:$C$2000,A1875))</f>
        <v/>
      </c>
      <c r="E1875" s="13">
        <f>IF(A1875="","",IF(COUNTIF(المبيعات!$C$2:$C$2000,A1875)=0,"",_xlfn.MAXIFS(المبيعات!$A$2:$A$2000,المبيعات!$C$2:$C$2000,A1875)))</f>
        <v/>
      </c>
      <c r="F1875">
        <f>IF(A1875="","",SUMIFS(المبيعات!$H$2:$H$2000,المبيعات!$C$2:$C$2000,A1875,المبيعات!$J$2:$J$2000,"آجل"))</f>
        <v/>
      </c>
      <c r="G1875" s="4" t="n"/>
      <c r="H1875">
        <f>IF(A1875="","",F1875-G1875)</f>
        <v/>
      </c>
    </row>
    <row r="1876">
      <c r="A1876" s="4" t="n"/>
      <c r="B1876" s="4" t="n"/>
      <c r="C1876">
        <f>IF(A1876="","",SUMPRODUCT((المبيعات!$C$2:$C$2000=A1876)*(المبيعات!$B$2:$B$2000&lt;&gt;"")/COUNTIFS(المبيعات!$B$2:$B$2000,المبيعات!$B$2:$B$2000&amp;"",المبيعات!$C$2:$C$2000,المبيعات!$C$2:$C$2000&amp;"")))</f>
        <v/>
      </c>
      <c r="D1876">
        <f>IF(A1876="","",SUMIFS(المبيعات!$H$2:$H$2000,المبيعات!$C$2:$C$2000,A1876))</f>
        <v/>
      </c>
      <c r="E1876" s="13">
        <f>IF(A1876="","",IF(COUNTIF(المبيعات!$C$2:$C$2000,A1876)=0,"",_xlfn.MAXIFS(المبيعات!$A$2:$A$2000,المبيعات!$C$2:$C$2000,A1876)))</f>
        <v/>
      </c>
      <c r="F1876">
        <f>IF(A1876="","",SUMIFS(المبيعات!$H$2:$H$2000,المبيعات!$C$2:$C$2000,A1876,المبيعات!$J$2:$J$2000,"آجل"))</f>
        <v/>
      </c>
      <c r="G1876" s="4" t="n"/>
      <c r="H1876">
        <f>IF(A1876="","",F1876-G1876)</f>
        <v/>
      </c>
    </row>
    <row r="1877">
      <c r="A1877" s="4" t="n"/>
      <c r="B1877" s="4" t="n"/>
      <c r="C1877">
        <f>IF(A1877="","",SUMPRODUCT((المبيعات!$C$2:$C$2000=A1877)*(المبيعات!$B$2:$B$2000&lt;&gt;"")/COUNTIFS(المبيعات!$B$2:$B$2000,المبيعات!$B$2:$B$2000&amp;"",المبيعات!$C$2:$C$2000,المبيعات!$C$2:$C$2000&amp;"")))</f>
        <v/>
      </c>
      <c r="D1877">
        <f>IF(A1877="","",SUMIFS(المبيعات!$H$2:$H$2000,المبيعات!$C$2:$C$2000,A1877))</f>
        <v/>
      </c>
      <c r="E1877" s="13">
        <f>IF(A1877="","",IF(COUNTIF(المبيعات!$C$2:$C$2000,A1877)=0,"",_xlfn.MAXIFS(المبيعات!$A$2:$A$2000,المبيعات!$C$2:$C$2000,A1877)))</f>
        <v/>
      </c>
      <c r="F1877">
        <f>IF(A1877="","",SUMIFS(المبيعات!$H$2:$H$2000,المبيعات!$C$2:$C$2000,A1877,المبيعات!$J$2:$J$2000,"آجل"))</f>
        <v/>
      </c>
      <c r="G1877" s="4" t="n"/>
      <c r="H1877">
        <f>IF(A1877="","",F1877-G1877)</f>
        <v/>
      </c>
    </row>
    <row r="1878">
      <c r="A1878" s="4" t="n"/>
      <c r="B1878" s="4" t="n"/>
      <c r="C1878">
        <f>IF(A1878="","",SUMPRODUCT((المبيعات!$C$2:$C$2000=A1878)*(المبيعات!$B$2:$B$2000&lt;&gt;"")/COUNTIFS(المبيعات!$B$2:$B$2000,المبيعات!$B$2:$B$2000&amp;"",المبيعات!$C$2:$C$2000,المبيعات!$C$2:$C$2000&amp;"")))</f>
        <v/>
      </c>
      <c r="D1878">
        <f>IF(A1878="","",SUMIFS(المبيعات!$H$2:$H$2000,المبيعات!$C$2:$C$2000,A1878))</f>
        <v/>
      </c>
      <c r="E1878" s="13">
        <f>IF(A1878="","",IF(COUNTIF(المبيعات!$C$2:$C$2000,A1878)=0,"",_xlfn.MAXIFS(المبيعات!$A$2:$A$2000,المبيعات!$C$2:$C$2000,A1878)))</f>
        <v/>
      </c>
      <c r="F1878">
        <f>IF(A1878="","",SUMIFS(المبيعات!$H$2:$H$2000,المبيعات!$C$2:$C$2000,A1878,المبيعات!$J$2:$J$2000,"آجل"))</f>
        <v/>
      </c>
      <c r="G1878" s="4" t="n"/>
      <c r="H1878">
        <f>IF(A1878="","",F1878-G1878)</f>
        <v/>
      </c>
    </row>
    <row r="1879">
      <c r="A1879" s="4" t="n"/>
      <c r="B1879" s="4" t="n"/>
      <c r="C1879">
        <f>IF(A1879="","",SUMPRODUCT((المبيعات!$C$2:$C$2000=A1879)*(المبيعات!$B$2:$B$2000&lt;&gt;"")/COUNTIFS(المبيعات!$B$2:$B$2000,المبيعات!$B$2:$B$2000&amp;"",المبيعات!$C$2:$C$2000,المبيعات!$C$2:$C$2000&amp;"")))</f>
        <v/>
      </c>
      <c r="D1879">
        <f>IF(A1879="","",SUMIFS(المبيعات!$H$2:$H$2000,المبيعات!$C$2:$C$2000,A1879))</f>
        <v/>
      </c>
      <c r="E1879" s="13">
        <f>IF(A1879="","",IF(COUNTIF(المبيعات!$C$2:$C$2000,A1879)=0,"",_xlfn.MAXIFS(المبيعات!$A$2:$A$2000,المبيعات!$C$2:$C$2000,A1879)))</f>
        <v/>
      </c>
      <c r="F1879">
        <f>IF(A1879="","",SUMIFS(المبيعات!$H$2:$H$2000,المبيعات!$C$2:$C$2000,A1879,المبيعات!$J$2:$J$2000,"آجل"))</f>
        <v/>
      </c>
      <c r="G1879" s="4" t="n"/>
      <c r="H1879">
        <f>IF(A1879="","",F1879-G1879)</f>
        <v/>
      </c>
    </row>
    <row r="1880">
      <c r="A1880" s="4" t="n"/>
      <c r="B1880" s="4" t="n"/>
      <c r="C1880">
        <f>IF(A1880="","",SUMPRODUCT((المبيعات!$C$2:$C$2000=A1880)*(المبيعات!$B$2:$B$2000&lt;&gt;"")/COUNTIFS(المبيعات!$B$2:$B$2000,المبيعات!$B$2:$B$2000&amp;"",المبيعات!$C$2:$C$2000,المبيعات!$C$2:$C$2000&amp;"")))</f>
        <v/>
      </c>
      <c r="D1880">
        <f>IF(A1880="","",SUMIFS(المبيعات!$H$2:$H$2000,المبيعات!$C$2:$C$2000,A1880))</f>
        <v/>
      </c>
      <c r="E1880" s="13">
        <f>IF(A1880="","",IF(COUNTIF(المبيعات!$C$2:$C$2000,A1880)=0,"",_xlfn.MAXIFS(المبيعات!$A$2:$A$2000,المبيعات!$C$2:$C$2000,A1880)))</f>
        <v/>
      </c>
      <c r="F1880">
        <f>IF(A1880="","",SUMIFS(المبيعات!$H$2:$H$2000,المبيعات!$C$2:$C$2000,A1880,المبيعات!$J$2:$J$2000,"آجل"))</f>
        <v/>
      </c>
      <c r="G1880" s="4" t="n"/>
      <c r="H1880">
        <f>IF(A1880="","",F1880-G1880)</f>
        <v/>
      </c>
    </row>
    <row r="1881">
      <c r="A1881" s="4" t="n"/>
      <c r="B1881" s="4" t="n"/>
      <c r="C1881">
        <f>IF(A1881="","",SUMPRODUCT((المبيعات!$C$2:$C$2000=A1881)*(المبيعات!$B$2:$B$2000&lt;&gt;"")/COUNTIFS(المبيعات!$B$2:$B$2000,المبيعات!$B$2:$B$2000&amp;"",المبيعات!$C$2:$C$2000,المبيعات!$C$2:$C$2000&amp;"")))</f>
        <v/>
      </c>
      <c r="D1881">
        <f>IF(A1881="","",SUMIFS(المبيعات!$H$2:$H$2000,المبيعات!$C$2:$C$2000,A1881))</f>
        <v/>
      </c>
      <c r="E1881" s="13">
        <f>IF(A1881="","",IF(COUNTIF(المبيعات!$C$2:$C$2000,A1881)=0,"",_xlfn.MAXIFS(المبيعات!$A$2:$A$2000,المبيعات!$C$2:$C$2000,A1881)))</f>
        <v/>
      </c>
      <c r="F1881">
        <f>IF(A1881="","",SUMIFS(المبيعات!$H$2:$H$2000,المبيعات!$C$2:$C$2000,A1881,المبيعات!$J$2:$J$2000,"آجل"))</f>
        <v/>
      </c>
      <c r="G1881" s="4" t="n"/>
      <c r="H1881">
        <f>IF(A1881="","",F1881-G1881)</f>
        <v/>
      </c>
    </row>
    <row r="1882">
      <c r="A1882" s="4" t="n"/>
      <c r="B1882" s="4" t="n"/>
      <c r="C1882">
        <f>IF(A1882="","",SUMPRODUCT((المبيعات!$C$2:$C$2000=A1882)*(المبيعات!$B$2:$B$2000&lt;&gt;"")/COUNTIFS(المبيعات!$B$2:$B$2000,المبيعات!$B$2:$B$2000&amp;"",المبيعات!$C$2:$C$2000,المبيعات!$C$2:$C$2000&amp;"")))</f>
        <v/>
      </c>
      <c r="D1882">
        <f>IF(A1882="","",SUMIFS(المبيعات!$H$2:$H$2000,المبيعات!$C$2:$C$2000,A1882))</f>
        <v/>
      </c>
      <c r="E1882" s="13">
        <f>IF(A1882="","",IF(COUNTIF(المبيعات!$C$2:$C$2000,A1882)=0,"",_xlfn.MAXIFS(المبيعات!$A$2:$A$2000,المبيعات!$C$2:$C$2000,A1882)))</f>
        <v/>
      </c>
      <c r="F1882">
        <f>IF(A1882="","",SUMIFS(المبيعات!$H$2:$H$2000,المبيعات!$C$2:$C$2000,A1882,المبيعات!$J$2:$J$2000,"آجل"))</f>
        <v/>
      </c>
      <c r="G1882" s="4" t="n"/>
      <c r="H1882">
        <f>IF(A1882="","",F1882-G1882)</f>
        <v/>
      </c>
    </row>
    <row r="1883">
      <c r="A1883" s="4" t="n"/>
      <c r="B1883" s="4" t="n"/>
      <c r="C1883">
        <f>IF(A1883="","",SUMPRODUCT((المبيعات!$C$2:$C$2000=A1883)*(المبيعات!$B$2:$B$2000&lt;&gt;"")/COUNTIFS(المبيعات!$B$2:$B$2000,المبيعات!$B$2:$B$2000&amp;"",المبيعات!$C$2:$C$2000,المبيعات!$C$2:$C$2000&amp;"")))</f>
        <v/>
      </c>
      <c r="D1883">
        <f>IF(A1883="","",SUMIFS(المبيعات!$H$2:$H$2000,المبيعات!$C$2:$C$2000,A1883))</f>
        <v/>
      </c>
      <c r="E1883" s="13">
        <f>IF(A1883="","",IF(COUNTIF(المبيعات!$C$2:$C$2000,A1883)=0,"",_xlfn.MAXIFS(المبيعات!$A$2:$A$2000,المبيعات!$C$2:$C$2000,A1883)))</f>
        <v/>
      </c>
      <c r="F1883">
        <f>IF(A1883="","",SUMIFS(المبيعات!$H$2:$H$2000,المبيعات!$C$2:$C$2000,A1883,المبيعات!$J$2:$J$2000,"آجل"))</f>
        <v/>
      </c>
      <c r="G1883" s="4" t="n"/>
      <c r="H1883">
        <f>IF(A1883="","",F1883-G1883)</f>
        <v/>
      </c>
    </row>
    <row r="1884">
      <c r="A1884" s="4" t="n"/>
      <c r="B1884" s="4" t="n"/>
      <c r="C1884">
        <f>IF(A1884="","",SUMPRODUCT((المبيعات!$C$2:$C$2000=A1884)*(المبيعات!$B$2:$B$2000&lt;&gt;"")/COUNTIFS(المبيعات!$B$2:$B$2000,المبيعات!$B$2:$B$2000&amp;"",المبيعات!$C$2:$C$2000,المبيعات!$C$2:$C$2000&amp;"")))</f>
        <v/>
      </c>
      <c r="D1884">
        <f>IF(A1884="","",SUMIFS(المبيعات!$H$2:$H$2000,المبيعات!$C$2:$C$2000,A1884))</f>
        <v/>
      </c>
      <c r="E1884" s="13">
        <f>IF(A1884="","",IF(COUNTIF(المبيعات!$C$2:$C$2000,A1884)=0,"",_xlfn.MAXIFS(المبيعات!$A$2:$A$2000,المبيعات!$C$2:$C$2000,A1884)))</f>
        <v/>
      </c>
      <c r="F1884">
        <f>IF(A1884="","",SUMIFS(المبيعات!$H$2:$H$2000,المبيعات!$C$2:$C$2000,A1884,المبيعات!$J$2:$J$2000,"آجل"))</f>
        <v/>
      </c>
      <c r="G1884" s="4" t="n"/>
      <c r="H1884">
        <f>IF(A1884="","",F1884-G1884)</f>
        <v/>
      </c>
    </row>
    <row r="1885">
      <c r="A1885" s="4" t="n"/>
      <c r="B1885" s="4" t="n"/>
      <c r="C1885">
        <f>IF(A1885="","",SUMPRODUCT((المبيعات!$C$2:$C$2000=A1885)*(المبيعات!$B$2:$B$2000&lt;&gt;"")/COUNTIFS(المبيعات!$B$2:$B$2000,المبيعات!$B$2:$B$2000&amp;"",المبيعات!$C$2:$C$2000,المبيعات!$C$2:$C$2000&amp;"")))</f>
        <v/>
      </c>
      <c r="D1885">
        <f>IF(A1885="","",SUMIFS(المبيعات!$H$2:$H$2000,المبيعات!$C$2:$C$2000,A1885))</f>
        <v/>
      </c>
      <c r="E1885" s="13">
        <f>IF(A1885="","",IF(COUNTIF(المبيعات!$C$2:$C$2000,A1885)=0,"",_xlfn.MAXIFS(المبيعات!$A$2:$A$2000,المبيعات!$C$2:$C$2000,A1885)))</f>
        <v/>
      </c>
      <c r="F1885">
        <f>IF(A1885="","",SUMIFS(المبيعات!$H$2:$H$2000,المبيعات!$C$2:$C$2000,A1885,المبيعات!$J$2:$J$2000,"آجل"))</f>
        <v/>
      </c>
      <c r="G1885" s="4" t="n"/>
      <c r="H1885">
        <f>IF(A1885="","",F1885-G1885)</f>
        <v/>
      </c>
    </row>
    <row r="1886">
      <c r="A1886" s="4" t="n"/>
      <c r="B1886" s="4" t="n"/>
      <c r="C1886">
        <f>IF(A1886="","",SUMPRODUCT((المبيعات!$C$2:$C$2000=A1886)*(المبيعات!$B$2:$B$2000&lt;&gt;"")/COUNTIFS(المبيعات!$B$2:$B$2000,المبيعات!$B$2:$B$2000&amp;"",المبيعات!$C$2:$C$2000,المبيعات!$C$2:$C$2000&amp;"")))</f>
        <v/>
      </c>
      <c r="D1886">
        <f>IF(A1886="","",SUMIFS(المبيعات!$H$2:$H$2000,المبيعات!$C$2:$C$2000,A1886))</f>
        <v/>
      </c>
      <c r="E1886" s="13">
        <f>IF(A1886="","",IF(COUNTIF(المبيعات!$C$2:$C$2000,A1886)=0,"",_xlfn.MAXIFS(المبيعات!$A$2:$A$2000,المبيعات!$C$2:$C$2000,A1886)))</f>
        <v/>
      </c>
      <c r="F1886">
        <f>IF(A1886="","",SUMIFS(المبيعات!$H$2:$H$2000,المبيعات!$C$2:$C$2000,A1886,المبيعات!$J$2:$J$2000,"آجل"))</f>
        <v/>
      </c>
      <c r="G1886" s="4" t="n"/>
      <c r="H1886">
        <f>IF(A1886="","",F1886-G1886)</f>
        <v/>
      </c>
    </row>
    <row r="1887">
      <c r="A1887" s="4" t="n"/>
      <c r="B1887" s="4" t="n"/>
      <c r="C1887">
        <f>IF(A1887="","",SUMPRODUCT((المبيعات!$C$2:$C$2000=A1887)*(المبيعات!$B$2:$B$2000&lt;&gt;"")/COUNTIFS(المبيعات!$B$2:$B$2000,المبيعات!$B$2:$B$2000&amp;"",المبيعات!$C$2:$C$2000,المبيعات!$C$2:$C$2000&amp;"")))</f>
        <v/>
      </c>
      <c r="D1887">
        <f>IF(A1887="","",SUMIFS(المبيعات!$H$2:$H$2000,المبيعات!$C$2:$C$2000,A1887))</f>
        <v/>
      </c>
      <c r="E1887" s="13">
        <f>IF(A1887="","",IF(COUNTIF(المبيعات!$C$2:$C$2000,A1887)=0,"",_xlfn.MAXIFS(المبيعات!$A$2:$A$2000,المبيعات!$C$2:$C$2000,A1887)))</f>
        <v/>
      </c>
      <c r="F1887">
        <f>IF(A1887="","",SUMIFS(المبيعات!$H$2:$H$2000,المبيعات!$C$2:$C$2000,A1887,المبيعات!$J$2:$J$2000,"آجل"))</f>
        <v/>
      </c>
      <c r="G1887" s="4" t="n"/>
      <c r="H1887">
        <f>IF(A1887="","",F1887-G1887)</f>
        <v/>
      </c>
    </row>
    <row r="1888">
      <c r="A1888" s="4" t="n"/>
      <c r="B1888" s="4" t="n"/>
      <c r="C1888">
        <f>IF(A1888="","",SUMPRODUCT((المبيعات!$C$2:$C$2000=A1888)*(المبيعات!$B$2:$B$2000&lt;&gt;"")/COUNTIFS(المبيعات!$B$2:$B$2000,المبيعات!$B$2:$B$2000&amp;"",المبيعات!$C$2:$C$2000,المبيعات!$C$2:$C$2000&amp;"")))</f>
        <v/>
      </c>
      <c r="D1888">
        <f>IF(A1888="","",SUMIFS(المبيعات!$H$2:$H$2000,المبيعات!$C$2:$C$2000,A1888))</f>
        <v/>
      </c>
      <c r="E1888" s="13">
        <f>IF(A1888="","",IF(COUNTIF(المبيعات!$C$2:$C$2000,A1888)=0,"",_xlfn.MAXIFS(المبيعات!$A$2:$A$2000,المبيعات!$C$2:$C$2000,A1888)))</f>
        <v/>
      </c>
      <c r="F1888">
        <f>IF(A1888="","",SUMIFS(المبيعات!$H$2:$H$2000,المبيعات!$C$2:$C$2000,A1888,المبيعات!$J$2:$J$2000,"آجل"))</f>
        <v/>
      </c>
      <c r="G1888" s="4" t="n"/>
      <c r="H1888">
        <f>IF(A1888="","",F1888-G1888)</f>
        <v/>
      </c>
    </row>
    <row r="1889">
      <c r="A1889" s="4" t="n"/>
      <c r="B1889" s="4" t="n"/>
      <c r="C1889">
        <f>IF(A1889="","",SUMPRODUCT((المبيعات!$C$2:$C$2000=A1889)*(المبيعات!$B$2:$B$2000&lt;&gt;"")/COUNTIFS(المبيعات!$B$2:$B$2000,المبيعات!$B$2:$B$2000&amp;"",المبيعات!$C$2:$C$2000,المبيعات!$C$2:$C$2000&amp;"")))</f>
        <v/>
      </c>
      <c r="D1889">
        <f>IF(A1889="","",SUMIFS(المبيعات!$H$2:$H$2000,المبيعات!$C$2:$C$2000,A1889))</f>
        <v/>
      </c>
      <c r="E1889" s="13">
        <f>IF(A1889="","",IF(COUNTIF(المبيعات!$C$2:$C$2000,A1889)=0,"",_xlfn.MAXIFS(المبيعات!$A$2:$A$2000,المبيعات!$C$2:$C$2000,A1889)))</f>
        <v/>
      </c>
      <c r="F1889">
        <f>IF(A1889="","",SUMIFS(المبيعات!$H$2:$H$2000,المبيعات!$C$2:$C$2000,A1889,المبيعات!$J$2:$J$2000,"آجل"))</f>
        <v/>
      </c>
      <c r="G1889" s="4" t="n"/>
      <c r="H1889">
        <f>IF(A1889="","",F1889-G1889)</f>
        <v/>
      </c>
    </row>
    <row r="1890">
      <c r="A1890" s="4" t="n"/>
      <c r="B1890" s="4" t="n"/>
      <c r="C1890">
        <f>IF(A1890="","",SUMPRODUCT((المبيعات!$C$2:$C$2000=A1890)*(المبيعات!$B$2:$B$2000&lt;&gt;"")/COUNTIFS(المبيعات!$B$2:$B$2000,المبيعات!$B$2:$B$2000&amp;"",المبيعات!$C$2:$C$2000,المبيعات!$C$2:$C$2000&amp;"")))</f>
        <v/>
      </c>
      <c r="D1890">
        <f>IF(A1890="","",SUMIFS(المبيعات!$H$2:$H$2000,المبيعات!$C$2:$C$2000,A1890))</f>
        <v/>
      </c>
      <c r="E1890" s="13">
        <f>IF(A1890="","",IF(COUNTIF(المبيعات!$C$2:$C$2000,A1890)=0,"",_xlfn.MAXIFS(المبيعات!$A$2:$A$2000,المبيعات!$C$2:$C$2000,A1890)))</f>
        <v/>
      </c>
      <c r="F1890">
        <f>IF(A1890="","",SUMIFS(المبيعات!$H$2:$H$2000,المبيعات!$C$2:$C$2000,A1890,المبيعات!$J$2:$J$2000,"آجل"))</f>
        <v/>
      </c>
      <c r="G1890" s="4" t="n"/>
      <c r="H1890">
        <f>IF(A1890="","",F1890-G1890)</f>
        <v/>
      </c>
    </row>
    <row r="1891">
      <c r="A1891" s="4" t="n"/>
      <c r="B1891" s="4" t="n"/>
      <c r="C1891">
        <f>IF(A1891="","",SUMPRODUCT((المبيعات!$C$2:$C$2000=A1891)*(المبيعات!$B$2:$B$2000&lt;&gt;"")/COUNTIFS(المبيعات!$B$2:$B$2000,المبيعات!$B$2:$B$2000&amp;"",المبيعات!$C$2:$C$2000,المبيعات!$C$2:$C$2000&amp;"")))</f>
        <v/>
      </c>
      <c r="D1891">
        <f>IF(A1891="","",SUMIFS(المبيعات!$H$2:$H$2000,المبيعات!$C$2:$C$2000,A1891))</f>
        <v/>
      </c>
      <c r="E1891" s="13">
        <f>IF(A1891="","",IF(COUNTIF(المبيعات!$C$2:$C$2000,A1891)=0,"",_xlfn.MAXIFS(المبيعات!$A$2:$A$2000,المبيعات!$C$2:$C$2000,A1891)))</f>
        <v/>
      </c>
      <c r="F1891">
        <f>IF(A1891="","",SUMIFS(المبيعات!$H$2:$H$2000,المبيعات!$C$2:$C$2000,A1891,المبيعات!$J$2:$J$2000,"آجل"))</f>
        <v/>
      </c>
      <c r="G1891" s="4" t="n"/>
      <c r="H1891">
        <f>IF(A1891="","",F1891-G1891)</f>
        <v/>
      </c>
    </row>
    <row r="1892">
      <c r="A1892" s="4" t="n"/>
      <c r="B1892" s="4" t="n"/>
      <c r="C1892">
        <f>IF(A1892="","",SUMPRODUCT((المبيعات!$C$2:$C$2000=A1892)*(المبيعات!$B$2:$B$2000&lt;&gt;"")/COUNTIFS(المبيعات!$B$2:$B$2000,المبيعات!$B$2:$B$2000&amp;"",المبيعات!$C$2:$C$2000,المبيعات!$C$2:$C$2000&amp;"")))</f>
        <v/>
      </c>
      <c r="D1892">
        <f>IF(A1892="","",SUMIFS(المبيعات!$H$2:$H$2000,المبيعات!$C$2:$C$2000,A1892))</f>
        <v/>
      </c>
      <c r="E1892" s="13">
        <f>IF(A1892="","",IF(COUNTIF(المبيعات!$C$2:$C$2000,A1892)=0,"",_xlfn.MAXIFS(المبيعات!$A$2:$A$2000,المبيعات!$C$2:$C$2000,A1892)))</f>
        <v/>
      </c>
      <c r="F1892">
        <f>IF(A1892="","",SUMIFS(المبيعات!$H$2:$H$2000,المبيعات!$C$2:$C$2000,A1892,المبيعات!$J$2:$J$2000,"آجل"))</f>
        <v/>
      </c>
      <c r="G1892" s="4" t="n"/>
      <c r="H1892">
        <f>IF(A1892="","",F1892-G1892)</f>
        <v/>
      </c>
    </row>
    <row r="1893">
      <c r="A1893" s="4" t="n"/>
      <c r="B1893" s="4" t="n"/>
      <c r="C1893">
        <f>IF(A1893="","",SUMPRODUCT((المبيعات!$C$2:$C$2000=A1893)*(المبيعات!$B$2:$B$2000&lt;&gt;"")/COUNTIFS(المبيعات!$B$2:$B$2000,المبيعات!$B$2:$B$2000&amp;"",المبيعات!$C$2:$C$2000,المبيعات!$C$2:$C$2000&amp;"")))</f>
        <v/>
      </c>
      <c r="D1893">
        <f>IF(A1893="","",SUMIFS(المبيعات!$H$2:$H$2000,المبيعات!$C$2:$C$2000,A1893))</f>
        <v/>
      </c>
      <c r="E1893" s="13">
        <f>IF(A1893="","",IF(COUNTIF(المبيعات!$C$2:$C$2000,A1893)=0,"",_xlfn.MAXIFS(المبيعات!$A$2:$A$2000,المبيعات!$C$2:$C$2000,A1893)))</f>
        <v/>
      </c>
      <c r="F1893">
        <f>IF(A1893="","",SUMIFS(المبيعات!$H$2:$H$2000,المبيعات!$C$2:$C$2000,A1893,المبيعات!$J$2:$J$2000,"آجل"))</f>
        <v/>
      </c>
      <c r="G1893" s="4" t="n"/>
      <c r="H1893">
        <f>IF(A1893="","",F1893-G1893)</f>
        <v/>
      </c>
    </row>
    <row r="1894">
      <c r="A1894" s="4" t="n"/>
      <c r="B1894" s="4" t="n"/>
      <c r="C1894">
        <f>IF(A1894="","",SUMPRODUCT((المبيعات!$C$2:$C$2000=A1894)*(المبيعات!$B$2:$B$2000&lt;&gt;"")/COUNTIFS(المبيعات!$B$2:$B$2000,المبيعات!$B$2:$B$2000&amp;"",المبيعات!$C$2:$C$2000,المبيعات!$C$2:$C$2000&amp;"")))</f>
        <v/>
      </c>
      <c r="D1894">
        <f>IF(A1894="","",SUMIFS(المبيعات!$H$2:$H$2000,المبيعات!$C$2:$C$2000,A1894))</f>
        <v/>
      </c>
      <c r="E1894" s="13">
        <f>IF(A1894="","",IF(COUNTIF(المبيعات!$C$2:$C$2000,A1894)=0,"",_xlfn.MAXIFS(المبيعات!$A$2:$A$2000,المبيعات!$C$2:$C$2000,A1894)))</f>
        <v/>
      </c>
      <c r="F1894">
        <f>IF(A1894="","",SUMIFS(المبيعات!$H$2:$H$2000,المبيعات!$C$2:$C$2000,A1894,المبيعات!$J$2:$J$2000,"آجل"))</f>
        <v/>
      </c>
      <c r="G1894" s="4" t="n"/>
      <c r="H1894">
        <f>IF(A1894="","",F1894-G1894)</f>
        <v/>
      </c>
    </row>
    <row r="1895">
      <c r="A1895" s="4" t="n"/>
      <c r="B1895" s="4" t="n"/>
      <c r="C1895">
        <f>IF(A1895="","",SUMPRODUCT((المبيعات!$C$2:$C$2000=A1895)*(المبيعات!$B$2:$B$2000&lt;&gt;"")/COUNTIFS(المبيعات!$B$2:$B$2000,المبيعات!$B$2:$B$2000&amp;"",المبيعات!$C$2:$C$2000,المبيعات!$C$2:$C$2000&amp;"")))</f>
        <v/>
      </c>
      <c r="D1895">
        <f>IF(A1895="","",SUMIFS(المبيعات!$H$2:$H$2000,المبيعات!$C$2:$C$2000,A1895))</f>
        <v/>
      </c>
      <c r="E1895" s="13">
        <f>IF(A1895="","",IF(COUNTIF(المبيعات!$C$2:$C$2000,A1895)=0,"",_xlfn.MAXIFS(المبيعات!$A$2:$A$2000,المبيعات!$C$2:$C$2000,A1895)))</f>
        <v/>
      </c>
      <c r="F1895">
        <f>IF(A1895="","",SUMIFS(المبيعات!$H$2:$H$2000,المبيعات!$C$2:$C$2000,A1895,المبيعات!$J$2:$J$2000,"آجل"))</f>
        <v/>
      </c>
      <c r="G1895" s="4" t="n"/>
      <c r="H1895">
        <f>IF(A1895="","",F1895-G1895)</f>
        <v/>
      </c>
    </row>
    <row r="1896">
      <c r="A1896" s="4" t="n"/>
      <c r="B1896" s="4" t="n"/>
      <c r="C1896">
        <f>IF(A1896="","",SUMPRODUCT((المبيعات!$C$2:$C$2000=A1896)*(المبيعات!$B$2:$B$2000&lt;&gt;"")/COUNTIFS(المبيعات!$B$2:$B$2000,المبيعات!$B$2:$B$2000&amp;"",المبيعات!$C$2:$C$2000,المبيعات!$C$2:$C$2000&amp;"")))</f>
        <v/>
      </c>
      <c r="D1896">
        <f>IF(A1896="","",SUMIFS(المبيعات!$H$2:$H$2000,المبيعات!$C$2:$C$2000,A1896))</f>
        <v/>
      </c>
      <c r="E1896" s="13">
        <f>IF(A1896="","",IF(COUNTIF(المبيعات!$C$2:$C$2000,A1896)=0,"",_xlfn.MAXIFS(المبيعات!$A$2:$A$2000,المبيعات!$C$2:$C$2000,A1896)))</f>
        <v/>
      </c>
      <c r="F1896">
        <f>IF(A1896="","",SUMIFS(المبيعات!$H$2:$H$2000,المبيعات!$C$2:$C$2000,A1896,المبيعات!$J$2:$J$2000,"آجل"))</f>
        <v/>
      </c>
      <c r="G1896" s="4" t="n"/>
      <c r="H1896">
        <f>IF(A1896="","",F1896-G1896)</f>
        <v/>
      </c>
    </row>
    <row r="1897">
      <c r="A1897" s="4" t="n"/>
      <c r="B1897" s="4" t="n"/>
      <c r="C1897">
        <f>IF(A1897="","",SUMPRODUCT((المبيعات!$C$2:$C$2000=A1897)*(المبيعات!$B$2:$B$2000&lt;&gt;"")/COUNTIFS(المبيعات!$B$2:$B$2000,المبيعات!$B$2:$B$2000&amp;"",المبيعات!$C$2:$C$2000,المبيعات!$C$2:$C$2000&amp;"")))</f>
        <v/>
      </c>
      <c r="D1897">
        <f>IF(A1897="","",SUMIFS(المبيعات!$H$2:$H$2000,المبيعات!$C$2:$C$2000,A1897))</f>
        <v/>
      </c>
      <c r="E1897" s="13">
        <f>IF(A1897="","",IF(COUNTIF(المبيعات!$C$2:$C$2000,A1897)=0,"",_xlfn.MAXIFS(المبيعات!$A$2:$A$2000,المبيعات!$C$2:$C$2000,A1897)))</f>
        <v/>
      </c>
      <c r="F1897">
        <f>IF(A1897="","",SUMIFS(المبيعات!$H$2:$H$2000,المبيعات!$C$2:$C$2000,A1897,المبيعات!$J$2:$J$2000,"آجل"))</f>
        <v/>
      </c>
      <c r="G1897" s="4" t="n"/>
      <c r="H1897">
        <f>IF(A1897="","",F1897-G1897)</f>
        <v/>
      </c>
    </row>
    <row r="1898">
      <c r="A1898" s="4" t="n"/>
      <c r="B1898" s="4" t="n"/>
      <c r="C1898">
        <f>IF(A1898="","",SUMPRODUCT((المبيعات!$C$2:$C$2000=A1898)*(المبيعات!$B$2:$B$2000&lt;&gt;"")/COUNTIFS(المبيعات!$B$2:$B$2000,المبيعات!$B$2:$B$2000&amp;"",المبيعات!$C$2:$C$2000,المبيعات!$C$2:$C$2000&amp;"")))</f>
        <v/>
      </c>
      <c r="D1898">
        <f>IF(A1898="","",SUMIFS(المبيعات!$H$2:$H$2000,المبيعات!$C$2:$C$2000,A1898))</f>
        <v/>
      </c>
      <c r="E1898" s="13">
        <f>IF(A1898="","",IF(COUNTIF(المبيعات!$C$2:$C$2000,A1898)=0,"",_xlfn.MAXIFS(المبيعات!$A$2:$A$2000,المبيعات!$C$2:$C$2000,A1898)))</f>
        <v/>
      </c>
      <c r="F1898">
        <f>IF(A1898="","",SUMIFS(المبيعات!$H$2:$H$2000,المبيعات!$C$2:$C$2000,A1898,المبيعات!$J$2:$J$2000,"آجل"))</f>
        <v/>
      </c>
      <c r="G1898" s="4" t="n"/>
      <c r="H1898">
        <f>IF(A1898="","",F1898-G1898)</f>
        <v/>
      </c>
    </row>
    <row r="1899">
      <c r="A1899" s="4" t="n"/>
      <c r="B1899" s="4" t="n"/>
      <c r="C1899">
        <f>IF(A1899="","",SUMPRODUCT((المبيعات!$C$2:$C$2000=A1899)*(المبيعات!$B$2:$B$2000&lt;&gt;"")/COUNTIFS(المبيعات!$B$2:$B$2000,المبيعات!$B$2:$B$2000&amp;"",المبيعات!$C$2:$C$2000,المبيعات!$C$2:$C$2000&amp;"")))</f>
        <v/>
      </c>
      <c r="D1899">
        <f>IF(A1899="","",SUMIFS(المبيعات!$H$2:$H$2000,المبيعات!$C$2:$C$2000,A1899))</f>
        <v/>
      </c>
      <c r="E1899" s="13">
        <f>IF(A1899="","",IF(COUNTIF(المبيعات!$C$2:$C$2000,A1899)=0,"",_xlfn.MAXIFS(المبيعات!$A$2:$A$2000,المبيعات!$C$2:$C$2000,A1899)))</f>
        <v/>
      </c>
      <c r="F1899">
        <f>IF(A1899="","",SUMIFS(المبيعات!$H$2:$H$2000,المبيعات!$C$2:$C$2000,A1899,المبيعات!$J$2:$J$2000,"آجل"))</f>
        <v/>
      </c>
      <c r="G1899" s="4" t="n"/>
      <c r="H1899">
        <f>IF(A1899="","",F1899-G1899)</f>
        <v/>
      </c>
    </row>
    <row r="1900">
      <c r="A1900" s="4" t="n"/>
      <c r="B1900" s="4" t="n"/>
      <c r="C1900">
        <f>IF(A1900="","",SUMPRODUCT((المبيعات!$C$2:$C$2000=A1900)*(المبيعات!$B$2:$B$2000&lt;&gt;"")/COUNTIFS(المبيعات!$B$2:$B$2000,المبيعات!$B$2:$B$2000&amp;"",المبيعات!$C$2:$C$2000,المبيعات!$C$2:$C$2000&amp;"")))</f>
        <v/>
      </c>
      <c r="D1900">
        <f>IF(A1900="","",SUMIFS(المبيعات!$H$2:$H$2000,المبيعات!$C$2:$C$2000,A1900))</f>
        <v/>
      </c>
      <c r="E1900" s="13">
        <f>IF(A1900="","",IF(COUNTIF(المبيعات!$C$2:$C$2000,A1900)=0,"",_xlfn.MAXIFS(المبيعات!$A$2:$A$2000,المبيعات!$C$2:$C$2000,A1900)))</f>
        <v/>
      </c>
      <c r="F1900">
        <f>IF(A1900="","",SUMIFS(المبيعات!$H$2:$H$2000,المبيعات!$C$2:$C$2000,A1900,المبيعات!$J$2:$J$2000,"آجل"))</f>
        <v/>
      </c>
      <c r="G1900" s="4" t="n"/>
      <c r="H1900">
        <f>IF(A1900="","",F1900-G1900)</f>
        <v/>
      </c>
    </row>
    <row r="1901">
      <c r="A1901" s="4" t="n"/>
      <c r="B1901" s="4" t="n"/>
      <c r="C1901">
        <f>IF(A1901="","",SUMPRODUCT((المبيعات!$C$2:$C$2000=A1901)*(المبيعات!$B$2:$B$2000&lt;&gt;"")/COUNTIFS(المبيعات!$B$2:$B$2000,المبيعات!$B$2:$B$2000&amp;"",المبيعات!$C$2:$C$2000,المبيعات!$C$2:$C$2000&amp;"")))</f>
        <v/>
      </c>
      <c r="D1901">
        <f>IF(A1901="","",SUMIFS(المبيعات!$H$2:$H$2000,المبيعات!$C$2:$C$2000,A1901))</f>
        <v/>
      </c>
      <c r="E1901" s="13">
        <f>IF(A1901="","",IF(COUNTIF(المبيعات!$C$2:$C$2000,A1901)=0,"",_xlfn.MAXIFS(المبيعات!$A$2:$A$2000,المبيعات!$C$2:$C$2000,A1901)))</f>
        <v/>
      </c>
      <c r="F1901">
        <f>IF(A1901="","",SUMIFS(المبيعات!$H$2:$H$2000,المبيعات!$C$2:$C$2000,A1901,المبيعات!$J$2:$J$2000,"آجل"))</f>
        <v/>
      </c>
      <c r="G1901" s="4" t="n"/>
      <c r="H1901">
        <f>IF(A1901="","",F1901-G1901)</f>
        <v/>
      </c>
    </row>
    <row r="1902">
      <c r="A1902" s="4" t="n"/>
      <c r="B1902" s="4" t="n"/>
      <c r="C1902">
        <f>IF(A1902="","",SUMPRODUCT((المبيعات!$C$2:$C$2000=A1902)*(المبيعات!$B$2:$B$2000&lt;&gt;"")/COUNTIFS(المبيعات!$B$2:$B$2000,المبيعات!$B$2:$B$2000&amp;"",المبيعات!$C$2:$C$2000,المبيعات!$C$2:$C$2000&amp;"")))</f>
        <v/>
      </c>
      <c r="D1902">
        <f>IF(A1902="","",SUMIFS(المبيعات!$H$2:$H$2000,المبيعات!$C$2:$C$2000,A1902))</f>
        <v/>
      </c>
      <c r="E1902" s="13">
        <f>IF(A1902="","",IF(COUNTIF(المبيعات!$C$2:$C$2000,A1902)=0,"",_xlfn.MAXIFS(المبيعات!$A$2:$A$2000,المبيعات!$C$2:$C$2000,A1902)))</f>
        <v/>
      </c>
      <c r="F1902">
        <f>IF(A1902="","",SUMIFS(المبيعات!$H$2:$H$2000,المبيعات!$C$2:$C$2000,A1902,المبيعات!$J$2:$J$2000,"آجل"))</f>
        <v/>
      </c>
      <c r="G1902" s="4" t="n"/>
      <c r="H1902">
        <f>IF(A1902="","",F1902-G1902)</f>
        <v/>
      </c>
    </row>
    <row r="1903">
      <c r="A1903" s="4" t="n"/>
      <c r="B1903" s="4" t="n"/>
      <c r="C1903">
        <f>IF(A1903="","",SUMPRODUCT((المبيعات!$C$2:$C$2000=A1903)*(المبيعات!$B$2:$B$2000&lt;&gt;"")/COUNTIFS(المبيعات!$B$2:$B$2000,المبيعات!$B$2:$B$2000&amp;"",المبيعات!$C$2:$C$2000,المبيعات!$C$2:$C$2000&amp;"")))</f>
        <v/>
      </c>
      <c r="D1903">
        <f>IF(A1903="","",SUMIFS(المبيعات!$H$2:$H$2000,المبيعات!$C$2:$C$2000,A1903))</f>
        <v/>
      </c>
      <c r="E1903" s="13">
        <f>IF(A1903="","",IF(COUNTIF(المبيعات!$C$2:$C$2000,A1903)=0,"",_xlfn.MAXIFS(المبيعات!$A$2:$A$2000,المبيعات!$C$2:$C$2000,A1903)))</f>
        <v/>
      </c>
      <c r="F1903">
        <f>IF(A1903="","",SUMIFS(المبيعات!$H$2:$H$2000,المبيعات!$C$2:$C$2000,A1903,المبيعات!$J$2:$J$2000,"آجل"))</f>
        <v/>
      </c>
      <c r="G1903" s="4" t="n"/>
      <c r="H1903">
        <f>IF(A1903="","",F1903-G1903)</f>
        <v/>
      </c>
    </row>
    <row r="1904">
      <c r="A1904" s="4" t="n"/>
      <c r="B1904" s="4" t="n"/>
      <c r="C1904">
        <f>IF(A1904="","",SUMPRODUCT((المبيعات!$C$2:$C$2000=A1904)*(المبيعات!$B$2:$B$2000&lt;&gt;"")/COUNTIFS(المبيعات!$B$2:$B$2000,المبيعات!$B$2:$B$2000&amp;"",المبيعات!$C$2:$C$2000,المبيعات!$C$2:$C$2000&amp;"")))</f>
        <v/>
      </c>
      <c r="D1904">
        <f>IF(A1904="","",SUMIFS(المبيعات!$H$2:$H$2000,المبيعات!$C$2:$C$2000,A1904))</f>
        <v/>
      </c>
      <c r="E1904" s="13">
        <f>IF(A1904="","",IF(COUNTIF(المبيعات!$C$2:$C$2000,A1904)=0,"",_xlfn.MAXIFS(المبيعات!$A$2:$A$2000,المبيعات!$C$2:$C$2000,A1904)))</f>
        <v/>
      </c>
      <c r="F1904">
        <f>IF(A1904="","",SUMIFS(المبيعات!$H$2:$H$2000,المبيعات!$C$2:$C$2000,A1904,المبيعات!$J$2:$J$2000,"آجل"))</f>
        <v/>
      </c>
      <c r="G1904" s="4" t="n"/>
      <c r="H1904">
        <f>IF(A1904="","",F1904-G1904)</f>
        <v/>
      </c>
    </row>
    <row r="1905">
      <c r="A1905" s="4" t="n"/>
      <c r="B1905" s="4" t="n"/>
      <c r="C1905">
        <f>IF(A1905="","",SUMPRODUCT((المبيعات!$C$2:$C$2000=A1905)*(المبيعات!$B$2:$B$2000&lt;&gt;"")/COUNTIFS(المبيعات!$B$2:$B$2000,المبيعات!$B$2:$B$2000&amp;"",المبيعات!$C$2:$C$2000,المبيعات!$C$2:$C$2000&amp;"")))</f>
        <v/>
      </c>
      <c r="D1905">
        <f>IF(A1905="","",SUMIFS(المبيعات!$H$2:$H$2000,المبيعات!$C$2:$C$2000,A1905))</f>
        <v/>
      </c>
      <c r="E1905" s="13">
        <f>IF(A1905="","",IF(COUNTIF(المبيعات!$C$2:$C$2000,A1905)=0,"",_xlfn.MAXIFS(المبيعات!$A$2:$A$2000,المبيعات!$C$2:$C$2000,A1905)))</f>
        <v/>
      </c>
      <c r="F1905">
        <f>IF(A1905="","",SUMIFS(المبيعات!$H$2:$H$2000,المبيعات!$C$2:$C$2000,A1905,المبيعات!$J$2:$J$2000,"آجل"))</f>
        <v/>
      </c>
      <c r="G1905" s="4" t="n"/>
      <c r="H1905">
        <f>IF(A1905="","",F1905-G1905)</f>
        <v/>
      </c>
    </row>
    <row r="1906">
      <c r="A1906" s="4" t="n"/>
      <c r="B1906" s="4" t="n"/>
      <c r="C1906">
        <f>IF(A1906="","",SUMPRODUCT((المبيعات!$C$2:$C$2000=A1906)*(المبيعات!$B$2:$B$2000&lt;&gt;"")/COUNTIFS(المبيعات!$B$2:$B$2000,المبيعات!$B$2:$B$2000&amp;"",المبيعات!$C$2:$C$2000,المبيعات!$C$2:$C$2000&amp;"")))</f>
        <v/>
      </c>
      <c r="D1906">
        <f>IF(A1906="","",SUMIFS(المبيعات!$H$2:$H$2000,المبيعات!$C$2:$C$2000,A1906))</f>
        <v/>
      </c>
      <c r="E1906" s="13">
        <f>IF(A1906="","",IF(COUNTIF(المبيعات!$C$2:$C$2000,A1906)=0,"",_xlfn.MAXIFS(المبيعات!$A$2:$A$2000,المبيعات!$C$2:$C$2000,A1906)))</f>
        <v/>
      </c>
      <c r="F1906">
        <f>IF(A1906="","",SUMIFS(المبيعات!$H$2:$H$2000,المبيعات!$C$2:$C$2000,A1906,المبيعات!$J$2:$J$2000,"آجل"))</f>
        <v/>
      </c>
      <c r="G1906" s="4" t="n"/>
      <c r="H1906">
        <f>IF(A1906="","",F1906-G1906)</f>
        <v/>
      </c>
    </row>
    <row r="1907">
      <c r="A1907" s="4" t="n"/>
      <c r="B1907" s="4" t="n"/>
      <c r="C1907">
        <f>IF(A1907="","",SUMPRODUCT((المبيعات!$C$2:$C$2000=A1907)*(المبيعات!$B$2:$B$2000&lt;&gt;"")/COUNTIFS(المبيعات!$B$2:$B$2000,المبيعات!$B$2:$B$2000&amp;"",المبيعات!$C$2:$C$2000,المبيعات!$C$2:$C$2000&amp;"")))</f>
        <v/>
      </c>
      <c r="D1907">
        <f>IF(A1907="","",SUMIFS(المبيعات!$H$2:$H$2000,المبيعات!$C$2:$C$2000,A1907))</f>
        <v/>
      </c>
      <c r="E1907" s="13">
        <f>IF(A1907="","",IF(COUNTIF(المبيعات!$C$2:$C$2000,A1907)=0,"",_xlfn.MAXIFS(المبيعات!$A$2:$A$2000,المبيعات!$C$2:$C$2000,A1907)))</f>
        <v/>
      </c>
      <c r="F1907">
        <f>IF(A1907="","",SUMIFS(المبيعات!$H$2:$H$2000,المبيعات!$C$2:$C$2000,A1907,المبيعات!$J$2:$J$2000,"آجل"))</f>
        <v/>
      </c>
      <c r="G1907" s="4" t="n"/>
      <c r="H1907">
        <f>IF(A1907="","",F1907-G1907)</f>
        <v/>
      </c>
    </row>
    <row r="1908">
      <c r="A1908" s="4" t="n"/>
      <c r="B1908" s="4" t="n"/>
      <c r="C1908">
        <f>IF(A1908="","",SUMPRODUCT((المبيعات!$C$2:$C$2000=A1908)*(المبيعات!$B$2:$B$2000&lt;&gt;"")/COUNTIFS(المبيعات!$B$2:$B$2000,المبيعات!$B$2:$B$2000&amp;"",المبيعات!$C$2:$C$2000,المبيعات!$C$2:$C$2000&amp;"")))</f>
        <v/>
      </c>
      <c r="D1908">
        <f>IF(A1908="","",SUMIFS(المبيعات!$H$2:$H$2000,المبيعات!$C$2:$C$2000,A1908))</f>
        <v/>
      </c>
      <c r="E1908" s="13">
        <f>IF(A1908="","",IF(COUNTIF(المبيعات!$C$2:$C$2000,A1908)=0,"",_xlfn.MAXIFS(المبيعات!$A$2:$A$2000,المبيعات!$C$2:$C$2000,A1908)))</f>
        <v/>
      </c>
      <c r="F1908">
        <f>IF(A1908="","",SUMIFS(المبيعات!$H$2:$H$2000,المبيعات!$C$2:$C$2000,A1908,المبيعات!$J$2:$J$2000,"آجل"))</f>
        <v/>
      </c>
      <c r="G1908" s="4" t="n"/>
      <c r="H1908">
        <f>IF(A1908="","",F1908-G1908)</f>
        <v/>
      </c>
    </row>
    <row r="1909">
      <c r="A1909" s="4" t="n"/>
      <c r="B1909" s="4" t="n"/>
      <c r="C1909">
        <f>IF(A1909="","",SUMPRODUCT((المبيعات!$C$2:$C$2000=A1909)*(المبيعات!$B$2:$B$2000&lt;&gt;"")/COUNTIFS(المبيعات!$B$2:$B$2000,المبيعات!$B$2:$B$2000&amp;"",المبيعات!$C$2:$C$2000,المبيعات!$C$2:$C$2000&amp;"")))</f>
        <v/>
      </c>
      <c r="D1909">
        <f>IF(A1909="","",SUMIFS(المبيعات!$H$2:$H$2000,المبيعات!$C$2:$C$2000,A1909))</f>
        <v/>
      </c>
      <c r="E1909" s="13">
        <f>IF(A1909="","",IF(COUNTIF(المبيعات!$C$2:$C$2000,A1909)=0,"",_xlfn.MAXIFS(المبيعات!$A$2:$A$2000,المبيعات!$C$2:$C$2000,A1909)))</f>
        <v/>
      </c>
      <c r="F1909">
        <f>IF(A1909="","",SUMIFS(المبيعات!$H$2:$H$2000,المبيعات!$C$2:$C$2000,A1909,المبيعات!$J$2:$J$2000,"آجل"))</f>
        <v/>
      </c>
      <c r="G1909" s="4" t="n"/>
      <c r="H1909">
        <f>IF(A1909="","",F1909-G1909)</f>
        <v/>
      </c>
    </row>
    <row r="1910">
      <c r="A1910" s="4" t="n"/>
      <c r="B1910" s="4" t="n"/>
      <c r="C1910">
        <f>IF(A1910="","",SUMPRODUCT((المبيعات!$C$2:$C$2000=A1910)*(المبيعات!$B$2:$B$2000&lt;&gt;"")/COUNTIFS(المبيعات!$B$2:$B$2000,المبيعات!$B$2:$B$2000&amp;"",المبيعات!$C$2:$C$2000,المبيعات!$C$2:$C$2000&amp;"")))</f>
        <v/>
      </c>
      <c r="D1910">
        <f>IF(A1910="","",SUMIFS(المبيعات!$H$2:$H$2000,المبيعات!$C$2:$C$2000,A1910))</f>
        <v/>
      </c>
      <c r="E1910" s="13">
        <f>IF(A1910="","",IF(COUNTIF(المبيعات!$C$2:$C$2000,A1910)=0,"",_xlfn.MAXIFS(المبيعات!$A$2:$A$2000,المبيعات!$C$2:$C$2000,A1910)))</f>
        <v/>
      </c>
      <c r="F1910">
        <f>IF(A1910="","",SUMIFS(المبيعات!$H$2:$H$2000,المبيعات!$C$2:$C$2000,A1910,المبيعات!$J$2:$J$2000,"آجل"))</f>
        <v/>
      </c>
      <c r="G1910" s="4" t="n"/>
      <c r="H1910">
        <f>IF(A1910="","",F1910-G1910)</f>
        <v/>
      </c>
    </row>
    <row r="1911">
      <c r="A1911" s="4" t="n"/>
      <c r="B1911" s="4" t="n"/>
      <c r="C1911">
        <f>IF(A1911="","",SUMPRODUCT((المبيعات!$C$2:$C$2000=A1911)*(المبيعات!$B$2:$B$2000&lt;&gt;"")/COUNTIFS(المبيعات!$B$2:$B$2000,المبيعات!$B$2:$B$2000&amp;"",المبيعات!$C$2:$C$2000,المبيعات!$C$2:$C$2000&amp;"")))</f>
        <v/>
      </c>
      <c r="D1911">
        <f>IF(A1911="","",SUMIFS(المبيعات!$H$2:$H$2000,المبيعات!$C$2:$C$2000,A1911))</f>
        <v/>
      </c>
      <c r="E1911" s="13">
        <f>IF(A1911="","",IF(COUNTIF(المبيعات!$C$2:$C$2000,A1911)=0,"",_xlfn.MAXIFS(المبيعات!$A$2:$A$2000,المبيعات!$C$2:$C$2000,A1911)))</f>
        <v/>
      </c>
      <c r="F1911">
        <f>IF(A1911="","",SUMIFS(المبيعات!$H$2:$H$2000,المبيعات!$C$2:$C$2000,A1911,المبيعات!$J$2:$J$2000,"آجل"))</f>
        <v/>
      </c>
      <c r="G1911" s="4" t="n"/>
      <c r="H1911">
        <f>IF(A1911="","",F1911-G1911)</f>
        <v/>
      </c>
    </row>
    <row r="1912">
      <c r="A1912" s="4" t="n"/>
      <c r="B1912" s="4" t="n"/>
      <c r="C1912">
        <f>IF(A1912="","",SUMPRODUCT((المبيعات!$C$2:$C$2000=A1912)*(المبيعات!$B$2:$B$2000&lt;&gt;"")/COUNTIFS(المبيعات!$B$2:$B$2000,المبيعات!$B$2:$B$2000&amp;"",المبيعات!$C$2:$C$2000,المبيعات!$C$2:$C$2000&amp;"")))</f>
        <v/>
      </c>
      <c r="D1912">
        <f>IF(A1912="","",SUMIFS(المبيعات!$H$2:$H$2000,المبيعات!$C$2:$C$2000,A1912))</f>
        <v/>
      </c>
      <c r="E1912" s="13">
        <f>IF(A1912="","",IF(COUNTIF(المبيعات!$C$2:$C$2000,A1912)=0,"",_xlfn.MAXIFS(المبيعات!$A$2:$A$2000,المبيعات!$C$2:$C$2000,A1912)))</f>
        <v/>
      </c>
      <c r="F1912">
        <f>IF(A1912="","",SUMIFS(المبيعات!$H$2:$H$2000,المبيعات!$C$2:$C$2000,A1912,المبيعات!$J$2:$J$2000,"آجل"))</f>
        <v/>
      </c>
      <c r="G1912" s="4" t="n"/>
      <c r="H1912">
        <f>IF(A1912="","",F1912-G1912)</f>
        <v/>
      </c>
    </row>
    <row r="1913">
      <c r="A1913" s="4" t="n"/>
      <c r="B1913" s="4" t="n"/>
      <c r="C1913">
        <f>IF(A1913="","",SUMPRODUCT((المبيعات!$C$2:$C$2000=A1913)*(المبيعات!$B$2:$B$2000&lt;&gt;"")/COUNTIFS(المبيعات!$B$2:$B$2000,المبيعات!$B$2:$B$2000&amp;"",المبيعات!$C$2:$C$2000,المبيعات!$C$2:$C$2000&amp;"")))</f>
        <v/>
      </c>
      <c r="D1913">
        <f>IF(A1913="","",SUMIFS(المبيعات!$H$2:$H$2000,المبيعات!$C$2:$C$2000,A1913))</f>
        <v/>
      </c>
      <c r="E1913" s="13">
        <f>IF(A1913="","",IF(COUNTIF(المبيعات!$C$2:$C$2000,A1913)=0,"",_xlfn.MAXIFS(المبيعات!$A$2:$A$2000,المبيعات!$C$2:$C$2000,A1913)))</f>
        <v/>
      </c>
      <c r="F1913">
        <f>IF(A1913="","",SUMIFS(المبيعات!$H$2:$H$2000,المبيعات!$C$2:$C$2000,A1913,المبيعات!$J$2:$J$2000,"آجل"))</f>
        <v/>
      </c>
      <c r="G1913" s="4" t="n"/>
      <c r="H1913">
        <f>IF(A1913="","",F1913-G1913)</f>
        <v/>
      </c>
    </row>
    <row r="1914">
      <c r="A1914" s="4" t="n"/>
      <c r="B1914" s="4" t="n"/>
      <c r="C1914">
        <f>IF(A1914="","",SUMPRODUCT((المبيعات!$C$2:$C$2000=A1914)*(المبيعات!$B$2:$B$2000&lt;&gt;"")/COUNTIFS(المبيعات!$B$2:$B$2000,المبيعات!$B$2:$B$2000&amp;"",المبيعات!$C$2:$C$2000,المبيعات!$C$2:$C$2000&amp;"")))</f>
        <v/>
      </c>
      <c r="D1914">
        <f>IF(A1914="","",SUMIFS(المبيعات!$H$2:$H$2000,المبيعات!$C$2:$C$2000,A1914))</f>
        <v/>
      </c>
      <c r="E1914" s="13">
        <f>IF(A1914="","",IF(COUNTIF(المبيعات!$C$2:$C$2000,A1914)=0,"",_xlfn.MAXIFS(المبيعات!$A$2:$A$2000,المبيعات!$C$2:$C$2000,A1914)))</f>
        <v/>
      </c>
      <c r="F1914">
        <f>IF(A1914="","",SUMIFS(المبيعات!$H$2:$H$2000,المبيعات!$C$2:$C$2000,A1914,المبيعات!$J$2:$J$2000,"آجل"))</f>
        <v/>
      </c>
      <c r="G1914" s="4" t="n"/>
      <c r="H1914">
        <f>IF(A1914="","",F1914-G1914)</f>
        <v/>
      </c>
    </row>
    <row r="1915">
      <c r="A1915" s="4" t="n"/>
      <c r="B1915" s="4" t="n"/>
      <c r="C1915">
        <f>IF(A1915="","",SUMPRODUCT((المبيعات!$C$2:$C$2000=A1915)*(المبيعات!$B$2:$B$2000&lt;&gt;"")/COUNTIFS(المبيعات!$B$2:$B$2000,المبيعات!$B$2:$B$2000&amp;"",المبيعات!$C$2:$C$2000,المبيعات!$C$2:$C$2000&amp;"")))</f>
        <v/>
      </c>
      <c r="D1915">
        <f>IF(A1915="","",SUMIFS(المبيعات!$H$2:$H$2000,المبيعات!$C$2:$C$2000,A1915))</f>
        <v/>
      </c>
      <c r="E1915" s="13">
        <f>IF(A1915="","",IF(COUNTIF(المبيعات!$C$2:$C$2000,A1915)=0,"",_xlfn.MAXIFS(المبيعات!$A$2:$A$2000,المبيعات!$C$2:$C$2000,A1915)))</f>
        <v/>
      </c>
      <c r="F1915">
        <f>IF(A1915="","",SUMIFS(المبيعات!$H$2:$H$2000,المبيعات!$C$2:$C$2000,A1915,المبيعات!$J$2:$J$2000,"آجل"))</f>
        <v/>
      </c>
      <c r="G1915" s="4" t="n"/>
      <c r="H1915">
        <f>IF(A1915="","",F1915-G1915)</f>
        <v/>
      </c>
    </row>
    <row r="1916">
      <c r="A1916" s="4" t="n"/>
      <c r="B1916" s="4" t="n"/>
      <c r="C1916">
        <f>IF(A1916="","",SUMPRODUCT((المبيعات!$C$2:$C$2000=A1916)*(المبيعات!$B$2:$B$2000&lt;&gt;"")/COUNTIFS(المبيعات!$B$2:$B$2000,المبيعات!$B$2:$B$2000&amp;"",المبيعات!$C$2:$C$2000,المبيعات!$C$2:$C$2000&amp;"")))</f>
        <v/>
      </c>
      <c r="D1916">
        <f>IF(A1916="","",SUMIFS(المبيعات!$H$2:$H$2000,المبيعات!$C$2:$C$2000,A1916))</f>
        <v/>
      </c>
      <c r="E1916" s="13">
        <f>IF(A1916="","",IF(COUNTIF(المبيعات!$C$2:$C$2000,A1916)=0,"",_xlfn.MAXIFS(المبيعات!$A$2:$A$2000,المبيعات!$C$2:$C$2000,A1916)))</f>
        <v/>
      </c>
      <c r="F1916">
        <f>IF(A1916="","",SUMIFS(المبيعات!$H$2:$H$2000,المبيعات!$C$2:$C$2000,A1916,المبيعات!$J$2:$J$2000,"آجل"))</f>
        <v/>
      </c>
      <c r="G1916" s="4" t="n"/>
      <c r="H1916">
        <f>IF(A1916="","",F1916-G1916)</f>
        <v/>
      </c>
    </row>
    <row r="1917">
      <c r="A1917" s="4" t="n"/>
      <c r="B1917" s="4" t="n"/>
      <c r="C1917">
        <f>IF(A1917="","",SUMPRODUCT((المبيعات!$C$2:$C$2000=A1917)*(المبيعات!$B$2:$B$2000&lt;&gt;"")/COUNTIFS(المبيعات!$B$2:$B$2000,المبيعات!$B$2:$B$2000&amp;"",المبيعات!$C$2:$C$2000,المبيعات!$C$2:$C$2000&amp;"")))</f>
        <v/>
      </c>
      <c r="D1917">
        <f>IF(A1917="","",SUMIFS(المبيعات!$H$2:$H$2000,المبيعات!$C$2:$C$2000,A1917))</f>
        <v/>
      </c>
      <c r="E1917" s="13">
        <f>IF(A1917="","",IF(COUNTIF(المبيعات!$C$2:$C$2000,A1917)=0,"",_xlfn.MAXIFS(المبيعات!$A$2:$A$2000,المبيعات!$C$2:$C$2000,A1917)))</f>
        <v/>
      </c>
      <c r="F1917">
        <f>IF(A1917="","",SUMIFS(المبيعات!$H$2:$H$2000,المبيعات!$C$2:$C$2000,A1917,المبيعات!$J$2:$J$2000,"آجل"))</f>
        <v/>
      </c>
      <c r="G1917" s="4" t="n"/>
      <c r="H1917">
        <f>IF(A1917="","",F1917-G1917)</f>
        <v/>
      </c>
    </row>
    <row r="1918">
      <c r="A1918" s="4" t="n"/>
      <c r="B1918" s="4" t="n"/>
      <c r="C1918">
        <f>IF(A1918="","",SUMPRODUCT((المبيعات!$C$2:$C$2000=A1918)*(المبيعات!$B$2:$B$2000&lt;&gt;"")/COUNTIFS(المبيعات!$B$2:$B$2000,المبيعات!$B$2:$B$2000&amp;"",المبيعات!$C$2:$C$2000,المبيعات!$C$2:$C$2000&amp;"")))</f>
        <v/>
      </c>
      <c r="D1918">
        <f>IF(A1918="","",SUMIFS(المبيعات!$H$2:$H$2000,المبيعات!$C$2:$C$2000,A1918))</f>
        <v/>
      </c>
      <c r="E1918" s="13">
        <f>IF(A1918="","",IF(COUNTIF(المبيعات!$C$2:$C$2000,A1918)=0,"",_xlfn.MAXIFS(المبيعات!$A$2:$A$2000,المبيعات!$C$2:$C$2000,A1918)))</f>
        <v/>
      </c>
      <c r="F1918">
        <f>IF(A1918="","",SUMIFS(المبيعات!$H$2:$H$2000,المبيعات!$C$2:$C$2000,A1918,المبيعات!$J$2:$J$2000,"آجل"))</f>
        <v/>
      </c>
      <c r="G1918" s="4" t="n"/>
      <c r="H1918">
        <f>IF(A1918="","",F1918-G1918)</f>
        <v/>
      </c>
    </row>
    <row r="1919">
      <c r="A1919" s="4" t="n"/>
      <c r="B1919" s="4" t="n"/>
      <c r="C1919">
        <f>IF(A1919="","",SUMPRODUCT((المبيعات!$C$2:$C$2000=A1919)*(المبيعات!$B$2:$B$2000&lt;&gt;"")/COUNTIFS(المبيعات!$B$2:$B$2000,المبيعات!$B$2:$B$2000&amp;"",المبيعات!$C$2:$C$2000,المبيعات!$C$2:$C$2000&amp;"")))</f>
        <v/>
      </c>
      <c r="D1919">
        <f>IF(A1919="","",SUMIFS(المبيعات!$H$2:$H$2000,المبيعات!$C$2:$C$2000,A1919))</f>
        <v/>
      </c>
      <c r="E1919" s="13">
        <f>IF(A1919="","",IF(COUNTIF(المبيعات!$C$2:$C$2000,A1919)=0,"",_xlfn.MAXIFS(المبيعات!$A$2:$A$2000,المبيعات!$C$2:$C$2000,A1919)))</f>
        <v/>
      </c>
      <c r="F1919">
        <f>IF(A1919="","",SUMIFS(المبيعات!$H$2:$H$2000,المبيعات!$C$2:$C$2000,A1919,المبيعات!$J$2:$J$2000,"آجل"))</f>
        <v/>
      </c>
      <c r="G1919" s="4" t="n"/>
      <c r="H1919">
        <f>IF(A1919="","",F1919-G1919)</f>
        <v/>
      </c>
    </row>
    <row r="1920">
      <c r="A1920" s="4" t="n"/>
      <c r="B1920" s="4" t="n"/>
      <c r="C1920">
        <f>IF(A1920="","",SUMPRODUCT((المبيعات!$C$2:$C$2000=A1920)*(المبيعات!$B$2:$B$2000&lt;&gt;"")/COUNTIFS(المبيعات!$B$2:$B$2000,المبيعات!$B$2:$B$2000&amp;"",المبيعات!$C$2:$C$2000,المبيعات!$C$2:$C$2000&amp;"")))</f>
        <v/>
      </c>
      <c r="D1920">
        <f>IF(A1920="","",SUMIFS(المبيعات!$H$2:$H$2000,المبيعات!$C$2:$C$2000,A1920))</f>
        <v/>
      </c>
      <c r="E1920" s="13">
        <f>IF(A1920="","",IF(COUNTIF(المبيعات!$C$2:$C$2000,A1920)=0,"",_xlfn.MAXIFS(المبيعات!$A$2:$A$2000,المبيعات!$C$2:$C$2000,A1920)))</f>
        <v/>
      </c>
      <c r="F1920">
        <f>IF(A1920="","",SUMIFS(المبيعات!$H$2:$H$2000,المبيعات!$C$2:$C$2000,A1920,المبيعات!$J$2:$J$2000,"آجل"))</f>
        <v/>
      </c>
      <c r="G1920" s="4" t="n"/>
      <c r="H1920">
        <f>IF(A1920="","",F1920-G1920)</f>
        <v/>
      </c>
    </row>
    <row r="1921">
      <c r="A1921" s="4" t="n"/>
      <c r="B1921" s="4" t="n"/>
      <c r="C1921">
        <f>IF(A1921="","",SUMPRODUCT((المبيعات!$C$2:$C$2000=A1921)*(المبيعات!$B$2:$B$2000&lt;&gt;"")/COUNTIFS(المبيعات!$B$2:$B$2000,المبيعات!$B$2:$B$2000&amp;"",المبيعات!$C$2:$C$2000,المبيعات!$C$2:$C$2000&amp;"")))</f>
        <v/>
      </c>
      <c r="D1921">
        <f>IF(A1921="","",SUMIFS(المبيعات!$H$2:$H$2000,المبيعات!$C$2:$C$2000,A1921))</f>
        <v/>
      </c>
      <c r="E1921" s="13">
        <f>IF(A1921="","",IF(COUNTIF(المبيعات!$C$2:$C$2000,A1921)=0,"",_xlfn.MAXIFS(المبيعات!$A$2:$A$2000,المبيعات!$C$2:$C$2000,A1921)))</f>
        <v/>
      </c>
      <c r="F1921">
        <f>IF(A1921="","",SUMIFS(المبيعات!$H$2:$H$2000,المبيعات!$C$2:$C$2000,A1921,المبيعات!$J$2:$J$2000,"آجل"))</f>
        <v/>
      </c>
      <c r="G1921" s="4" t="n"/>
      <c r="H1921">
        <f>IF(A1921="","",F1921-G1921)</f>
        <v/>
      </c>
    </row>
    <row r="1922">
      <c r="A1922" s="4" t="n"/>
      <c r="B1922" s="4" t="n"/>
      <c r="C1922">
        <f>IF(A1922="","",SUMPRODUCT((المبيعات!$C$2:$C$2000=A1922)*(المبيعات!$B$2:$B$2000&lt;&gt;"")/COUNTIFS(المبيعات!$B$2:$B$2000,المبيعات!$B$2:$B$2000&amp;"",المبيعات!$C$2:$C$2000,المبيعات!$C$2:$C$2000&amp;"")))</f>
        <v/>
      </c>
      <c r="D1922">
        <f>IF(A1922="","",SUMIFS(المبيعات!$H$2:$H$2000,المبيعات!$C$2:$C$2000,A1922))</f>
        <v/>
      </c>
      <c r="E1922" s="13">
        <f>IF(A1922="","",IF(COUNTIF(المبيعات!$C$2:$C$2000,A1922)=0,"",_xlfn.MAXIFS(المبيعات!$A$2:$A$2000,المبيعات!$C$2:$C$2000,A1922)))</f>
        <v/>
      </c>
      <c r="F1922">
        <f>IF(A1922="","",SUMIFS(المبيعات!$H$2:$H$2000,المبيعات!$C$2:$C$2000,A1922,المبيعات!$J$2:$J$2000,"آجل"))</f>
        <v/>
      </c>
      <c r="G1922" s="4" t="n"/>
      <c r="H1922">
        <f>IF(A1922="","",F1922-G1922)</f>
        <v/>
      </c>
    </row>
    <row r="1923">
      <c r="A1923" s="4" t="n"/>
      <c r="B1923" s="4" t="n"/>
      <c r="C1923">
        <f>IF(A1923="","",SUMPRODUCT((المبيعات!$C$2:$C$2000=A1923)*(المبيعات!$B$2:$B$2000&lt;&gt;"")/COUNTIFS(المبيعات!$B$2:$B$2000,المبيعات!$B$2:$B$2000&amp;"",المبيعات!$C$2:$C$2000,المبيعات!$C$2:$C$2000&amp;"")))</f>
        <v/>
      </c>
      <c r="D1923">
        <f>IF(A1923="","",SUMIFS(المبيعات!$H$2:$H$2000,المبيعات!$C$2:$C$2000,A1923))</f>
        <v/>
      </c>
      <c r="E1923" s="13">
        <f>IF(A1923="","",IF(COUNTIF(المبيعات!$C$2:$C$2000,A1923)=0,"",_xlfn.MAXIFS(المبيعات!$A$2:$A$2000,المبيعات!$C$2:$C$2000,A1923)))</f>
        <v/>
      </c>
      <c r="F1923">
        <f>IF(A1923="","",SUMIFS(المبيعات!$H$2:$H$2000,المبيعات!$C$2:$C$2000,A1923,المبيعات!$J$2:$J$2000,"آجل"))</f>
        <v/>
      </c>
      <c r="G1923" s="4" t="n"/>
      <c r="H1923">
        <f>IF(A1923="","",F1923-G1923)</f>
        <v/>
      </c>
    </row>
    <row r="1924">
      <c r="A1924" s="4" t="n"/>
      <c r="B1924" s="4" t="n"/>
      <c r="C1924">
        <f>IF(A1924="","",SUMPRODUCT((المبيعات!$C$2:$C$2000=A1924)*(المبيعات!$B$2:$B$2000&lt;&gt;"")/COUNTIFS(المبيعات!$B$2:$B$2000,المبيعات!$B$2:$B$2000&amp;"",المبيعات!$C$2:$C$2000,المبيعات!$C$2:$C$2000&amp;"")))</f>
        <v/>
      </c>
      <c r="D1924">
        <f>IF(A1924="","",SUMIFS(المبيعات!$H$2:$H$2000,المبيعات!$C$2:$C$2000,A1924))</f>
        <v/>
      </c>
      <c r="E1924" s="13">
        <f>IF(A1924="","",IF(COUNTIF(المبيعات!$C$2:$C$2000,A1924)=0,"",_xlfn.MAXIFS(المبيعات!$A$2:$A$2000,المبيعات!$C$2:$C$2000,A1924)))</f>
        <v/>
      </c>
      <c r="F1924">
        <f>IF(A1924="","",SUMIFS(المبيعات!$H$2:$H$2000,المبيعات!$C$2:$C$2000,A1924,المبيعات!$J$2:$J$2000,"آجل"))</f>
        <v/>
      </c>
      <c r="G1924" s="4" t="n"/>
      <c r="H1924">
        <f>IF(A1924="","",F1924-G1924)</f>
        <v/>
      </c>
    </row>
    <row r="1925">
      <c r="A1925" s="4" t="n"/>
      <c r="B1925" s="4" t="n"/>
      <c r="C1925">
        <f>IF(A1925="","",SUMPRODUCT((المبيعات!$C$2:$C$2000=A1925)*(المبيعات!$B$2:$B$2000&lt;&gt;"")/COUNTIFS(المبيعات!$B$2:$B$2000,المبيعات!$B$2:$B$2000&amp;"",المبيعات!$C$2:$C$2000,المبيعات!$C$2:$C$2000&amp;"")))</f>
        <v/>
      </c>
      <c r="D1925">
        <f>IF(A1925="","",SUMIFS(المبيعات!$H$2:$H$2000,المبيعات!$C$2:$C$2000,A1925))</f>
        <v/>
      </c>
      <c r="E1925" s="13">
        <f>IF(A1925="","",IF(COUNTIF(المبيعات!$C$2:$C$2000,A1925)=0,"",_xlfn.MAXIFS(المبيعات!$A$2:$A$2000,المبيعات!$C$2:$C$2000,A1925)))</f>
        <v/>
      </c>
      <c r="F1925">
        <f>IF(A1925="","",SUMIFS(المبيعات!$H$2:$H$2000,المبيعات!$C$2:$C$2000,A1925,المبيعات!$J$2:$J$2000,"آجل"))</f>
        <v/>
      </c>
      <c r="G1925" s="4" t="n"/>
      <c r="H1925">
        <f>IF(A1925="","",F1925-G1925)</f>
        <v/>
      </c>
    </row>
    <row r="1926">
      <c r="A1926" s="4" t="n"/>
      <c r="B1926" s="4" t="n"/>
      <c r="C1926">
        <f>IF(A1926="","",SUMPRODUCT((المبيعات!$C$2:$C$2000=A1926)*(المبيعات!$B$2:$B$2000&lt;&gt;"")/COUNTIFS(المبيعات!$B$2:$B$2000,المبيعات!$B$2:$B$2000&amp;"",المبيعات!$C$2:$C$2000,المبيعات!$C$2:$C$2000&amp;"")))</f>
        <v/>
      </c>
      <c r="D1926">
        <f>IF(A1926="","",SUMIFS(المبيعات!$H$2:$H$2000,المبيعات!$C$2:$C$2000,A1926))</f>
        <v/>
      </c>
      <c r="E1926" s="13">
        <f>IF(A1926="","",IF(COUNTIF(المبيعات!$C$2:$C$2000,A1926)=0,"",_xlfn.MAXIFS(المبيعات!$A$2:$A$2000,المبيعات!$C$2:$C$2000,A1926)))</f>
        <v/>
      </c>
      <c r="F1926">
        <f>IF(A1926="","",SUMIFS(المبيعات!$H$2:$H$2000,المبيعات!$C$2:$C$2000,A1926,المبيعات!$J$2:$J$2000,"آجل"))</f>
        <v/>
      </c>
      <c r="G1926" s="4" t="n"/>
      <c r="H1926">
        <f>IF(A1926="","",F1926-G1926)</f>
        <v/>
      </c>
    </row>
    <row r="1927">
      <c r="A1927" s="4" t="n"/>
      <c r="B1927" s="4" t="n"/>
      <c r="C1927">
        <f>IF(A1927="","",SUMPRODUCT((المبيعات!$C$2:$C$2000=A1927)*(المبيعات!$B$2:$B$2000&lt;&gt;"")/COUNTIFS(المبيعات!$B$2:$B$2000,المبيعات!$B$2:$B$2000&amp;"",المبيعات!$C$2:$C$2000,المبيعات!$C$2:$C$2000&amp;"")))</f>
        <v/>
      </c>
      <c r="D1927">
        <f>IF(A1927="","",SUMIFS(المبيعات!$H$2:$H$2000,المبيعات!$C$2:$C$2000,A1927))</f>
        <v/>
      </c>
      <c r="E1927" s="13">
        <f>IF(A1927="","",IF(COUNTIF(المبيعات!$C$2:$C$2000,A1927)=0,"",_xlfn.MAXIFS(المبيعات!$A$2:$A$2000,المبيعات!$C$2:$C$2000,A1927)))</f>
        <v/>
      </c>
      <c r="F1927">
        <f>IF(A1927="","",SUMIFS(المبيعات!$H$2:$H$2000,المبيعات!$C$2:$C$2000,A1927,المبيعات!$J$2:$J$2000,"آجل"))</f>
        <v/>
      </c>
      <c r="G1927" s="4" t="n"/>
      <c r="H1927">
        <f>IF(A1927="","",F1927-G1927)</f>
        <v/>
      </c>
    </row>
    <row r="1928">
      <c r="A1928" s="4" t="n"/>
      <c r="B1928" s="4" t="n"/>
      <c r="C1928">
        <f>IF(A1928="","",SUMPRODUCT((المبيعات!$C$2:$C$2000=A1928)*(المبيعات!$B$2:$B$2000&lt;&gt;"")/COUNTIFS(المبيعات!$B$2:$B$2000,المبيعات!$B$2:$B$2000&amp;"",المبيعات!$C$2:$C$2000,المبيعات!$C$2:$C$2000&amp;"")))</f>
        <v/>
      </c>
      <c r="D1928">
        <f>IF(A1928="","",SUMIFS(المبيعات!$H$2:$H$2000,المبيعات!$C$2:$C$2000,A1928))</f>
        <v/>
      </c>
      <c r="E1928" s="13">
        <f>IF(A1928="","",IF(COUNTIF(المبيعات!$C$2:$C$2000,A1928)=0,"",_xlfn.MAXIFS(المبيعات!$A$2:$A$2000,المبيعات!$C$2:$C$2000,A1928)))</f>
        <v/>
      </c>
      <c r="F1928">
        <f>IF(A1928="","",SUMIFS(المبيعات!$H$2:$H$2000,المبيعات!$C$2:$C$2000,A1928,المبيعات!$J$2:$J$2000,"آجل"))</f>
        <v/>
      </c>
      <c r="G1928" s="4" t="n"/>
      <c r="H1928">
        <f>IF(A1928="","",F1928-G1928)</f>
        <v/>
      </c>
    </row>
    <row r="1929">
      <c r="A1929" s="4" t="n"/>
      <c r="B1929" s="4" t="n"/>
      <c r="C1929">
        <f>IF(A1929="","",SUMPRODUCT((المبيعات!$C$2:$C$2000=A1929)*(المبيعات!$B$2:$B$2000&lt;&gt;"")/COUNTIFS(المبيعات!$B$2:$B$2000,المبيعات!$B$2:$B$2000&amp;"",المبيعات!$C$2:$C$2000,المبيعات!$C$2:$C$2000&amp;"")))</f>
        <v/>
      </c>
      <c r="D1929">
        <f>IF(A1929="","",SUMIFS(المبيعات!$H$2:$H$2000,المبيعات!$C$2:$C$2000,A1929))</f>
        <v/>
      </c>
      <c r="E1929" s="13">
        <f>IF(A1929="","",IF(COUNTIF(المبيعات!$C$2:$C$2000,A1929)=0,"",_xlfn.MAXIFS(المبيعات!$A$2:$A$2000,المبيعات!$C$2:$C$2000,A1929)))</f>
        <v/>
      </c>
      <c r="F1929">
        <f>IF(A1929="","",SUMIFS(المبيعات!$H$2:$H$2000,المبيعات!$C$2:$C$2000,A1929,المبيعات!$J$2:$J$2000,"آجل"))</f>
        <v/>
      </c>
      <c r="G1929" s="4" t="n"/>
      <c r="H1929">
        <f>IF(A1929="","",F1929-G1929)</f>
        <v/>
      </c>
    </row>
    <row r="1930">
      <c r="A1930" s="4" t="n"/>
      <c r="B1930" s="4" t="n"/>
      <c r="C1930">
        <f>IF(A1930="","",SUMPRODUCT((المبيعات!$C$2:$C$2000=A1930)*(المبيعات!$B$2:$B$2000&lt;&gt;"")/COUNTIFS(المبيعات!$B$2:$B$2000,المبيعات!$B$2:$B$2000&amp;"",المبيعات!$C$2:$C$2000,المبيعات!$C$2:$C$2000&amp;"")))</f>
        <v/>
      </c>
      <c r="D1930">
        <f>IF(A1930="","",SUMIFS(المبيعات!$H$2:$H$2000,المبيعات!$C$2:$C$2000,A1930))</f>
        <v/>
      </c>
      <c r="E1930" s="13">
        <f>IF(A1930="","",IF(COUNTIF(المبيعات!$C$2:$C$2000,A1930)=0,"",_xlfn.MAXIFS(المبيعات!$A$2:$A$2000,المبيعات!$C$2:$C$2000,A1930)))</f>
        <v/>
      </c>
      <c r="F1930">
        <f>IF(A1930="","",SUMIFS(المبيعات!$H$2:$H$2000,المبيعات!$C$2:$C$2000,A1930,المبيعات!$J$2:$J$2000,"آجل"))</f>
        <v/>
      </c>
      <c r="G1930" s="4" t="n"/>
      <c r="H1930">
        <f>IF(A1930="","",F1930-G1930)</f>
        <v/>
      </c>
    </row>
    <row r="1931">
      <c r="A1931" s="4" t="n"/>
      <c r="B1931" s="4" t="n"/>
      <c r="C1931">
        <f>IF(A1931="","",SUMPRODUCT((المبيعات!$C$2:$C$2000=A1931)*(المبيعات!$B$2:$B$2000&lt;&gt;"")/COUNTIFS(المبيعات!$B$2:$B$2000,المبيعات!$B$2:$B$2000&amp;"",المبيعات!$C$2:$C$2000,المبيعات!$C$2:$C$2000&amp;"")))</f>
        <v/>
      </c>
      <c r="D1931">
        <f>IF(A1931="","",SUMIFS(المبيعات!$H$2:$H$2000,المبيعات!$C$2:$C$2000,A1931))</f>
        <v/>
      </c>
      <c r="E1931" s="13">
        <f>IF(A1931="","",IF(COUNTIF(المبيعات!$C$2:$C$2000,A1931)=0,"",_xlfn.MAXIFS(المبيعات!$A$2:$A$2000,المبيعات!$C$2:$C$2000,A1931)))</f>
        <v/>
      </c>
      <c r="F1931">
        <f>IF(A1931="","",SUMIFS(المبيعات!$H$2:$H$2000,المبيعات!$C$2:$C$2000,A1931,المبيعات!$J$2:$J$2000,"آجل"))</f>
        <v/>
      </c>
      <c r="G1931" s="4" t="n"/>
      <c r="H1931">
        <f>IF(A1931="","",F1931-G1931)</f>
        <v/>
      </c>
    </row>
    <row r="1932">
      <c r="A1932" s="4" t="n"/>
      <c r="B1932" s="4" t="n"/>
      <c r="C1932">
        <f>IF(A1932="","",SUMPRODUCT((المبيعات!$C$2:$C$2000=A1932)*(المبيعات!$B$2:$B$2000&lt;&gt;"")/COUNTIFS(المبيعات!$B$2:$B$2000,المبيعات!$B$2:$B$2000&amp;"",المبيعات!$C$2:$C$2000,المبيعات!$C$2:$C$2000&amp;"")))</f>
        <v/>
      </c>
      <c r="D1932">
        <f>IF(A1932="","",SUMIFS(المبيعات!$H$2:$H$2000,المبيعات!$C$2:$C$2000,A1932))</f>
        <v/>
      </c>
      <c r="E1932" s="13">
        <f>IF(A1932="","",IF(COUNTIF(المبيعات!$C$2:$C$2000,A1932)=0,"",_xlfn.MAXIFS(المبيعات!$A$2:$A$2000,المبيعات!$C$2:$C$2000,A1932)))</f>
        <v/>
      </c>
      <c r="F1932">
        <f>IF(A1932="","",SUMIFS(المبيعات!$H$2:$H$2000,المبيعات!$C$2:$C$2000,A1932,المبيعات!$J$2:$J$2000,"آجل"))</f>
        <v/>
      </c>
      <c r="G1932" s="4" t="n"/>
      <c r="H1932">
        <f>IF(A1932="","",F1932-G1932)</f>
        <v/>
      </c>
    </row>
    <row r="1933">
      <c r="A1933" s="4" t="n"/>
      <c r="B1933" s="4" t="n"/>
      <c r="C1933">
        <f>IF(A1933="","",SUMPRODUCT((المبيعات!$C$2:$C$2000=A1933)*(المبيعات!$B$2:$B$2000&lt;&gt;"")/COUNTIFS(المبيعات!$B$2:$B$2000,المبيعات!$B$2:$B$2000&amp;"",المبيعات!$C$2:$C$2000,المبيعات!$C$2:$C$2000&amp;"")))</f>
        <v/>
      </c>
      <c r="D1933">
        <f>IF(A1933="","",SUMIFS(المبيعات!$H$2:$H$2000,المبيعات!$C$2:$C$2000,A1933))</f>
        <v/>
      </c>
      <c r="E1933" s="13">
        <f>IF(A1933="","",IF(COUNTIF(المبيعات!$C$2:$C$2000,A1933)=0,"",_xlfn.MAXIFS(المبيعات!$A$2:$A$2000,المبيعات!$C$2:$C$2000,A1933)))</f>
        <v/>
      </c>
      <c r="F1933">
        <f>IF(A1933="","",SUMIFS(المبيعات!$H$2:$H$2000,المبيعات!$C$2:$C$2000,A1933,المبيعات!$J$2:$J$2000,"آجل"))</f>
        <v/>
      </c>
      <c r="G1933" s="4" t="n"/>
      <c r="H1933">
        <f>IF(A1933="","",F1933-G1933)</f>
        <v/>
      </c>
    </row>
    <row r="1934">
      <c r="A1934" s="4" t="n"/>
      <c r="B1934" s="4" t="n"/>
      <c r="C1934">
        <f>IF(A1934="","",SUMPRODUCT((المبيعات!$C$2:$C$2000=A1934)*(المبيعات!$B$2:$B$2000&lt;&gt;"")/COUNTIFS(المبيعات!$B$2:$B$2000,المبيعات!$B$2:$B$2000&amp;"",المبيعات!$C$2:$C$2000,المبيعات!$C$2:$C$2000&amp;"")))</f>
        <v/>
      </c>
      <c r="D1934">
        <f>IF(A1934="","",SUMIFS(المبيعات!$H$2:$H$2000,المبيعات!$C$2:$C$2000,A1934))</f>
        <v/>
      </c>
      <c r="E1934" s="13">
        <f>IF(A1934="","",IF(COUNTIF(المبيعات!$C$2:$C$2000,A1934)=0,"",_xlfn.MAXIFS(المبيعات!$A$2:$A$2000,المبيعات!$C$2:$C$2000,A1934)))</f>
        <v/>
      </c>
      <c r="F1934">
        <f>IF(A1934="","",SUMIFS(المبيعات!$H$2:$H$2000,المبيعات!$C$2:$C$2000,A1934,المبيعات!$J$2:$J$2000,"آجل"))</f>
        <v/>
      </c>
      <c r="G1934" s="4" t="n"/>
      <c r="H1934">
        <f>IF(A1934="","",F1934-G1934)</f>
        <v/>
      </c>
    </row>
    <row r="1935">
      <c r="A1935" s="4" t="n"/>
      <c r="B1935" s="4" t="n"/>
      <c r="C1935">
        <f>IF(A1935="","",SUMPRODUCT((المبيعات!$C$2:$C$2000=A1935)*(المبيعات!$B$2:$B$2000&lt;&gt;"")/COUNTIFS(المبيعات!$B$2:$B$2000,المبيعات!$B$2:$B$2000&amp;"",المبيعات!$C$2:$C$2000,المبيعات!$C$2:$C$2000&amp;"")))</f>
        <v/>
      </c>
      <c r="D1935">
        <f>IF(A1935="","",SUMIFS(المبيعات!$H$2:$H$2000,المبيعات!$C$2:$C$2000,A1935))</f>
        <v/>
      </c>
      <c r="E1935" s="13">
        <f>IF(A1935="","",IF(COUNTIF(المبيعات!$C$2:$C$2000,A1935)=0,"",_xlfn.MAXIFS(المبيعات!$A$2:$A$2000,المبيعات!$C$2:$C$2000,A1935)))</f>
        <v/>
      </c>
      <c r="F1935">
        <f>IF(A1935="","",SUMIFS(المبيعات!$H$2:$H$2000,المبيعات!$C$2:$C$2000,A1935,المبيعات!$J$2:$J$2000,"آجل"))</f>
        <v/>
      </c>
      <c r="G1935" s="4" t="n"/>
      <c r="H1935">
        <f>IF(A1935="","",F1935-G1935)</f>
        <v/>
      </c>
    </row>
    <row r="1936">
      <c r="A1936" s="4" t="n"/>
      <c r="B1936" s="4" t="n"/>
      <c r="C1936">
        <f>IF(A1936="","",SUMPRODUCT((المبيعات!$C$2:$C$2000=A1936)*(المبيعات!$B$2:$B$2000&lt;&gt;"")/COUNTIFS(المبيعات!$B$2:$B$2000,المبيعات!$B$2:$B$2000&amp;"",المبيعات!$C$2:$C$2000,المبيعات!$C$2:$C$2000&amp;"")))</f>
        <v/>
      </c>
      <c r="D1936">
        <f>IF(A1936="","",SUMIFS(المبيعات!$H$2:$H$2000,المبيعات!$C$2:$C$2000,A1936))</f>
        <v/>
      </c>
      <c r="E1936" s="13">
        <f>IF(A1936="","",IF(COUNTIF(المبيعات!$C$2:$C$2000,A1936)=0,"",_xlfn.MAXIFS(المبيعات!$A$2:$A$2000,المبيعات!$C$2:$C$2000,A1936)))</f>
        <v/>
      </c>
      <c r="F1936">
        <f>IF(A1936="","",SUMIFS(المبيعات!$H$2:$H$2000,المبيعات!$C$2:$C$2000,A1936,المبيعات!$J$2:$J$2000,"آجل"))</f>
        <v/>
      </c>
      <c r="G1936" s="4" t="n"/>
      <c r="H1936">
        <f>IF(A1936="","",F1936-G1936)</f>
        <v/>
      </c>
    </row>
    <row r="1937">
      <c r="A1937" s="4" t="n"/>
      <c r="B1937" s="4" t="n"/>
      <c r="C1937">
        <f>IF(A1937="","",SUMPRODUCT((المبيعات!$C$2:$C$2000=A1937)*(المبيعات!$B$2:$B$2000&lt;&gt;"")/COUNTIFS(المبيعات!$B$2:$B$2000,المبيعات!$B$2:$B$2000&amp;"",المبيعات!$C$2:$C$2000,المبيعات!$C$2:$C$2000&amp;"")))</f>
        <v/>
      </c>
      <c r="D1937">
        <f>IF(A1937="","",SUMIFS(المبيعات!$H$2:$H$2000,المبيعات!$C$2:$C$2000,A1937))</f>
        <v/>
      </c>
      <c r="E1937" s="13">
        <f>IF(A1937="","",IF(COUNTIF(المبيعات!$C$2:$C$2000,A1937)=0,"",_xlfn.MAXIFS(المبيعات!$A$2:$A$2000,المبيعات!$C$2:$C$2000,A1937)))</f>
        <v/>
      </c>
      <c r="F1937">
        <f>IF(A1937="","",SUMIFS(المبيعات!$H$2:$H$2000,المبيعات!$C$2:$C$2000,A1937,المبيعات!$J$2:$J$2000,"آجل"))</f>
        <v/>
      </c>
      <c r="G1937" s="4" t="n"/>
      <c r="H1937">
        <f>IF(A1937="","",F1937-G1937)</f>
        <v/>
      </c>
    </row>
    <row r="1938">
      <c r="A1938" s="4" t="n"/>
      <c r="B1938" s="4" t="n"/>
      <c r="C1938">
        <f>IF(A1938="","",SUMPRODUCT((المبيعات!$C$2:$C$2000=A1938)*(المبيعات!$B$2:$B$2000&lt;&gt;"")/COUNTIFS(المبيعات!$B$2:$B$2000,المبيعات!$B$2:$B$2000&amp;"",المبيعات!$C$2:$C$2000,المبيعات!$C$2:$C$2000&amp;"")))</f>
        <v/>
      </c>
      <c r="D1938">
        <f>IF(A1938="","",SUMIFS(المبيعات!$H$2:$H$2000,المبيعات!$C$2:$C$2000,A1938))</f>
        <v/>
      </c>
      <c r="E1938" s="13">
        <f>IF(A1938="","",IF(COUNTIF(المبيعات!$C$2:$C$2000,A1938)=0,"",_xlfn.MAXIFS(المبيعات!$A$2:$A$2000,المبيعات!$C$2:$C$2000,A1938)))</f>
        <v/>
      </c>
      <c r="F1938">
        <f>IF(A1938="","",SUMIFS(المبيعات!$H$2:$H$2000,المبيعات!$C$2:$C$2000,A1938,المبيعات!$J$2:$J$2000,"آجل"))</f>
        <v/>
      </c>
      <c r="G1938" s="4" t="n"/>
      <c r="H1938">
        <f>IF(A1938="","",F1938-G1938)</f>
        <v/>
      </c>
    </row>
    <row r="1939">
      <c r="A1939" s="4" t="n"/>
      <c r="B1939" s="4" t="n"/>
      <c r="C1939">
        <f>IF(A1939="","",SUMPRODUCT((المبيعات!$C$2:$C$2000=A1939)*(المبيعات!$B$2:$B$2000&lt;&gt;"")/COUNTIFS(المبيعات!$B$2:$B$2000,المبيعات!$B$2:$B$2000&amp;"",المبيعات!$C$2:$C$2000,المبيعات!$C$2:$C$2000&amp;"")))</f>
        <v/>
      </c>
      <c r="D1939">
        <f>IF(A1939="","",SUMIFS(المبيعات!$H$2:$H$2000,المبيعات!$C$2:$C$2000,A1939))</f>
        <v/>
      </c>
      <c r="E1939" s="13">
        <f>IF(A1939="","",IF(COUNTIF(المبيعات!$C$2:$C$2000,A1939)=0,"",_xlfn.MAXIFS(المبيعات!$A$2:$A$2000,المبيعات!$C$2:$C$2000,A1939)))</f>
        <v/>
      </c>
      <c r="F1939">
        <f>IF(A1939="","",SUMIFS(المبيعات!$H$2:$H$2000,المبيعات!$C$2:$C$2000,A1939,المبيعات!$J$2:$J$2000,"آجل"))</f>
        <v/>
      </c>
      <c r="G1939" s="4" t="n"/>
      <c r="H1939">
        <f>IF(A1939="","",F1939-G1939)</f>
        <v/>
      </c>
    </row>
    <row r="1940">
      <c r="A1940" s="4" t="n"/>
      <c r="B1940" s="4" t="n"/>
      <c r="C1940">
        <f>IF(A1940="","",SUMPRODUCT((المبيعات!$C$2:$C$2000=A1940)*(المبيعات!$B$2:$B$2000&lt;&gt;"")/COUNTIFS(المبيعات!$B$2:$B$2000,المبيعات!$B$2:$B$2000&amp;"",المبيعات!$C$2:$C$2000,المبيعات!$C$2:$C$2000&amp;"")))</f>
        <v/>
      </c>
      <c r="D1940">
        <f>IF(A1940="","",SUMIFS(المبيعات!$H$2:$H$2000,المبيعات!$C$2:$C$2000,A1940))</f>
        <v/>
      </c>
      <c r="E1940" s="13">
        <f>IF(A1940="","",IF(COUNTIF(المبيعات!$C$2:$C$2000,A1940)=0,"",_xlfn.MAXIFS(المبيعات!$A$2:$A$2000,المبيعات!$C$2:$C$2000,A1940)))</f>
        <v/>
      </c>
      <c r="F1940">
        <f>IF(A1940="","",SUMIFS(المبيعات!$H$2:$H$2000,المبيعات!$C$2:$C$2000,A1940,المبيعات!$J$2:$J$2000,"آجل"))</f>
        <v/>
      </c>
      <c r="G1940" s="4" t="n"/>
      <c r="H1940">
        <f>IF(A1940="","",F1940-G1940)</f>
        <v/>
      </c>
    </row>
    <row r="1941">
      <c r="A1941" s="4" t="n"/>
      <c r="B1941" s="4" t="n"/>
      <c r="C1941">
        <f>IF(A1941="","",SUMPRODUCT((المبيعات!$C$2:$C$2000=A1941)*(المبيعات!$B$2:$B$2000&lt;&gt;"")/COUNTIFS(المبيعات!$B$2:$B$2000,المبيعات!$B$2:$B$2000&amp;"",المبيعات!$C$2:$C$2000,المبيعات!$C$2:$C$2000&amp;"")))</f>
        <v/>
      </c>
      <c r="D1941">
        <f>IF(A1941="","",SUMIFS(المبيعات!$H$2:$H$2000,المبيعات!$C$2:$C$2000,A1941))</f>
        <v/>
      </c>
      <c r="E1941" s="13">
        <f>IF(A1941="","",IF(COUNTIF(المبيعات!$C$2:$C$2000,A1941)=0,"",_xlfn.MAXIFS(المبيعات!$A$2:$A$2000,المبيعات!$C$2:$C$2000,A1941)))</f>
        <v/>
      </c>
      <c r="F1941">
        <f>IF(A1941="","",SUMIFS(المبيعات!$H$2:$H$2000,المبيعات!$C$2:$C$2000,A1941,المبيعات!$J$2:$J$2000,"آجل"))</f>
        <v/>
      </c>
      <c r="G1941" s="4" t="n"/>
      <c r="H1941">
        <f>IF(A1941="","",F1941-G1941)</f>
        <v/>
      </c>
    </row>
    <row r="1942">
      <c r="A1942" s="4" t="n"/>
      <c r="B1942" s="4" t="n"/>
      <c r="C1942">
        <f>IF(A1942="","",SUMPRODUCT((المبيعات!$C$2:$C$2000=A1942)*(المبيعات!$B$2:$B$2000&lt;&gt;"")/COUNTIFS(المبيعات!$B$2:$B$2000,المبيعات!$B$2:$B$2000&amp;"",المبيعات!$C$2:$C$2000,المبيعات!$C$2:$C$2000&amp;"")))</f>
        <v/>
      </c>
      <c r="D1942">
        <f>IF(A1942="","",SUMIFS(المبيعات!$H$2:$H$2000,المبيعات!$C$2:$C$2000,A1942))</f>
        <v/>
      </c>
      <c r="E1942" s="13">
        <f>IF(A1942="","",IF(COUNTIF(المبيعات!$C$2:$C$2000,A1942)=0,"",_xlfn.MAXIFS(المبيعات!$A$2:$A$2000,المبيعات!$C$2:$C$2000,A1942)))</f>
        <v/>
      </c>
      <c r="F1942">
        <f>IF(A1942="","",SUMIFS(المبيعات!$H$2:$H$2000,المبيعات!$C$2:$C$2000,A1942,المبيعات!$J$2:$J$2000,"آجل"))</f>
        <v/>
      </c>
      <c r="G1942" s="4" t="n"/>
      <c r="H1942">
        <f>IF(A1942="","",F1942-G1942)</f>
        <v/>
      </c>
    </row>
    <row r="1943">
      <c r="A1943" s="4" t="n"/>
      <c r="B1943" s="4" t="n"/>
      <c r="C1943">
        <f>IF(A1943="","",SUMPRODUCT((المبيعات!$C$2:$C$2000=A1943)*(المبيعات!$B$2:$B$2000&lt;&gt;"")/COUNTIFS(المبيعات!$B$2:$B$2000,المبيعات!$B$2:$B$2000&amp;"",المبيعات!$C$2:$C$2000,المبيعات!$C$2:$C$2000&amp;"")))</f>
        <v/>
      </c>
      <c r="D1943">
        <f>IF(A1943="","",SUMIFS(المبيعات!$H$2:$H$2000,المبيعات!$C$2:$C$2000,A1943))</f>
        <v/>
      </c>
      <c r="E1943" s="13">
        <f>IF(A1943="","",IF(COUNTIF(المبيعات!$C$2:$C$2000,A1943)=0,"",_xlfn.MAXIFS(المبيعات!$A$2:$A$2000,المبيعات!$C$2:$C$2000,A1943)))</f>
        <v/>
      </c>
      <c r="F1943">
        <f>IF(A1943="","",SUMIFS(المبيعات!$H$2:$H$2000,المبيعات!$C$2:$C$2000,A1943,المبيعات!$J$2:$J$2000,"آجل"))</f>
        <v/>
      </c>
      <c r="G1943" s="4" t="n"/>
      <c r="H1943">
        <f>IF(A1943="","",F1943-G1943)</f>
        <v/>
      </c>
    </row>
    <row r="1944">
      <c r="A1944" s="4" t="n"/>
      <c r="B1944" s="4" t="n"/>
      <c r="C1944">
        <f>IF(A1944="","",SUMPRODUCT((المبيعات!$C$2:$C$2000=A1944)*(المبيعات!$B$2:$B$2000&lt;&gt;"")/COUNTIFS(المبيعات!$B$2:$B$2000,المبيعات!$B$2:$B$2000&amp;"",المبيعات!$C$2:$C$2000,المبيعات!$C$2:$C$2000&amp;"")))</f>
        <v/>
      </c>
      <c r="D1944">
        <f>IF(A1944="","",SUMIFS(المبيعات!$H$2:$H$2000,المبيعات!$C$2:$C$2000,A1944))</f>
        <v/>
      </c>
      <c r="E1944" s="13">
        <f>IF(A1944="","",IF(COUNTIF(المبيعات!$C$2:$C$2000,A1944)=0,"",_xlfn.MAXIFS(المبيعات!$A$2:$A$2000,المبيعات!$C$2:$C$2000,A1944)))</f>
        <v/>
      </c>
      <c r="F1944">
        <f>IF(A1944="","",SUMIFS(المبيعات!$H$2:$H$2000,المبيعات!$C$2:$C$2000,A1944,المبيعات!$J$2:$J$2000,"آجل"))</f>
        <v/>
      </c>
      <c r="G1944" s="4" t="n"/>
      <c r="H1944">
        <f>IF(A1944="","",F1944-G1944)</f>
        <v/>
      </c>
    </row>
    <row r="1945">
      <c r="A1945" s="4" t="n"/>
      <c r="B1945" s="4" t="n"/>
      <c r="C1945">
        <f>IF(A1945="","",SUMPRODUCT((المبيعات!$C$2:$C$2000=A1945)*(المبيعات!$B$2:$B$2000&lt;&gt;"")/COUNTIFS(المبيعات!$B$2:$B$2000,المبيعات!$B$2:$B$2000&amp;"",المبيعات!$C$2:$C$2000,المبيعات!$C$2:$C$2000&amp;"")))</f>
        <v/>
      </c>
      <c r="D1945">
        <f>IF(A1945="","",SUMIFS(المبيعات!$H$2:$H$2000,المبيعات!$C$2:$C$2000,A1945))</f>
        <v/>
      </c>
      <c r="E1945" s="13">
        <f>IF(A1945="","",IF(COUNTIF(المبيعات!$C$2:$C$2000,A1945)=0,"",_xlfn.MAXIFS(المبيعات!$A$2:$A$2000,المبيعات!$C$2:$C$2000,A1945)))</f>
        <v/>
      </c>
      <c r="F1945">
        <f>IF(A1945="","",SUMIFS(المبيعات!$H$2:$H$2000,المبيعات!$C$2:$C$2000,A1945,المبيعات!$J$2:$J$2000,"آجل"))</f>
        <v/>
      </c>
      <c r="G1945" s="4" t="n"/>
      <c r="H1945">
        <f>IF(A1945="","",F1945-G1945)</f>
        <v/>
      </c>
    </row>
    <row r="1946">
      <c r="A1946" s="4" t="n"/>
      <c r="B1946" s="4" t="n"/>
      <c r="C1946">
        <f>IF(A1946="","",SUMPRODUCT((المبيعات!$C$2:$C$2000=A1946)*(المبيعات!$B$2:$B$2000&lt;&gt;"")/COUNTIFS(المبيعات!$B$2:$B$2000,المبيعات!$B$2:$B$2000&amp;"",المبيعات!$C$2:$C$2000,المبيعات!$C$2:$C$2000&amp;"")))</f>
        <v/>
      </c>
      <c r="D1946">
        <f>IF(A1946="","",SUMIFS(المبيعات!$H$2:$H$2000,المبيعات!$C$2:$C$2000,A1946))</f>
        <v/>
      </c>
      <c r="E1946" s="13">
        <f>IF(A1946="","",IF(COUNTIF(المبيعات!$C$2:$C$2000,A1946)=0,"",_xlfn.MAXIFS(المبيعات!$A$2:$A$2000,المبيعات!$C$2:$C$2000,A1946)))</f>
        <v/>
      </c>
      <c r="F1946">
        <f>IF(A1946="","",SUMIFS(المبيعات!$H$2:$H$2000,المبيعات!$C$2:$C$2000,A1946,المبيعات!$J$2:$J$2000,"آجل"))</f>
        <v/>
      </c>
      <c r="G1946" s="4" t="n"/>
      <c r="H1946">
        <f>IF(A1946="","",F1946-G1946)</f>
        <v/>
      </c>
    </row>
    <row r="1947">
      <c r="A1947" s="4" t="n"/>
      <c r="B1947" s="4" t="n"/>
      <c r="C1947">
        <f>IF(A1947="","",SUMPRODUCT((المبيعات!$C$2:$C$2000=A1947)*(المبيعات!$B$2:$B$2000&lt;&gt;"")/COUNTIFS(المبيعات!$B$2:$B$2000,المبيعات!$B$2:$B$2000&amp;"",المبيعات!$C$2:$C$2000,المبيعات!$C$2:$C$2000&amp;"")))</f>
        <v/>
      </c>
      <c r="D1947">
        <f>IF(A1947="","",SUMIFS(المبيعات!$H$2:$H$2000,المبيعات!$C$2:$C$2000,A1947))</f>
        <v/>
      </c>
      <c r="E1947" s="13">
        <f>IF(A1947="","",IF(COUNTIF(المبيعات!$C$2:$C$2000,A1947)=0,"",_xlfn.MAXIFS(المبيعات!$A$2:$A$2000,المبيعات!$C$2:$C$2000,A1947)))</f>
        <v/>
      </c>
      <c r="F1947">
        <f>IF(A1947="","",SUMIFS(المبيعات!$H$2:$H$2000,المبيعات!$C$2:$C$2000,A1947,المبيعات!$J$2:$J$2000,"آجل"))</f>
        <v/>
      </c>
      <c r="G1947" s="4" t="n"/>
      <c r="H1947">
        <f>IF(A1947="","",F1947-G1947)</f>
        <v/>
      </c>
    </row>
    <row r="1948">
      <c r="A1948" s="4" t="n"/>
      <c r="B1948" s="4" t="n"/>
      <c r="C1948">
        <f>IF(A1948="","",SUMPRODUCT((المبيعات!$C$2:$C$2000=A1948)*(المبيعات!$B$2:$B$2000&lt;&gt;"")/COUNTIFS(المبيعات!$B$2:$B$2000,المبيعات!$B$2:$B$2000&amp;"",المبيعات!$C$2:$C$2000,المبيعات!$C$2:$C$2000&amp;"")))</f>
        <v/>
      </c>
      <c r="D1948">
        <f>IF(A1948="","",SUMIFS(المبيعات!$H$2:$H$2000,المبيعات!$C$2:$C$2000,A1948))</f>
        <v/>
      </c>
      <c r="E1948" s="13">
        <f>IF(A1948="","",IF(COUNTIF(المبيعات!$C$2:$C$2000,A1948)=0,"",_xlfn.MAXIFS(المبيعات!$A$2:$A$2000,المبيعات!$C$2:$C$2000,A1948)))</f>
        <v/>
      </c>
      <c r="F1948">
        <f>IF(A1948="","",SUMIFS(المبيعات!$H$2:$H$2000,المبيعات!$C$2:$C$2000,A1948,المبيعات!$J$2:$J$2000,"آجل"))</f>
        <v/>
      </c>
      <c r="G1948" s="4" t="n"/>
      <c r="H1948">
        <f>IF(A1948="","",F1948-G1948)</f>
        <v/>
      </c>
    </row>
    <row r="1949">
      <c r="A1949" s="4" t="n"/>
      <c r="B1949" s="4" t="n"/>
      <c r="C1949">
        <f>IF(A1949="","",SUMPRODUCT((المبيعات!$C$2:$C$2000=A1949)*(المبيعات!$B$2:$B$2000&lt;&gt;"")/COUNTIFS(المبيعات!$B$2:$B$2000,المبيعات!$B$2:$B$2000&amp;"",المبيعات!$C$2:$C$2000,المبيعات!$C$2:$C$2000&amp;"")))</f>
        <v/>
      </c>
      <c r="D1949">
        <f>IF(A1949="","",SUMIFS(المبيعات!$H$2:$H$2000,المبيعات!$C$2:$C$2000,A1949))</f>
        <v/>
      </c>
      <c r="E1949" s="13">
        <f>IF(A1949="","",IF(COUNTIF(المبيعات!$C$2:$C$2000,A1949)=0,"",_xlfn.MAXIFS(المبيعات!$A$2:$A$2000,المبيعات!$C$2:$C$2000,A1949)))</f>
        <v/>
      </c>
      <c r="F1949">
        <f>IF(A1949="","",SUMIFS(المبيعات!$H$2:$H$2000,المبيعات!$C$2:$C$2000,A1949,المبيعات!$J$2:$J$2000,"آجل"))</f>
        <v/>
      </c>
      <c r="G1949" s="4" t="n"/>
      <c r="H1949">
        <f>IF(A1949="","",F1949-G1949)</f>
        <v/>
      </c>
    </row>
    <row r="1950">
      <c r="A1950" s="4" t="n"/>
      <c r="B1950" s="4" t="n"/>
      <c r="C1950">
        <f>IF(A1950="","",SUMPRODUCT((المبيعات!$C$2:$C$2000=A1950)*(المبيعات!$B$2:$B$2000&lt;&gt;"")/COUNTIFS(المبيعات!$B$2:$B$2000,المبيعات!$B$2:$B$2000&amp;"",المبيعات!$C$2:$C$2000,المبيعات!$C$2:$C$2000&amp;"")))</f>
        <v/>
      </c>
      <c r="D1950">
        <f>IF(A1950="","",SUMIFS(المبيعات!$H$2:$H$2000,المبيعات!$C$2:$C$2000,A1950))</f>
        <v/>
      </c>
      <c r="E1950" s="13">
        <f>IF(A1950="","",IF(COUNTIF(المبيعات!$C$2:$C$2000,A1950)=0,"",_xlfn.MAXIFS(المبيعات!$A$2:$A$2000,المبيعات!$C$2:$C$2000,A1950)))</f>
        <v/>
      </c>
      <c r="F1950">
        <f>IF(A1950="","",SUMIFS(المبيعات!$H$2:$H$2000,المبيعات!$C$2:$C$2000,A1950,المبيعات!$J$2:$J$2000,"آجل"))</f>
        <v/>
      </c>
      <c r="G1950" s="4" t="n"/>
      <c r="H1950">
        <f>IF(A1950="","",F1950-G1950)</f>
        <v/>
      </c>
    </row>
    <row r="1951">
      <c r="A1951" s="4" t="n"/>
      <c r="B1951" s="4" t="n"/>
      <c r="C1951">
        <f>IF(A1951="","",SUMPRODUCT((المبيعات!$C$2:$C$2000=A1951)*(المبيعات!$B$2:$B$2000&lt;&gt;"")/COUNTIFS(المبيعات!$B$2:$B$2000,المبيعات!$B$2:$B$2000&amp;"",المبيعات!$C$2:$C$2000,المبيعات!$C$2:$C$2000&amp;"")))</f>
        <v/>
      </c>
      <c r="D1951">
        <f>IF(A1951="","",SUMIFS(المبيعات!$H$2:$H$2000,المبيعات!$C$2:$C$2000,A1951))</f>
        <v/>
      </c>
      <c r="E1951" s="13">
        <f>IF(A1951="","",IF(COUNTIF(المبيعات!$C$2:$C$2000,A1951)=0,"",_xlfn.MAXIFS(المبيعات!$A$2:$A$2000,المبيعات!$C$2:$C$2000,A1951)))</f>
        <v/>
      </c>
      <c r="F1951">
        <f>IF(A1951="","",SUMIFS(المبيعات!$H$2:$H$2000,المبيعات!$C$2:$C$2000,A1951,المبيعات!$J$2:$J$2000,"آجل"))</f>
        <v/>
      </c>
      <c r="G1951" s="4" t="n"/>
      <c r="H1951">
        <f>IF(A1951="","",F1951-G1951)</f>
        <v/>
      </c>
    </row>
    <row r="1952">
      <c r="A1952" s="4" t="n"/>
      <c r="B1952" s="4" t="n"/>
      <c r="C1952">
        <f>IF(A1952="","",SUMPRODUCT((المبيعات!$C$2:$C$2000=A1952)*(المبيعات!$B$2:$B$2000&lt;&gt;"")/COUNTIFS(المبيعات!$B$2:$B$2000,المبيعات!$B$2:$B$2000&amp;"",المبيعات!$C$2:$C$2000,المبيعات!$C$2:$C$2000&amp;"")))</f>
        <v/>
      </c>
      <c r="D1952">
        <f>IF(A1952="","",SUMIFS(المبيعات!$H$2:$H$2000,المبيعات!$C$2:$C$2000,A1952))</f>
        <v/>
      </c>
      <c r="E1952" s="13">
        <f>IF(A1952="","",IF(COUNTIF(المبيعات!$C$2:$C$2000,A1952)=0,"",_xlfn.MAXIFS(المبيعات!$A$2:$A$2000,المبيعات!$C$2:$C$2000,A1952)))</f>
        <v/>
      </c>
      <c r="F1952">
        <f>IF(A1952="","",SUMIFS(المبيعات!$H$2:$H$2000,المبيعات!$C$2:$C$2000,A1952,المبيعات!$J$2:$J$2000,"آجل"))</f>
        <v/>
      </c>
      <c r="G1952" s="4" t="n"/>
      <c r="H1952">
        <f>IF(A1952="","",F1952-G1952)</f>
        <v/>
      </c>
    </row>
    <row r="1953">
      <c r="A1953" s="4" t="n"/>
      <c r="B1953" s="4" t="n"/>
      <c r="C1953">
        <f>IF(A1953="","",SUMPRODUCT((المبيعات!$C$2:$C$2000=A1953)*(المبيعات!$B$2:$B$2000&lt;&gt;"")/COUNTIFS(المبيعات!$B$2:$B$2000,المبيعات!$B$2:$B$2000&amp;"",المبيعات!$C$2:$C$2000,المبيعات!$C$2:$C$2000&amp;"")))</f>
        <v/>
      </c>
      <c r="D1953">
        <f>IF(A1953="","",SUMIFS(المبيعات!$H$2:$H$2000,المبيعات!$C$2:$C$2000,A1953))</f>
        <v/>
      </c>
      <c r="E1953" s="13">
        <f>IF(A1953="","",IF(COUNTIF(المبيعات!$C$2:$C$2000,A1953)=0,"",_xlfn.MAXIFS(المبيعات!$A$2:$A$2000,المبيعات!$C$2:$C$2000,A1953)))</f>
        <v/>
      </c>
      <c r="F1953">
        <f>IF(A1953="","",SUMIFS(المبيعات!$H$2:$H$2000,المبيعات!$C$2:$C$2000,A1953,المبيعات!$J$2:$J$2000,"آجل"))</f>
        <v/>
      </c>
      <c r="G1953" s="4" t="n"/>
      <c r="H1953">
        <f>IF(A1953="","",F1953-G1953)</f>
        <v/>
      </c>
    </row>
    <row r="1954">
      <c r="A1954" s="4" t="n"/>
      <c r="B1954" s="4" t="n"/>
      <c r="C1954">
        <f>IF(A1954="","",SUMPRODUCT((المبيعات!$C$2:$C$2000=A1954)*(المبيعات!$B$2:$B$2000&lt;&gt;"")/COUNTIFS(المبيعات!$B$2:$B$2000,المبيعات!$B$2:$B$2000&amp;"",المبيعات!$C$2:$C$2000,المبيعات!$C$2:$C$2000&amp;"")))</f>
        <v/>
      </c>
      <c r="D1954">
        <f>IF(A1954="","",SUMIFS(المبيعات!$H$2:$H$2000,المبيعات!$C$2:$C$2000,A1954))</f>
        <v/>
      </c>
      <c r="E1954" s="13">
        <f>IF(A1954="","",IF(COUNTIF(المبيعات!$C$2:$C$2000,A1954)=0,"",_xlfn.MAXIFS(المبيعات!$A$2:$A$2000,المبيعات!$C$2:$C$2000,A1954)))</f>
        <v/>
      </c>
      <c r="F1954">
        <f>IF(A1954="","",SUMIFS(المبيعات!$H$2:$H$2000,المبيعات!$C$2:$C$2000,A1954,المبيعات!$J$2:$J$2000,"آجل"))</f>
        <v/>
      </c>
      <c r="G1954" s="4" t="n"/>
      <c r="H1954">
        <f>IF(A1954="","",F1954-G1954)</f>
        <v/>
      </c>
    </row>
    <row r="1955">
      <c r="A1955" s="4" t="n"/>
      <c r="B1955" s="4" t="n"/>
      <c r="C1955">
        <f>IF(A1955="","",SUMPRODUCT((المبيعات!$C$2:$C$2000=A1955)*(المبيعات!$B$2:$B$2000&lt;&gt;"")/COUNTIFS(المبيعات!$B$2:$B$2000,المبيعات!$B$2:$B$2000&amp;"",المبيعات!$C$2:$C$2000,المبيعات!$C$2:$C$2000&amp;"")))</f>
        <v/>
      </c>
      <c r="D1955">
        <f>IF(A1955="","",SUMIFS(المبيعات!$H$2:$H$2000,المبيعات!$C$2:$C$2000,A1955))</f>
        <v/>
      </c>
      <c r="E1955" s="13">
        <f>IF(A1955="","",IF(COUNTIF(المبيعات!$C$2:$C$2000,A1955)=0,"",_xlfn.MAXIFS(المبيعات!$A$2:$A$2000,المبيعات!$C$2:$C$2000,A1955)))</f>
        <v/>
      </c>
      <c r="F1955">
        <f>IF(A1955="","",SUMIFS(المبيعات!$H$2:$H$2000,المبيعات!$C$2:$C$2000,A1955,المبيعات!$J$2:$J$2000,"آجل"))</f>
        <v/>
      </c>
      <c r="G1955" s="4" t="n"/>
      <c r="H1955">
        <f>IF(A1955="","",F1955-G1955)</f>
        <v/>
      </c>
    </row>
    <row r="1956">
      <c r="A1956" s="4" t="n"/>
      <c r="B1956" s="4" t="n"/>
      <c r="C1956">
        <f>IF(A1956="","",SUMPRODUCT((المبيعات!$C$2:$C$2000=A1956)*(المبيعات!$B$2:$B$2000&lt;&gt;"")/COUNTIFS(المبيعات!$B$2:$B$2000,المبيعات!$B$2:$B$2000&amp;"",المبيعات!$C$2:$C$2000,المبيعات!$C$2:$C$2000&amp;"")))</f>
        <v/>
      </c>
      <c r="D1956">
        <f>IF(A1956="","",SUMIFS(المبيعات!$H$2:$H$2000,المبيعات!$C$2:$C$2000,A1956))</f>
        <v/>
      </c>
      <c r="E1956" s="13">
        <f>IF(A1956="","",IF(COUNTIF(المبيعات!$C$2:$C$2000,A1956)=0,"",_xlfn.MAXIFS(المبيعات!$A$2:$A$2000,المبيعات!$C$2:$C$2000,A1956)))</f>
        <v/>
      </c>
      <c r="F1956">
        <f>IF(A1956="","",SUMIFS(المبيعات!$H$2:$H$2000,المبيعات!$C$2:$C$2000,A1956,المبيعات!$J$2:$J$2000,"آجل"))</f>
        <v/>
      </c>
      <c r="G1956" s="4" t="n"/>
      <c r="H1956">
        <f>IF(A1956="","",F1956-G1956)</f>
        <v/>
      </c>
    </row>
    <row r="1957">
      <c r="A1957" s="4" t="n"/>
      <c r="B1957" s="4" t="n"/>
      <c r="C1957">
        <f>IF(A1957="","",SUMPRODUCT((المبيعات!$C$2:$C$2000=A1957)*(المبيعات!$B$2:$B$2000&lt;&gt;"")/COUNTIFS(المبيعات!$B$2:$B$2000,المبيعات!$B$2:$B$2000&amp;"",المبيعات!$C$2:$C$2000,المبيعات!$C$2:$C$2000&amp;"")))</f>
        <v/>
      </c>
      <c r="D1957">
        <f>IF(A1957="","",SUMIFS(المبيعات!$H$2:$H$2000,المبيعات!$C$2:$C$2000,A1957))</f>
        <v/>
      </c>
      <c r="E1957" s="13">
        <f>IF(A1957="","",IF(COUNTIF(المبيعات!$C$2:$C$2000,A1957)=0,"",_xlfn.MAXIFS(المبيعات!$A$2:$A$2000,المبيعات!$C$2:$C$2000,A1957)))</f>
        <v/>
      </c>
      <c r="F1957">
        <f>IF(A1957="","",SUMIFS(المبيعات!$H$2:$H$2000,المبيعات!$C$2:$C$2000,A1957,المبيعات!$J$2:$J$2000,"آجل"))</f>
        <v/>
      </c>
      <c r="G1957" s="4" t="n"/>
      <c r="H1957">
        <f>IF(A1957="","",F1957-G1957)</f>
        <v/>
      </c>
    </row>
    <row r="1958">
      <c r="A1958" s="4" t="n"/>
      <c r="B1958" s="4" t="n"/>
      <c r="C1958">
        <f>IF(A1958="","",SUMPRODUCT((المبيعات!$C$2:$C$2000=A1958)*(المبيعات!$B$2:$B$2000&lt;&gt;"")/COUNTIFS(المبيعات!$B$2:$B$2000,المبيعات!$B$2:$B$2000&amp;"",المبيعات!$C$2:$C$2000,المبيعات!$C$2:$C$2000&amp;"")))</f>
        <v/>
      </c>
      <c r="D1958">
        <f>IF(A1958="","",SUMIFS(المبيعات!$H$2:$H$2000,المبيعات!$C$2:$C$2000,A1958))</f>
        <v/>
      </c>
      <c r="E1958" s="13">
        <f>IF(A1958="","",IF(COUNTIF(المبيعات!$C$2:$C$2000,A1958)=0,"",_xlfn.MAXIFS(المبيعات!$A$2:$A$2000,المبيعات!$C$2:$C$2000,A1958)))</f>
        <v/>
      </c>
      <c r="F1958">
        <f>IF(A1958="","",SUMIFS(المبيعات!$H$2:$H$2000,المبيعات!$C$2:$C$2000,A1958,المبيعات!$J$2:$J$2000,"آجل"))</f>
        <v/>
      </c>
      <c r="G1958" s="4" t="n"/>
      <c r="H1958">
        <f>IF(A1958="","",F1958-G1958)</f>
        <v/>
      </c>
    </row>
    <row r="1959">
      <c r="A1959" s="4" t="n"/>
      <c r="B1959" s="4" t="n"/>
      <c r="C1959">
        <f>IF(A1959="","",SUMPRODUCT((المبيعات!$C$2:$C$2000=A1959)*(المبيعات!$B$2:$B$2000&lt;&gt;"")/COUNTIFS(المبيعات!$B$2:$B$2000,المبيعات!$B$2:$B$2000&amp;"",المبيعات!$C$2:$C$2000,المبيعات!$C$2:$C$2000&amp;"")))</f>
        <v/>
      </c>
      <c r="D1959">
        <f>IF(A1959="","",SUMIFS(المبيعات!$H$2:$H$2000,المبيعات!$C$2:$C$2000,A1959))</f>
        <v/>
      </c>
      <c r="E1959" s="13">
        <f>IF(A1959="","",IF(COUNTIF(المبيعات!$C$2:$C$2000,A1959)=0,"",_xlfn.MAXIFS(المبيعات!$A$2:$A$2000,المبيعات!$C$2:$C$2000,A1959)))</f>
        <v/>
      </c>
      <c r="F1959">
        <f>IF(A1959="","",SUMIFS(المبيعات!$H$2:$H$2000,المبيعات!$C$2:$C$2000,A1959,المبيعات!$J$2:$J$2000,"آجل"))</f>
        <v/>
      </c>
      <c r="G1959" s="4" t="n"/>
      <c r="H1959">
        <f>IF(A1959="","",F1959-G1959)</f>
        <v/>
      </c>
    </row>
    <row r="1960">
      <c r="A1960" s="4" t="n"/>
      <c r="B1960" s="4" t="n"/>
      <c r="C1960">
        <f>IF(A1960="","",SUMPRODUCT((المبيعات!$C$2:$C$2000=A1960)*(المبيعات!$B$2:$B$2000&lt;&gt;"")/COUNTIFS(المبيعات!$B$2:$B$2000,المبيعات!$B$2:$B$2000&amp;"",المبيعات!$C$2:$C$2000,المبيعات!$C$2:$C$2000&amp;"")))</f>
        <v/>
      </c>
      <c r="D1960">
        <f>IF(A1960="","",SUMIFS(المبيعات!$H$2:$H$2000,المبيعات!$C$2:$C$2000,A1960))</f>
        <v/>
      </c>
      <c r="E1960" s="13">
        <f>IF(A1960="","",IF(COUNTIF(المبيعات!$C$2:$C$2000,A1960)=0,"",_xlfn.MAXIFS(المبيعات!$A$2:$A$2000,المبيعات!$C$2:$C$2000,A1960)))</f>
        <v/>
      </c>
      <c r="F1960">
        <f>IF(A1960="","",SUMIFS(المبيعات!$H$2:$H$2000,المبيعات!$C$2:$C$2000,A1960,المبيعات!$J$2:$J$2000,"آجل"))</f>
        <v/>
      </c>
      <c r="G1960" s="4" t="n"/>
      <c r="H1960">
        <f>IF(A1960="","",F1960-G1960)</f>
        <v/>
      </c>
    </row>
    <row r="1961">
      <c r="A1961" s="4" t="n"/>
      <c r="B1961" s="4" t="n"/>
      <c r="C1961">
        <f>IF(A1961="","",SUMPRODUCT((المبيعات!$C$2:$C$2000=A1961)*(المبيعات!$B$2:$B$2000&lt;&gt;"")/COUNTIFS(المبيعات!$B$2:$B$2000,المبيعات!$B$2:$B$2000&amp;"",المبيعات!$C$2:$C$2000,المبيعات!$C$2:$C$2000&amp;"")))</f>
        <v/>
      </c>
      <c r="D1961">
        <f>IF(A1961="","",SUMIFS(المبيعات!$H$2:$H$2000,المبيعات!$C$2:$C$2000,A1961))</f>
        <v/>
      </c>
      <c r="E1961" s="13">
        <f>IF(A1961="","",IF(COUNTIF(المبيعات!$C$2:$C$2000,A1961)=0,"",_xlfn.MAXIFS(المبيعات!$A$2:$A$2000,المبيعات!$C$2:$C$2000,A1961)))</f>
        <v/>
      </c>
      <c r="F1961">
        <f>IF(A1961="","",SUMIFS(المبيعات!$H$2:$H$2000,المبيعات!$C$2:$C$2000,A1961,المبيعات!$J$2:$J$2000,"آجل"))</f>
        <v/>
      </c>
      <c r="G1961" s="4" t="n"/>
      <c r="H1961">
        <f>IF(A1961="","",F1961-G1961)</f>
        <v/>
      </c>
    </row>
    <row r="1962">
      <c r="A1962" s="4" t="n"/>
      <c r="B1962" s="4" t="n"/>
      <c r="C1962">
        <f>IF(A1962="","",SUMPRODUCT((المبيعات!$C$2:$C$2000=A1962)*(المبيعات!$B$2:$B$2000&lt;&gt;"")/COUNTIFS(المبيعات!$B$2:$B$2000,المبيعات!$B$2:$B$2000&amp;"",المبيعات!$C$2:$C$2000,المبيعات!$C$2:$C$2000&amp;"")))</f>
        <v/>
      </c>
      <c r="D1962">
        <f>IF(A1962="","",SUMIFS(المبيعات!$H$2:$H$2000,المبيعات!$C$2:$C$2000,A1962))</f>
        <v/>
      </c>
      <c r="E1962" s="13">
        <f>IF(A1962="","",IF(COUNTIF(المبيعات!$C$2:$C$2000,A1962)=0,"",_xlfn.MAXIFS(المبيعات!$A$2:$A$2000,المبيعات!$C$2:$C$2000,A1962)))</f>
        <v/>
      </c>
      <c r="F1962">
        <f>IF(A1962="","",SUMIFS(المبيعات!$H$2:$H$2000,المبيعات!$C$2:$C$2000,A1962,المبيعات!$J$2:$J$2000,"آجل"))</f>
        <v/>
      </c>
      <c r="G1962" s="4" t="n"/>
      <c r="H1962">
        <f>IF(A1962="","",F1962-G1962)</f>
        <v/>
      </c>
    </row>
    <row r="1963">
      <c r="A1963" s="4" t="n"/>
      <c r="B1963" s="4" t="n"/>
      <c r="C1963">
        <f>IF(A1963="","",SUMPRODUCT((المبيعات!$C$2:$C$2000=A1963)*(المبيعات!$B$2:$B$2000&lt;&gt;"")/COUNTIFS(المبيعات!$B$2:$B$2000,المبيعات!$B$2:$B$2000&amp;"",المبيعات!$C$2:$C$2000,المبيعات!$C$2:$C$2000&amp;"")))</f>
        <v/>
      </c>
      <c r="D1963">
        <f>IF(A1963="","",SUMIFS(المبيعات!$H$2:$H$2000,المبيعات!$C$2:$C$2000,A1963))</f>
        <v/>
      </c>
      <c r="E1963" s="13">
        <f>IF(A1963="","",IF(COUNTIF(المبيعات!$C$2:$C$2000,A1963)=0,"",_xlfn.MAXIFS(المبيعات!$A$2:$A$2000,المبيعات!$C$2:$C$2000,A1963)))</f>
        <v/>
      </c>
      <c r="F1963">
        <f>IF(A1963="","",SUMIFS(المبيعات!$H$2:$H$2000,المبيعات!$C$2:$C$2000,A1963,المبيعات!$J$2:$J$2000,"آجل"))</f>
        <v/>
      </c>
      <c r="G1963" s="4" t="n"/>
      <c r="H1963">
        <f>IF(A1963="","",F1963-G1963)</f>
        <v/>
      </c>
    </row>
    <row r="1964">
      <c r="A1964" s="4" t="n"/>
      <c r="B1964" s="4" t="n"/>
      <c r="C1964">
        <f>IF(A1964="","",SUMPRODUCT((المبيعات!$C$2:$C$2000=A1964)*(المبيعات!$B$2:$B$2000&lt;&gt;"")/COUNTIFS(المبيعات!$B$2:$B$2000,المبيعات!$B$2:$B$2000&amp;"",المبيعات!$C$2:$C$2000,المبيعات!$C$2:$C$2000&amp;"")))</f>
        <v/>
      </c>
      <c r="D1964">
        <f>IF(A1964="","",SUMIFS(المبيعات!$H$2:$H$2000,المبيعات!$C$2:$C$2000,A1964))</f>
        <v/>
      </c>
      <c r="E1964" s="13">
        <f>IF(A1964="","",IF(COUNTIF(المبيعات!$C$2:$C$2000,A1964)=0,"",_xlfn.MAXIFS(المبيعات!$A$2:$A$2000,المبيعات!$C$2:$C$2000,A1964)))</f>
        <v/>
      </c>
      <c r="F1964">
        <f>IF(A1964="","",SUMIFS(المبيعات!$H$2:$H$2000,المبيعات!$C$2:$C$2000,A1964,المبيعات!$J$2:$J$2000,"آجل"))</f>
        <v/>
      </c>
      <c r="G1964" s="4" t="n"/>
      <c r="H1964">
        <f>IF(A1964="","",F1964-G1964)</f>
        <v/>
      </c>
    </row>
    <row r="1965">
      <c r="A1965" s="4" t="n"/>
      <c r="B1965" s="4" t="n"/>
      <c r="C1965">
        <f>IF(A1965="","",SUMPRODUCT((المبيعات!$C$2:$C$2000=A1965)*(المبيعات!$B$2:$B$2000&lt;&gt;"")/COUNTIFS(المبيعات!$B$2:$B$2000,المبيعات!$B$2:$B$2000&amp;"",المبيعات!$C$2:$C$2000,المبيعات!$C$2:$C$2000&amp;"")))</f>
        <v/>
      </c>
      <c r="D1965">
        <f>IF(A1965="","",SUMIFS(المبيعات!$H$2:$H$2000,المبيعات!$C$2:$C$2000,A1965))</f>
        <v/>
      </c>
      <c r="E1965" s="13">
        <f>IF(A1965="","",IF(COUNTIF(المبيعات!$C$2:$C$2000,A1965)=0,"",_xlfn.MAXIFS(المبيعات!$A$2:$A$2000,المبيعات!$C$2:$C$2000,A1965)))</f>
        <v/>
      </c>
      <c r="F1965">
        <f>IF(A1965="","",SUMIFS(المبيعات!$H$2:$H$2000,المبيعات!$C$2:$C$2000,A1965,المبيعات!$J$2:$J$2000,"آجل"))</f>
        <v/>
      </c>
      <c r="G1965" s="4" t="n"/>
      <c r="H1965">
        <f>IF(A1965="","",F1965-G1965)</f>
        <v/>
      </c>
    </row>
    <row r="1966">
      <c r="A1966" s="4" t="n"/>
      <c r="B1966" s="4" t="n"/>
      <c r="C1966">
        <f>IF(A1966="","",SUMPRODUCT((المبيعات!$C$2:$C$2000=A1966)*(المبيعات!$B$2:$B$2000&lt;&gt;"")/COUNTIFS(المبيعات!$B$2:$B$2000,المبيعات!$B$2:$B$2000&amp;"",المبيعات!$C$2:$C$2000,المبيعات!$C$2:$C$2000&amp;"")))</f>
        <v/>
      </c>
      <c r="D1966">
        <f>IF(A1966="","",SUMIFS(المبيعات!$H$2:$H$2000,المبيعات!$C$2:$C$2000,A1966))</f>
        <v/>
      </c>
      <c r="E1966" s="13">
        <f>IF(A1966="","",IF(COUNTIF(المبيعات!$C$2:$C$2000,A1966)=0,"",_xlfn.MAXIFS(المبيعات!$A$2:$A$2000,المبيعات!$C$2:$C$2000,A1966)))</f>
        <v/>
      </c>
      <c r="F1966">
        <f>IF(A1966="","",SUMIFS(المبيعات!$H$2:$H$2000,المبيعات!$C$2:$C$2000,A1966,المبيعات!$J$2:$J$2000,"آجل"))</f>
        <v/>
      </c>
      <c r="G1966" s="4" t="n"/>
      <c r="H1966">
        <f>IF(A1966="","",F1966-G1966)</f>
        <v/>
      </c>
    </row>
    <row r="1967">
      <c r="A1967" s="4" t="n"/>
      <c r="B1967" s="4" t="n"/>
      <c r="C1967">
        <f>IF(A1967="","",SUMPRODUCT((المبيعات!$C$2:$C$2000=A1967)*(المبيعات!$B$2:$B$2000&lt;&gt;"")/COUNTIFS(المبيعات!$B$2:$B$2000,المبيعات!$B$2:$B$2000&amp;"",المبيعات!$C$2:$C$2000,المبيعات!$C$2:$C$2000&amp;"")))</f>
        <v/>
      </c>
      <c r="D1967">
        <f>IF(A1967="","",SUMIFS(المبيعات!$H$2:$H$2000,المبيعات!$C$2:$C$2000,A1967))</f>
        <v/>
      </c>
      <c r="E1967" s="13">
        <f>IF(A1967="","",IF(COUNTIF(المبيعات!$C$2:$C$2000,A1967)=0,"",_xlfn.MAXIFS(المبيعات!$A$2:$A$2000,المبيعات!$C$2:$C$2000,A1967)))</f>
        <v/>
      </c>
      <c r="F1967">
        <f>IF(A1967="","",SUMIFS(المبيعات!$H$2:$H$2000,المبيعات!$C$2:$C$2000,A1967,المبيعات!$J$2:$J$2000,"آجل"))</f>
        <v/>
      </c>
      <c r="G1967" s="4" t="n"/>
      <c r="H1967">
        <f>IF(A1967="","",F1967-G1967)</f>
        <v/>
      </c>
    </row>
    <row r="1968">
      <c r="A1968" s="4" t="n"/>
      <c r="B1968" s="4" t="n"/>
      <c r="C1968">
        <f>IF(A1968="","",SUMPRODUCT((المبيعات!$C$2:$C$2000=A1968)*(المبيعات!$B$2:$B$2000&lt;&gt;"")/COUNTIFS(المبيعات!$B$2:$B$2000,المبيعات!$B$2:$B$2000&amp;"",المبيعات!$C$2:$C$2000,المبيعات!$C$2:$C$2000&amp;"")))</f>
        <v/>
      </c>
      <c r="D1968">
        <f>IF(A1968="","",SUMIFS(المبيعات!$H$2:$H$2000,المبيعات!$C$2:$C$2000,A1968))</f>
        <v/>
      </c>
      <c r="E1968" s="13">
        <f>IF(A1968="","",IF(COUNTIF(المبيعات!$C$2:$C$2000,A1968)=0,"",_xlfn.MAXIFS(المبيعات!$A$2:$A$2000,المبيعات!$C$2:$C$2000,A1968)))</f>
        <v/>
      </c>
      <c r="F1968">
        <f>IF(A1968="","",SUMIFS(المبيعات!$H$2:$H$2000,المبيعات!$C$2:$C$2000,A1968,المبيعات!$J$2:$J$2000,"آجل"))</f>
        <v/>
      </c>
      <c r="G1968" s="4" t="n"/>
      <c r="H1968">
        <f>IF(A1968="","",F1968-G1968)</f>
        <v/>
      </c>
    </row>
    <row r="1969">
      <c r="A1969" s="4" t="n"/>
      <c r="B1969" s="4" t="n"/>
      <c r="C1969">
        <f>IF(A1969="","",SUMPRODUCT((المبيعات!$C$2:$C$2000=A1969)*(المبيعات!$B$2:$B$2000&lt;&gt;"")/COUNTIFS(المبيعات!$B$2:$B$2000,المبيعات!$B$2:$B$2000&amp;"",المبيعات!$C$2:$C$2000,المبيعات!$C$2:$C$2000&amp;"")))</f>
        <v/>
      </c>
      <c r="D1969">
        <f>IF(A1969="","",SUMIFS(المبيعات!$H$2:$H$2000,المبيعات!$C$2:$C$2000,A1969))</f>
        <v/>
      </c>
      <c r="E1969" s="13">
        <f>IF(A1969="","",IF(COUNTIF(المبيعات!$C$2:$C$2000,A1969)=0,"",_xlfn.MAXIFS(المبيعات!$A$2:$A$2000,المبيعات!$C$2:$C$2000,A1969)))</f>
        <v/>
      </c>
      <c r="F1969">
        <f>IF(A1969="","",SUMIFS(المبيعات!$H$2:$H$2000,المبيعات!$C$2:$C$2000,A1969,المبيعات!$J$2:$J$2000,"آجل"))</f>
        <v/>
      </c>
      <c r="G1969" s="4" t="n"/>
      <c r="H1969">
        <f>IF(A1969="","",F1969-G1969)</f>
        <v/>
      </c>
    </row>
    <row r="1970">
      <c r="A1970" s="4" t="n"/>
      <c r="B1970" s="4" t="n"/>
      <c r="C1970">
        <f>IF(A1970="","",SUMPRODUCT((المبيعات!$C$2:$C$2000=A1970)*(المبيعات!$B$2:$B$2000&lt;&gt;"")/COUNTIFS(المبيعات!$B$2:$B$2000,المبيعات!$B$2:$B$2000&amp;"",المبيعات!$C$2:$C$2000,المبيعات!$C$2:$C$2000&amp;"")))</f>
        <v/>
      </c>
      <c r="D1970">
        <f>IF(A1970="","",SUMIFS(المبيعات!$H$2:$H$2000,المبيعات!$C$2:$C$2000,A1970))</f>
        <v/>
      </c>
      <c r="E1970" s="13">
        <f>IF(A1970="","",IF(COUNTIF(المبيعات!$C$2:$C$2000,A1970)=0,"",_xlfn.MAXIFS(المبيعات!$A$2:$A$2000,المبيعات!$C$2:$C$2000,A1970)))</f>
        <v/>
      </c>
      <c r="F1970">
        <f>IF(A1970="","",SUMIFS(المبيعات!$H$2:$H$2000,المبيعات!$C$2:$C$2000,A1970,المبيعات!$J$2:$J$2000,"آجل"))</f>
        <v/>
      </c>
      <c r="G1970" s="4" t="n"/>
      <c r="H1970">
        <f>IF(A1970="","",F1970-G1970)</f>
        <v/>
      </c>
    </row>
    <row r="1971">
      <c r="A1971" s="4" t="n"/>
      <c r="B1971" s="4" t="n"/>
      <c r="C1971">
        <f>IF(A1971="","",SUMPRODUCT((المبيعات!$C$2:$C$2000=A1971)*(المبيعات!$B$2:$B$2000&lt;&gt;"")/COUNTIFS(المبيعات!$B$2:$B$2000,المبيعات!$B$2:$B$2000&amp;"",المبيعات!$C$2:$C$2000,المبيعات!$C$2:$C$2000&amp;"")))</f>
        <v/>
      </c>
      <c r="D1971">
        <f>IF(A1971="","",SUMIFS(المبيعات!$H$2:$H$2000,المبيعات!$C$2:$C$2000,A1971))</f>
        <v/>
      </c>
      <c r="E1971" s="13">
        <f>IF(A1971="","",IF(COUNTIF(المبيعات!$C$2:$C$2000,A1971)=0,"",_xlfn.MAXIFS(المبيعات!$A$2:$A$2000,المبيعات!$C$2:$C$2000,A1971)))</f>
        <v/>
      </c>
      <c r="F1971">
        <f>IF(A1971="","",SUMIFS(المبيعات!$H$2:$H$2000,المبيعات!$C$2:$C$2000,A1971,المبيعات!$J$2:$J$2000,"آجل"))</f>
        <v/>
      </c>
      <c r="G1971" s="4" t="n"/>
      <c r="H1971">
        <f>IF(A1971="","",F1971-G1971)</f>
        <v/>
      </c>
    </row>
    <row r="1972">
      <c r="A1972" s="4" t="n"/>
      <c r="B1972" s="4" t="n"/>
      <c r="C1972">
        <f>IF(A1972="","",SUMPRODUCT((المبيعات!$C$2:$C$2000=A1972)*(المبيعات!$B$2:$B$2000&lt;&gt;"")/COUNTIFS(المبيعات!$B$2:$B$2000,المبيعات!$B$2:$B$2000&amp;"",المبيعات!$C$2:$C$2000,المبيعات!$C$2:$C$2000&amp;"")))</f>
        <v/>
      </c>
      <c r="D1972">
        <f>IF(A1972="","",SUMIFS(المبيعات!$H$2:$H$2000,المبيعات!$C$2:$C$2000,A1972))</f>
        <v/>
      </c>
      <c r="E1972" s="13">
        <f>IF(A1972="","",IF(COUNTIF(المبيعات!$C$2:$C$2000,A1972)=0,"",_xlfn.MAXIFS(المبيعات!$A$2:$A$2000,المبيعات!$C$2:$C$2000,A1972)))</f>
        <v/>
      </c>
      <c r="F1972">
        <f>IF(A1972="","",SUMIFS(المبيعات!$H$2:$H$2000,المبيعات!$C$2:$C$2000,A1972,المبيعات!$J$2:$J$2000,"آجل"))</f>
        <v/>
      </c>
      <c r="G1972" s="4" t="n"/>
      <c r="H1972">
        <f>IF(A1972="","",F1972-G1972)</f>
        <v/>
      </c>
    </row>
    <row r="1973">
      <c r="A1973" s="4" t="n"/>
      <c r="B1973" s="4" t="n"/>
      <c r="C1973">
        <f>IF(A1973="","",SUMPRODUCT((المبيعات!$C$2:$C$2000=A1973)*(المبيعات!$B$2:$B$2000&lt;&gt;"")/COUNTIFS(المبيعات!$B$2:$B$2000,المبيعات!$B$2:$B$2000&amp;"",المبيعات!$C$2:$C$2000,المبيعات!$C$2:$C$2000&amp;"")))</f>
        <v/>
      </c>
      <c r="D1973">
        <f>IF(A1973="","",SUMIFS(المبيعات!$H$2:$H$2000,المبيعات!$C$2:$C$2000,A1973))</f>
        <v/>
      </c>
      <c r="E1973" s="13">
        <f>IF(A1973="","",IF(COUNTIF(المبيعات!$C$2:$C$2000,A1973)=0,"",_xlfn.MAXIFS(المبيعات!$A$2:$A$2000,المبيعات!$C$2:$C$2000,A1973)))</f>
        <v/>
      </c>
      <c r="F1973">
        <f>IF(A1973="","",SUMIFS(المبيعات!$H$2:$H$2000,المبيعات!$C$2:$C$2000,A1973,المبيعات!$J$2:$J$2000,"آجل"))</f>
        <v/>
      </c>
      <c r="G1973" s="4" t="n"/>
      <c r="H1973">
        <f>IF(A1973="","",F1973-G1973)</f>
        <v/>
      </c>
    </row>
    <row r="1974">
      <c r="A1974" s="4" t="n"/>
      <c r="B1974" s="4" t="n"/>
      <c r="C1974">
        <f>IF(A1974="","",SUMPRODUCT((المبيعات!$C$2:$C$2000=A1974)*(المبيعات!$B$2:$B$2000&lt;&gt;"")/COUNTIFS(المبيعات!$B$2:$B$2000,المبيعات!$B$2:$B$2000&amp;"",المبيعات!$C$2:$C$2000,المبيعات!$C$2:$C$2000&amp;"")))</f>
        <v/>
      </c>
      <c r="D1974">
        <f>IF(A1974="","",SUMIFS(المبيعات!$H$2:$H$2000,المبيعات!$C$2:$C$2000,A1974))</f>
        <v/>
      </c>
      <c r="E1974" s="13">
        <f>IF(A1974="","",IF(COUNTIF(المبيعات!$C$2:$C$2000,A1974)=0,"",_xlfn.MAXIFS(المبيعات!$A$2:$A$2000,المبيعات!$C$2:$C$2000,A1974)))</f>
        <v/>
      </c>
      <c r="F1974">
        <f>IF(A1974="","",SUMIFS(المبيعات!$H$2:$H$2000,المبيعات!$C$2:$C$2000,A1974,المبيعات!$J$2:$J$2000,"آجل"))</f>
        <v/>
      </c>
      <c r="G1974" s="4" t="n"/>
      <c r="H1974">
        <f>IF(A1974="","",F1974-G1974)</f>
        <v/>
      </c>
    </row>
    <row r="1975">
      <c r="A1975" s="4" t="n"/>
      <c r="B1975" s="4" t="n"/>
      <c r="C1975">
        <f>IF(A1975="","",SUMPRODUCT((المبيعات!$C$2:$C$2000=A1975)*(المبيعات!$B$2:$B$2000&lt;&gt;"")/COUNTIFS(المبيعات!$B$2:$B$2000,المبيعات!$B$2:$B$2000&amp;"",المبيعات!$C$2:$C$2000,المبيعات!$C$2:$C$2000&amp;"")))</f>
        <v/>
      </c>
      <c r="D1975">
        <f>IF(A1975="","",SUMIFS(المبيعات!$H$2:$H$2000,المبيعات!$C$2:$C$2000,A1975))</f>
        <v/>
      </c>
      <c r="E1975" s="13">
        <f>IF(A1975="","",IF(COUNTIF(المبيعات!$C$2:$C$2000,A1975)=0,"",_xlfn.MAXIFS(المبيعات!$A$2:$A$2000,المبيعات!$C$2:$C$2000,A1975)))</f>
        <v/>
      </c>
      <c r="F1975">
        <f>IF(A1975="","",SUMIFS(المبيعات!$H$2:$H$2000,المبيعات!$C$2:$C$2000,A1975,المبيعات!$J$2:$J$2000,"آجل"))</f>
        <v/>
      </c>
      <c r="G1975" s="4" t="n"/>
      <c r="H1975">
        <f>IF(A1975="","",F1975-G1975)</f>
        <v/>
      </c>
    </row>
    <row r="1976">
      <c r="A1976" s="4" t="n"/>
      <c r="B1976" s="4" t="n"/>
      <c r="C1976">
        <f>IF(A1976="","",SUMPRODUCT((المبيعات!$C$2:$C$2000=A1976)*(المبيعات!$B$2:$B$2000&lt;&gt;"")/COUNTIFS(المبيعات!$B$2:$B$2000,المبيعات!$B$2:$B$2000&amp;"",المبيعات!$C$2:$C$2000,المبيعات!$C$2:$C$2000&amp;"")))</f>
        <v/>
      </c>
      <c r="D1976">
        <f>IF(A1976="","",SUMIFS(المبيعات!$H$2:$H$2000,المبيعات!$C$2:$C$2000,A1976))</f>
        <v/>
      </c>
      <c r="E1976" s="13">
        <f>IF(A1976="","",IF(COUNTIF(المبيعات!$C$2:$C$2000,A1976)=0,"",_xlfn.MAXIFS(المبيعات!$A$2:$A$2000,المبيعات!$C$2:$C$2000,A1976)))</f>
        <v/>
      </c>
      <c r="F1976">
        <f>IF(A1976="","",SUMIFS(المبيعات!$H$2:$H$2000,المبيعات!$C$2:$C$2000,A1976,المبيعات!$J$2:$J$2000,"آجل"))</f>
        <v/>
      </c>
      <c r="G1976" s="4" t="n"/>
      <c r="H1976">
        <f>IF(A1976="","",F1976-G1976)</f>
        <v/>
      </c>
    </row>
    <row r="1977">
      <c r="A1977" s="4" t="n"/>
      <c r="B1977" s="4" t="n"/>
      <c r="C1977">
        <f>IF(A1977="","",SUMPRODUCT((المبيعات!$C$2:$C$2000=A1977)*(المبيعات!$B$2:$B$2000&lt;&gt;"")/COUNTIFS(المبيعات!$B$2:$B$2000,المبيعات!$B$2:$B$2000&amp;"",المبيعات!$C$2:$C$2000,المبيعات!$C$2:$C$2000&amp;"")))</f>
        <v/>
      </c>
      <c r="D1977">
        <f>IF(A1977="","",SUMIFS(المبيعات!$H$2:$H$2000,المبيعات!$C$2:$C$2000,A1977))</f>
        <v/>
      </c>
      <c r="E1977" s="13">
        <f>IF(A1977="","",IF(COUNTIF(المبيعات!$C$2:$C$2000,A1977)=0,"",_xlfn.MAXIFS(المبيعات!$A$2:$A$2000,المبيعات!$C$2:$C$2000,A1977)))</f>
        <v/>
      </c>
      <c r="F1977">
        <f>IF(A1977="","",SUMIFS(المبيعات!$H$2:$H$2000,المبيعات!$C$2:$C$2000,A1977,المبيعات!$J$2:$J$2000,"آجل"))</f>
        <v/>
      </c>
      <c r="G1977" s="4" t="n"/>
      <c r="H1977">
        <f>IF(A1977="","",F1977-G1977)</f>
        <v/>
      </c>
    </row>
    <row r="1978">
      <c r="A1978" s="4" t="n"/>
      <c r="B1978" s="4" t="n"/>
      <c r="C1978">
        <f>IF(A1978="","",SUMPRODUCT((المبيعات!$C$2:$C$2000=A1978)*(المبيعات!$B$2:$B$2000&lt;&gt;"")/COUNTIFS(المبيعات!$B$2:$B$2000,المبيعات!$B$2:$B$2000&amp;"",المبيعات!$C$2:$C$2000,المبيعات!$C$2:$C$2000&amp;"")))</f>
        <v/>
      </c>
      <c r="D1978">
        <f>IF(A1978="","",SUMIFS(المبيعات!$H$2:$H$2000,المبيعات!$C$2:$C$2000,A1978))</f>
        <v/>
      </c>
      <c r="E1978" s="13">
        <f>IF(A1978="","",IF(COUNTIF(المبيعات!$C$2:$C$2000,A1978)=0,"",_xlfn.MAXIFS(المبيعات!$A$2:$A$2000,المبيعات!$C$2:$C$2000,A1978)))</f>
        <v/>
      </c>
      <c r="F1978">
        <f>IF(A1978="","",SUMIFS(المبيعات!$H$2:$H$2000,المبيعات!$C$2:$C$2000,A1978,المبيعات!$J$2:$J$2000,"آجل"))</f>
        <v/>
      </c>
      <c r="G1978" s="4" t="n"/>
      <c r="H1978">
        <f>IF(A1978="","",F1978-G1978)</f>
        <v/>
      </c>
    </row>
    <row r="1979">
      <c r="A1979" s="4" t="n"/>
      <c r="B1979" s="4" t="n"/>
      <c r="C1979">
        <f>IF(A1979="","",SUMPRODUCT((المبيعات!$C$2:$C$2000=A1979)*(المبيعات!$B$2:$B$2000&lt;&gt;"")/COUNTIFS(المبيعات!$B$2:$B$2000,المبيعات!$B$2:$B$2000&amp;"",المبيعات!$C$2:$C$2000,المبيعات!$C$2:$C$2000&amp;"")))</f>
        <v/>
      </c>
      <c r="D1979">
        <f>IF(A1979="","",SUMIFS(المبيعات!$H$2:$H$2000,المبيعات!$C$2:$C$2000,A1979))</f>
        <v/>
      </c>
      <c r="E1979" s="13">
        <f>IF(A1979="","",IF(COUNTIF(المبيعات!$C$2:$C$2000,A1979)=0,"",_xlfn.MAXIFS(المبيعات!$A$2:$A$2000,المبيعات!$C$2:$C$2000,A1979)))</f>
        <v/>
      </c>
      <c r="F1979">
        <f>IF(A1979="","",SUMIFS(المبيعات!$H$2:$H$2000,المبيعات!$C$2:$C$2000,A1979,المبيعات!$J$2:$J$2000,"آجل"))</f>
        <v/>
      </c>
      <c r="G1979" s="4" t="n"/>
      <c r="H1979">
        <f>IF(A1979="","",F1979-G1979)</f>
        <v/>
      </c>
    </row>
    <row r="1980">
      <c r="A1980" s="4" t="n"/>
      <c r="B1980" s="4" t="n"/>
      <c r="C1980">
        <f>IF(A1980="","",SUMPRODUCT((المبيعات!$C$2:$C$2000=A1980)*(المبيعات!$B$2:$B$2000&lt;&gt;"")/COUNTIFS(المبيعات!$B$2:$B$2000,المبيعات!$B$2:$B$2000&amp;"",المبيعات!$C$2:$C$2000,المبيعات!$C$2:$C$2000&amp;"")))</f>
        <v/>
      </c>
      <c r="D1980">
        <f>IF(A1980="","",SUMIFS(المبيعات!$H$2:$H$2000,المبيعات!$C$2:$C$2000,A1980))</f>
        <v/>
      </c>
      <c r="E1980" s="13">
        <f>IF(A1980="","",IF(COUNTIF(المبيعات!$C$2:$C$2000,A1980)=0,"",_xlfn.MAXIFS(المبيعات!$A$2:$A$2000,المبيعات!$C$2:$C$2000,A1980)))</f>
        <v/>
      </c>
      <c r="F1980">
        <f>IF(A1980="","",SUMIFS(المبيعات!$H$2:$H$2000,المبيعات!$C$2:$C$2000,A1980,المبيعات!$J$2:$J$2000,"آجل"))</f>
        <v/>
      </c>
      <c r="G1980" s="4" t="n"/>
      <c r="H1980">
        <f>IF(A1980="","",F1980-G1980)</f>
        <v/>
      </c>
    </row>
    <row r="1981">
      <c r="A1981" s="4" t="n"/>
      <c r="B1981" s="4" t="n"/>
      <c r="C1981">
        <f>IF(A1981="","",SUMPRODUCT((المبيعات!$C$2:$C$2000=A1981)*(المبيعات!$B$2:$B$2000&lt;&gt;"")/COUNTIFS(المبيعات!$B$2:$B$2000,المبيعات!$B$2:$B$2000&amp;"",المبيعات!$C$2:$C$2000,المبيعات!$C$2:$C$2000&amp;"")))</f>
        <v/>
      </c>
      <c r="D1981">
        <f>IF(A1981="","",SUMIFS(المبيعات!$H$2:$H$2000,المبيعات!$C$2:$C$2000,A1981))</f>
        <v/>
      </c>
      <c r="E1981" s="13">
        <f>IF(A1981="","",IF(COUNTIF(المبيعات!$C$2:$C$2000,A1981)=0,"",_xlfn.MAXIFS(المبيعات!$A$2:$A$2000,المبيعات!$C$2:$C$2000,A1981)))</f>
        <v/>
      </c>
      <c r="F1981">
        <f>IF(A1981="","",SUMIFS(المبيعات!$H$2:$H$2000,المبيعات!$C$2:$C$2000,A1981,المبيعات!$J$2:$J$2000,"آجل"))</f>
        <v/>
      </c>
      <c r="G1981" s="4" t="n"/>
      <c r="H1981">
        <f>IF(A1981="","",F1981-G1981)</f>
        <v/>
      </c>
    </row>
    <row r="1982">
      <c r="A1982" s="4" t="n"/>
      <c r="B1982" s="4" t="n"/>
      <c r="C1982">
        <f>IF(A1982="","",SUMPRODUCT((المبيعات!$C$2:$C$2000=A1982)*(المبيعات!$B$2:$B$2000&lt;&gt;"")/COUNTIFS(المبيعات!$B$2:$B$2000,المبيعات!$B$2:$B$2000&amp;"",المبيعات!$C$2:$C$2000,المبيعات!$C$2:$C$2000&amp;"")))</f>
        <v/>
      </c>
      <c r="D1982">
        <f>IF(A1982="","",SUMIFS(المبيعات!$H$2:$H$2000,المبيعات!$C$2:$C$2000,A1982))</f>
        <v/>
      </c>
      <c r="E1982" s="13">
        <f>IF(A1982="","",IF(COUNTIF(المبيعات!$C$2:$C$2000,A1982)=0,"",_xlfn.MAXIFS(المبيعات!$A$2:$A$2000,المبيعات!$C$2:$C$2000,A1982)))</f>
        <v/>
      </c>
      <c r="F1982">
        <f>IF(A1982="","",SUMIFS(المبيعات!$H$2:$H$2000,المبيعات!$C$2:$C$2000,A1982,المبيعات!$J$2:$J$2000,"آجل"))</f>
        <v/>
      </c>
      <c r="G1982" s="4" t="n"/>
      <c r="H1982">
        <f>IF(A1982="","",F1982-G1982)</f>
        <v/>
      </c>
    </row>
    <row r="1983">
      <c r="A1983" s="4" t="n"/>
      <c r="B1983" s="4" t="n"/>
      <c r="C1983">
        <f>IF(A1983="","",SUMPRODUCT((المبيعات!$C$2:$C$2000=A1983)*(المبيعات!$B$2:$B$2000&lt;&gt;"")/COUNTIFS(المبيعات!$B$2:$B$2000,المبيعات!$B$2:$B$2000&amp;"",المبيعات!$C$2:$C$2000,المبيعات!$C$2:$C$2000&amp;"")))</f>
        <v/>
      </c>
      <c r="D1983">
        <f>IF(A1983="","",SUMIFS(المبيعات!$H$2:$H$2000,المبيعات!$C$2:$C$2000,A1983))</f>
        <v/>
      </c>
      <c r="E1983" s="13">
        <f>IF(A1983="","",IF(COUNTIF(المبيعات!$C$2:$C$2000,A1983)=0,"",_xlfn.MAXIFS(المبيعات!$A$2:$A$2000,المبيعات!$C$2:$C$2000,A1983)))</f>
        <v/>
      </c>
      <c r="F1983">
        <f>IF(A1983="","",SUMIFS(المبيعات!$H$2:$H$2000,المبيعات!$C$2:$C$2000,A1983,المبيعات!$J$2:$J$2000,"آجل"))</f>
        <v/>
      </c>
      <c r="G1983" s="4" t="n"/>
      <c r="H1983">
        <f>IF(A1983="","",F1983-G1983)</f>
        <v/>
      </c>
    </row>
    <row r="1984">
      <c r="A1984" s="4" t="n"/>
      <c r="B1984" s="4" t="n"/>
      <c r="C1984">
        <f>IF(A1984="","",SUMPRODUCT((المبيعات!$C$2:$C$2000=A1984)*(المبيعات!$B$2:$B$2000&lt;&gt;"")/COUNTIFS(المبيعات!$B$2:$B$2000,المبيعات!$B$2:$B$2000&amp;"",المبيعات!$C$2:$C$2000,المبيعات!$C$2:$C$2000&amp;"")))</f>
        <v/>
      </c>
      <c r="D1984">
        <f>IF(A1984="","",SUMIFS(المبيعات!$H$2:$H$2000,المبيعات!$C$2:$C$2000,A1984))</f>
        <v/>
      </c>
      <c r="E1984" s="13">
        <f>IF(A1984="","",IF(COUNTIF(المبيعات!$C$2:$C$2000,A1984)=0,"",_xlfn.MAXIFS(المبيعات!$A$2:$A$2000,المبيعات!$C$2:$C$2000,A1984)))</f>
        <v/>
      </c>
      <c r="F1984">
        <f>IF(A1984="","",SUMIFS(المبيعات!$H$2:$H$2000,المبيعات!$C$2:$C$2000,A1984,المبيعات!$J$2:$J$2000,"آجل"))</f>
        <v/>
      </c>
      <c r="G1984" s="4" t="n"/>
      <c r="H1984">
        <f>IF(A1984="","",F1984-G1984)</f>
        <v/>
      </c>
    </row>
    <row r="1985">
      <c r="A1985" s="4" t="n"/>
      <c r="B1985" s="4" t="n"/>
      <c r="C1985">
        <f>IF(A1985="","",SUMPRODUCT((المبيعات!$C$2:$C$2000=A1985)*(المبيعات!$B$2:$B$2000&lt;&gt;"")/COUNTIFS(المبيعات!$B$2:$B$2000,المبيعات!$B$2:$B$2000&amp;"",المبيعات!$C$2:$C$2000,المبيعات!$C$2:$C$2000&amp;"")))</f>
        <v/>
      </c>
      <c r="D1985">
        <f>IF(A1985="","",SUMIFS(المبيعات!$H$2:$H$2000,المبيعات!$C$2:$C$2000,A1985))</f>
        <v/>
      </c>
      <c r="E1985" s="13">
        <f>IF(A1985="","",IF(COUNTIF(المبيعات!$C$2:$C$2000,A1985)=0,"",_xlfn.MAXIFS(المبيعات!$A$2:$A$2000,المبيعات!$C$2:$C$2000,A1985)))</f>
        <v/>
      </c>
      <c r="F1985">
        <f>IF(A1985="","",SUMIFS(المبيعات!$H$2:$H$2000,المبيعات!$C$2:$C$2000,A1985,المبيعات!$J$2:$J$2000,"آجل"))</f>
        <v/>
      </c>
      <c r="G1985" s="4" t="n"/>
      <c r="H1985">
        <f>IF(A1985="","",F1985-G1985)</f>
        <v/>
      </c>
    </row>
    <row r="1986">
      <c r="A1986" s="4" t="n"/>
      <c r="B1986" s="4" t="n"/>
      <c r="C1986">
        <f>IF(A1986="","",SUMPRODUCT((المبيعات!$C$2:$C$2000=A1986)*(المبيعات!$B$2:$B$2000&lt;&gt;"")/COUNTIFS(المبيعات!$B$2:$B$2000,المبيعات!$B$2:$B$2000&amp;"",المبيعات!$C$2:$C$2000,المبيعات!$C$2:$C$2000&amp;"")))</f>
        <v/>
      </c>
      <c r="D1986">
        <f>IF(A1986="","",SUMIFS(المبيعات!$H$2:$H$2000,المبيعات!$C$2:$C$2000,A1986))</f>
        <v/>
      </c>
      <c r="E1986" s="13">
        <f>IF(A1986="","",IF(COUNTIF(المبيعات!$C$2:$C$2000,A1986)=0,"",_xlfn.MAXIFS(المبيعات!$A$2:$A$2000,المبيعات!$C$2:$C$2000,A1986)))</f>
        <v/>
      </c>
      <c r="F1986">
        <f>IF(A1986="","",SUMIFS(المبيعات!$H$2:$H$2000,المبيعات!$C$2:$C$2000,A1986,المبيعات!$J$2:$J$2000,"آجل"))</f>
        <v/>
      </c>
      <c r="G1986" s="4" t="n"/>
      <c r="H1986">
        <f>IF(A1986="","",F1986-G1986)</f>
        <v/>
      </c>
    </row>
    <row r="1987">
      <c r="A1987" s="4" t="n"/>
      <c r="B1987" s="4" t="n"/>
      <c r="C1987">
        <f>IF(A1987="","",SUMPRODUCT((المبيعات!$C$2:$C$2000=A1987)*(المبيعات!$B$2:$B$2000&lt;&gt;"")/COUNTIFS(المبيعات!$B$2:$B$2000,المبيعات!$B$2:$B$2000&amp;"",المبيعات!$C$2:$C$2000,المبيعات!$C$2:$C$2000&amp;"")))</f>
        <v/>
      </c>
      <c r="D1987">
        <f>IF(A1987="","",SUMIFS(المبيعات!$H$2:$H$2000,المبيعات!$C$2:$C$2000,A1987))</f>
        <v/>
      </c>
      <c r="E1987" s="13">
        <f>IF(A1987="","",IF(COUNTIF(المبيعات!$C$2:$C$2000,A1987)=0,"",_xlfn.MAXIFS(المبيعات!$A$2:$A$2000,المبيعات!$C$2:$C$2000,A1987)))</f>
        <v/>
      </c>
      <c r="F1987">
        <f>IF(A1987="","",SUMIFS(المبيعات!$H$2:$H$2000,المبيعات!$C$2:$C$2000,A1987,المبيعات!$J$2:$J$2000,"آجل"))</f>
        <v/>
      </c>
      <c r="G1987" s="4" t="n"/>
      <c r="H1987">
        <f>IF(A1987="","",F1987-G1987)</f>
        <v/>
      </c>
    </row>
    <row r="1988">
      <c r="A1988" s="4" t="n"/>
      <c r="B1988" s="4" t="n"/>
      <c r="C1988">
        <f>IF(A1988="","",SUMPRODUCT((المبيعات!$C$2:$C$2000=A1988)*(المبيعات!$B$2:$B$2000&lt;&gt;"")/COUNTIFS(المبيعات!$B$2:$B$2000,المبيعات!$B$2:$B$2000&amp;"",المبيعات!$C$2:$C$2000,المبيعات!$C$2:$C$2000&amp;"")))</f>
        <v/>
      </c>
      <c r="D1988">
        <f>IF(A1988="","",SUMIFS(المبيعات!$H$2:$H$2000,المبيعات!$C$2:$C$2000,A1988))</f>
        <v/>
      </c>
      <c r="E1988" s="13">
        <f>IF(A1988="","",IF(COUNTIF(المبيعات!$C$2:$C$2000,A1988)=0,"",_xlfn.MAXIFS(المبيعات!$A$2:$A$2000,المبيعات!$C$2:$C$2000,A1988)))</f>
        <v/>
      </c>
      <c r="F1988">
        <f>IF(A1988="","",SUMIFS(المبيعات!$H$2:$H$2000,المبيعات!$C$2:$C$2000,A1988,المبيعات!$J$2:$J$2000,"آجل"))</f>
        <v/>
      </c>
      <c r="G1988" s="4" t="n"/>
      <c r="H1988">
        <f>IF(A1988="","",F1988-G1988)</f>
        <v/>
      </c>
    </row>
    <row r="1989">
      <c r="A1989" s="4" t="n"/>
      <c r="B1989" s="4" t="n"/>
      <c r="C1989">
        <f>IF(A1989="","",SUMPRODUCT((المبيعات!$C$2:$C$2000=A1989)*(المبيعات!$B$2:$B$2000&lt;&gt;"")/COUNTIFS(المبيعات!$B$2:$B$2000,المبيعات!$B$2:$B$2000&amp;"",المبيعات!$C$2:$C$2000,المبيعات!$C$2:$C$2000&amp;"")))</f>
        <v/>
      </c>
      <c r="D1989">
        <f>IF(A1989="","",SUMIFS(المبيعات!$H$2:$H$2000,المبيعات!$C$2:$C$2000,A1989))</f>
        <v/>
      </c>
      <c r="E1989" s="13">
        <f>IF(A1989="","",IF(COUNTIF(المبيعات!$C$2:$C$2000,A1989)=0,"",_xlfn.MAXIFS(المبيعات!$A$2:$A$2000,المبيعات!$C$2:$C$2000,A1989)))</f>
        <v/>
      </c>
      <c r="F1989">
        <f>IF(A1989="","",SUMIFS(المبيعات!$H$2:$H$2000,المبيعات!$C$2:$C$2000,A1989,المبيعات!$J$2:$J$2000,"آجل"))</f>
        <v/>
      </c>
      <c r="G1989" s="4" t="n"/>
      <c r="H1989">
        <f>IF(A1989="","",F1989-G1989)</f>
        <v/>
      </c>
    </row>
    <row r="1990">
      <c r="A1990" s="4" t="n"/>
      <c r="B1990" s="4" t="n"/>
      <c r="C1990">
        <f>IF(A1990="","",SUMPRODUCT((المبيعات!$C$2:$C$2000=A1990)*(المبيعات!$B$2:$B$2000&lt;&gt;"")/COUNTIFS(المبيعات!$B$2:$B$2000,المبيعات!$B$2:$B$2000&amp;"",المبيعات!$C$2:$C$2000,المبيعات!$C$2:$C$2000&amp;"")))</f>
        <v/>
      </c>
      <c r="D1990">
        <f>IF(A1990="","",SUMIFS(المبيعات!$H$2:$H$2000,المبيعات!$C$2:$C$2000,A1990))</f>
        <v/>
      </c>
      <c r="E1990" s="13">
        <f>IF(A1990="","",IF(COUNTIF(المبيعات!$C$2:$C$2000,A1990)=0,"",_xlfn.MAXIFS(المبيعات!$A$2:$A$2000,المبيعات!$C$2:$C$2000,A1990)))</f>
        <v/>
      </c>
      <c r="F1990">
        <f>IF(A1990="","",SUMIFS(المبيعات!$H$2:$H$2000,المبيعات!$C$2:$C$2000,A1990,المبيعات!$J$2:$J$2000,"آجل"))</f>
        <v/>
      </c>
      <c r="G1990" s="4" t="n"/>
      <c r="H1990">
        <f>IF(A1990="","",F1990-G1990)</f>
        <v/>
      </c>
    </row>
    <row r="1991">
      <c r="A1991" s="4" t="n"/>
      <c r="B1991" s="4" t="n"/>
      <c r="C1991">
        <f>IF(A1991="","",SUMPRODUCT((المبيعات!$C$2:$C$2000=A1991)*(المبيعات!$B$2:$B$2000&lt;&gt;"")/COUNTIFS(المبيعات!$B$2:$B$2000,المبيعات!$B$2:$B$2000&amp;"",المبيعات!$C$2:$C$2000,المبيعات!$C$2:$C$2000&amp;"")))</f>
        <v/>
      </c>
      <c r="D1991">
        <f>IF(A1991="","",SUMIFS(المبيعات!$H$2:$H$2000,المبيعات!$C$2:$C$2000,A1991))</f>
        <v/>
      </c>
      <c r="E1991" s="13">
        <f>IF(A1991="","",IF(COUNTIF(المبيعات!$C$2:$C$2000,A1991)=0,"",_xlfn.MAXIFS(المبيعات!$A$2:$A$2000,المبيعات!$C$2:$C$2000,A1991)))</f>
        <v/>
      </c>
      <c r="F1991">
        <f>IF(A1991="","",SUMIFS(المبيعات!$H$2:$H$2000,المبيعات!$C$2:$C$2000,A1991,المبيعات!$J$2:$J$2000,"آجل"))</f>
        <v/>
      </c>
      <c r="G1991" s="4" t="n"/>
      <c r="H1991">
        <f>IF(A1991="","",F1991-G1991)</f>
        <v/>
      </c>
    </row>
    <row r="1992">
      <c r="A1992" s="4" t="n"/>
      <c r="B1992" s="4" t="n"/>
      <c r="C1992">
        <f>IF(A1992="","",SUMPRODUCT((المبيعات!$C$2:$C$2000=A1992)*(المبيعات!$B$2:$B$2000&lt;&gt;"")/COUNTIFS(المبيعات!$B$2:$B$2000,المبيعات!$B$2:$B$2000&amp;"",المبيعات!$C$2:$C$2000,المبيعات!$C$2:$C$2000&amp;"")))</f>
        <v/>
      </c>
      <c r="D1992">
        <f>IF(A1992="","",SUMIFS(المبيعات!$H$2:$H$2000,المبيعات!$C$2:$C$2000,A1992))</f>
        <v/>
      </c>
      <c r="E1992" s="13">
        <f>IF(A1992="","",IF(COUNTIF(المبيعات!$C$2:$C$2000,A1992)=0,"",_xlfn.MAXIFS(المبيعات!$A$2:$A$2000,المبيعات!$C$2:$C$2000,A1992)))</f>
        <v/>
      </c>
      <c r="F1992">
        <f>IF(A1992="","",SUMIFS(المبيعات!$H$2:$H$2000,المبيعات!$C$2:$C$2000,A1992,المبيعات!$J$2:$J$2000,"آجل"))</f>
        <v/>
      </c>
      <c r="G1992" s="4" t="n"/>
      <c r="H1992">
        <f>IF(A1992="","",F1992-G1992)</f>
        <v/>
      </c>
    </row>
    <row r="1993">
      <c r="A1993" s="4" t="n"/>
      <c r="B1993" s="4" t="n"/>
      <c r="C1993">
        <f>IF(A1993="","",SUMPRODUCT((المبيعات!$C$2:$C$2000=A1993)*(المبيعات!$B$2:$B$2000&lt;&gt;"")/COUNTIFS(المبيعات!$B$2:$B$2000,المبيعات!$B$2:$B$2000&amp;"",المبيعات!$C$2:$C$2000,المبيعات!$C$2:$C$2000&amp;"")))</f>
        <v/>
      </c>
      <c r="D1993">
        <f>IF(A1993="","",SUMIFS(المبيعات!$H$2:$H$2000,المبيعات!$C$2:$C$2000,A1993))</f>
        <v/>
      </c>
      <c r="E1993" s="13">
        <f>IF(A1993="","",IF(COUNTIF(المبيعات!$C$2:$C$2000,A1993)=0,"",_xlfn.MAXIFS(المبيعات!$A$2:$A$2000,المبيعات!$C$2:$C$2000,A1993)))</f>
        <v/>
      </c>
      <c r="F1993">
        <f>IF(A1993="","",SUMIFS(المبيعات!$H$2:$H$2000,المبيعات!$C$2:$C$2000,A1993,المبيعات!$J$2:$J$2000,"آجل"))</f>
        <v/>
      </c>
      <c r="G1993" s="4" t="n"/>
      <c r="H1993">
        <f>IF(A1993="","",F1993-G1993)</f>
        <v/>
      </c>
    </row>
    <row r="1994">
      <c r="A1994" s="4" t="n"/>
      <c r="B1994" s="4" t="n"/>
      <c r="C1994">
        <f>IF(A1994="","",SUMPRODUCT((المبيعات!$C$2:$C$2000=A1994)*(المبيعات!$B$2:$B$2000&lt;&gt;"")/COUNTIFS(المبيعات!$B$2:$B$2000,المبيعات!$B$2:$B$2000&amp;"",المبيعات!$C$2:$C$2000,المبيعات!$C$2:$C$2000&amp;"")))</f>
        <v/>
      </c>
      <c r="D1994">
        <f>IF(A1994="","",SUMIFS(المبيعات!$H$2:$H$2000,المبيعات!$C$2:$C$2000,A1994))</f>
        <v/>
      </c>
      <c r="E1994" s="13">
        <f>IF(A1994="","",IF(COUNTIF(المبيعات!$C$2:$C$2000,A1994)=0,"",_xlfn.MAXIFS(المبيعات!$A$2:$A$2000,المبيعات!$C$2:$C$2000,A1994)))</f>
        <v/>
      </c>
      <c r="F1994">
        <f>IF(A1994="","",SUMIFS(المبيعات!$H$2:$H$2000,المبيعات!$C$2:$C$2000,A1994,المبيعات!$J$2:$J$2000,"آجل"))</f>
        <v/>
      </c>
      <c r="G1994" s="4" t="n"/>
      <c r="H1994">
        <f>IF(A1994="","",F1994-G1994)</f>
        <v/>
      </c>
    </row>
    <row r="1995">
      <c r="A1995" s="4" t="n"/>
      <c r="B1995" s="4" t="n"/>
      <c r="C1995">
        <f>IF(A1995="","",SUMPRODUCT((المبيعات!$C$2:$C$2000=A1995)*(المبيعات!$B$2:$B$2000&lt;&gt;"")/COUNTIFS(المبيعات!$B$2:$B$2000,المبيعات!$B$2:$B$2000&amp;"",المبيعات!$C$2:$C$2000,المبيعات!$C$2:$C$2000&amp;"")))</f>
        <v/>
      </c>
      <c r="D1995">
        <f>IF(A1995="","",SUMIFS(المبيعات!$H$2:$H$2000,المبيعات!$C$2:$C$2000,A1995))</f>
        <v/>
      </c>
      <c r="E1995" s="13">
        <f>IF(A1995="","",IF(COUNTIF(المبيعات!$C$2:$C$2000,A1995)=0,"",_xlfn.MAXIFS(المبيعات!$A$2:$A$2000,المبيعات!$C$2:$C$2000,A1995)))</f>
        <v/>
      </c>
      <c r="F1995">
        <f>IF(A1995="","",SUMIFS(المبيعات!$H$2:$H$2000,المبيعات!$C$2:$C$2000,A1995,المبيعات!$J$2:$J$2000,"آجل"))</f>
        <v/>
      </c>
      <c r="G1995" s="4" t="n"/>
      <c r="H1995">
        <f>IF(A1995="","",F1995-G1995)</f>
        <v/>
      </c>
    </row>
    <row r="1996">
      <c r="A1996" s="4" t="n"/>
      <c r="B1996" s="4" t="n"/>
      <c r="C1996">
        <f>IF(A1996="","",SUMPRODUCT((المبيعات!$C$2:$C$2000=A1996)*(المبيعات!$B$2:$B$2000&lt;&gt;"")/COUNTIFS(المبيعات!$B$2:$B$2000,المبيعات!$B$2:$B$2000&amp;"",المبيعات!$C$2:$C$2000,المبيعات!$C$2:$C$2000&amp;"")))</f>
        <v/>
      </c>
      <c r="D1996">
        <f>IF(A1996="","",SUMIFS(المبيعات!$H$2:$H$2000,المبيعات!$C$2:$C$2000,A1996))</f>
        <v/>
      </c>
      <c r="E1996" s="13">
        <f>IF(A1996="","",IF(COUNTIF(المبيعات!$C$2:$C$2000,A1996)=0,"",_xlfn.MAXIFS(المبيعات!$A$2:$A$2000,المبيعات!$C$2:$C$2000,A1996)))</f>
        <v/>
      </c>
      <c r="F1996">
        <f>IF(A1996="","",SUMIFS(المبيعات!$H$2:$H$2000,المبيعات!$C$2:$C$2000,A1996,المبيعات!$J$2:$J$2000,"آجل"))</f>
        <v/>
      </c>
      <c r="G1996" s="4" t="n"/>
      <c r="H1996">
        <f>IF(A1996="","",F1996-G1996)</f>
        <v/>
      </c>
    </row>
    <row r="1997">
      <c r="A1997" s="4" t="n"/>
      <c r="B1997" s="4" t="n"/>
      <c r="C1997">
        <f>IF(A1997="","",SUMPRODUCT((المبيعات!$C$2:$C$2000=A1997)*(المبيعات!$B$2:$B$2000&lt;&gt;"")/COUNTIFS(المبيعات!$B$2:$B$2000,المبيعات!$B$2:$B$2000&amp;"",المبيعات!$C$2:$C$2000,المبيعات!$C$2:$C$2000&amp;"")))</f>
        <v/>
      </c>
      <c r="D1997">
        <f>IF(A1997="","",SUMIFS(المبيعات!$H$2:$H$2000,المبيعات!$C$2:$C$2000,A1997))</f>
        <v/>
      </c>
      <c r="E1997" s="13">
        <f>IF(A1997="","",IF(COUNTIF(المبيعات!$C$2:$C$2000,A1997)=0,"",_xlfn.MAXIFS(المبيعات!$A$2:$A$2000,المبيعات!$C$2:$C$2000,A1997)))</f>
        <v/>
      </c>
      <c r="F1997">
        <f>IF(A1997="","",SUMIFS(المبيعات!$H$2:$H$2000,المبيعات!$C$2:$C$2000,A1997,المبيعات!$J$2:$J$2000,"آجل"))</f>
        <v/>
      </c>
      <c r="G1997" s="4" t="n"/>
      <c r="H1997">
        <f>IF(A1997="","",F1997-G1997)</f>
        <v/>
      </c>
    </row>
    <row r="1998">
      <c r="A1998" s="4" t="n"/>
      <c r="B1998" s="4" t="n"/>
      <c r="C1998">
        <f>IF(A1998="","",SUMPRODUCT((المبيعات!$C$2:$C$2000=A1998)*(المبيعات!$B$2:$B$2000&lt;&gt;"")/COUNTIFS(المبيعات!$B$2:$B$2000,المبيعات!$B$2:$B$2000&amp;"",المبيعات!$C$2:$C$2000,المبيعات!$C$2:$C$2000&amp;"")))</f>
        <v/>
      </c>
      <c r="D1998">
        <f>IF(A1998="","",SUMIFS(المبيعات!$H$2:$H$2000,المبيعات!$C$2:$C$2000,A1998))</f>
        <v/>
      </c>
      <c r="E1998" s="13">
        <f>IF(A1998="","",IF(COUNTIF(المبيعات!$C$2:$C$2000,A1998)=0,"",_xlfn.MAXIFS(المبيعات!$A$2:$A$2000,المبيعات!$C$2:$C$2000,A1998)))</f>
        <v/>
      </c>
      <c r="F1998">
        <f>IF(A1998="","",SUMIFS(المبيعات!$H$2:$H$2000,المبيعات!$C$2:$C$2000,A1998,المبيعات!$J$2:$J$2000,"آجل"))</f>
        <v/>
      </c>
      <c r="G1998" s="4" t="n"/>
      <c r="H1998">
        <f>IF(A1998="","",F1998-G1998)</f>
        <v/>
      </c>
    </row>
    <row r="1999">
      <c r="A1999" s="4" t="n"/>
      <c r="B1999" s="4" t="n"/>
      <c r="C1999">
        <f>IF(A1999="","",SUMPRODUCT((المبيعات!$C$2:$C$2000=A1999)*(المبيعات!$B$2:$B$2000&lt;&gt;"")/COUNTIFS(المبيعات!$B$2:$B$2000,المبيعات!$B$2:$B$2000&amp;"",المبيعات!$C$2:$C$2000,المبيعات!$C$2:$C$2000&amp;"")))</f>
        <v/>
      </c>
      <c r="D1999">
        <f>IF(A1999="","",SUMIFS(المبيعات!$H$2:$H$2000,المبيعات!$C$2:$C$2000,A1999))</f>
        <v/>
      </c>
      <c r="E1999" s="13">
        <f>IF(A1999="","",IF(COUNTIF(المبيعات!$C$2:$C$2000,A1999)=0,"",_xlfn.MAXIFS(المبيعات!$A$2:$A$2000,المبيعات!$C$2:$C$2000,A1999)))</f>
        <v/>
      </c>
      <c r="F1999">
        <f>IF(A1999="","",SUMIFS(المبيعات!$H$2:$H$2000,المبيعات!$C$2:$C$2000,A1999,المبيعات!$J$2:$J$2000,"آجل"))</f>
        <v/>
      </c>
      <c r="G1999" s="4" t="n"/>
      <c r="H1999">
        <f>IF(A1999="","",F1999-G1999)</f>
        <v/>
      </c>
    </row>
    <row r="2000">
      <c r="A2000" s="4" t="n"/>
      <c r="B2000" s="4" t="n"/>
      <c r="C2000">
        <f>IF(A2000="","",SUMPRODUCT((المبيعات!$C$2:$C$2000=A2000)*(المبيعات!$B$2:$B$2000&lt;&gt;"")/COUNTIFS(المبيعات!$B$2:$B$2000,المبيعات!$B$2:$B$2000&amp;"",المبيعات!$C$2:$C$2000,المبيعات!$C$2:$C$2000&amp;"")))</f>
        <v/>
      </c>
      <c r="D2000">
        <f>IF(A2000="","",SUMIFS(المبيعات!$H$2:$H$2000,المبيعات!$C$2:$C$2000,A2000))</f>
        <v/>
      </c>
      <c r="E2000" s="13">
        <f>IF(A2000="","",IF(COUNTIF(المبيعات!$C$2:$C$2000,A2000)=0,"",_xlfn.MAXIFS(المبيعات!$A$2:$A$2000,المبيعات!$C$2:$C$2000,A2000)))</f>
        <v/>
      </c>
      <c r="F2000">
        <f>IF(A2000="","",SUMIFS(المبيعات!$H$2:$H$2000,المبيعات!$C$2:$C$2000,A2000,المبيعات!$J$2:$J$2000,"آجل"))</f>
        <v/>
      </c>
      <c r="G2000" s="4" t="n"/>
      <c r="H2000">
        <f>IF(A2000="","",F2000-G2000)</f>
        <v/>
      </c>
    </row>
  </sheetData>
  <conditionalFormatting sqref="A2:H2000">
    <cfRule type="expression" priority="1" dxfId="2">
      <formula>AND($H2&lt;&gt;"",$H2&gt;0)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8" customWidth="1" min="3" max="3"/>
    <col width="10" customWidth="1" min="4" max="4"/>
    <col width="13" customWidth="1" min="5" max="5"/>
    <col width="14" customWidth="1" min="6" max="6"/>
  </cols>
  <sheetData>
    <row r="1">
      <c r="B1" s="14" t="inlineStr">
        <is>
          <t>اسم المتجر هنا</t>
        </is>
      </c>
      <c r="E1" s="15" t="inlineStr">
        <is>
          <t>إيصال بيع</t>
        </is>
      </c>
    </row>
    <row r="3">
      <c r="B3" t="inlineStr">
        <is>
          <t>رقم الإيصال</t>
        </is>
      </c>
      <c r="C3" s="16" t="n">
        <v>1001</v>
      </c>
      <c r="E3" t="inlineStr">
        <is>
          <t>طريقة الدفع</t>
        </is>
      </c>
      <c r="F3">
        <f>IFERROR(INDEX(المبيعات!$J$2:$J$2000,MATCH($C$3,المبيعات!$B$2:$B$2000,0))&amp;"","")</f>
        <v/>
      </c>
    </row>
    <row r="4">
      <c r="B4" t="inlineStr">
        <is>
          <t>التاريخ</t>
        </is>
      </c>
      <c r="C4" s="13">
        <f>IFERROR(INDEX(المبيعات!$A$2:$A$2000,MATCH($C$3,المبيعات!$B$2:$B$2000,0)),"")</f>
        <v/>
      </c>
    </row>
    <row r="5">
      <c r="B5" t="inlineStr">
        <is>
          <t>العميل</t>
        </is>
      </c>
      <c r="C5">
        <f>IFERROR(INDEX(المبيعات!$C$2:$C$2000,MATCH($C$3,المبيعات!$B$2:$B$2000,0))&amp;"","")</f>
        <v/>
      </c>
    </row>
    <row r="7">
      <c r="A7" s="17" t="inlineStr">
        <is>
          <t>#</t>
        </is>
      </c>
      <c r="B7" s="17" t="inlineStr">
        <is>
          <t>الكود</t>
        </is>
      </c>
      <c r="C7" s="17" t="inlineStr">
        <is>
          <t>الصنف</t>
        </is>
      </c>
      <c r="D7" s="17" t="inlineStr">
        <is>
          <t>الكمية</t>
        </is>
      </c>
      <c r="E7" s="17" t="inlineStr">
        <is>
          <t>سعر الوحدة</t>
        </is>
      </c>
      <c r="F7" s="17" t="inlineStr">
        <is>
          <t>الإجمالي</t>
        </is>
      </c>
    </row>
    <row r="8">
      <c r="A8" s="9">
        <f>IF(ISNUMBER(MATCH(1,المبيعات!$K$2:$K$2000,0)),1,"")</f>
        <v/>
      </c>
      <c r="B8" s="9">
        <f>IFERROR(INDEX(المبيعات!$D$2:$D$2000,MATCH(1,المبيعات!$K$2:$K$2000,0)),"")</f>
        <v/>
      </c>
      <c r="C8" s="9">
        <f>IFERROR(INDEX(المبيعات!$E$2:$E$2000,MATCH(1,المبيعات!$K$2:$K$2000,0)),"")</f>
        <v/>
      </c>
      <c r="D8" s="9">
        <f>IFERROR(INDEX(المبيعات!$F$2:$F$2000,MATCH(1,المبيعات!$K$2:$K$2000,0)),"")</f>
        <v/>
      </c>
      <c r="E8" s="10">
        <f>IFERROR(INDEX(المبيعات!$G$2:$G$2000,MATCH(1,المبيعات!$K$2:$K$2000,0)),"")</f>
        <v/>
      </c>
      <c r="F8" s="10">
        <f>IFERROR(INDEX(المبيعات!$H$2:$H$2000,MATCH(1,المبيعات!$K$2:$K$2000,0)),"")</f>
        <v/>
      </c>
    </row>
    <row r="9">
      <c r="A9" s="9">
        <f>IF(ISNUMBER(MATCH(2,المبيعات!$K$2:$K$2000,0)),2,"")</f>
        <v/>
      </c>
      <c r="B9" s="9">
        <f>IFERROR(INDEX(المبيعات!$D$2:$D$2000,MATCH(2,المبيعات!$K$2:$K$2000,0)),"")</f>
        <v/>
      </c>
      <c r="C9" s="9">
        <f>IFERROR(INDEX(المبيعات!$E$2:$E$2000,MATCH(2,المبيعات!$K$2:$K$2000,0)),"")</f>
        <v/>
      </c>
      <c r="D9" s="9">
        <f>IFERROR(INDEX(المبيعات!$F$2:$F$2000,MATCH(2,المبيعات!$K$2:$K$2000,0)),"")</f>
        <v/>
      </c>
      <c r="E9" s="10">
        <f>IFERROR(INDEX(المبيعات!$G$2:$G$2000,MATCH(2,المبيعات!$K$2:$K$2000,0)),"")</f>
        <v/>
      </c>
      <c r="F9" s="10">
        <f>IFERROR(INDEX(المبيعات!$H$2:$H$2000,MATCH(2,المبيعات!$K$2:$K$2000,0)),"")</f>
        <v/>
      </c>
    </row>
    <row r="10">
      <c r="A10" s="9">
        <f>IF(ISNUMBER(MATCH(3,المبيعات!$K$2:$K$2000,0)),3,"")</f>
        <v/>
      </c>
      <c r="B10" s="9">
        <f>IFERROR(INDEX(المبيعات!$D$2:$D$2000,MATCH(3,المبيعات!$K$2:$K$2000,0)),"")</f>
        <v/>
      </c>
      <c r="C10" s="9">
        <f>IFERROR(INDEX(المبيعات!$E$2:$E$2000,MATCH(3,المبيعات!$K$2:$K$2000,0)),"")</f>
        <v/>
      </c>
      <c r="D10" s="9">
        <f>IFERROR(INDEX(المبيعات!$F$2:$F$2000,MATCH(3,المبيعات!$K$2:$K$2000,0)),"")</f>
        <v/>
      </c>
      <c r="E10" s="10">
        <f>IFERROR(INDEX(المبيعات!$G$2:$G$2000,MATCH(3,المبيعات!$K$2:$K$2000,0)),"")</f>
        <v/>
      </c>
      <c r="F10" s="10">
        <f>IFERROR(INDEX(المبيعات!$H$2:$H$2000,MATCH(3,المبيعات!$K$2:$K$2000,0)),"")</f>
        <v/>
      </c>
    </row>
    <row r="11">
      <c r="A11" s="9">
        <f>IF(ISNUMBER(MATCH(4,المبيعات!$K$2:$K$2000,0)),4,"")</f>
        <v/>
      </c>
      <c r="B11" s="9">
        <f>IFERROR(INDEX(المبيعات!$D$2:$D$2000,MATCH(4,المبيعات!$K$2:$K$2000,0)),"")</f>
        <v/>
      </c>
      <c r="C11" s="9">
        <f>IFERROR(INDEX(المبيعات!$E$2:$E$2000,MATCH(4,المبيعات!$K$2:$K$2000,0)),"")</f>
        <v/>
      </c>
      <c r="D11" s="9">
        <f>IFERROR(INDEX(المبيعات!$F$2:$F$2000,MATCH(4,المبيعات!$K$2:$K$2000,0)),"")</f>
        <v/>
      </c>
      <c r="E11" s="10">
        <f>IFERROR(INDEX(المبيعات!$G$2:$G$2000,MATCH(4,المبيعات!$K$2:$K$2000,0)),"")</f>
        <v/>
      </c>
      <c r="F11" s="10">
        <f>IFERROR(INDEX(المبيعات!$H$2:$H$2000,MATCH(4,المبيعات!$K$2:$K$2000,0)),"")</f>
        <v/>
      </c>
    </row>
    <row r="12">
      <c r="A12" s="9">
        <f>IF(ISNUMBER(MATCH(5,المبيعات!$K$2:$K$2000,0)),5,"")</f>
        <v/>
      </c>
      <c r="B12" s="9">
        <f>IFERROR(INDEX(المبيعات!$D$2:$D$2000,MATCH(5,المبيعات!$K$2:$K$2000,0)),"")</f>
        <v/>
      </c>
      <c r="C12" s="9">
        <f>IFERROR(INDEX(المبيعات!$E$2:$E$2000,MATCH(5,المبيعات!$K$2:$K$2000,0)),"")</f>
        <v/>
      </c>
      <c r="D12" s="9">
        <f>IFERROR(INDEX(المبيعات!$F$2:$F$2000,MATCH(5,المبيعات!$K$2:$K$2000,0)),"")</f>
        <v/>
      </c>
      <c r="E12" s="10">
        <f>IFERROR(INDEX(المبيعات!$G$2:$G$2000,MATCH(5,المبيعات!$K$2:$K$2000,0)),"")</f>
        <v/>
      </c>
      <c r="F12" s="10">
        <f>IFERROR(INDEX(المبيعات!$H$2:$H$2000,MATCH(5,المبيعات!$K$2:$K$2000,0)),"")</f>
        <v/>
      </c>
    </row>
    <row r="13">
      <c r="A13" s="9">
        <f>IF(ISNUMBER(MATCH(6,المبيعات!$K$2:$K$2000,0)),6,"")</f>
        <v/>
      </c>
      <c r="B13" s="9">
        <f>IFERROR(INDEX(المبيعات!$D$2:$D$2000,MATCH(6,المبيعات!$K$2:$K$2000,0)),"")</f>
        <v/>
      </c>
      <c r="C13" s="9">
        <f>IFERROR(INDEX(المبيعات!$E$2:$E$2000,MATCH(6,المبيعات!$K$2:$K$2000,0)),"")</f>
        <v/>
      </c>
      <c r="D13" s="9">
        <f>IFERROR(INDEX(المبيعات!$F$2:$F$2000,MATCH(6,المبيعات!$K$2:$K$2000,0)),"")</f>
        <v/>
      </c>
      <c r="E13" s="10">
        <f>IFERROR(INDEX(المبيعات!$G$2:$G$2000,MATCH(6,المبيعات!$K$2:$K$2000,0)),"")</f>
        <v/>
      </c>
      <c r="F13" s="10">
        <f>IFERROR(INDEX(المبيعات!$H$2:$H$2000,MATCH(6,المبيعات!$K$2:$K$2000,0)),"")</f>
        <v/>
      </c>
    </row>
    <row r="14">
      <c r="A14" s="9">
        <f>IF(ISNUMBER(MATCH(7,المبيعات!$K$2:$K$2000,0)),7,"")</f>
        <v/>
      </c>
      <c r="B14" s="9">
        <f>IFERROR(INDEX(المبيعات!$D$2:$D$2000,MATCH(7,المبيعات!$K$2:$K$2000,0)),"")</f>
        <v/>
      </c>
      <c r="C14" s="9">
        <f>IFERROR(INDEX(المبيعات!$E$2:$E$2000,MATCH(7,المبيعات!$K$2:$K$2000,0)),"")</f>
        <v/>
      </c>
      <c r="D14" s="9">
        <f>IFERROR(INDEX(المبيعات!$F$2:$F$2000,MATCH(7,المبيعات!$K$2:$K$2000,0)),"")</f>
        <v/>
      </c>
      <c r="E14" s="10">
        <f>IFERROR(INDEX(المبيعات!$G$2:$G$2000,MATCH(7,المبيعات!$K$2:$K$2000,0)),"")</f>
        <v/>
      </c>
      <c r="F14" s="10">
        <f>IFERROR(INDEX(المبيعات!$H$2:$H$2000,MATCH(7,المبيعات!$K$2:$K$2000,0)),"")</f>
        <v/>
      </c>
    </row>
    <row r="15">
      <c r="A15" s="9">
        <f>IF(ISNUMBER(MATCH(8,المبيعات!$K$2:$K$2000,0)),8,"")</f>
        <v/>
      </c>
      <c r="B15" s="9">
        <f>IFERROR(INDEX(المبيعات!$D$2:$D$2000,MATCH(8,المبيعات!$K$2:$K$2000,0)),"")</f>
        <v/>
      </c>
      <c r="C15" s="9">
        <f>IFERROR(INDEX(المبيعات!$E$2:$E$2000,MATCH(8,المبيعات!$K$2:$K$2000,0)),"")</f>
        <v/>
      </c>
      <c r="D15" s="9">
        <f>IFERROR(INDEX(المبيعات!$F$2:$F$2000,MATCH(8,المبيعات!$K$2:$K$2000,0)),"")</f>
        <v/>
      </c>
      <c r="E15" s="10">
        <f>IFERROR(INDEX(المبيعات!$G$2:$G$2000,MATCH(8,المبيعات!$K$2:$K$2000,0)),"")</f>
        <v/>
      </c>
      <c r="F15" s="10">
        <f>IFERROR(INDEX(المبيعات!$H$2:$H$2000,MATCH(8,المبيعات!$K$2:$K$2000,0)),"")</f>
        <v/>
      </c>
    </row>
    <row r="16">
      <c r="A16" s="9">
        <f>IF(ISNUMBER(MATCH(9,المبيعات!$K$2:$K$2000,0)),9,"")</f>
        <v/>
      </c>
      <c r="B16" s="9">
        <f>IFERROR(INDEX(المبيعات!$D$2:$D$2000,MATCH(9,المبيعات!$K$2:$K$2000,0)),"")</f>
        <v/>
      </c>
      <c r="C16" s="9">
        <f>IFERROR(INDEX(المبيعات!$E$2:$E$2000,MATCH(9,المبيعات!$K$2:$K$2000,0)),"")</f>
        <v/>
      </c>
      <c r="D16" s="9">
        <f>IFERROR(INDEX(المبيعات!$F$2:$F$2000,MATCH(9,المبيعات!$K$2:$K$2000,0)),"")</f>
        <v/>
      </c>
      <c r="E16" s="10">
        <f>IFERROR(INDEX(المبيعات!$G$2:$G$2000,MATCH(9,المبيعات!$K$2:$K$2000,0)),"")</f>
        <v/>
      </c>
      <c r="F16" s="10">
        <f>IFERROR(INDEX(المبيعات!$H$2:$H$2000,MATCH(9,المبيعات!$K$2:$K$2000,0)),"")</f>
        <v/>
      </c>
    </row>
    <row r="17">
      <c r="A17" s="9">
        <f>IF(ISNUMBER(MATCH(10,المبيعات!$K$2:$K$2000,0)),10,"")</f>
        <v/>
      </c>
      <c r="B17" s="9">
        <f>IFERROR(INDEX(المبيعات!$D$2:$D$2000,MATCH(10,المبيعات!$K$2:$K$2000,0)),"")</f>
        <v/>
      </c>
      <c r="C17" s="9">
        <f>IFERROR(INDEX(المبيعات!$E$2:$E$2000,MATCH(10,المبيعات!$K$2:$K$2000,0)),"")</f>
        <v/>
      </c>
      <c r="D17" s="9">
        <f>IFERROR(INDEX(المبيعات!$F$2:$F$2000,MATCH(10,المبيعات!$K$2:$K$2000,0)),"")</f>
        <v/>
      </c>
      <c r="E17" s="10">
        <f>IFERROR(INDEX(المبيعات!$G$2:$G$2000,MATCH(10,المبيعات!$K$2:$K$2000,0)),"")</f>
        <v/>
      </c>
      <c r="F17" s="10">
        <f>IFERROR(INDEX(المبيعات!$H$2:$H$2000,MATCH(10,المبيعات!$K$2:$K$2000,0)),"")</f>
        <v/>
      </c>
    </row>
    <row r="18">
      <c r="A18" s="9">
        <f>IF(ISNUMBER(MATCH(11,المبيعات!$K$2:$K$2000,0)),11,"")</f>
        <v/>
      </c>
      <c r="B18" s="9">
        <f>IFERROR(INDEX(المبيعات!$D$2:$D$2000,MATCH(11,المبيعات!$K$2:$K$2000,0)),"")</f>
        <v/>
      </c>
      <c r="C18" s="9">
        <f>IFERROR(INDEX(المبيعات!$E$2:$E$2000,MATCH(11,المبيعات!$K$2:$K$2000,0)),"")</f>
        <v/>
      </c>
      <c r="D18" s="9">
        <f>IFERROR(INDEX(المبيعات!$F$2:$F$2000,MATCH(11,المبيعات!$K$2:$K$2000,0)),"")</f>
        <v/>
      </c>
      <c r="E18" s="10">
        <f>IFERROR(INDEX(المبيعات!$G$2:$G$2000,MATCH(11,المبيعات!$K$2:$K$2000,0)),"")</f>
        <v/>
      </c>
      <c r="F18" s="10">
        <f>IFERROR(INDEX(المبيعات!$H$2:$H$2000,MATCH(11,المبيعات!$K$2:$K$2000,0)),"")</f>
        <v/>
      </c>
    </row>
    <row r="19">
      <c r="A19" s="9">
        <f>IF(ISNUMBER(MATCH(12,المبيعات!$K$2:$K$2000,0)),12,"")</f>
        <v/>
      </c>
      <c r="B19" s="9">
        <f>IFERROR(INDEX(المبيعات!$D$2:$D$2000,MATCH(12,المبيعات!$K$2:$K$2000,0)),"")</f>
        <v/>
      </c>
      <c r="C19" s="9">
        <f>IFERROR(INDEX(المبيعات!$E$2:$E$2000,MATCH(12,المبيعات!$K$2:$K$2000,0)),"")</f>
        <v/>
      </c>
      <c r="D19" s="9">
        <f>IFERROR(INDEX(المبيعات!$F$2:$F$2000,MATCH(12,المبيعات!$K$2:$K$2000,0)),"")</f>
        <v/>
      </c>
      <c r="E19" s="10">
        <f>IFERROR(INDEX(المبيعات!$G$2:$G$2000,MATCH(12,المبيعات!$K$2:$K$2000,0)),"")</f>
        <v/>
      </c>
      <c r="F19" s="10">
        <f>IFERROR(INDEX(المبيعات!$H$2:$H$2000,MATCH(12,المبيعات!$K$2:$K$2000,0)),"")</f>
        <v/>
      </c>
    </row>
    <row r="20">
      <c r="A20" s="9">
        <f>IF(ISNUMBER(MATCH(13,المبيعات!$K$2:$K$2000,0)),13,"")</f>
        <v/>
      </c>
      <c r="B20" s="9">
        <f>IFERROR(INDEX(المبيعات!$D$2:$D$2000,MATCH(13,المبيعات!$K$2:$K$2000,0)),"")</f>
        <v/>
      </c>
      <c r="C20" s="9">
        <f>IFERROR(INDEX(المبيعات!$E$2:$E$2000,MATCH(13,المبيعات!$K$2:$K$2000,0)),"")</f>
        <v/>
      </c>
      <c r="D20" s="9">
        <f>IFERROR(INDEX(المبيعات!$F$2:$F$2000,MATCH(13,المبيعات!$K$2:$K$2000,0)),"")</f>
        <v/>
      </c>
      <c r="E20" s="10">
        <f>IFERROR(INDEX(المبيعات!$G$2:$G$2000,MATCH(13,المبيعات!$K$2:$K$2000,0)),"")</f>
        <v/>
      </c>
      <c r="F20" s="10">
        <f>IFERROR(INDEX(المبيعات!$H$2:$H$2000,MATCH(13,المبيعات!$K$2:$K$2000,0)),"")</f>
        <v/>
      </c>
    </row>
    <row r="21">
      <c r="A21" s="9">
        <f>IF(ISNUMBER(MATCH(14,المبيعات!$K$2:$K$2000,0)),14,"")</f>
        <v/>
      </c>
      <c r="B21" s="9">
        <f>IFERROR(INDEX(المبيعات!$D$2:$D$2000,MATCH(14,المبيعات!$K$2:$K$2000,0)),"")</f>
        <v/>
      </c>
      <c r="C21" s="9">
        <f>IFERROR(INDEX(المبيعات!$E$2:$E$2000,MATCH(14,المبيعات!$K$2:$K$2000,0)),"")</f>
        <v/>
      </c>
      <c r="D21" s="9">
        <f>IFERROR(INDEX(المبيعات!$F$2:$F$2000,MATCH(14,المبيعات!$K$2:$K$2000,0)),"")</f>
        <v/>
      </c>
      <c r="E21" s="10">
        <f>IFERROR(INDEX(المبيعات!$G$2:$G$2000,MATCH(14,المبيعات!$K$2:$K$2000,0)),"")</f>
        <v/>
      </c>
      <c r="F21" s="10">
        <f>IFERROR(INDEX(المبيعات!$H$2:$H$2000,MATCH(14,المبيعات!$K$2:$K$2000,0)),"")</f>
        <v/>
      </c>
    </row>
    <row r="22">
      <c r="A22" s="9">
        <f>IF(ISNUMBER(MATCH(15,المبيعات!$K$2:$K$2000,0)),15,"")</f>
        <v/>
      </c>
      <c r="B22" s="9">
        <f>IFERROR(INDEX(المبيعات!$D$2:$D$2000,MATCH(15,المبيعات!$K$2:$K$2000,0)),"")</f>
        <v/>
      </c>
      <c r="C22" s="9">
        <f>IFERROR(INDEX(المبيعات!$E$2:$E$2000,MATCH(15,المبيعات!$K$2:$K$2000,0)),"")</f>
        <v/>
      </c>
      <c r="D22" s="9">
        <f>IFERROR(INDEX(المبيعات!$F$2:$F$2000,MATCH(15,المبيعات!$K$2:$K$2000,0)),"")</f>
        <v/>
      </c>
      <c r="E22" s="10">
        <f>IFERROR(INDEX(المبيعات!$G$2:$G$2000,MATCH(15,المبيعات!$K$2:$K$2000,0)),"")</f>
        <v/>
      </c>
      <c r="F22" s="10">
        <f>IFERROR(INDEX(المبيعات!$H$2:$H$2000,MATCH(15,المبيعات!$K$2:$K$2000,0)),"")</f>
        <v/>
      </c>
    </row>
    <row r="23">
      <c r="E23" s="18" t="inlineStr">
        <is>
          <t>الإجمالي</t>
        </is>
      </c>
      <c r="F23" s="19">
        <f>SUM(F8:F22)</f>
        <v/>
      </c>
    </row>
    <row r="25">
      <c r="B25" t="inlineStr">
        <is>
          <t>شكرًا لتعاملكم معنا</t>
        </is>
      </c>
    </row>
    <row r="26">
      <c r="B26" s="20" t="inlineStr">
        <is>
          <t>إيصال داخلي للعميل، وليس فاتورة ضريبية.</t>
        </is>
      </c>
    </row>
  </sheetData>
  <pageMargins left="0.75" right="0.75" top="1" bottom="1" header="0.5" footer="0.5"/>
  <pageSetup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40:B40"/>
  <sheetViews>
    <sheetView rightToLeft="1" workbookViewId="0">
      <selection activeCell="A1" sqref="A1"/>
    </sheetView>
  </sheetViews>
  <sheetFormatPr baseColWidth="8" defaultRowHeight="15"/>
  <sheetData>
    <row r="40">
      <c r="B40" t="inlineStr">
        <is>
          <t>الرسم الدائري يأخذ أول الأصناف فقط؛ لإضافة أصناف: كليك يمين على الرسم ← تحديد البيانات.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2026-09-30T19:02:53Z</dcterms:created>
  <dcterms:modified xsi:type="dcterms:W3CDTF">2026-09-30T19:02:53Z</dcterms:modified>
</cp:coreProperties>
</file>